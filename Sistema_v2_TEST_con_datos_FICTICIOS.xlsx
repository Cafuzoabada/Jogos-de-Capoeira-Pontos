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laude Log" sheetId="1" state="visible" r:id="rId1"/>
    <sheet name="MESA_JOGOS" sheetId="2" state="visible" r:id="rId2"/>
    <sheet name="APP_CONTROL" sheetId="3" state="visible" r:id="rId3"/>
    <sheet name="APP_PUNTUACIONES" sheetId="4" state="visible" r:id="rId4"/>
    <sheet name="CONFIG_CAT" sheetId="5" state="visible" r:id="rId5"/>
    <sheet name="00_LEEME" sheetId="6" state="visible" r:id="rId6"/>
    <sheet name="CONFIG" sheetId="7" state="visible" r:id="rId7"/>
    <sheet name="INSCRITOS_FORM" sheetId="8" state="visible" r:id="rId8"/>
    <sheet name="PARTICIPANTES" sheetId="9" state="visible" r:id="rId9"/>
    <sheet name="LLAVES_INDEX" sheetId="10" state="visible" r:id="rId10"/>
    <sheet name="TORNEO_ACTIVO" sheetId="11" state="visible" r:id="rId11"/>
    <sheet name="JUEZ_1" sheetId="12" state="visible" r:id="rId12"/>
    <sheet name="JUEZ_2" sheetId="13" state="visible" r:id="rId13"/>
    <sheet name="JUEZ_3" sheetId="14" state="visible" r:id="rId14"/>
    <sheet name="CLASIF_A_M" sheetId="15" state="visible" r:id="rId15"/>
    <sheet name="CLASIF_A_F" sheetId="16" state="visible" r:id="rId16"/>
    <sheet name="CLASIF_B_M" sheetId="17" state="visible" r:id="rId17"/>
    <sheet name="CLASIF_B_F" sheetId="18" state="visible" r:id="rId18"/>
    <sheet name="CLASIF_C_M" sheetId="19" state="visible" r:id="rId19"/>
    <sheet name="CLASIF_C_F" sheetId="20" state="visible" r:id="rId20"/>
    <sheet name="CLASIF_D_M" sheetId="21" state="visible" r:id="rId21"/>
    <sheet name="CLASIF_D_F" sheetId="22" state="visible" r:id="rId22"/>
    <sheet name="CLASIF_E_M" sheetId="23" state="visible" r:id="rId23"/>
    <sheet name="CLASIF_E_F" sheetId="24" state="visible" r:id="rId24"/>
    <sheet name="CLASIF_Baobá_M" sheetId="25" state="visible" r:id="rId25"/>
    <sheet name="CLASIF_Baobá_F" sheetId="26" state="visible" r:id="rId26"/>
    <sheet name="CLASIF_Juvenil_M" sheetId="27" state="visible" r:id="rId27"/>
    <sheet name="CLASIF_Juvenil_F" sheetId="28" state="visible" r:id="rId28"/>
    <sheet name="CLASIF_General_M" sheetId="29" state="visible" r:id="rId29"/>
    <sheet name="CLASIF_General_F" sheetId="30" state="visible" r:id="rId30"/>
    <sheet name="CLASIF_INF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yyyy\-mm\-dd\ h:mm:ss"/>
    <numFmt numFmtId="166" formatCode="0.0"/>
    <numFmt numFmtId="167" formatCode="yyyy-mm-dd h:mm:ss"/>
  </numFmts>
  <fonts count="16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3"/>
    </font>
    <font/>
    <font>
      <name val="Calibri"/>
      <b val="1"/>
      <color theme="1"/>
      <sz val="11"/>
    </font>
    <font>
      <name val="Calibri"/>
      <b val="1"/>
      <color rgb="FFFFFFFF"/>
      <sz val="14"/>
    </font>
    <font>
      <name val="Calibri"/>
      <b val="1"/>
      <color rgb="FF000000"/>
      <sz val="10"/>
    </font>
    <font>
      <name val="Calibri"/>
      <i val="1"/>
      <color rgb="FF555555"/>
      <sz val="9"/>
    </font>
    <font>
      <name val="Calibri"/>
      <b val="1"/>
      <color rgb="FF1F4E78"/>
      <sz val="14"/>
    </font>
    <font>
      <name val="Calibri"/>
      <b val="1"/>
      <color rgb="FFFFFFFF"/>
      <sz val="12"/>
    </font>
    <font>
      <name val="Calibri"/>
      <color rgb="FFC00000"/>
      <sz val="11"/>
    </font>
    <font>
      <name val="Calibri"/>
      <b val="1"/>
      <color rgb="FF385723"/>
      <sz val="11"/>
    </font>
    <font>
      <name val="Calibri"/>
      <b val="1"/>
      <color rgb="FFBBBBBB"/>
      <sz val="8"/>
    </font>
    <font>
      <name val="Calibri"/>
      <color rgb="FFBBBBBB"/>
      <sz val="8"/>
    </font>
  </fonts>
  <fills count="2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2F2F2"/>
        <bgColor rgb="FFF2F2F2"/>
      </patternFill>
    </fill>
    <fill>
      <patternFill patternType="solid">
        <fgColor rgb="FF7B3F00"/>
        <bgColor rgb="FF7B3F00"/>
      </patternFill>
    </fill>
    <fill>
      <patternFill patternType="solid">
        <fgColor rgb="FFFCE4D6"/>
        <bgColor rgb="FFFCE4D6"/>
      </patternFill>
    </fill>
    <fill>
      <patternFill patternType="solid">
        <fgColor rgb="FFC0504D"/>
        <bgColor rgb="FFC0504D"/>
      </patternFill>
    </fill>
    <fill>
      <patternFill patternType="solid">
        <fgColor rgb="FF5B2C6F"/>
        <bgColor rgb="FF5B2C6F"/>
      </patternFill>
    </fill>
    <fill>
      <patternFill patternType="solid">
        <fgColor rgb="FF1E8449"/>
        <bgColor rgb="FF1E8449"/>
      </patternFill>
    </fill>
    <fill>
      <patternFill patternType="solid">
        <fgColor rgb="FF1F618D"/>
        <bgColor rgb="FF1F618D"/>
      </patternFill>
    </fill>
    <fill>
      <patternFill patternType="solid">
        <fgColor rgb="FFB9770E"/>
        <bgColor rgb="FFB9770E"/>
      </patternFill>
    </fill>
    <fill>
      <patternFill patternType="solid">
        <fgColor rgb="FF7E5109"/>
        <bgColor rgb="FF7E5109"/>
      </patternFill>
    </fill>
    <fill>
      <patternFill patternType="solid">
        <fgColor rgb="FF117A65"/>
        <bgColor rgb="FF117A65"/>
      </patternFill>
    </fill>
    <fill>
      <patternFill patternType="solid">
        <fgColor rgb="FF424949"/>
        <bgColor rgb="FF424949"/>
      </patternFill>
    </fill>
    <fill>
      <patternFill patternType="solid">
        <fgColor rgb="FFCC3399"/>
        <bgColor rgb="FFCC3399"/>
      </patternFill>
    </fill>
    <fill>
      <patternFill patternType="solid">
        <fgColor rgb="FFFFD966"/>
        <bgColor rgb="FFFFD966"/>
      </patternFill>
    </fill>
    <fill>
      <patternFill patternType="solid">
        <fgColor rgb="FF808080"/>
        <bgColor rgb="FF808080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4" fillId="2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1" fillId="3" borderId="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6" fillId="0" borderId="5" pivotButton="0" quotePrefix="0" xfId="0"/>
    <xf numFmtId="0" fontId="3" fillId="0" borderId="5" pivotButton="0" quotePrefix="0" xfId="0"/>
    <xf numFmtId="0" fontId="7" fillId="2" borderId="2" applyAlignment="1" pivotButton="0" quotePrefix="0" xfId="0">
      <alignment horizontal="left" vertical="center" wrapText="1"/>
    </xf>
    <xf numFmtId="0" fontId="8" fillId="4" borderId="2" pivotButton="0" quotePrefix="0" xfId="0"/>
    <xf numFmtId="0" fontId="8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8" fillId="0" borderId="5" pivotButton="0" quotePrefix="0" xfId="0"/>
    <xf numFmtId="0" fontId="3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3" fillId="0" borderId="0" pivotButton="0" quotePrefix="0" xfId="0"/>
    <xf numFmtId="0" fontId="3" fillId="5" borderId="5" pivotButton="0" quotePrefix="0" xfId="0"/>
    <xf numFmtId="0" fontId="3" fillId="6" borderId="5" pivotButton="0" quotePrefix="0" xfId="0"/>
    <xf numFmtId="0" fontId="3" fillId="7" borderId="5" pivotButton="0" quotePrefix="0" xfId="0"/>
    <xf numFmtId="0" fontId="3" fillId="8" borderId="5" pivotButton="0" quotePrefix="0" xfId="0"/>
    <xf numFmtId="0" fontId="8" fillId="4" borderId="2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center" wrapText="1"/>
    </xf>
    <xf numFmtId="0" fontId="9" fillId="0" borderId="0" pivotButton="0" quotePrefix="0" xfId="0"/>
    <xf numFmtId="165" fontId="3" fillId="5" borderId="5" pivotButton="0" quotePrefix="0" xfId="0"/>
    <xf numFmtId="0" fontId="3" fillId="6" borderId="5" applyAlignment="1" pivotButton="0" quotePrefix="0" xfId="0">
      <alignment horizontal="center" vertical="center" wrapText="1"/>
    </xf>
    <xf numFmtId="0" fontId="8" fillId="4" borderId="5" pivotButton="0" quotePrefix="0" xfId="0"/>
    <xf numFmtId="0" fontId="8" fillId="4" borderId="5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 wrapText="1"/>
    </xf>
    <xf numFmtId="0" fontId="8" fillId="4" borderId="1" pivotButton="0" quotePrefix="0" xfId="0"/>
    <xf numFmtId="0" fontId="8" fillId="6" borderId="6" pivotButton="0" quotePrefix="0" xfId="0"/>
    <xf numFmtId="0" fontId="8" fillId="9" borderId="5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/>
    </xf>
    <xf numFmtId="0" fontId="3" fillId="9" borderId="5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13" fillId="6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12" borderId="5" applyAlignment="1" pivotButton="0" quotePrefix="0" xfId="0">
      <alignment horizontal="center"/>
    </xf>
    <xf numFmtId="0" fontId="11" fillId="13" borderId="2" applyAlignment="1" pivotButton="0" quotePrefix="0" xfId="0">
      <alignment horizontal="center"/>
    </xf>
    <xf numFmtId="0" fontId="11" fillId="14" borderId="2" applyAlignment="1" pivotButton="0" quotePrefix="0" xfId="0">
      <alignment horizontal="center"/>
    </xf>
    <xf numFmtId="0" fontId="11" fillId="15" borderId="2" applyAlignment="1" pivotButton="0" quotePrefix="0" xfId="0">
      <alignment horizontal="center"/>
    </xf>
    <xf numFmtId="0" fontId="11" fillId="16" borderId="2" applyAlignment="1" pivotButton="0" quotePrefix="0" xfId="0">
      <alignment horizontal="center"/>
    </xf>
    <xf numFmtId="0" fontId="11" fillId="17" borderId="2" applyAlignment="1" pivotButton="0" quotePrefix="0" xfId="0">
      <alignment horizontal="center"/>
    </xf>
    <xf numFmtId="0" fontId="11" fillId="18" borderId="2" applyAlignment="1" pivotButton="0" quotePrefix="0" xfId="0">
      <alignment horizontal="center"/>
    </xf>
    <xf numFmtId="0" fontId="11" fillId="19" borderId="2" applyAlignment="1" pivotButton="0" quotePrefix="0" xfId="0">
      <alignment horizontal="center"/>
    </xf>
    <xf numFmtId="0" fontId="11" fillId="20" borderId="2" applyAlignment="1" pivotButton="0" quotePrefix="0" xfId="0">
      <alignment horizontal="center"/>
    </xf>
    <xf numFmtId="0" fontId="6" fillId="6" borderId="5" applyAlignment="1" pivotButton="0" quotePrefix="0" xfId="0">
      <alignment horizontal="center"/>
    </xf>
    <xf numFmtId="0" fontId="4" fillId="10" borderId="2" pivotButton="0" quotePrefix="0" xfId="0"/>
    <xf numFmtId="0" fontId="1" fillId="2" borderId="2" applyAlignment="1" pivotButton="0" quotePrefix="0" xfId="0">
      <alignment horizontal="center"/>
    </xf>
    <xf numFmtId="0" fontId="6" fillId="21" borderId="2" applyAlignment="1" pivotButton="0" quotePrefix="0" xfId="0">
      <alignment horizontal="center"/>
    </xf>
    <xf numFmtId="0" fontId="4" fillId="13" borderId="2" pivotButton="0" quotePrefix="0" xfId="0"/>
    <xf numFmtId="0" fontId="4" fillId="14" borderId="2" pivotButton="0" quotePrefix="0" xfId="0"/>
    <xf numFmtId="0" fontId="4" fillId="15" borderId="2" pivotButton="0" quotePrefix="0" xfId="0"/>
    <xf numFmtId="0" fontId="4" fillId="16" borderId="2" pivotButton="0" quotePrefix="0" xfId="0"/>
    <xf numFmtId="0" fontId="4" fillId="17" borderId="2" pivotButton="0" quotePrefix="0" xfId="0"/>
    <xf numFmtId="0" fontId="4" fillId="18" borderId="2" pivotButton="0" quotePrefix="0" xfId="0"/>
    <xf numFmtId="0" fontId="4" fillId="19" borderId="2" pivotButton="0" quotePrefix="0" xfId="0"/>
    <xf numFmtId="0" fontId="4" fillId="20" borderId="2" pivotButton="0" quotePrefix="0" xfId="0"/>
    <xf numFmtId="0" fontId="1" fillId="22" borderId="5" applyAlignment="1" pivotButton="0" quotePrefix="0" xfId="0">
      <alignment horizontal="center"/>
    </xf>
    <xf numFmtId="0" fontId="14" fillId="22" borderId="5" applyAlignment="1" pivotButton="0" quotePrefix="0" xfId="0">
      <alignment horizontal="center"/>
    </xf>
    <xf numFmtId="0" fontId="3" fillId="9" borderId="5" pivotButton="0" quotePrefix="0" xfId="0"/>
    <xf numFmtId="0" fontId="15" fillId="0" borderId="5" pivotButton="0" quotePrefix="0" xfId="0"/>
    <xf numFmtId="0" fontId="6" fillId="0" borderId="5" applyAlignment="1" pivotButton="0" quotePrefix="0" xfId="0">
      <alignment horizontal="left"/>
    </xf>
    <xf numFmtId="166" fontId="3" fillId="0" borderId="5" applyAlignment="1" pivotButton="0" quotePrefix="0" xfId="0">
      <alignment horizontal="center"/>
    </xf>
    <xf numFmtId="0" fontId="0" fillId="0" borderId="0" pivotButton="0" quotePrefix="0" xfId="0"/>
    <xf numFmtId="0" fontId="4" fillId="2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4" borderId="1" applyAlignment="1" pivotButton="0" quotePrefix="0" xfId="0">
      <alignment horizontal="left" vertical="center" wrapText="1"/>
    </xf>
    <xf numFmtId="167" fontId="3" fillId="5" borderId="5" pivotButton="0" quotePrefix="0" xfId="0"/>
    <xf numFmtId="0" fontId="8" fillId="6" borderId="5" pivotButton="0" quotePrefix="0" xfId="0"/>
    <xf numFmtId="0" fontId="11" fillId="10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0" fontId="11" fillId="14" borderId="1" applyAlignment="1" pivotButton="0" quotePrefix="0" xfId="0">
      <alignment horizontal="center"/>
    </xf>
    <xf numFmtId="0" fontId="11" fillId="15" borderId="1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  <xf numFmtId="0" fontId="11" fillId="17" borderId="1" applyAlignment="1" pivotButton="0" quotePrefix="0" xfId="0">
      <alignment horizontal="center"/>
    </xf>
    <xf numFmtId="0" fontId="11" fillId="18" borderId="1" applyAlignment="1" pivotButton="0" quotePrefix="0" xfId="0">
      <alignment horizontal="center"/>
    </xf>
    <xf numFmtId="0" fontId="11" fillId="19" borderId="1" applyAlignment="1" pivotButton="0" quotePrefix="0" xfId="0">
      <alignment horizontal="center"/>
    </xf>
    <xf numFmtId="0" fontId="11" fillId="20" borderId="1" applyAlignment="1" pivotButton="0" quotePrefix="0" xfId="0">
      <alignment horizontal="center"/>
    </xf>
    <xf numFmtId="0" fontId="4" fillId="10" borderId="1" pivotButton="0" quotePrefix="0" xfId="0"/>
    <xf numFmtId="0" fontId="1" fillId="2" borderId="1" applyAlignment="1" pivotButton="0" quotePrefix="0" xfId="0">
      <alignment horizontal="center"/>
    </xf>
    <xf numFmtId="0" fontId="6" fillId="21" borderId="1" applyAlignment="1" pivotButton="0" quotePrefix="0" xfId="0">
      <alignment horizontal="center"/>
    </xf>
    <xf numFmtId="0" fontId="4" fillId="13" borderId="1" pivotButton="0" quotePrefix="0" xfId="0"/>
    <xf numFmtId="0" fontId="4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0" fontId="4" fillId="19" borderId="1" pivotButton="0" quotePrefix="0" xfId="0"/>
    <xf numFmtId="0" fontId="4" fillId="20" borderId="1" pivotButton="0" quotePrefix="0" xfId="0"/>
  </cellXfs>
  <cellStyles count="1">
    <cellStyle name="Normal" xfId="0" builtinId="0"/>
  </cellStyles>
  <dxfs count="3">
    <dxf>
      <font>
        <color rgb="FF385723"/>
      </font>
      <fill>
        <patternFill patternType="solid">
          <fgColor rgb="FFC6E0B4"/>
          <bgColor rgb="FFC6E0B4"/>
        </patternFill>
      </fill>
      <border/>
    </dxf>
    <dxf>
      <font>
        <color rgb="FFC00000"/>
      </font>
      <fill>
        <patternFill patternType="solid">
          <fgColor rgb="FFFFF2CC"/>
          <bgColor rgb="FFFFF2CC"/>
        </patternFill>
      </fill>
      <border/>
    </dxf>
    <dxf>
      <font>
        <color rgb="FF7F6000"/>
      </font>
      <fill>
        <patternFill patternType="solid">
          <fgColor rgb="FFFFD966"/>
          <bgColor rgb="FFFFD96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26"/>
  </cols>
  <sheetData>
    <row r="1" ht="14.25" customHeight="1" s="72">
      <c r="A1" s="1" t="inlineStr">
        <is>
          <t>Turno</t>
        </is>
      </c>
      <c r="B1" s="1" t="inlineStr">
        <is>
          <t>Fecha</t>
        </is>
      </c>
      <c r="C1" s="1" t="inlineStr">
        <is>
          <t>Petición del usuario</t>
        </is>
      </c>
      <c r="D1" s="1" t="inlineStr">
        <is>
          <t>Acción realizada</t>
        </is>
      </c>
      <c r="E1" s="1" t="inlineStr">
        <is>
          <t>Detalles</t>
        </is>
      </c>
      <c r="F1" s="1" t="inlineStr">
        <is>
          <t>Resultado</t>
        </is>
      </c>
    </row>
    <row r="2" ht="14.25" customHeight="1" s="72">
      <c r="A2" s="4" t="n">
        <v>1</v>
      </c>
      <c r="B2" s="3" t="n">
        <v>46179</v>
      </c>
      <c r="C2" s="4" t="inlineStr">
        <is>
          <t>Hacer la parte de los jueces más intuitiva y fácil para dar notas, y dejar datos listos para una futura app móvil/tablet.</t>
        </is>
      </c>
      <c r="D2" s="4" t="inlineStr">
        <is>
          <t>Rediseño de hojas JUEZ_1/2/3: reorden visual de columnas, desplegables y formato.</t>
        </is>
      </c>
      <c r="E2" s="4" t="inlineStr">
        <is>
          <t>Layout A=Jogo,B=Fase,C=Jug.A,D=Jug.B,E=Toque,F=NOTA(lista 0-5 paso 0.5),G=MÁS FLOJO(A/B). Validación de datos, formato 0.0, letra grande, filas altas, CF resalta jogos sin puntuar. Corregido A5 que tenía espacios en vez de J01.</t>
        </is>
      </c>
      <c r="F2" s="4" t="inlineStr">
        <is>
          <t>3 hojas de juez listas y consistentes; pendientes resaltados en rojo claro.</t>
        </is>
      </c>
    </row>
    <row r="3" ht="14.25" customHeight="1" s="72">
      <c r="A3" s="4" t="n">
        <v>2</v>
      </c>
      <c r="B3" s="3" t="n">
        <v>46179</v>
      </c>
      <c r="C3" s="4" t="inlineStr">
        <is>
          <t>Cambiar el desplegable de la nota a saltos de 0.1.</t>
        </is>
      </c>
      <c r="D3" s="4" t="inlineStr">
        <is>
          <t>Reemplazada la lista de validación de NOTA en JUEZ_1/2/3.</t>
        </is>
      </c>
      <c r="E3" s="4" t="inlineStr">
        <is>
          <t>Lista F5:F34 ahora 0.0–5.0 paso 0.1 (51 valores), formato 0.0. Restaurado título A1 de JUEZ_2 que tenía texto de prueba.</t>
        </is>
      </c>
      <c r="F3" s="4" t="inlineStr">
        <is>
          <t>Aplicado a las 3 hojas de juez.</t>
        </is>
      </c>
    </row>
    <row r="4" ht="14.25" customHeight="1" s="72">
      <c r="A4" s="4" t="n">
        <v>3</v>
      </c>
      <c r="B4" s="3" t="n">
        <v>46179</v>
      </c>
      <c r="C4" s="4" t="inlineStr">
        <is>
          <t>Sustituir la columna A/B por un desplegable de puntos a quitar (0.1-5) junto a cada jugador.</t>
        </is>
      </c>
      <c r="D4" s="4" t="inlineStr">
        <is>
          <t>Rediseño de columnas en JUEZ_1/2/3 con 'Quita A' y 'Quita B'.</t>
        </is>
      </c>
      <c r="E4" s="4" t="inlineStr">
        <is>
          <t>Nuevo orden: C=Jug.A, D=Quita A, E=Jug.B, F=Quita B, G=Toque, H=MI NOTA. Quita A/B = lista 0.1-5.0 paso 0.1 (naranja). NOTA = lista 0.0-5.0 (amarillo). Quitada columna A/B previa. Títulos e instrucciones actualizados.</t>
        </is>
      </c>
      <c r="F4" s="4" t="inlineStr">
        <is>
          <t>Aplicado a las 3 hojas. Pendiente opcional: columna de nota final por jugador (nota − descuento).</t>
        </is>
      </c>
    </row>
    <row r="5" ht="14.25" customHeight="1" s="72">
      <c r="A5" s="4" t="n">
        <v>4</v>
      </c>
      <c r="B5" s="3" t="n">
        <v>46179</v>
      </c>
      <c r="C5" s="4" t="inlineStr">
        <is>
          <t>Añadir cálculo automático de la nota final por jugador.</t>
        </is>
      </c>
      <c r="D5" s="4" t="inlineStr">
        <is>
          <t>Añadidas columnas I=Final A y J=Final B en JUEZ_1/2/3.</t>
        </is>
      </c>
      <c r="E5" s="4" t="inlineStr">
        <is>
          <t>I5=IF(H5="","",MAX(0,H5-N(D5))); J5 análogo con F5. Resta el descuento a la nota, mínimo 0, vacío si no hay nota. Formato verde 0.0.</t>
        </is>
      </c>
      <c r="F5" s="4" t="inlineStr">
        <is>
          <t>Aplicado a las 3 hojas y verificadas las fórmulas.</t>
        </is>
      </c>
    </row>
    <row r="6" ht="14.25" customHeight="1" s="72">
      <c r="A6" s="4" t="n">
        <v>5</v>
      </c>
      <c r="B6" s="3" t="n">
        <v>46179</v>
      </c>
      <c r="C6" s="4" t="inlineStr">
        <is>
          <t>Que al sumar notas se avancen automáticamente los clasificados a la fase siguiente.</t>
        </is>
      </c>
      <c r="D6" s="4" t="inlineStr">
        <is>
          <t>Re-cableado del motor MESA_JOGOS al nuevo layout de los jueces; criterio = mayor nota final.</t>
        </is>
      </c>
      <c r="E6" s="4" t="inlineStr">
        <is>
          <t>I-N ahora leen Final A/B (col 9/10) de JUEZ_1/2/3. O=Total A, P=Total B (suma 3 jueces). Q (Ganador) cambiado a 'gana MAYOR total' con BYE/empate. Avance y autopoblado de Octavas/Semis/Final ya existían y siguen activos. Probado con J25 (Soba 11.5 vs Camioneiro 10 -&gt; Soba a Final) y limpiadas las notas de prueba.</t>
        </is>
      </c>
      <c r="F6" s="4" t="inlineStr">
        <is>
          <t>Avance de fase 100% automático verificado de extremo a extremo.</t>
        </is>
      </c>
    </row>
    <row r="7" ht="14.25" customHeight="1" s="72">
      <c r="A7" s="4" t="n">
        <v>6</v>
      </c>
      <c r="B7" s="3" t="n">
        <v>46179</v>
      </c>
      <c r="C7" s="4" t="inlineStr">
        <is>
          <t>Explicar/montar el avance por fases: el torneo es ranking por puntos (32-&gt;16-&gt;8-&gt;4-&gt;1) con reinicio de suma cada fase; premio al mejor juego solo en la Final.</t>
        </is>
      </c>
      <c r="D7" s="4" t="inlineStr">
        <is>
          <t>Creada hoja CLASIFICACION para la Fase 32-&gt;16 (ranking por puntos).</t>
        </is>
      </c>
      <c r="E7" s="4" t="inlineStr">
        <is>
          <t>A-C: 32 jugadores + puntos (=MESA_JOGOS O/P) + clave de orden (BYE al fondo). E-H: ranking con LARGE/INDEX/MATCH, top16=CLASIFICA, empate frontera='Empate (mesa)', línea de corte roja. CF verde/amarillo. Probado con 8 reales y limpiado.</t>
        </is>
      </c>
      <c r="F7" s="4" t="inlineStr">
        <is>
          <t>Fase 32-&gt;16 lista y verificada. Pendiente: Octavas 16-&gt;8, Semis 8-&gt;4, Final 4-&gt;1 + premio mejor juego (fase por fase).</t>
        </is>
      </c>
    </row>
    <row r="8" ht="14.25" customHeight="1" s="72">
      <c r="A8" s="4" t="n">
        <v>7</v>
      </c>
      <c r="B8" s="3" t="n">
        <v>46179</v>
      </c>
      <c r="C8" s="4" t="inlineStr">
        <is>
          <t>Continuar el sistema por fases: montar Octavas (16-&gt;8).</t>
        </is>
      </c>
      <c r="D8" s="4" t="inlineStr">
        <is>
          <t>Añadido bloque OCTAVAS en CLASIFICACION y emparejamiento 1v16 en MESA_JOGOS.</t>
        </is>
      </c>
      <c r="E8" s="4" t="inlineStr">
        <is>
          <t>MESA_JOGOS J17-J24 (filas 22-29): F=puesto k, G=puesto 17-k desde CLASIFICACION!F5:F20. Bloque Octavas en CLASIFICACION cols J-Q: datos crudos (=MESA O/P filas 22-29), clave con BYE al fondo, ranking LARGE/INDEX/MATCH, top8=CLASIFICA, empate frontera puesto8/9, corte rojo fila12, CF verde/amarillo. Suma reiniciada por fase.</t>
        </is>
      </c>
      <c r="F8" s="4" t="inlineStr">
        <is>
          <t>Octavas listo y verificado. Pendiente: Semifinal 8-&gt;4 y Final 4-&gt;1 + premio mejor juego.</t>
        </is>
      </c>
    </row>
    <row r="9" ht="14.25" customHeight="1" s="72">
      <c r="A9" s="4" t="n">
        <v>8</v>
      </c>
      <c r="B9" s="3" t="n">
        <v>46179</v>
      </c>
      <c r="C9" s="4" t="inlineStr">
        <is>
          <t>Continuar sistema por fases: montar Semifinal (8-&gt;4).</t>
        </is>
      </c>
      <c r="D9" s="4" t="inlineStr">
        <is>
          <t>Emparejamiento Semifinal en MESA_JOGOS y bloque SEMIFINAL en CLASIFICACION.</t>
        </is>
      </c>
      <c r="E9" s="4" t="inlineStr">
        <is>
          <t>MESA_JOGOS J25-J28 (filas 30-33): F=puesto k, G=puesto 9-k desde ranking Octavas CLASIFICACION!O5:O12 (siembra 1v8,2v7,3v6,4v5). Bloque Semifinal CLASIFICACION cols S-Z: datos crudos (=MESA O/P filas 30-33), clave BYE al fondo, ranking LARGE/INDEX/MATCH, top4=CLASIFICA, empate frontera puesto4/5, corte rojo fila8, CF. Suma reiniciada.</t>
        </is>
      </c>
      <c r="F9" s="4" t="inlineStr">
        <is>
          <t>Semifinal lista y verificada (Soba vs Mãozinha etc.). Pendiente: Final 4-&gt;1 + premio mejor juego.</t>
        </is>
      </c>
    </row>
    <row r="10" ht="14.25" customHeight="1" s="72">
      <c r="A10" s="4" t="n">
        <v>9</v>
      </c>
      <c r="B10" s="3" t="n">
        <v>46179</v>
      </c>
      <c r="C10" s="4" t="inlineStr">
        <is>
          <t>Montar la Final (4-&gt;1) con campeón y premio al mejor juego.</t>
        </is>
      </c>
      <c r="D10" s="4" t="inlineStr">
        <is>
          <t>Emparejamiento Final en MESA_JOGOS + bloques FINAL y PREMIO en CLASIFICACION.</t>
        </is>
      </c>
      <c r="E10" s="4" t="inlineStr">
        <is>
          <t>MESA_JOGOS J29-J30 (filas 34-35): F/G = puesto1v4, 2v3 desde ranking Semifinal X5:X8. CLASIFICACION cols AB-AI: ranking 4 finalistas, AI=Resultado (1º=CAMPEÓN o 'Empate 1º (mesa)', 2º Subcampeón, 3º/4º). Premio mejor juego AB10-AF13: nota jogo=O+P, marca '🥇 MEJOR JUEGO' al mayor. CF dorado. Verificado e2e: con notas Surikato campeón al penalizar a Indio; mejor juego J29(30)&gt;J30(24). Notas de prueba limpiadas (H/D/F).</t>
        </is>
      </c>
      <c r="F10" s="4" t="inlineStr">
        <is>
          <t>SISTEMA COMPLETO 32-&gt;16-&gt;8-&gt;4-&gt;1 + premio mejor juego. Todo automático y verificado.</t>
        </is>
      </c>
    </row>
    <row r="11" ht="14.25" customHeight="1" s="72">
      <c r="A11" s="4" t="n">
        <v>10</v>
      </c>
      <c r="B11" s="3" t="n">
        <v>46179</v>
      </c>
      <c r="C11" s="4" t="inlineStr">
        <is>
          <t>Montar las 8 categorías del evento (cada una torneo completo con sus toques), jueces con una sola hoja apilada.</t>
        </is>
      </c>
      <c r="D11" s="4" t="inlineStr">
        <is>
          <t>CONFIG_CAT + JUEZ_1/2/3 reconstruidas (8 cat. apiladas) + motor CLASIF_A modelo completo y validado.</t>
        </is>
      </c>
      <c r="E11" s="4" t="inlineStr">
        <is>
          <t>Modelo: cada pareja juega 1 jogo por toque por fase; puntos fase = SUMA toques × 3 jueces. JUEZ_1/2/3 idénticas, filas 3-687, mapa en blob catmap_juez. CLASIF_A: 4 bloques (Fase32 A-H top16, Octavas J-Q top8, Semis S-Z top4, Final AB-AI campeón) + premios mejor juego POR TOQUE (AB10-AG). Emparejamiento auto por fórmula 1vN. Nota es por jogo (A/B comparten, descuento los separa). Verificado e2e con 16 parejas reales.</t>
        </is>
      </c>
      <c r="F11" s="4" t="inlineStr">
        <is>
          <t>Cat. A completa y validada. PENDIENTE: replicar CLASIF a B,C,D,E,Baobá,Juvenil,General + emparejamientos en juez + dashboard.</t>
        </is>
      </c>
    </row>
    <row r="12" ht="14.25" customHeight="1" s="72">
      <c r="A12" s="4" t="n">
        <v>11</v>
      </c>
      <c r="B12" s="3" t="n">
        <v>46179</v>
      </c>
      <c r="C12" s="4" t="inlineStr">
        <is>
          <t>Completar las 8 categorías del evento con sus motores de ranking y premios por toque.</t>
        </is>
      </c>
      <c r="D12" s="4" t="inlineStr">
        <is>
          <t>Generadas CLASIF_B/C/D/E/Baoba/Juvenil/General + emparejamientos en juez + limpieza.</t>
        </is>
      </c>
      <c r="E12" s="4" t="inlineStr">
        <is>
          <t>7 CLASIF replicadas desde el modelo CLASIF_A (4 bloques fase + premios por toque), parametrizadas por nº toques (E/Juvenil=2). Emparejamientos auto 1vN en JUEZ_1/2/3 (Octavas/Semis/Final leen ranking fase previa). Verificado sin errores de fórmula en las 7. Eliminadas hojas provisionales (JUEZ1_CATA_MODELO, CLASIF_CATA, Hoja3, Hoja4).</t>
        </is>
      </c>
      <c r="F12" s="4" t="inlineStr">
        <is>
          <t>8 categorías completas y operativas. Quedan obsoletas MESA_JOGOS y CLASIFICACION del sistema de 1 categoría (pendiente confirmar con usuario si borrar). Faltan nombres reales (desde TORNEO_ACTIVO/formulario).</t>
        </is>
      </c>
    </row>
    <row r="13" ht="14.25" customHeight="1" s="72">
      <c r="A13" s="4" t="n">
        <v>12</v>
      </c>
      <c r="B13" s="3" t="n">
        <v>46179</v>
      </c>
      <c r="C13" s="4" t="inlineStr">
        <is>
          <t>Borrar el sistema viejo de 1 categoría y mantener el nuevo de 8 categorías.</t>
        </is>
      </c>
      <c r="D13" s="4" t="inlineStr">
        <is>
          <t>Eliminadas MESA_JOGOS y CLASIFICACION tras verificar que no hay referencias.</t>
        </is>
      </c>
      <c r="E13" s="4" t="inlineStr">
        <is>
          <t>Comprobado que ninguna CLASIF_* nueva referencia las hojas viejas (refsToOld=[]). Borradas ambas. Libro con CONFIG_CAT, JUEZ_1/2/3 y CLASIF_A..General. Hojas originales (CONFIG, INSCRITOS_FORM, PARTICIPANTES, LLAVES_INDEX, TORNEO_ACTIVO) intactas.</t>
        </is>
      </c>
      <c r="F13" s="4" t="inlineStr">
        <is>
          <t>Sistema nuevo limpio. Pendiente: conectar nombres reales de inscritos por categoría (placeholders actuales).</t>
        </is>
      </c>
    </row>
    <row r="14" ht="14.25" customHeight="1" s="72">
      <c r="A14" s="4" t="n">
        <v>13</v>
      </c>
      <c r="B14" s="3" t="n">
        <v>46179</v>
      </c>
      <c r="C14" s="4" t="inlineStr">
        <is>
          <t>Revisar formulario de inscripción y ampliar el sistema a género (M/F) e infantiles.</t>
        </is>
      </c>
      <c r="D14" s="4" t="inlineStr">
        <is>
          <t>Reconstruido JUEZ_1/2/3 con 16 secciones (cat×M/F)+Infantil; creados 16 motores CLASIF + CLASIF_INF.</t>
        </is>
      </c>
      <c r="E14" s="4" t="inlineStr">
        <is>
          <t>Formulario JotForm: apodo=identificador, graduación→categoría, separación por género. JUEZ_1/2/3 ahora 16 secciones (A_M..General_F) hasta ~fila 1369 + Infantil (rueda São Bento, 40 cupos). 16 hojas CLASIF_&lt;cat&gt;_&lt;M/F&gt; (4 bloques fase + premios por toque, suma toques×3 jueces, excluye placeholders A_/B_). CLASIF_INF ranking por nota (top3 medallas, mixto). Emparejamientos auto 1vN entre fases. Verificado A_M (Soba 45) e Infantil (Dentinho 15) sin errores; pruebas limpiadas. Mapa en blob catmap_juez_mf.</t>
        </is>
      </c>
      <c r="F14" s="4" t="inlineStr">
        <is>
          <t>Sistema completo: 16 torneos por categoría-género + Infantil. Pendiente: nombres reales de inscritos (auto-asignación por graduación/género desde formulario).</t>
        </is>
      </c>
    </row>
    <row r="15" ht="14.25" customHeight="1" s="72"/>
    <row r="16" ht="14.25" customHeight="1" s="72">
      <c r="A16" s="4" t="inlineStr">
        <is>
          <t>RECUENTO POR CATEGORÍA</t>
        </is>
      </c>
      <c r="B16" s="4" t="inlineStr">
        <is>
          <t>Categoría</t>
        </is>
      </c>
      <c r="C16" s="4" t="inlineStr">
        <is>
          <t>Actuales</t>
        </is>
      </c>
      <c r="D16" s="4" t="inlineStr">
        <is>
          <t>Faltan</t>
        </is>
      </c>
    </row>
    <row r="17" ht="14.25" customHeight="1" s="72">
      <c r="B17" s="4" t="inlineStr">
        <is>
          <t>Adulto-A · M</t>
        </is>
      </c>
      <c r="C17" s="4">
        <f>COUNTIF(INSCRITOS_FORM!$S$5:$S$200,"Adulto-A · Masculino")</f>
        <v/>
      </c>
      <c r="D17" s="4">
        <f>MAX(0.32-C17)</f>
        <v/>
      </c>
      <c r="H17" s="4">
        <f>COUNTIF(INSCRITOS_FORM!$S$5:$S$200,"Adulto-A · Masculino")</f>
        <v/>
      </c>
    </row>
    <row r="18" ht="14.25" customHeight="1" s="72">
      <c r="B18" s="4" t="inlineStr">
        <is>
          <t>Adulto-A · F</t>
        </is>
      </c>
      <c r="C18" s="4">
        <f>COUNTIF(INSCRITOS_FORM!$S$5:$S$200,"Adulto-A · Femenino")</f>
        <v/>
      </c>
      <c r="D18" s="4">
        <f>MAX(0.32-C18)</f>
        <v/>
      </c>
    </row>
    <row r="19" ht="14.25" customHeight="1" s="72">
      <c r="B19" s="4" t="inlineStr">
        <is>
          <t>Adulto-B · M</t>
        </is>
      </c>
      <c r="C19" s="4">
        <f>COUNTIF(INSCRITOS_FORM!$S$5:$S$200,"Adulto-B · Masculino")</f>
        <v/>
      </c>
      <c r="D19" s="4">
        <f>MAX(0.32-C19)</f>
        <v/>
      </c>
    </row>
    <row r="20" ht="14.25" customHeight="1" s="72">
      <c r="B20" s="4" t="inlineStr">
        <is>
          <t>Adulto-B · F</t>
        </is>
      </c>
      <c r="C20" s="4">
        <f>COUNTIF(INSCRITOS_FORM!$S$5:$S$200,"Adulto-B · Femenino")</f>
        <v/>
      </c>
      <c r="D20" s="4">
        <f>MAX(0.32-C20)</f>
        <v/>
      </c>
    </row>
    <row r="21" ht="14.25" customHeight="1" s="72">
      <c r="B21" s="4" t="inlineStr">
        <is>
          <t>Adulto-C · M</t>
        </is>
      </c>
      <c r="C21" s="4">
        <f>COUNTIF(INSCRITOS_FORM!$S$5:$S$200,"Adulto-C · Masculino")</f>
        <v/>
      </c>
      <c r="D21" s="4">
        <f>MAX(0.32-C21)</f>
        <v/>
      </c>
    </row>
    <row r="22" ht="14.25" customHeight="1" s="72">
      <c r="B22" s="4" t="inlineStr">
        <is>
          <t>Adulto-C · F</t>
        </is>
      </c>
      <c r="C22" s="4">
        <f>COUNTIF(INSCRITOS_FORM!$S$5:$S$200,"Adulto-C · Femenino")</f>
        <v/>
      </c>
      <c r="D22" s="4">
        <f>MAX(0.32-C22)</f>
        <v/>
      </c>
    </row>
    <row r="23" ht="14.25" customHeight="1" s="72">
      <c r="B23" s="4" t="inlineStr">
        <is>
          <t>Adulto-D · M</t>
        </is>
      </c>
      <c r="C23" s="4">
        <f>COUNTIF(INSCRITOS_FORM!$S$5:$S$200,"Adulto-D · Masculino")</f>
        <v/>
      </c>
      <c r="D23" s="4">
        <f>MAX(0.32-C23)</f>
        <v/>
      </c>
    </row>
    <row r="24" ht="14.25" customHeight="1" s="72">
      <c r="B24" s="4" t="inlineStr">
        <is>
          <t>Adulto-D · F</t>
        </is>
      </c>
      <c r="C24" s="4">
        <f>COUNTIF(INSCRITOS_FORM!$S$5:$S$200,"Adulto-D · Femenino")</f>
        <v/>
      </c>
      <c r="D24" s="4">
        <f>MAX(0.32-C24)</f>
        <v/>
      </c>
    </row>
    <row r="25" ht="14.25" customHeight="1" s="72">
      <c r="B25" s="4" t="inlineStr">
        <is>
          <t>Adulto-E · M</t>
        </is>
      </c>
      <c r="C25" s="4">
        <f>COUNTIF(INSCRITOS_FORM!$S$5:$S$200,"Adulto-E · Masculino")</f>
        <v/>
      </c>
      <c r="D25" s="4">
        <f>MAX(0.32-C25)</f>
        <v/>
      </c>
    </row>
    <row r="26" ht="14.25" customHeight="1" s="72">
      <c r="B26" s="4" t="inlineStr">
        <is>
          <t>Adulto-E · F</t>
        </is>
      </c>
      <c r="C26" s="4">
        <f>COUNTIF(INSCRITOS_FORM!$S$5:$S$200,"Adulto-E · Femenino")</f>
        <v/>
      </c>
      <c r="D26" s="4">
        <f>MAX(0.32-C26)</f>
        <v/>
      </c>
    </row>
    <row r="27" ht="14.25" customHeight="1" s="72">
      <c r="B27" s="4" t="inlineStr">
        <is>
          <t>Baobá-Grad+ · M</t>
        </is>
      </c>
      <c r="C27" s="4">
        <f>COUNTIF(INSCRITOS_FORM!$S$5:$S$200,"Baobá-Graduados+ · Masculino")</f>
        <v/>
      </c>
      <c r="D27" s="4">
        <f>MAX(0.32-C27)</f>
        <v/>
      </c>
    </row>
    <row r="28" ht="14.25" customHeight="1" s="72">
      <c r="B28" s="4" t="inlineStr">
        <is>
          <t>Baobá-Grad+ · F</t>
        </is>
      </c>
      <c r="C28" s="4">
        <f>COUNTIF(INSCRITOS_FORM!$S$5:$S$200,"Baobá-Graduados+ · Femenino")</f>
        <v/>
      </c>
      <c r="D28" s="4">
        <f>MAX(0.32-C28)</f>
        <v/>
      </c>
    </row>
    <row r="29" ht="14.25" customHeight="1" s="72">
      <c r="B29" s="4" t="inlineStr">
        <is>
          <t>Juvenil · M</t>
        </is>
      </c>
      <c r="C29" s="4">
        <f>COUNTIF(INSCRITOS_FORM!$S$5:$S$200,"Juvenil · Masculino")</f>
        <v/>
      </c>
      <c r="D29" s="4">
        <f>MAX(0.32-C29)</f>
        <v/>
      </c>
    </row>
    <row r="30" ht="14.25" customHeight="1" s="72">
      <c r="B30" s="4" t="inlineStr">
        <is>
          <t>Juvenil · F</t>
        </is>
      </c>
      <c r="C30" s="4">
        <f>COUNTIF(INSCRITOS_FORM!$S$5:$S$200,"Juvenil · Femenino")</f>
        <v/>
      </c>
      <c r="D30" s="4">
        <f>MAX(0.32-C30)</f>
        <v/>
      </c>
    </row>
    <row r="31" ht="14.25" customHeight="1" s="72">
      <c r="B31" s="4" t="inlineStr">
        <is>
          <t>General · M</t>
        </is>
      </c>
      <c r="C31" s="4">
        <f>COUNTIF(INSCRITOS_FORM!$S$5:$S$200,"General · Masculino")</f>
        <v/>
      </c>
      <c r="D31" s="4">
        <f>MAX(0.32-C31)</f>
        <v/>
      </c>
    </row>
    <row r="32" ht="14.25" customHeight="1" s="72">
      <c r="B32" s="4" t="inlineStr">
        <is>
          <t>General · F</t>
        </is>
      </c>
      <c r="C32" s="4">
        <f>COUNTIF(INSCRITOS_FORM!$S$5:$S$200,"General · Femenino")</f>
        <v/>
      </c>
      <c r="D32" s="4">
        <f>MAX(0.32-C32)</f>
        <v/>
      </c>
    </row>
    <row r="33" ht="14.25" customHeight="1" s="72"/>
    <row r="34" ht="14.25" customHeight="1" s="72"/>
    <row r="35" ht="14.25" customHeight="1" s="72"/>
    <row r="36" ht="14.25" customHeight="1" s="72"/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sheetData>
    <row r="1">
      <c r="A1" s="4" t="inlineStr">
        <is>
          <t>jogo_id</t>
        </is>
      </c>
      <c r="B1" s="4" t="inlineStr">
        <is>
          <t>ronda</t>
        </is>
      </c>
      <c r="C1" s="4" t="inlineStr">
        <is>
          <t>num</t>
        </is>
      </c>
      <c r="D1" s="4" t="inlineStr">
        <is>
          <t>categoria</t>
        </is>
      </c>
      <c r="E1" s="4" t="inlineStr">
        <is>
          <t>jugador_a</t>
        </is>
      </c>
      <c r="F1" s="4" t="inlineStr">
        <is>
          <t>jugador_b</t>
        </is>
      </c>
      <c r="G1" s="4" t="inlineStr">
        <is>
          <t>corda_a</t>
        </is>
      </c>
      <c r="H1" s="4" t="inlineStr">
        <is>
          <t>corda_b</t>
        </is>
      </c>
      <c r="I1" s="4" t="inlineStr">
        <is>
          <t>toque</t>
        </is>
      </c>
      <c r="J1" s="4" t="inlineStr">
        <is>
          <t>estado</t>
        </is>
      </c>
      <c r="K1" s="4" t="inlineStr">
        <is>
          <t>ganador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sheetData>
    <row r="1">
      <c r="A1" s="4" t="inlineStr">
        <is>
          <t>jogo_id</t>
        </is>
      </c>
      <c r="B1" s="4" t="inlineStr">
        <is>
          <t>juez</t>
        </is>
      </c>
      <c r="C1" s="4" t="inlineStr">
        <is>
          <t>nota</t>
        </is>
      </c>
      <c r="D1" s="4" t="inlineStr">
        <is>
          <t>resta_a</t>
        </is>
      </c>
      <c r="E1" s="4" t="inlineStr">
        <is>
          <t>resta_b</t>
        </is>
      </c>
      <c r="F1" s="4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14.43" defaultRowHeight="15" customHeight="1"/>
  <cols>
    <col width="5.57" customWidth="1" style="72" min="1" max="1"/>
    <col width="13" customWidth="1" style="72" min="2" max="2"/>
    <col width="42.57" customWidth="1" style="72" min="3" max="3"/>
    <col width="55.57" customWidth="1" style="72" min="4" max="4"/>
    <col width="13" customWidth="1" style="72" min="5" max="5"/>
    <col width="10.71" customWidth="1" style="72" min="6" max="26"/>
  </cols>
  <sheetData>
    <row r="1" ht="14.25" customHeight="1" s="72">
      <c r="A1" s="73" t="inlineStr">
        <is>
          <t>CONFIGURACIÓN DE CATEGORÍAS Y TOQUES</t>
        </is>
      </c>
    </row>
    <row r="2" ht="14.25" customHeight="1" s="72"/>
    <row r="3" ht="14.25" customHeight="1" s="72">
      <c r="A3" s="8" t="inlineStr">
        <is>
          <t>#</t>
        </is>
      </c>
      <c r="B3" s="8" t="inlineStr">
        <is>
          <t>Categoría</t>
        </is>
      </c>
      <c r="C3" s="8" t="inlineStr">
        <is>
          <t>Graduación</t>
        </is>
      </c>
      <c r="D3" s="8" t="inlineStr">
        <is>
          <t>Toques (en orden)</t>
        </is>
      </c>
      <c r="E3" s="8" t="inlineStr">
        <is>
          <t>Nº toques</t>
        </is>
      </c>
    </row>
    <row r="4" ht="14.25" customHeight="1" s="72">
      <c r="A4" s="9" t="n">
        <v>1</v>
      </c>
      <c r="B4" s="10" t="inlineStr">
        <is>
          <t>A</t>
        </is>
      </c>
      <c r="C4" s="11" t="inlineStr">
        <is>
          <t>Marrón / Marrón-Rojo (Profesores)</t>
        </is>
      </c>
      <c r="D4" s="11" t="inlineStr">
        <is>
          <t>Benguela | São Bento da Abadá | Siriuna</t>
        </is>
      </c>
      <c r="E4" s="9" t="n">
        <v>3</v>
      </c>
    </row>
    <row r="5" ht="14.25" customHeight="1" s="72">
      <c r="A5" s="9" t="n">
        <v>2</v>
      </c>
      <c r="B5" s="10" t="inlineStr">
        <is>
          <t>B</t>
        </is>
      </c>
      <c r="C5" s="11" t="inlineStr">
        <is>
          <t>Morada / Morada-Marrón (Instructores)</t>
        </is>
      </c>
      <c r="D5" s="11" t="inlineStr">
        <is>
          <t>Benguela | São Bento da Abadá | Siriuna</t>
        </is>
      </c>
      <c r="E5" s="9" t="n">
        <v>3</v>
      </c>
    </row>
    <row r="6" ht="14.25" customHeight="1" s="72">
      <c r="A6" s="9" t="n">
        <v>3</v>
      </c>
      <c r="B6" s="10" t="inlineStr">
        <is>
          <t>C</t>
        </is>
      </c>
      <c r="C6" s="11" t="inlineStr">
        <is>
          <t>Verde / Verde-Morada (Graduados)</t>
        </is>
      </c>
      <c r="D6" s="11" t="inlineStr">
        <is>
          <t>Benguela | São Bento da Abadá | Siriuna</t>
        </is>
      </c>
      <c r="E6" s="9" t="n">
        <v>3</v>
      </c>
    </row>
    <row r="7" ht="14.25" customHeight="1" s="72">
      <c r="A7" s="9" t="n">
        <v>4</v>
      </c>
      <c r="B7" s="10" t="inlineStr">
        <is>
          <t>D</t>
        </is>
      </c>
      <c r="C7" s="11" t="inlineStr">
        <is>
          <t>Azul / Azul-Verde (Graduados)</t>
        </is>
      </c>
      <c r="D7" s="11" t="inlineStr">
        <is>
          <t>Benguela | São Bento da Abadá | Siriuna</t>
        </is>
      </c>
      <c r="E7" s="9" t="n">
        <v>3</v>
      </c>
    </row>
    <row r="8" ht="14.25" customHeight="1" s="72">
      <c r="A8" s="9" t="n">
        <v>5</v>
      </c>
      <c r="B8" s="10" t="inlineStr">
        <is>
          <t>E</t>
        </is>
      </c>
      <c r="C8" s="11" t="inlineStr">
        <is>
          <t>Naranja / Naranja-Azul (Alumnos)</t>
        </is>
      </c>
      <c r="D8" s="11" t="inlineStr">
        <is>
          <t>São Bento da Abadá | Benguela</t>
        </is>
      </c>
      <c r="E8" s="9" t="n">
        <v>2</v>
      </c>
    </row>
    <row r="9" ht="14.25" customHeight="1" s="72">
      <c r="A9" s="9" t="n">
        <v>6</v>
      </c>
      <c r="B9" s="10" t="inlineStr">
        <is>
          <t>Baobá</t>
        </is>
      </c>
      <c r="C9" s="11" t="inlineStr">
        <is>
          <t>+45 años (desde Naranja)</t>
        </is>
      </c>
      <c r="D9" s="11" t="inlineStr">
        <is>
          <t>São Bento da Abadá | Benguela | Siriuna</t>
        </is>
      </c>
      <c r="E9" s="9" t="n">
        <v>3</v>
      </c>
    </row>
    <row r="10" ht="14.25" customHeight="1" s="72">
      <c r="A10" s="9" t="n">
        <v>7</v>
      </c>
      <c r="B10" s="10" t="inlineStr">
        <is>
          <t>Juvenil</t>
        </is>
      </c>
      <c r="C10" s="11" t="inlineStr">
        <is>
          <t>Desde Amarilla/Naranja</t>
        </is>
      </c>
      <c r="D10" s="11" t="inlineStr">
        <is>
          <t>São Bento da Abadá | Benguela</t>
        </is>
      </c>
      <c r="E10" s="9" t="n">
        <v>2</v>
      </c>
    </row>
    <row r="11" ht="14.25" customHeight="1" s="72">
      <c r="A11" s="9" t="n">
        <v>8</v>
      </c>
      <c r="B11" s="10" t="inlineStr">
        <is>
          <t>General</t>
        </is>
      </c>
      <c r="C11" s="11" t="inlineStr">
        <is>
          <t>Todas</t>
        </is>
      </c>
      <c r="D11" s="11" t="inlineStr">
        <is>
          <t>Benguela | São Bento da Abadá | Siriuna</t>
        </is>
      </c>
      <c r="E11" s="9" t="n">
        <v>3</v>
      </c>
    </row>
    <row r="12" ht="14.25" customHeight="1" s="72"/>
    <row r="13" ht="14.25" customHeight="1" s="72"/>
    <row r="14" ht="14.25" customHeight="1" s="72"/>
    <row r="15" ht="14.25" customHeight="1" s="72"/>
    <row r="16" ht="14.25" customHeight="1" s="72"/>
    <row r="17" ht="14.25" customHeight="1" s="72"/>
    <row r="18" ht="14.25" customHeight="1" s="72"/>
    <row r="19" ht="14.25" customHeight="1" s="72"/>
    <row r="20" ht="14.25" customHeight="1" s="72"/>
    <row r="21" ht="14.25" customHeight="1" s="72"/>
    <row r="22" ht="14.25" customHeight="1" s="72"/>
    <row r="23" ht="14.25" customHeight="1" s="72"/>
    <row r="24" ht="14.25" customHeight="1" s="72"/>
    <row r="25" ht="14.25" customHeight="1" s="72"/>
    <row r="26" ht="14.25" customHeight="1" s="72"/>
    <row r="27" ht="14.25" customHeight="1" s="72"/>
    <row r="28" ht="14.25" customHeight="1" s="72"/>
    <row r="29" ht="14.25" customHeight="1" s="72"/>
    <row r="30" ht="14.25" customHeight="1" s="72"/>
    <row r="31" ht="14.25" customHeight="1" s="72"/>
    <row r="32" ht="14.25" customHeight="1" s="72"/>
    <row r="33" ht="14.25" customHeight="1" s="72"/>
    <row r="34" ht="14.25" customHeight="1" s="72"/>
    <row r="35" ht="14.25" customHeight="1" s="72"/>
    <row r="36" ht="14.25" customHeight="1" s="72"/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1">
    <mergeCell ref="A1:E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72" min="1" max="1"/>
    <col width="22" customWidth="1" style="72" min="2" max="2"/>
    <col width="16" customWidth="1" style="72" min="3" max="8"/>
    <col width="8.710000000000001" customWidth="1" style="72" min="9" max="26"/>
  </cols>
  <sheetData>
    <row r="1" ht="25.5" customHeight="1" s="72">
      <c r="A1" s="74" t="inlineStr">
        <is>
          <t>Sistema de Competición · Jogos Ibéricos Abiertos Burgos 2026 · v2 FASE 2</t>
        </is>
      </c>
    </row>
    <row r="2" ht="14.25" customHeight="1" s="72">
      <c r="A2" s="34" t="inlineStr">
        <is>
          <t>Motor de torneo completo con modelo de puntuación Abadá (3 jueces × nota+débil)</t>
        </is>
      </c>
    </row>
    <row r="3" ht="14.25" customHeight="1" s="72"/>
    <row r="4" ht="14.25" customHeight="1" s="72">
      <c r="A4" s="14" t="inlineStr">
        <is>
          <t>HOJAS DEL SISTEMA</t>
        </is>
      </c>
    </row>
    <row r="5" ht="14.25" customHeight="1" s="72">
      <c r="A5" s="15" t="inlineStr">
        <is>
          <t>#</t>
        </is>
      </c>
      <c r="B5" s="15" t="inlineStr">
        <is>
          <t>Hoja</t>
        </is>
      </c>
      <c r="C5" s="15" t="inlineStr">
        <is>
          <t>Función</t>
        </is>
      </c>
    </row>
    <row r="6" ht="14.25" customHeight="1" s="72">
      <c r="A6" s="16" t="inlineStr">
        <is>
          <t>1</t>
        </is>
      </c>
      <c r="B6" s="17" t="inlineStr">
        <is>
          <t>CONFIG</t>
        </is>
      </c>
      <c r="C6" s="11" t="inlineStr">
        <is>
          <t>Listas maestras: categorías, cordas, toques, parámetros</t>
        </is>
      </c>
      <c r="D6" s="75" t="n"/>
      <c r="E6" s="75" t="n"/>
      <c r="F6" s="75" t="n"/>
      <c r="G6" s="75" t="n"/>
      <c r="H6" s="76" t="n"/>
    </row>
    <row r="7" ht="14.25" customHeight="1" s="72">
      <c r="A7" s="16" t="inlineStr">
        <is>
          <t>2</t>
        </is>
      </c>
      <c r="B7" s="17" t="inlineStr">
        <is>
          <t>INSCRITOS_FORM</t>
        </is>
      </c>
      <c r="C7" s="11" t="inlineStr">
        <is>
          <t>Datos de JotForm + auto-categorización</t>
        </is>
      </c>
      <c r="D7" s="75" t="n"/>
      <c r="E7" s="75" t="n"/>
      <c r="F7" s="75" t="n"/>
      <c r="G7" s="75" t="n"/>
      <c r="H7" s="76" t="n"/>
    </row>
    <row r="8" ht="14.25" customHeight="1" s="72">
      <c r="A8" s="16" t="inlineStr">
        <is>
          <t>3</t>
        </is>
      </c>
      <c r="B8" s="17" t="inlineStr">
        <is>
          <t>PARTICIPANTES</t>
        </is>
      </c>
      <c r="C8" s="11" t="inlineStr">
        <is>
          <t>Tabla normalizada (lectura)</t>
        </is>
      </c>
      <c r="D8" s="75" t="n"/>
      <c r="E8" s="75" t="n"/>
      <c r="F8" s="75" t="n"/>
      <c r="G8" s="75" t="n"/>
      <c r="H8" s="76" t="n"/>
    </row>
    <row r="9" ht="14.25" customHeight="1" s="72">
      <c r="A9" s="16" t="inlineStr">
        <is>
          <t>4</t>
        </is>
      </c>
      <c r="B9" s="17" t="inlineStr">
        <is>
          <t>LLAVES_INDEX</t>
        </is>
      </c>
      <c r="C9" s="11" t="inlineStr">
        <is>
          <t>Catálogo de las 22 llaves con tamaño y ronda inicial</t>
        </is>
      </c>
      <c r="D9" s="75" t="n"/>
      <c r="E9" s="75" t="n"/>
      <c r="F9" s="75" t="n"/>
      <c r="G9" s="75" t="n"/>
      <c r="H9" s="76" t="n"/>
    </row>
    <row r="10" ht="14.25" customHeight="1" s="72">
      <c r="A10" s="16" t="inlineStr">
        <is>
          <t>5</t>
        </is>
      </c>
      <c r="B10" s="17" t="inlineStr">
        <is>
          <t>TORNEO_ACTIVO</t>
        </is>
      </c>
      <c r="C10" s="11" t="inlineStr">
        <is>
          <t>Selector de llave + lista de posiciones seeded (1-32)</t>
        </is>
      </c>
      <c r="D10" s="75" t="n"/>
      <c r="E10" s="75" t="n"/>
      <c r="F10" s="75" t="n"/>
      <c r="G10" s="75" t="n"/>
      <c r="H10" s="76" t="n"/>
    </row>
    <row r="11" ht="14.25" customHeight="1" s="72">
      <c r="A11" s="16" t="inlineStr">
        <is>
          <t>6</t>
        </is>
      </c>
      <c r="B11" s="17" t="inlineStr">
        <is>
          <t>MESA_JOGOS</t>
        </is>
      </c>
      <c r="C11" s="11" t="inlineStr">
        <is>
          <t>Motor: 30 jogos máx con cálculo de restas y ganador</t>
        </is>
      </c>
      <c r="D11" s="75" t="n"/>
      <c r="E11" s="75" t="n"/>
      <c r="F11" s="75" t="n"/>
      <c r="G11" s="75" t="n"/>
      <c r="H11" s="76" t="n"/>
    </row>
    <row r="12" ht="14.25" customHeight="1" s="72">
      <c r="A12" s="16" t="inlineStr">
        <is>
          <t>7</t>
        </is>
      </c>
      <c r="B12" s="17" t="inlineStr">
        <is>
          <t>JUEZ_1, JUEZ_2, JUEZ_3</t>
        </is>
      </c>
      <c r="C12" s="11" t="inlineStr">
        <is>
          <t>Input simple para cada juez: nota (0-5) + débil</t>
        </is>
      </c>
      <c r="D12" s="75" t="n"/>
      <c r="E12" s="75" t="n"/>
      <c r="F12" s="75" t="n"/>
      <c r="G12" s="75" t="n"/>
      <c r="H12" s="76" t="n"/>
    </row>
    <row r="13" ht="14.25" customHeight="1" s="72"/>
    <row r="14" ht="14.25" customHeight="1" s="72">
      <c r="A14" s="14" t="inlineStr">
        <is>
          <t>MODELO DE PUNTUACIÓN ABADÁ</t>
        </is>
      </c>
    </row>
    <row r="15" ht="14.25" customHeight="1" s="72">
      <c r="A15" s="21" t="inlineStr">
        <is>
          <t>• Cada jogo es jugado por una pareja (jugador A vs jugador B).</t>
        </is>
      </c>
    </row>
    <row r="16" ht="14.25" customHeight="1" s="72">
      <c r="A16" s="21" t="inlineStr">
        <is>
          <t>• Cada uno de los 3 jueces puntúa el jogo de 0.0 a 5.0 con décimos.</t>
        </is>
      </c>
    </row>
    <row r="17" ht="14.25" customHeight="1" s="72">
      <c r="A17" s="21" t="inlineStr">
        <is>
          <t>• Cada juez marca al jugador que aportó MENOS (A o B).</t>
        </is>
      </c>
    </row>
    <row r="18" ht="14.25" customHeight="1" s="72">
      <c r="A18" s="21" t="inlineStr">
        <is>
          <t>• A ese jugador se le RESTA la nota del jogo dada por ese juez.</t>
        </is>
      </c>
    </row>
    <row r="19" ht="14.25" customHeight="1" s="72">
      <c r="A19" s="21" t="inlineStr">
        <is>
          <t>• Resta_A = suma de notas de jueces que marcaron A · Resta_B = suma de notas de jueces que marcaron B.</t>
        </is>
      </c>
    </row>
    <row r="20" ht="14.25" customHeight="1" s="72">
      <c r="A20" s="21" t="inlineStr">
        <is>
          <t>• Pierde el jugador con más resta total (en magnitud). El otro avanza.</t>
        </is>
      </c>
    </row>
    <row r="21" ht="14.25" customHeight="1" s="72">
      <c r="A21" s="21" t="inlineStr">
        <is>
          <t>• Empate de restas → decisión de mesa (a veces consulta a jueces).</t>
        </is>
      </c>
    </row>
    <row r="22" ht="14.25" customHeight="1" s="72"/>
    <row r="23" ht="14.25" customHeight="1" s="72">
      <c r="A23" s="14" t="inlineStr">
        <is>
          <t>ESTRUCTURA DE LLAVES</t>
        </is>
      </c>
    </row>
    <row r="24" ht="14.25" customHeight="1" s="72">
      <c r="A24" s="15" t="inlineStr">
        <is>
          <t>Inscritos</t>
        </is>
      </c>
      <c r="B24" s="15" t="inlineStr">
        <is>
          <t>Tamaño llave</t>
        </is>
      </c>
      <c r="C24" s="15" t="inlineStr">
        <is>
          <t>Ronda inicial</t>
        </is>
      </c>
      <c r="D24" s="15" t="inlineStr">
        <is>
          <t>Total jogos</t>
        </is>
      </c>
    </row>
    <row r="25" ht="14.25" customHeight="1" s="72">
      <c r="A25" s="16" t="inlineStr">
        <is>
          <t>2-4</t>
        </is>
      </c>
      <c r="B25" s="16" t="inlineStr">
        <is>
          <t>4</t>
        </is>
      </c>
      <c r="C25" s="16" t="inlineStr">
        <is>
          <t>Final (2 jogos cruzados)</t>
        </is>
      </c>
      <c r="D25" s="16" t="inlineStr">
        <is>
          <t>2</t>
        </is>
      </c>
    </row>
    <row r="26" ht="14.25" customHeight="1" s="72">
      <c r="A26" s="16" t="inlineStr">
        <is>
          <t>5-8</t>
        </is>
      </c>
      <c r="B26" s="16" t="inlineStr">
        <is>
          <t>8</t>
        </is>
      </c>
      <c r="C26" s="16" t="inlineStr">
        <is>
          <t>Semifinal (4 jogos)</t>
        </is>
      </c>
      <c r="D26" s="16" t="inlineStr">
        <is>
          <t>6</t>
        </is>
      </c>
    </row>
    <row r="27" ht="14.25" customHeight="1" s="72">
      <c r="A27" s="16" t="inlineStr">
        <is>
          <t>9-16</t>
        </is>
      </c>
      <c r="B27" s="16" t="inlineStr">
        <is>
          <t>16</t>
        </is>
      </c>
      <c r="C27" s="16" t="inlineStr">
        <is>
          <t>Octavas (8 jogos)</t>
        </is>
      </c>
      <c r="D27" s="16" t="inlineStr">
        <is>
          <t>14</t>
        </is>
      </c>
    </row>
    <row r="28" ht="14.25" customHeight="1" s="72">
      <c r="A28" s="16" t="inlineStr">
        <is>
          <t>17-32</t>
        </is>
      </c>
      <c r="B28" s="16" t="inlineStr">
        <is>
          <t>32</t>
        </is>
      </c>
      <c r="C28" s="16" t="inlineStr">
        <is>
          <t>Eliminatoria (16 jogos)</t>
        </is>
      </c>
      <c r="D28" s="16" t="inlineStr">
        <is>
          <t>30</t>
        </is>
      </c>
    </row>
    <row r="29" ht="14.25" customHeight="1" s="72"/>
    <row r="30" ht="14.25" customHeight="1" s="72">
      <c r="A30" s="14" t="inlineStr">
        <is>
          <t>LEYENDA</t>
        </is>
      </c>
    </row>
    <row r="31" ht="14.25" customHeight="1" s="72">
      <c r="A31" s="22" t="n"/>
      <c r="B31" s="4" t="inlineStr">
        <is>
          <t>Entrada manual</t>
        </is>
      </c>
    </row>
    <row r="32" ht="14.25" customHeight="1" s="72">
      <c r="A32" s="23" t="n"/>
      <c r="B32" s="4" t="inlineStr">
        <is>
          <t>Calculado por fórmula</t>
        </is>
      </c>
    </row>
    <row r="33" ht="14.25" customHeight="1" s="72">
      <c r="A33" s="24" t="n"/>
      <c r="B33" s="4" t="inlineStr">
        <is>
          <t>Ganador del jogo</t>
        </is>
      </c>
    </row>
    <row r="34" ht="14.25" customHeight="1" s="72">
      <c r="A34" s="25" t="n"/>
      <c r="B34" s="4" t="inlineStr">
        <is>
          <t>Perdedor del jogo (eliminado)</t>
        </is>
      </c>
    </row>
    <row r="35" ht="14.25" customHeight="1" s="72"/>
    <row r="36" ht="14.25" customHeight="1" s="72"/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16">
    <mergeCell ref="A18:H18"/>
    <mergeCell ref="C11:H11"/>
    <mergeCell ref="C6:H6"/>
    <mergeCell ref="C10:H10"/>
    <mergeCell ref="A21:H21"/>
    <mergeCell ref="A15:H15"/>
    <mergeCell ref="A20:H20"/>
    <mergeCell ref="A2:H2"/>
    <mergeCell ref="C9:H9"/>
    <mergeCell ref="A16:H16"/>
    <mergeCell ref="C8:H8"/>
    <mergeCell ref="A19:H19"/>
    <mergeCell ref="A1:H1"/>
    <mergeCell ref="C12:H12"/>
    <mergeCell ref="C7:H7"/>
    <mergeCell ref="A17:H17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72" min="1" max="1"/>
    <col width="36" customWidth="1" style="72" min="2" max="2"/>
    <col width="28" customWidth="1" style="72" min="3" max="4"/>
    <col width="12" customWidth="1" style="72" min="5" max="12"/>
    <col width="8.710000000000001" customWidth="1" style="72" min="13" max="26"/>
  </cols>
  <sheetData>
    <row r="1" ht="25.5" customHeight="1" s="72">
      <c r="A1" s="74" t="inlineStr">
        <is>
          <t>CONFIG · Listas maestras y parámetros</t>
        </is>
      </c>
    </row>
    <row r="2" ht="14.25" customHeight="1" s="72"/>
    <row r="3" ht="14.25" customHeight="1" s="72"/>
    <row r="4" ht="15" customHeight="1" s="72">
      <c r="A4" s="77" t="inlineStr">
        <is>
          <t>CATEGORÍAS DE EDAD</t>
        </is>
      </c>
    </row>
    <row r="5" ht="14.25" customHeight="1" s="72">
      <c r="A5" s="15" t="inlineStr">
        <is>
          <t>Categoría</t>
        </is>
      </c>
      <c r="B5" s="15" t="inlineStr">
        <is>
          <t>Edad mín</t>
        </is>
      </c>
      <c r="C5" s="15" t="inlineStr">
        <is>
          <t>Edad máx</t>
        </is>
      </c>
      <c r="D5" s="15" t="inlineStr">
        <is>
          <t>Corda mín</t>
        </is>
      </c>
      <c r="E5" s="15" t="inlineStr">
        <is>
          <t>Toques permitidos</t>
        </is>
      </c>
    </row>
    <row r="6" ht="14.25" customHeight="1" s="72">
      <c r="A6" s="11" t="inlineStr">
        <is>
          <t>Infantil</t>
        </is>
      </c>
      <c r="B6" s="11" t="n">
        <v>0</v>
      </c>
      <c r="C6" s="11" t="n">
        <v>11</v>
      </c>
      <c r="D6" s="11" t="inlineStr">
        <is>
          <t>(todas)</t>
        </is>
      </c>
      <c r="E6" s="11" t="inlineStr">
        <is>
          <t>Benguela · São Bento da Abadá</t>
        </is>
      </c>
    </row>
    <row r="7" ht="14.25" customHeight="1" s="72">
      <c r="A7" s="11" t="inlineStr">
        <is>
          <t>Juvenil</t>
        </is>
      </c>
      <c r="B7" s="11" t="n">
        <v>12</v>
      </c>
      <c r="C7" s="11" t="n">
        <v>17</v>
      </c>
      <c r="D7" s="11" t="inlineStr">
        <is>
          <t>Amarela</t>
        </is>
      </c>
      <c r="E7" s="11" t="inlineStr">
        <is>
          <t>Benguela · São Bento da Abadá</t>
        </is>
      </c>
    </row>
    <row r="8" ht="14.25" customHeight="1" s="72">
      <c r="A8" s="11" t="inlineStr">
        <is>
          <t>Adulto</t>
        </is>
      </c>
      <c r="B8" s="11" t="n">
        <v>18</v>
      </c>
      <c r="C8" s="11" t="n">
        <v>44</v>
      </c>
      <c r="D8" s="11" t="inlineStr">
        <is>
          <t>Laranja</t>
        </is>
      </c>
      <c r="E8" s="11" t="inlineStr">
        <is>
          <t>Benguela · São Bento da Abadá · Siriuna (desde graduados)</t>
        </is>
      </c>
    </row>
    <row r="9" ht="14.25" customHeight="1" s="72">
      <c r="A9" s="11" t="inlineStr">
        <is>
          <t>Baobá</t>
        </is>
      </c>
      <c r="B9" s="11" t="n">
        <v>45</v>
      </c>
      <c r="C9" s="11" t="n">
        <v>120</v>
      </c>
      <c r="D9" s="11" t="inlineStr">
        <is>
          <t>Laranja</t>
        </is>
      </c>
      <c r="E9" s="11" t="inlineStr">
        <is>
          <t>Benguela · São Bento da Abadá · Siriuna (desde graduados)</t>
        </is>
      </c>
    </row>
    <row r="10" ht="14.25" customHeight="1" s="72"/>
    <row r="11" ht="14.25" customHeight="1" s="72"/>
    <row r="12" ht="15" customHeight="1" s="72">
      <c r="A12" s="77" t="inlineStr">
        <is>
          <t>CATEGORÍAS ADULTO · Mapeo de corda</t>
        </is>
      </c>
    </row>
    <row r="13" ht="14.25" customHeight="1" s="72">
      <c r="A13" s="15" t="inlineStr">
        <is>
          <t>Cat</t>
        </is>
      </c>
      <c r="B13" s="15" t="inlineStr">
        <is>
          <t>Nivel</t>
        </is>
      </c>
      <c r="C13" s="15" t="inlineStr">
        <is>
          <t>Cordas</t>
        </is>
      </c>
      <c r="D13" s="15" t="inlineStr">
        <is>
          <t>Toques</t>
        </is>
      </c>
    </row>
    <row r="14" ht="14.25" customHeight="1" s="72">
      <c r="A14" s="27" t="inlineStr">
        <is>
          <t>A</t>
        </is>
      </c>
      <c r="B14" s="11" t="inlineStr">
        <is>
          <t>Profesores</t>
        </is>
      </c>
      <c r="C14" s="11" t="inlineStr">
        <is>
          <t>Marrom · Marrom/Vermelha</t>
        </is>
      </c>
      <c r="D14" s="11" t="inlineStr">
        <is>
          <t>Benguela · São Bento · Siriuna</t>
        </is>
      </c>
    </row>
    <row r="15" ht="14.25" customHeight="1" s="72">
      <c r="A15" s="27" t="inlineStr">
        <is>
          <t>B</t>
        </is>
      </c>
      <c r="B15" s="11" t="inlineStr">
        <is>
          <t>Instructores</t>
        </is>
      </c>
      <c r="C15" s="11" t="inlineStr">
        <is>
          <t>Roxa · Roxa/Marrom</t>
        </is>
      </c>
      <c r="D15" s="11" t="inlineStr">
        <is>
          <t>Benguela · São Bento · Siriuna</t>
        </is>
      </c>
    </row>
    <row r="16" ht="14.25" customHeight="1" s="72">
      <c r="A16" s="27" t="inlineStr">
        <is>
          <t>C</t>
        </is>
      </c>
      <c r="B16" s="11" t="inlineStr">
        <is>
          <t>Graduados</t>
        </is>
      </c>
      <c r="C16" s="11" t="inlineStr">
        <is>
          <t>Verde · Verde/Roxa</t>
        </is>
      </c>
      <c r="D16" s="11" t="inlineStr">
        <is>
          <t>Benguela · São Bento · Siriuna</t>
        </is>
      </c>
    </row>
    <row r="17" ht="14.25" customHeight="1" s="72">
      <c r="A17" s="27" t="inlineStr">
        <is>
          <t>D</t>
        </is>
      </c>
      <c r="B17" s="11" t="inlineStr">
        <is>
          <t>Graduados</t>
        </is>
      </c>
      <c r="C17" s="11" t="inlineStr">
        <is>
          <t>Azul · Azul/Verde</t>
        </is>
      </c>
      <c r="D17" s="11" t="inlineStr">
        <is>
          <t>Benguela · São Bento · Siriuna</t>
        </is>
      </c>
    </row>
    <row r="18" ht="14.25" customHeight="1" s="72">
      <c r="A18" s="27" t="inlineStr">
        <is>
          <t>E</t>
        </is>
      </c>
      <c r="B18" s="11" t="inlineStr">
        <is>
          <t>Alumnos</t>
        </is>
      </c>
      <c r="C18" s="11" t="inlineStr">
        <is>
          <t>Laranja · Laranja/Azul</t>
        </is>
      </c>
      <c r="D18" s="11" t="inlineStr">
        <is>
          <t>Benguela · São Bento da Abadá</t>
        </is>
      </c>
    </row>
    <row r="19" ht="14.25" customHeight="1" s="72"/>
    <row r="20" ht="15" customHeight="1" s="72">
      <c r="A20" s="77" t="inlineStr">
        <is>
          <t>CORDAS · Orden oficial (1=más baja, 14=más alta)</t>
        </is>
      </c>
    </row>
    <row r="21" ht="14.25" customHeight="1" s="72">
      <c r="A21" s="15" t="inlineStr">
        <is>
          <t>Orden</t>
        </is>
      </c>
      <c r="B21" s="15" t="inlineStr">
        <is>
          <t>Corda</t>
        </is>
      </c>
      <c r="C21" s="15" t="inlineStr">
        <is>
          <t>Adulto cat</t>
        </is>
      </c>
      <c r="D21" s="15" t="inlineStr">
        <is>
          <t>Baobá cat</t>
        </is>
      </c>
      <c r="E21" s="15" t="inlineStr">
        <is>
          <t>Juvenil</t>
        </is>
      </c>
      <c r="F21" s="15" t="inlineStr">
        <is>
          <t>Infantil</t>
        </is>
      </c>
    </row>
    <row r="22" ht="14.25" customHeight="1" s="72">
      <c r="A22" s="16" t="n"/>
      <c r="B22" s="11" t="n"/>
      <c r="C22" s="16" t="n"/>
      <c r="D22" s="16" t="n"/>
      <c r="E22" s="16" t="n"/>
      <c r="F22" s="16" t="n"/>
    </row>
    <row r="23" ht="14.25" customHeight="1" s="72">
      <c r="A23" s="16" t="n"/>
      <c r="B23" s="11" t="n"/>
      <c r="C23" s="16" t="n"/>
      <c r="D23" s="16" t="n"/>
      <c r="E23" s="16" t="n"/>
      <c r="F23" s="16" t="n"/>
    </row>
    <row r="24" ht="14.25" customHeight="1" s="72">
      <c r="A24" s="16" t="n"/>
      <c r="B24" s="11" t="n"/>
      <c r="C24" s="16" t="n"/>
      <c r="D24" s="16" t="n"/>
      <c r="E24" s="16" t="n"/>
      <c r="F24" s="16" t="n"/>
    </row>
    <row r="25" ht="14.25" customHeight="1" s="72">
      <c r="A25" s="16" t="n"/>
      <c r="B25" s="11" t="n"/>
      <c r="C25" s="16" t="n"/>
      <c r="D25" s="16" t="n"/>
      <c r="E25" s="16" t="n"/>
      <c r="F25" s="16" t="n"/>
    </row>
    <row r="26" ht="14.25" customHeight="1" s="72">
      <c r="A26" s="16" t="n"/>
      <c r="B26" s="11" t="n"/>
      <c r="C26" s="16" t="n"/>
      <c r="D26" s="16" t="n"/>
      <c r="E26" s="16" t="n"/>
      <c r="F26" s="16" t="n"/>
    </row>
    <row r="27" ht="14.25" customHeight="1" s="72">
      <c r="A27" s="16" t="n"/>
      <c r="B27" s="11" t="n"/>
      <c r="C27" s="16" t="n"/>
      <c r="D27" s="16" t="n"/>
      <c r="E27" s="16" t="n"/>
      <c r="F27" s="16" t="n"/>
    </row>
    <row r="28" ht="14.25" customHeight="1" s="72">
      <c r="A28" s="16" t="n"/>
      <c r="B28" s="11" t="n"/>
      <c r="C28" s="16" t="n"/>
      <c r="D28" s="16" t="n"/>
      <c r="E28" s="16" t="n"/>
      <c r="F28" s="16" t="n"/>
    </row>
    <row r="29" ht="14.25" customHeight="1" s="72">
      <c r="A29" s="16" t="n"/>
      <c r="B29" s="11" t="n"/>
      <c r="C29" s="16" t="n"/>
      <c r="D29" s="16" t="n"/>
      <c r="E29" s="16" t="n"/>
      <c r="F29" s="16" t="n"/>
    </row>
    <row r="30" ht="14.25" customHeight="1" s="72">
      <c r="A30" s="16" t="n"/>
      <c r="B30" s="11" t="n"/>
      <c r="C30" s="16" t="n"/>
      <c r="D30" s="16" t="n"/>
      <c r="E30" s="16" t="n"/>
      <c r="F30" s="16" t="n"/>
    </row>
    <row r="31" ht="14.25" customHeight="1" s="72">
      <c r="A31" s="16" t="n"/>
      <c r="B31" s="11" t="n"/>
      <c r="C31" s="16" t="n"/>
      <c r="D31" s="16" t="n"/>
      <c r="E31" s="16" t="n"/>
      <c r="F31" s="16" t="n"/>
    </row>
    <row r="32" ht="14.25" customHeight="1" s="72">
      <c r="A32" s="16" t="n"/>
      <c r="B32" s="11" t="n"/>
      <c r="C32" s="16" t="n"/>
      <c r="D32" s="16" t="n"/>
      <c r="E32" s="16" t="n"/>
      <c r="F32" s="16" t="n"/>
    </row>
    <row r="33" ht="14.25" customHeight="1" s="72">
      <c r="A33" s="16" t="n"/>
      <c r="B33" s="11" t="n"/>
      <c r="C33" s="16" t="n"/>
      <c r="D33" s="16" t="n"/>
      <c r="E33" s="16" t="n"/>
      <c r="F33" s="16" t="n"/>
    </row>
    <row r="34" ht="14.25" customHeight="1" s="72">
      <c r="A34" s="16" t="n"/>
      <c r="B34" s="11" t="n"/>
      <c r="C34" s="16" t="n"/>
      <c r="D34" s="16" t="n"/>
      <c r="E34" s="16" t="n"/>
      <c r="F34" s="16" t="n"/>
    </row>
    <row r="35" ht="14.25" customHeight="1" s="72">
      <c r="A35" s="16" t="n"/>
      <c r="B35" s="11" t="n"/>
      <c r="C35" s="16" t="n"/>
      <c r="D35" s="16" t="n"/>
      <c r="E35" s="16" t="n"/>
      <c r="F35" s="16" t="n"/>
    </row>
    <row r="36" ht="14.25" customHeight="1" s="72"/>
    <row r="37" ht="14.25" customHeight="1" s="72"/>
    <row r="38" ht="15" customHeight="1" s="72">
      <c r="A38" s="77" t="n"/>
    </row>
    <row r="39" ht="14.25" customHeight="1" s="72">
      <c r="A39" s="15" t="inlineStr">
        <is>
          <t>Toque</t>
        </is>
      </c>
      <c r="B39" s="15" t="inlineStr">
        <is>
          <t>Característica</t>
        </is>
      </c>
      <c r="C39" s="15" t="inlineStr">
        <is>
          <t>Categorías</t>
        </is>
      </c>
    </row>
    <row r="40" ht="14.25" customHeight="1" s="72">
      <c r="A40" s="17" t="inlineStr">
        <is>
          <t>Benguela</t>
        </is>
      </c>
      <c r="B40" s="11" t="inlineStr">
        <is>
          <t>Lento, jogo cercano</t>
        </is>
      </c>
      <c r="C40" s="11" t="inlineStr">
        <is>
          <t>Todas las categorías</t>
        </is>
      </c>
    </row>
    <row r="41" ht="14.25" customHeight="1" s="72">
      <c r="A41" s="17" t="inlineStr">
        <is>
          <t>São Bento da Abadá</t>
        </is>
      </c>
      <c r="B41" s="11" t="inlineStr">
        <is>
          <t>Ritmo base medio</t>
        </is>
      </c>
      <c r="C41" s="11" t="inlineStr">
        <is>
          <t>Todas las categorías</t>
        </is>
      </c>
    </row>
    <row r="42" ht="14.25" customHeight="1" s="72">
      <c r="A42" s="17" t="inlineStr">
        <is>
          <t>Siriuna</t>
        </is>
      </c>
      <c r="B42" s="11" t="inlineStr">
        <is>
          <t>Sin canto, alto nivel</t>
        </is>
      </c>
      <c r="C42" s="11" t="inlineStr">
        <is>
          <t>Solo desde graduados</t>
        </is>
      </c>
    </row>
    <row r="43" ht="14.25" customHeight="1" s="72"/>
    <row r="44" ht="14.25" customHeight="1" s="72"/>
    <row r="45" ht="15" customHeight="1" s="72">
      <c r="A45" s="77" t="inlineStr">
        <is>
          <t>FESTIVAL CANTIGAS · Sistema individual</t>
        </is>
      </c>
    </row>
    <row r="46" ht="14.25" customHeight="1" s="72">
      <c r="A46" s="15" t="inlineStr">
        <is>
          <t>Subcategoría</t>
        </is>
      </c>
      <c r="B46" s="15" t="inlineStr">
        <is>
          <t>Unidad</t>
        </is>
      </c>
      <c r="C46" s="15" t="inlineStr">
        <is>
          <t>Cálculo</t>
        </is>
      </c>
    </row>
    <row r="47" ht="14.25" customHeight="1" s="72">
      <c r="A47" s="11" t="inlineStr">
        <is>
          <t>Interpretación</t>
        </is>
      </c>
      <c r="B47" s="11" t="inlineStr">
        <is>
          <t>Individual</t>
        </is>
      </c>
      <c r="C47" s="11" t="inlineStr">
        <is>
          <t>Suma 3 jueces × (0-5) → ranking, mejores avanzan</t>
        </is>
      </c>
    </row>
    <row r="48" ht="14.25" customHeight="1" s="72">
      <c r="A48" s="11" t="inlineStr">
        <is>
          <t>Composición</t>
        </is>
      </c>
      <c r="B48" s="11" t="inlineStr">
        <is>
          <t>Individual</t>
        </is>
      </c>
      <c r="C48" s="11" t="inlineStr">
        <is>
          <t>Suma 3 jueces × (0-5) → ranking, mejores avanzan</t>
        </is>
      </c>
    </row>
    <row r="49" ht="14.25" customHeight="1" s="72">
      <c r="A49" s="11" t="inlineStr">
        <is>
          <t>Sólo Instrumento</t>
        </is>
      </c>
      <c r="B49" s="11" t="inlineStr">
        <is>
          <t>Individual</t>
        </is>
      </c>
      <c r="C49" s="11" t="inlineStr">
        <is>
          <t>Suma 3 jueces × (0-5) → ranking, mejores avanzan</t>
        </is>
      </c>
    </row>
    <row r="50" ht="14.25" customHeight="1" s="72">
      <c r="A50" s="11" t="inlineStr">
        <is>
          <t>Bateranga</t>
        </is>
      </c>
      <c r="B50" s="11" t="inlineStr">
        <is>
          <t>Grupo (nombre)</t>
        </is>
      </c>
      <c r="C50" s="11" t="inlineStr">
        <is>
          <t>Suma 3 jueces × (0-5) → ranking, mejores avanzan</t>
        </is>
      </c>
    </row>
    <row r="51" ht="14.25" customHeight="1" s="72"/>
    <row r="52" ht="14.25" customHeight="1" s="72"/>
    <row r="53" ht="15" customHeight="1" s="72">
      <c r="A53" s="77" t="inlineStr">
        <is>
          <t>GÉNEROS</t>
        </is>
      </c>
    </row>
    <row r="54" ht="14.25" customHeight="1" s="72">
      <c r="A54" s="11" t="inlineStr">
        <is>
          <t>Masculino</t>
        </is>
      </c>
    </row>
    <row r="55" ht="14.25" customHeight="1" s="72">
      <c r="A55" s="11" t="inlineStr">
        <is>
          <t>Femenino</t>
        </is>
      </c>
    </row>
    <row r="56" ht="14.25" customHeight="1" s="72"/>
    <row r="57" ht="15" customHeight="1" s="72">
      <c r="A57" s="77" t="inlineStr">
        <is>
          <t>PARÁMETROS DEL SISTEMA</t>
        </is>
      </c>
    </row>
    <row r="58" ht="14.25" customHeight="1" s="72">
      <c r="A58" s="15" t="inlineStr">
        <is>
          <t>Parámetro</t>
        </is>
      </c>
      <c r="B58" s="15" t="inlineStr">
        <is>
          <t>Valor</t>
        </is>
      </c>
    </row>
    <row r="59" ht="14.25" customHeight="1" s="72">
      <c r="A59" s="11" t="inlineStr">
        <is>
          <t>Nº jueces</t>
        </is>
      </c>
      <c r="B59" s="16" t="n">
        <v>3</v>
      </c>
    </row>
    <row r="60" ht="14.25" customHeight="1" s="72">
      <c r="A60" s="11" t="inlineStr">
        <is>
          <t>Puntuación mínima jogo</t>
        </is>
      </c>
      <c r="B60" s="16" t="n">
        <v>0</v>
      </c>
    </row>
    <row r="61" ht="14.25" customHeight="1" s="72">
      <c r="A61" s="11" t="inlineStr">
        <is>
          <t>Puntuación máxima jogo</t>
        </is>
      </c>
      <c r="B61" s="16" t="n">
        <v>5</v>
      </c>
    </row>
    <row r="62" ht="14.25" customHeight="1" s="72">
      <c r="A62" s="11" t="inlineStr">
        <is>
          <t>Decimales permitidos</t>
        </is>
      </c>
      <c r="B62" s="16" t="n">
        <v>1</v>
      </c>
    </row>
    <row r="63" ht="14.25" customHeight="1" s="72">
      <c r="A63" s="11" t="inlineStr">
        <is>
          <t>Criterio empate</t>
        </is>
      </c>
      <c r="B63" s="16" t="inlineStr">
        <is>
          <t>Decisión mesa</t>
        </is>
      </c>
    </row>
    <row r="64" ht="14.25" customHeight="1" s="72">
      <c r="A64" s="11" t="inlineStr">
        <is>
          <t>Llave mínima</t>
        </is>
      </c>
      <c r="B64" s="16" t="n">
        <v>4</v>
      </c>
    </row>
    <row r="65" ht="14.25" customHeight="1" s="72">
      <c r="A65" s="11" t="inlineStr">
        <is>
          <t>Llave máxima</t>
        </is>
      </c>
      <c r="B65" s="16" t="n">
        <v>32</v>
      </c>
    </row>
    <row r="66" ht="14.25" customHeight="1" s="72">
      <c r="A66" s="11" t="inlineStr">
        <is>
          <t>Umbral llave 4 (max insc.)</t>
        </is>
      </c>
      <c r="B66" s="16" t="n">
        <v>4</v>
      </c>
    </row>
    <row r="67" ht="14.25" customHeight="1" s="72">
      <c r="A67" s="11" t="inlineStr">
        <is>
          <t>Umbral llave 8 (max insc.)</t>
        </is>
      </c>
      <c r="B67" s="16" t="n">
        <v>8</v>
      </c>
    </row>
    <row r="68" ht="14.25" customHeight="1" s="72">
      <c r="A68" s="11" t="inlineStr">
        <is>
          <t>Umbral llave 16 (max insc.)</t>
        </is>
      </c>
      <c r="B68" s="16" t="n">
        <v>16</v>
      </c>
    </row>
    <row r="69" ht="14.25" customHeight="1" s="72">
      <c r="A69" s="11" t="inlineStr">
        <is>
          <t>Umbral llave 32 (max insc.)</t>
        </is>
      </c>
      <c r="B69" s="16" t="n">
        <v>32</v>
      </c>
    </row>
    <row r="70" ht="14.25" customHeight="1" s="72"/>
    <row r="71" ht="14.25" customHeight="1" s="72"/>
    <row r="72" ht="15" customHeight="1" s="72">
      <c r="A72" s="77" t="inlineStr">
        <is>
          <t>LISTADO FINAL · 22 CATEGORÍAS DE COMPETICIÓN</t>
        </is>
      </c>
    </row>
    <row r="73" ht="14.25" customHeight="1" s="72">
      <c r="A73" s="15" t="inlineStr">
        <is>
          <t>ID llave</t>
        </is>
      </c>
      <c r="B73" s="15" t="inlineStr">
        <is>
          <t>Categoría completa</t>
        </is>
      </c>
      <c r="C73" s="15" t="inlineStr">
        <is>
          <t>Tipo</t>
        </is>
      </c>
    </row>
    <row r="74" ht="14.25" customHeight="1" s="72">
      <c r="A74" s="16" t="inlineStr">
        <is>
          <t>L01</t>
        </is>
      </c>
      <c r="B74" s="11" t="inlineStr">
        <is>
          <t>Infantil · Masculino</t>
        </is>
      </c>
      <c r="C74" s="16" t="inlineStr">
        <is>
          <t>Jogo</t>
        </is>
      </c>
    </row>
    <row r="75" ht="14.25" customHeight="1" s="72">
      <c r="A75" s="16" t="inlineStr">
        <is>
          <t>L02</t>
        </is>
      </c>
      <c r="B75" s="11" t="inlineStr">
        <is>
          <t>Infantil · Femenino</t>
        </is>
      </c>
      <c r="C75" s="16" t="inlineStr">
        <is>
          <t>Jogo</t>
        </is>
      </c>
    </row>
    <row r="76" ht="14.25" customHeight="1" s="72">
      <c r="A76" s="16" t="inlineStr">
        <is>
          <t>L03</t>
        </is>
      </c>
      <c r="B76" s="11" t="inlineStr">
        <is>
          <t>Juvenil · Masculino</t>
        </is>
      </c>
      <c r="C76" s="16" t="inlineStr">
        <is>
          <t>Jogo</t>
        </is>
      </c>
    </row>
    <row r="77" ht="14.25" customHeight="1" s="72">
      <c r="A77" s="16" t="inlineStr">
        <is>
          <t>L04</t>
        </is>
      </c>
      <c r="B77" s="11" t="inlineStr">
        <is>
          <t>Juvenil · Femenino</t>
        </is>
      </c>
      <c r="C77" s="16" t="inlineStr">
        <is>
          <t>Jogo</t>
        </is>
      </c>
    </row>
    <row r="78" ht="14.25" customHeight="1" s="72">
      <c r="A78" s="16" t="inlineStr">
        <is>
          <t>L05</t>
        </is>
      </c>
      <c r="B78" s="11" t="inlineStr">
        <is>
          <t>Adulto-A · Masculino</t>
        </is>
      </c>
      <c r="C78" s="16" t="inlineStr">
        <is>
          <t>Jogo</t>
        </is>
      </c>
    </row>
    <row r="79" ht="14.25" customHeight="1" s="72">
      <c r="A79" s="16" t="inlineStr">
        <is>
          <t>L06</t>
        </is>
      </c>
      <c r="B79" s="11" t="inlineStr">
        <is>
          <t>Adulto-A · Femenino</t>
        </is>
      </c>
      <c r="C79" s="16" t="inlineStr">
        <is>
          <t>Jogo</t>
        </is>
      </c>
    </row>
    <row r="80" ht="14.25" customHeight="1" s="72">
      <c r="A80" s="16" t="inlineStr">
        <is>
          <t>L07</t>
        </is>
      </c>
      <c r="B80" s="11" t="inlineStr">
        <is>
          <t>Adulto-B · Masculino</t>
        </is>
      </c>
      <c r="C80" s="16" t="inlineStr">
        <is>
          <t>Jogo</t>
        </is>
      </c>
    </row>
    <row r="81" ht="14.25" customHeight="1" s="72">
      <c r="A81" s="16" t="inlineStr">
        <is>
          <t>L08</t>
        </is>
      </c>
      <c r="B81" s="11" t="inlineStr">
        <is>
          <t>Adulto-B · Femenino</t>
        </is>
      </c>
      <c r="C81" s="16" t="inlineStr">
        <is>
          <t>Jogo</t>
        </is>
      </c>
    </row>
    <row r="82" ht="14.25" customHeight="1" s="72">
      <c r="A82" s="16" t="inlineStr">
        <is>
          <t>L09</t>
        </is>
      </c>
      <c r="B82" s="11" t="inlineStr">
        <is>
          <t>Adulto-C · Masculino</t>
        </is>
      </c>
      <c r="C82" s="16" t="inlineStr">
        <is>
          <t>Jogo</t>
        </is>
      </c>
    </row>
    <row r="83" ht="14.25" customHeight="1" s="72">
      <c r="A83" s="16" t="inlineStr">
        <is>
          <t>L10</t>
        </is>
      </c>
      <c r="B83" s="11" t="inlineStr">
        <is>
          <t>Adulto-C · Femenino</t>
        </is>
      </c>
      <c r="C83" s="16" t="inlineStr">
        <is>
          <t>Jogo</t>
        </is>
      </c>
    </row>
    <row r="84" ht="14.25" customHeight="1" s="72">
      <c r="A84" s="16" t="inlineStr">
        <is>
          <t>L11</t>
        </is>
      </c>
      <c r="B84" s="11" t="inlineStr">
        <is>
          <t>Adulto-D · Masculino</t>
        </is>
      </c>
      <c r="C84" s="16" t="inlineStr">
        <is>
          <t>Jogo</t>
        </is>
      </c>
    </row>
    <row r="85" ht="14.25" customHeight="1" s="72">
      <c r="A85" s="16" t="inlineStr">
        <is>
          <t>L12</t>
        </is>
      </c>
      <c r="B85" s="11" t="inlineStr">
        <is>
          <t>Adulto-D · Femenino</t>
        </is>
      </c>
      <c r="C85" s="16" t="inlineStr">
        <is>
          <t>Jogo</t>
        </is>
      </c>
    </row>
    <row r="86" ht="14.25" customHeight="1" s="72">
      <c r="A86" s="16" t="inlineStr">
        <is>
          <t>L13</t>
        </is>
      </c>
      <c r="B86" s="11" t="inlineStr">
        <is>
          <t>Adulto-E · Masculino</t>
        </is>
      </c>
      <c r="C86" s="16" t="inlineStr">
        <is>
          <t>Jogo</t>
        </is>
      </c>
    </row>
    <row r="87" ht="14.25" customHeight="1" s="72">
      <c r="A87" s="16" t="inlineStr">
        <is>
          <t>L14</t>
        </is>
      </c>
      <c r="B87" s="11" t="inlineStr">
        <is>
          <t>Adulto-E · Femenino</t>
        </is>
      </c>
      <c r="C87" s="16" t="inlineStr">
        <is>
          <t>Jogo</t>
        </is>
      </c>
    </row>
    <row r="88" ht="14.25" customHeight="1" s="72">
      <c r="A88" s="16" t="inlineStr">
        <is>
          <t>L15</t>
        </is>
      </c>
      <c r="B88" s="11" t="inlineStr">
        <is>
          <t>Baobá-Alumnos · Masculino</t>
        </is>
      </c>
      <c r="C88" s="16" t="inlineStr">
        <is>
          <t>Jogo</t>
        </is>
      </c>
    </row>
    <row r="89" ht="14.25" customHeight="1" s="72">
      <c r="A89" s="16" t="inlineStr">
        <is>
          <t>L16</t>
        </is>
      </c>
      <c r="B89" s="11" t="inlineStr">
        <is>
          <t>Baobá-Alumnos · Femenino</t>
        </is>
      </c>
      <c r="C89" s="16" t="inlineStr">
        <is>
          <t>Jogo</t>
        </is>
      </c>
    </row>
    <row r="90" ht="14.25" customHeight="1" s="72">
      <c r="A90" s="16" t="inlineStr">
        <is>
          <t>L17</t>
        </is>
      </c>
      <c r="B90" s="11" t="inlineStr">
        <is>
          <t>Baobá-Graduados+ · Masculino</t>
        </is>
      </c>
      <c r="C90" s="16" t="inlineStr">
        <is>
          <t>Jogo</t>
        </is>
      </c>
    </row>
    <row r="91" ht="14.25" customHeight="1" s="72">
      <c r="A91" s="16" t="inlineStr">
        <is>
          <t>L18</t>
        </is>
      </c>
      <c r="B91" s="11" t="inlineStr">
        <is>
          <t>Baobá-Graduados+ · Femenino</t>
        </is>
      </c>
      <c r="C91" s="16" t="inlineStr">
        <is>
          <t>Jogo</t>
        </is>
      </c>
    </row>
    <row r="92" ht="14.25" customHeight="1" s="72">
      <c r="A92" s="16" t="inlineStr">
        <is>
          <t>L19</t>
        </is>
      </c>
      <c r="B92" s="11" t="inlineStr">
        <is>
          <t>Festival · Interpretación · Mixto</t>
        </is>
      </c>
      <c r="C92" s="16" t="inlineStr">
        <is>
          <t>Festival</t>
        </is>
      </c>
    </row>
    <row r="93" ht="14.25" customHeight="1" s="72">
      <c r="A93" s="16" t="inlineStr">
        <is>
          <t>L20</t>
        </is>
      </c>
      <c r="B93" s="11" t="inlineStr">
        <is>
          <t>Festival · Composición · Mixto</t>
        </is>
      </c>
      <c r="C93" s="16" t="inlineStr">
        <is>
          <t>Festival</t>
        </is>
      </c>
    </row>
    <row r="94" ht="14.25" customHeight="1" s="72">
      <c r="A94" s="16" t="inlineStr">
        <is>
          <t>L21</t>
        </is>
      </c>
      <c r="B94" s="11" t="inlineStr">
        <is>
          <t>Festival · Sólo Instrumento · Mixto</t>
        </is>
      </c>
      <c r="C94" s="16" t="inlineStr">
        <is>
          <t>Festival</t>
        </is>
      </c>
    </row>
    <row r="95" ht="14.25" customHeight="1" s="72">
      <c r="A95" s="16" t="inlineStr">
        <is>
          <t>L22</t>
        </is>
      </c>
      <c r="B95" s="11" t="inlineStr">
        <is>
          <t>Festival · Bateranga · Mixto</t>
        </is>
      </c>
      <c r="C95" s="16" t="inlineStr">
        <is>
          <t>Festival</t>
        </is>
      </c>
    </row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9">
    <mergeCell ref="A57:L57"/>
    <mergeCell ref="A38:L38"/>
    <mergeCell ref="A20:L20"/>
    <mergeCell ref="A72:L72"/>
    <mergeCell ref="A1:L1"/>
    <mergeCell ref="A45:L45"/>
    <mergeCell ref="A53:L53"/>
    <mergeCell ref="A12:L12"/>
    <mergeCell ref="A4:L4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72" min="1" max="6"/>
    <col width="22" customWidth="1" style="72" min="7" max="8"/>
    <col width="14" customWidth="1" style="72" min="9" max="9"/>
    <col width="18" customWidth="1" style="72" min="10" max="10"/>
    <col width="16" customWidth="1" style="72" min="11" max="12"/>
    <col width="12" customWidth="1" style="72" min="13" max="13"/>
    <col width="14" customWidth="1" style="72" min="14" max="14"/>
    <col width="6" customWidth="1" style="72" min="15" max="15"/>
    <col width="12" customWidth="1" style="72" min="16" max="16"/>
    <col width="8" customWidth="1" style="72" min="17" max="17"/>
    <col width="10" customWidth="1" style="72" min="18" max="18"/>
    <col width="30" customWidth="1" style="72" min="19" max="19"/>
    <col width="7" customWidth="1" style="72" min="20" max="20"/>
    <col width="9" customWidth="1" style="72" min="21" max="22"/>
    <col width="14" customWidth="1" style="72" min="23" max="23"/>
    <col width="24" customWidth="1" style="72" min="24" max="24"/>
    <col width="11" customWidth="1" style="72" min="25" max="25"/>
    <col width="8" customWidth="1" style="72" min="26" max="26"/>
    <col width="11" customWidth="1" style="72" min="27" max="28"/>
    <col width="22" customWidth="1" style="72" min="29" max="29"/>
    <col width="12" customWidth="1" style="72" min="30" max="30"/>
  </cols>
  <sheetData>
    <row r="1" ht="25.5" customHeight="1" s="72">
      <c r="A1" s="74" t="inlineStr">
        <is>
          <t>INSCRITOS_FORM · Datos desde JotForm + Stripe</t>
        </is>
      </c>
    </row>
    <row r="2" ht="14.25" customHeight="1" s="72">
      <c r="A2" s="28" t="inlineStr">
        <is>
          <t>Pega aquí el export de JotForm. Las columnas verdes se calculan solas.</t>
        </is>
      </c>
    </row>
    <row r="3" ht="14.25" customHeight="1" s="72"/>
    <row r="4" ht="14.25" customHeight="1" s="72">
      <c r="A4" s="15" t="inlineStr">
        <is>
          <t>timestamp</t>
        </is>
      </c>
      <c r="B4" s="15" t="inlineStr">
        <is>
          <t>jotform_id</t>
        </is>
      </c>
      <c r="C4" s="15" t="inlineStr">
        <is>
          <t>stripe_payment_id</t>
        </is>
      </c>
      <c r="D4" s="15" t="inlineStr">
        <is>
          <t>nombre</t>
        </is>
      </c>
      <c r="E4" s="15" t="inlineStr">
        <is>
          <t>apellido</t>
        </is>
      </c>
      <c r="F4" s="15" t="inlineStr">
        <is>
          <t>apelido</t>
        </is>
      </c>
      <c r="G4" s="15" t="inlineStr">
        <is>
          <t>nombre_mostrar</t>
        </is>
      </c>
      <c r="H4" s="15" t="inlineStr">
        <is>
          <t>email</t>
        </is>
      </c>
      <c r="I4" s="15" t="inlineStr">
        <is>
          <t>telefono</t>
        </is>
      </c>
      <c r="J4" s="15" t="inlineStr">
        <is>
          <t>ciudad_pais</t>
        </is>
      </c>
      <c r="K4" s="15" t="inlineStr">
        <is>
          <t>profesor</t>
        </is>
      </c>
      <c r="L4" s="15" t="inlineStr">
        <is>
          <t>corda</t>
        </is>
      </c>
      <c r="M4" s="15" t="inlineStr">
        <is>
          <t>genero</t>
        </is>
      </c>
      <c r="N4" s="15" t="inlineStr">
        <is>
          <t>fecha_nacimiento</t>
        </is>
      </c>
      <c r="O4" s="15" t="inlineStr">
        <is>
          <t>edad</t>
        </is>
      </c>
      <c r="P4" s="15" t="inlineStr">
        <is>
          <t>categoria_edad</t>
        </is>
      </c>
      <c r="Q4" s="15" t="inlineStr">
        <is>
          <t>categoria_adulto</t>
        </is>
      </c>
      <c r="R4" s="15" t="inlineStr">
        <is>
          <t>categoria_baoba</t>
        </is>
      </c>
      <c r="S4" s="15" t="inlineStr">
        <is>
          <t>categoria_final</t>
        </is>
      </c>
      <c r="T4" s="15" t="inlineStr">
        <is>
          <t>id_llave</t>
        </is>
      </c>
      <c r="U4" s="15" t="inlineStr">
        <is>
          <t>compite_jogo</t>
        </is>
      </c>
      <c r="V4" s="15" t="inlineStr">
        <is>
          <t>compite_festival</t>
        </is>
      </c>
      <c r="W4" s="15" t="inlineStr">
        <is>
          <t>categoria_festival</t>
        </is>
      </c>
      <c r="X4" s="15" t="inlineStr">
        <is>
          <t>miembros_grupo</t>
        </is>
      </c>
      <c r="Y4" s="15" t="inlineStr">
        <is>
          <t>excepcion_mesa</t>
        </is>
      </c>
      <c r="Z4" s="15" t="inlineStr">
        <is>
          <t>talla_camiseta</t>
        </is>
      </c>
      <c r="AA4" s="15" t="inlineStr">
        <is>
          <t>importe_pagado</t>
        </is>
      </c>
      <c r="AB4" s="15" t="inlineStr">
        <is>
          <t>estado_pago</t>
        </is>
      </c>
      <c r="AC4" s="15" t="inlineStr">
        <is>
          <t>observaciones</t>
        </is>
      </c>
      <c r="AD4" s="15" t="inlineStr">
        <is>
          <t>id_participante</t>
        </is>
      </c>
    </row>
    <row r="5" ht="14.25" customHeight="1" s="72">
      <c r="A5" s="22" t="inlineStr">
        <is>
          <t>2025-08-10 14:10:29</t>
        </is>
      </c>
      <c r="B5" s="22" t="n"/>
      <c r="C5" s="22" t="n"/>
      <c r="D5" s="22" t="inlineStr">
        <is>
          <t>Carlos</t>
        </is>
      </c>
      <c r="E5" s="22" t="inlineStr">
        <is>
          <t>Fischer</t>
        </is>
      </c>
      <c r="F5" s="22" t="inlineStr">
        <is>
          <t>Vagalume</t>
        </is>
      </c>
      <c r="G5" s="23">
        <f>IF(F5&lt;&gt;"",F5,IF(AND(D5="",E5=""),"",TRIM(D5&amp;" "&amp;E5)))</f>
        <v/>
      </c>
      <c r="H5" s="22" t="n"/>
      <c r="I5" s="22" t="inlineStr">
        <is>
          <t>+34 674 880 282</t>
        </is>
      </c>
      <c r="J5" s="22" t="inlineStr">
        <is>
          <t>Curitiba-Brasil</t>
        </is>
      </c>
      <c r="K5" s="22" t="inlineStr">
        <is>
          <t>Mestre Coruja</t>
        </is>
      </c>
      <c r="L5" s="22" t="inlineStr">
        <is>
          <t>Marrom</t>
        </is>
      </c>
      <c r="M5" s="22" t="inlineStr">
        <is>
          <t>Masculino</t>
        </is>
      </c>
      <c r="N5" s="29" t="n">
        <v>30945</v>
      </c>
      <c r="O5" s="23">
        <f>IF(N5="","",DATEDIF(N5,TODAY(),"Y"))</f>
        <v/>
      </c>
      <c r="P5" s="23">
        <f>IF(O5="","",IF(O5&lt;=11,"Infantil",IF(O5&lt;=17,"Juvenil",IF(O5&lt;=44,"Adulto","Baobá"))))</f>
        <v/>
      </c>
      <c r="Q5" s="23">
        <f>IF(P5&lt;&gt;"Adulto","",IF(OR(L5="Marrom",L5="Marrom/Vermelha"),"A",IF(OR(L5="Roxa",L5="Roxa/Marrom"),"B",IF(OR(L5="Verde",L5="Verde/Roxa"),"C",IF(OR(L5="Azul",L5="Azul/Verde"),"D",IF(OR(L5="Laranja",L5="Laranja/Azul"),"E",IF(Y5="Sí","E","N/A")))))))</f>
        <v/>
      </c>
      <c r="R5" s="23">
        <f>IF(P5&lt;&gt;"Baobá","",IF(OR(L5="Laranja",L5="Laranja/Azul"),"Alumnos",IF(Y5="Sí","Alumnos","Graduados+")))</f>
        <v/>
      </c>
      <c r="S5" s="23">
        <f>IF(P5="","",IF(P5="Adulto",IF(OR(Q5="",Q5="N/A"),"⚠ Corda no compite Adulto",P5&amp;"-"&amp;Q5&amp;" · "&amp;M5),IF(P5="Baobá",IF(R5="","⚠ Sin clasificar Baobá",P5&amp;"-"&amp;R5&amp;" · "&amp;M5),IF(P5="Juvenil",IF(AND(OR(L5="Crua",L5="Crua/Amarela"),Y5&lt;&gt;"Sí"),"⚠ Juvenil necesita Amarela+",P5&amp;" · "&amp;M5),P5&amp;" · "&amp;M5))))</f>
        <v/>
      </c>
      <c r="T5" s="23" t="n"/>
      <c r="U5" s="22" t="inlineStr">
        <is>
          <t>Sí</t>
        </is>
      </c>
      <c r="V5" s="22" t="n"/>
      <c r="W5" s="22" t="n"/>
      <c r="X5" s="22" t="n"/>
      <c r="Y5" s="22" t="inlineStr">
        <is>
          <t>No</t>
        </is>
      </c>
      <c r="Z5" s="22" t="inlineStr">
        <is>
          <t>XS</t>
        </is>
      </c>
      <c r="AA5" s="22" t="n">
        <v>35</v>
      </c>
      <c r="AB5" s="22" t="inlineStr">
        <is>
          <t>Pagado</t>
        </is>
      </c>
      <c r="AC5" s="22" t="n"/>
      <c r="AD5" s="23">
        <f>IF(D5&lt;&gt;"","P"&amp;TEXT(ROW()-4,"0000"),"")</f>
        <v/>
      </c>
    </row>
    <row r="6" ht="14.25" customHeight="1" s="72">
      <c r="A6" s="22" t="inlineStr">
        <is>
          <t>2025-08-05 13:48:10</t>
        </is>
      </c>
      <c r="B6" s="22" t="n"/>
      <c r="C6" s="22" t="n"/>
      <c r="D6" s="22" t="inlineStr">
        <is>
          <t>Francisco</t>
        </is>
      </c>
      <c r="E6" s="22" t="inlineStr">
        <is>
          <t>Monteiro</t>
        </is>
      </c>
      <c r="F6" s="22" t="inlineStr">
        <is>
          <t>Joaninha</t>
        </is>
      </c>
      <c r="G6" s="23">
        <f>IF(F6&lt;&gt;"",F6,IF(AND(D6="",E6=""),"",TRIM(D6&amp;" "&amp;E6)))</f>
        <v/>
      </c>
      <c r="H6" s="22" t="n"/>
      <c r="I6" s="22" t="inlineStr">
        <is>
          <t>+34 610 713 431</t>
        </is>
      </c>
      <c r="J6" s="22" t="inlineStr">
        <is>
          <t>Bogotá-Colombia</t>
        </is>
      </c>
      <c r="K6" s="22" t="inlineStr">
        <is>
          <t>Mestre Bimba</t>
        </is>
      </c>
      <c r="L6" s="22" t="inlineStr">
        <is>
          <t>Marrom/Vermelha</t>
        </is>
      </c>
      <c r="M6" s="22" t="inlineStr">
        <is>
          <t>Masculino</t>
        </is>
      </c>
      <c r="N6" s="29" t="n">
        <v>37069</v>
      </c>
      <c r="O6" s="23">
        <f>IF(N6="","",DATEDIF(N6,TODAY(),"Y"))</f>
        <v/>
      </c>
      <c r="P6" s="23">
        <f>IF(O6="","",IF(O6&lt;=11,"Infantil",IF(O6&lt;=17,"Juvenil",IF(O6&lt;=44,"Adulto","Baobá"))))</f>
        <v/>
      </c>
      <c r="Q6" s="23">
        <f>IF(P6&lt;&gt;"Adulto","",IF(OR(L6="Marrom",L6="Marrom/Vermelha"),"A",IF(OR(L6="Roxa",L6="Roxa/Marrom"),"B",IF(OR(L6="Verde",L6="Verde/Roxa"),"C",IF(OR(L6="Azul",L6="Azul/Verde"),"D",IF(OR(L6="Laranja",L6="Laranja/Azul"),"E",IF(Y6="Sí","E","N/A")))))))</f>
        <v/>
      </c>
      <c r="R6" s="23">
        <f>IF(P6&lt;&gt;"Baobá","",IF(OR(L6="Laranja",L6="Laranja/Azul"),"Alumnos",IF(Y6="Sí","Alumnos","Graduados+")))</f>
        <v/>
      </c>
      <c r="S6" s="23">
        <f>IF(P6="","",IF(P6="Adulto",IF(OR(Q6="",Q6="N/A"),"⚠ Corda no compite Adulto",P6&amp;"-"&amp;Q6&amp;" · "&amp;M6),IF(P6="Baobá",IF(R6="","⚠ Sin clasificar Baobá",P6&amp;"-"&amp;R6&amp;" · "&amp;M6),IF(P6="Juvenil",IF(AND(OR(L6="Crua",L6="Crua/Amarela"),Y6&lt;&gt;"Sí"),"⚠ Juvenil necesita Amarela+",P6&amp;" · "&amp;M6),P6&amp;" · "&amp;M6))))</f>
        <v/>
      </c>
      <c r="T6" s="23" t="n"/>
      <c r="U6" s="22" t="inlineStr">
        <is>
          <t>Sí</t>
        </is>
      </c>
      <c r="V6" s="22" t="n"/>
      <c r="W6" s="22" t="n"/>
      <c r="X6" s="22" t="n"/>
      <c r="Y6" s="22" t="inlineStr">
        <is>
          <t>No</t>
        </is>
      </c>
      <c r="Z6" s="22" t="inlineStr">
        <is>
          <t>S</t>
        </is>
      </c>
      <c r="AA6" s="22" t="n">
        <v>35</v>
      </c>
      <c r="AB6" s="22" t="inlineStr">
        <is>
          <t>Pagado</t>
        </is>
      </c>
      <c r="AC6" s="22" t="n"/>
      <c r="AD6" s="23">
        <f>IF(D6&lt;&gt;"","P"&amp;TEXT(ROW()-4,"0000"),"")</f>
        <v/>
      </c>
    </row>
    <row r="7" ht="14.25" customHeight="1" s="72">
      <c r="A7" s="22" t="inlineStr">
        <is>
          <t>2025-09-08 08:15:56</t>
        </is>
      </c>
      <c r="B7" s="22" t="n"/>
      <c r="C7" s="22" t="n"/>
      <c r="D7" s="22" t="inlineStr">
        <is>
          <t>Fernando</t>
        </is>
      </c>
      <c r="E7" s="22" t="inlineStr">
        <is>
          <t>Rodrigues</t>
        </is>
      </c>
      <c r="F7" s="22" t="inlineStr">
        <is>
          <t>Jaguatirica</t>
        </is>
      </c>
      <c r="G7" s="23">
        <f>IF(F7&lt;&gt;"",F7,IF(AND(D7="",E7=""),"",TRIM(D7&amp;" "&amp;E7)))</f>
        <v/>
      </c>
      <c r="H7" s="22" t="n"/>
      <c r="I7" s="22" t="inlineStr">
        <is>
          <t>+34 620 849 597</t>
        </is>
      </c>
      <c r="J7" s="22" t="inlineStr">
        <is>
          <t>Recife-Brasil</t>
        </is>
      </c>
      <c r="K7" s="22" t="inlineStr">
        <is>
          <t>Professor Tatu</t>
        </is>
      </c>
      <c r="L7" s="22" t="inlineStr">
        <is>
          <t>Marrom</t>
        </is>
      </c>
      <c r="M7" s="22" t="inlineStr">
        <is>
          <t>Masculino</t>
        </is>
      </c>
      <c r="N7" s="29" t="n">
        <v>36607</v>
      </c>
      <c r="O7" s="23">
        <f>IF(N7="","",DATEDIF(N7,TODAY(),"Y"))</f>
        <v/>
      </c>
      <c r="P7" s="23">
        <f>IF(O7="","",IF(O7&lt;=11,"Infantil",IF(O7&lt;=17,"Juvenil",IF(O7&lt;=44,"Adulto","Baobá"))))</f>
        <v/>
      </c>
      <c r="Q7" s="23">
        <f>IF(P7&lt;&gt;"Adulto","",IF(OR(L7="Marrom",L7="Marrom/Vermelha"),"A",IF(OR(L7="Roxa",L7="Roxa/Marrom"),"B",IF(OR(L7="Verde",L7="Verde/Roxa"),"C",IF(OR(L7="Azul",L7="Azul/Verde"),"D",IF(OR(L7="Laranja",L7="Laranja/Azul"),"E",IF(Y7="Sí","E","N/A")))))))</f>
        <v/>
      </c>
      <c r="R7" s="23">
        <f>IF(P7&lt;&gt;"Baobá","",IF(OR(L7="Laranja",L7="Laranja/Azul"),"Alumnos",IF(Y7="Sí","Alumnos","Graduados+")))</f>
        <v/>
      </c>
      <c r="S7" s="23">
        <f>IF(P7="","",IF(P7="Adulto",IF(OR(Q7="",Q7="N/A"),"⚠ Corda no compite Adulto",P7&amp;"-"&amp;Q7&amp;" · "&amp;M7),IF(P7="Baobá",IF(R7="","⚠ Sin clasificar Baobá",P7&amp;"-"&amp;R7&amp;" · "&amp;M7),IF(P7="Juvenil",IF(AND(OR(L7="Crua",L7="Crua/Amarela"),Y7&lt;&gt;"Sí"),"⚠ Juvenil necesita Amarela+",P7&amp;" · "&amp;M7),P7&amp;" · "&amp;M7))))</f>
        <v/>
      </c>
      <c r="T7" s="23" t="n"/>
      <c r="U7" s="22" t="inlineStr">
        <is>
          <t>Sí</t>
        </is>
      </c>
      <c r="V7" s="22" t="n"/>
      <c r="W7" s="22" t="n"/>
      <c r="X7" s="22" t="n"/>
      <c r="Y7" s="22" t="inlineStr">
        <is>
          <t>No</t>
        </is>
      </c>
      <c r="Z7" s="22" t="inlineStr">
        <is>
          <t>M</t>
        </is>
      </c>
      <c r="AA7" s="22" t="n">
        <v>35</v>
      </c>
      <c r="AB7" s="22" t="inlineStr">
        <is>
          <t>Pagado</t>
        </is>
      </c>
      <c r="AC7" s="22" t="n"/>
      <c r="AD7" s="23">
        <f>IF(D7&lt;&gt;"","P"&amp;TEXT(ROW()-4,"0000"),"")</f>
        <v/>
      </c>
    </row>
    <row r="8" ht="14.25" customHeight="1" s="72">
      <c r="A8" s="22" t="inlineStr">
        <is>
          <t>2025-09-18 10:16:33</t>
        </is>
      </c>
      <c r="B8" s="22" t="n"/>
      <c r="C8" s="22" t="n"/>
      <c r="D8" s="22" t="inlineStr">
        <is>
          <t>Nicolas</t>
        </is>
      </c>
      <c r="E8" s="22" t="inlineStr">
        <is>
          <t>Robert</t>
        </is>
      </c>
      <c r="F8" s="22" t="inlineStr">
        <is>
          <t>Coelho</t>
        </is>
      </c>
      <c r="G8" s="23">
        <f>IF(F8&lt;&gt;"",F8,IF(AND(D8="",E8=""),"",TRIM(D8&amp;" "&amp;E8)))</f>
        <v/>
      </c>
      <c r="H8" s="22" t="n"/>
      <c r="I8" s="22" t="inlineStr">
        <is>
          <t>+34 637 652 873</t>
        </is>
      </c>
      <c r="J8" s="22" t="inlineStr">
        <is>
          <t>Bilbao-España</t>
        </is>
      </c>
      <c r="K8" s="22" t="inlineStr">
        <is>
          <t>Mestre Coruja</t>
        </is>
      </c>
      <c r="L8" s="22" t="inlineStr">
        <is>
          <t>Marrom/Vermelha</t>
        </is>
      </c>
      <c r="M8" s="22" t="inlineStr">
        <is>
          <t>Masculino</t>
        </is>
      </c>
      <c r="N8" s="29" t="n">
        <v>33929</v>
      </c>
      <c r="O8" s="23">
        <f>IF(N8="","",DATEDIF(N8,TODAY(),"Y"))</f>
        <v/>
      </c>
      <c r="P8" s="23">
        <f>IF(O8="","",IF(O8&lt;=11,"Infantil",IF(O8&lt;=17,"Juvenil",IF(O8&lt;=44,"Adulto","Baobá"))))</f>
        <v/>
      </c>
      <c r="Q8" s="23">
        <f>IF(P8&lt;&gt;"Adulto","",IF(OR(L8="Marrom",L8="Marrom/Vermelha"),"A",IF(OR(L8="Roxa",L8="Roxa/Marrom"),"B",IF(OR(L8="Verde",L8="Verde/Roxa"),"C",IF(OR(L8="Azul",L8="Azul/Verde"),"D",IF(OR(L8="Laranja",L8="Laranja/Azul"),"E",IF(Y8="Sí","E","N/A")))))))</f>
        <v/>
      </c>
      <c r="R8" s="23">
        <f>IF(P8&lt;&gt;"Baobá","",IF(OR(L8="Laranja",L8="Laranja/Azul"),"Alumnos",IF(Y8="Sí","Alumnos","Graduados+")))</f>
        <v/>
      </c>
      <c r="S8" s="23">
        <f>IF(P8="","",IF(P8="Adulto",IF(OR(Q8="",Q8="N/A"),"⚠ Corda no compite Adulto",P8&amp;"-"&amp;Q8&amp;" · "&amp;M8),IF(P8="Baobá",IF(R8="","⚠ Sin clasificar Baobá",P8&amp;"-"&amp;R8&amp;" · "&amp;M8),IF(P8="Juvenil",IF(AND(OR(L8="Crua",L8="Crua/Amarela"),Y8&lt;&gt;"Sí"),"⚠ Juvenil necesita Amarela+",P8&amp;" · "&amp;M8),P8&amp;" · "&amp;M8))))</f>
        <v/>
      </c>
      <c r="T8" s="23" t="n"/>
      <c r="U8" s="22" t="inlineStr">
        <is>
          <t>Sí</t>
        </is>
      </c>
      <c r="V8" s="22" t="n"/>
      <c r="W8" s="22" t="n"/>
      <c r="X8" s="22" t="n"/>
      <c r="Y8" s="22" t="inlineStr">
        <is>
          <t>No</t>
        </is>
      </c>
      <c r="Z8" s="22" t="inlineStr">
        <is>
          <t>L</t>
        </is>
      </c>
      <c r="AA8" s="22" t="n">
        <v>35</v>
      </c>
      <c r="AB8" s="22" t="inlineStr">
        <is>
          <t>Pagado</t>
        </is>
      </c>
      <c r="AC8" s="22" t="n"/>
      <c r="AD8" s="23">
        <f>IF(D8&lt;&gt;"","P"&amp;TEXT(ROW()-4,"0000"),"")</f>
        <v/>
      </c>
    </row>
    <row r="9" ht="14.25" customHeight="1" s="72">
      <c r="A9" s="22" t="inlineStr">
        <is>
          <t>2025-09-15 22:33:28</t>
        </is>
      </c>
      <c r="B9" s="22" t="n"/>
      <c r="C9" s="22" t="n"/>
      <c r="D9" s="22" t="inlineStr">
        <is>
          <t>Fábio</t>
        </is>
      </c>
      <c r="E9" s="22" t="inlineStr">
        <is>
          <t>Schmidt</t>
        </is>
      </c>
      <c r="F9" s="22" t="inlineStr">
        <is>
          <t>Veado</t>
        </is>
      </c>
      <c r="G9" s="23">
        <f>IF(F9&lt;&gt;"",F9,IF(AND(D9="",E9=""),"",TRIM(D9&amp;" "&amp;E9)))</f>
        <v/>
      </c>
      <c r="H9" s="22" t="n"/>
      <c r="I9" s="22" t="inlineStr">
        <is>
          <t>+34 638 165 446</t>
        </is>
      </c>
      <c r="J9" s="22" t="inlineStr">
        <is>
          <t>Rio de Janeiro-Brasil</t>
        </is>
      </c>
      <c r="K9" s="22" t="inlineStr">
        <is>
          <t>Mestre Urso</t>
        </is>
      </c>
      <c r="L9" s="22" t="inlineStr">
        <is>
          <t>Marrom/Vermelha</t>
        </is>
      </c>
      <c r="M9" s="22" t="inlineStr">
        <is>
          <t>Masculino</t>
        </is>
      </c>
      <c r="N9" s="29" t="n">
        <v>31886</v>
      </c>
      <c r="O9" s="23">
        <f>IF(N9="","",DATEDIF(N9,TODAY(),"Y"))</f>
        <v/>
      </c>
      <c r="P9" s="23">
        <f>IF(O9="","",IF(O9&lt;=11,"Infantil",IF(O9&lt;=17,"Juvenil",IF(O9&lt;=44,"Adulto","Baobá"))))</f>
        <v/>
      </c>
      <c r="Q9" s="23">
        <f>IF(P9&lt;&gt;"Adulto","",IF(OR(L9="Marrom",L9="Marrom/Vermelha"),"A",IF(OR(L9="Roxa",L9="Roxa/Marrom"),"B",IF(OR(L9="Verde",L9="Verde/Roxa"),"C",IF(OR(L9="Azul",L9="Azul/Verde"),"D",IF(OR(L9="Laranja",L9="Laranja/Azul"),"E",IF(Y9="Sí","E","N/A")))))))</f>
        <v/>
      </c>
      <c r="R9" s="23">
        <f>IF(P9&lt;&gt;"Baobá","",IF(OR(L9="Laranja",L9="Laranja/Azul"),"Alumnos",IF(Y9="Sí","Alumnos","Graduados+")))</f>
        <v/>
      </c>
      <c r="S9" s="23">
        <f>IF(P9="","",IF(P9="Adulto",IF(OR(Q9="",Q9="N/A"),"⚠ Corda no compite Adulto",P9&amp;"-"&amp;Q9&amp;" · "&amp;M9),IF(P9="Baobá",IF(R9="","⚠ Sin clasificar Baobá",P9&amp;"-"&amp;R9&amp;" · "&amp;M9),IF(P9="Juvenil",IF(AND(OR(L9="Crua",L9="Crua/Amarela"),Y9&lt;&gt;"Sí"),"⚠ Juvenil necesita Amarela+",P9&amp;" · "&amp;M9),P9&amp;" · "&amp;M9))))</f>
        <v/>
      </c>
      <c r="T9" s="23" t="n"/>
      <c r="U9" s="22" t="inlineStr">
        <is>
          <t>Sí</t>
        </is>
      </c>
      <c r="V9" s="22" t="n"/>
      <c r="W9" s="22" t="n"/>
      <c r="X9" s="22" t="n"/>
      <c r="Y9" s="22" t="inlineStr">
        <is>
          <t>No</t>
        </is>
      </c>
      <c r="Z9" s="22" t="inlineStr">
        <is>
          <t>XL</t>
        </is>
      </c>
      <c r="AA9" s="22" t="n">
        <v>35</v>
      </c>
      <c r="AB9" s="22" t="inlineStr">
        <is>
          <t>Pagado</t>
        </is>
      </c>
      <c r="AC9" s="22" t="n"/>
      <c r="AD9" s="23">
        <f>IF(D9&lt;&gt;"","P"&amp;TEXT(ROW()-4,"0000"),"")</f>
        <v/>
      </c>
    </row>
    <row r="10" ht="14.25" customHeight="1" s="72">
      <c r="A10" s="22" t="inlineStr">
        <is>
          <t>2025-08-01 09:45:40</t>
        </is>
      </c>
      <c r="B10" s="22" t="n"/>
      <c r="C10" s="22" t="n"/>
      <c r="D10" s="22" t="inlineStr">
        <is>
          <t>Pedro</t>
        </is>
      </c>
      <c r="E10" s="22" t="inlineStr">
        <is>
          <t>Ruiz</t>
        </is>
      </c>
      <c r="F10" s="22" t="inlineStr">
        <is>
          <t>Gato-Preto</t>
        </is>
      </c>
      <c r="G10" s="23">
        <f>IF(F10&lt;&gt;"",F10,IF(AND(D10="",E10=""),"",TRIM(D10&amp;" "&amp;E10)))</f>
        <v/>
      </c>
      <c r="H10" s="22" t="n"/>
      <c r="I10" s="22" t="inlineStr">
        <is>
          <t>+34 618 132 980</t>
        </is>
      </c>
      <c r="J10" s="22" t="inlineStr">
        <is>
          <t>Marseille-Francia</t>
        </is>
      </c>
      <c r="K10" s="22" t="inlineStr">
        <is>
          <t>Contra-Mestre Falcão</t>
        </is>
      </c>
      <c r="L10" s="22" t="inlineStr">
        <is>
          <t>Marrom/Vermelha</t>
        </is>
      </c>
      <c r="M10" s="22" t="inlineStr">
        <is>
          <t>Masculino</t>
        </is>
      </c>
      <c r="N10" s="29" t="n">
        <v>32242</v>
      </c>
      <c r="O10" s="23">
        <f>IF(N10="","",DATEDIF(N10,TODAY(),"Y"))</f>
        <v/>
      </c>
      <c r="P10" s="23">
        <f>IF(O10="","",IF(O10&lt;=11,"Infantil",IF(O10&lt;=17,"Juvenil",IF(O10&lt;=44,"Adulto","Baobá"))))</f>
        <v/>
      </c>
      <c r="Q10" s="23">
        <f>IF(P10&lt;&gt;"Adulto","",IF(OR(L10="Marrom",L10="Marrom/Vermelha"),"A",IF(OR(L10="Roxa",L10="Roxa/Marrom"),"B",IF(OR(L10="Verde",L10="Verde/Roxa"),"C",IF(OR(L10="Azul",L10="Azul/Verde"),"D",IF(OR(L10="Laranja",L10="Laranja/Azul"),"E",IF(Y10="Sí","E","N/A")))))))</f>
        <v/>
      </c>
      <c r="R10" s="23">
        <f>IF(P10&lt;&gt;"Baobá","",IF(OR(L10="Laranja",L10="Laranja/Azul"),"Alumnos",IF(Y10="Sí","Alumnos","Graduados+")))</f>
        <v/>
      </c>
      <c r="S10" s="23">
        <f>IF(P10="","",IF(P10="Adulto",IF(OR(Q10="",Q10="N/A"),"⚠ Corda no compite Adulto",P10&amp;"-"&amp;Q10&amp;" · "&amp;M10),IF(P10="Baobá",IF(R10="","⚠ Sin clasificar Baobá",P10&amp;"-"&amp;R10&amp;" · "&amp;M10),IF(P10="Juvenil",IF(AND(OR(L10="Crua",L10="Crua/Amarela"),Y10&lt;&gt;"Sí"),"⚠ Juvenil necesita Amarela+",P10&amp;" · "&amp;M10),P10&amp;" · "&amp;M10))))</f>
        <v/>
      </c>
      <c r="T10" s="23" t="n"/>
      <c r="U10" s="22" t="inlineStr">
        <is>
          <t>Sí</t>
        </is>
      </c>
      <c r="V10" s="22" t="n"/>
      <c r="W10" s="22" t="n"/>
      <c r="X10" s="22" t="n"/>
      <c r="Y10" s="22" t="inlineStr">
        <is>
          <t>No</t>
        </is>
      </c>
      <c r="Z10" s="22" t="inlineStr">
        <is>
          <t>XXL</t>
        </is>
      </c>
      <c r="AA10" s="22" t="n">
        <v>35</v>
      </c>
      <c r="AB10" s="22" t="inlineStr">
        <is>
          <t>Pagado</t>
        </is>
      </c>
      <c r="AC10" s="22" t="n"/>
      <c r="AD10" s="23">
        <f>IF(D10&lt;&gt;"","P"&amp;TEXT(ROW()-4,"0000"),"")</f>
        <v/>
      </c>
    </row>
    <row r="11" ht="14.25" customHeight="1" s="72">
      <c r="A11" s="22" t="inlineStr">
        <is>
          <t>2025-10-16 11:34:08</t>
        </is>
      </c>
      <c r="B11" s="22" t="n"/>
      <c r="C11" s="22" t="n"/>
      <c r="D11" s="22" t="inlineStr">
        <is>
          <t>Matteo</t>
        </is>
      </c>
      <c r="E11" s="22" t="inlineStr">
        <is>
          <t>Fernandes</t>
        </is>
      </c>
      <c r="F11" s="22" t="inlineStr">
        <is>
          <t>Coruja</t>
        </is>
      </c>
      <c r="G11" s="23">
        <f>IF(F11&lt;&gt;"",F11,IF(AND(D11="",E11=""),"",TRIM(D11&amp;" "&amp;E11)))</f>
        <v/>
      </c>
      <c r="H11" s="22" t="n"/>
      <c r="I11" s="22" t="inlineStr">
        <is>
          <t>+34 641 903 584</t>
        </is>
      </c>
      <c r="J11" s="22" t="inlineStr">
        <is>
          <t>Milán-Italia</t>
        </is>
      </c>
      <c r="K11" s="22" t="inlineStr">
        <is>
          <t>Contra-Mestre Arara</t>
        </is>
      </c>
      <c r="L11" s="22" t="inlineStr">
        <is>
          <t>Marrom</t>
        </is>
      </c>
      <c r="M11" s="22" t="inlineStr">
        <is>
          <t>Masculino</t>
        </is>
      </c>
      <c r="N11" s="29" t="n">
        <v>36944</v>
      </c>
      <c r="O11" s="23">
        <f>IF(N11="","",DATEDIF(N11,TODAY(),"Y"))</f>
        <v/>
      </c>
      <c r="P11" s="23">
        <f>IF(O11="","",IF(O11&lt;=11,"Infantil",IF(O11&lt;=17,"Juvenil",IF(O11&lt;=44,"Adulto","Baobá"))))</f>
        <v/>
      </c>
      <c r="Q11" s="23">
        <f>IF(P11&lt;&gt;"Adulto","",IF(OR(L11="Marrom",L11="Marrom/Vermelha"),"A",IF(OR(L11="Roxa",L11="Roxa/Marrom"),"B",IF(OR(L11="Verde",L11="Verde/Roxa"),"C",IF(OR(L11="Azul",L11="Azul/Verde"),"D",IF(OR(L11="Laranja",L11="Laranja/Azul"),"E",IF(Y11="Sí","E","N/A")))))))</f>
        <v/>
      </c>
      <c r="R11" s="23">
        <f>IF(P11&lt;&gt;"Baobá","",IF(OR(L11="Laranja",L11="Laranja/Azul"),"Alumnos",IF(Y11="Sí","Alumnos","Graduados+")))</f>
        <v/>
      </c>
      <c r="S11" s="23">
        <f>IF(P11="","",IF(P11="Adulto",IF(OR(Q11="",Q11="N/A"),"⚠ Corda no compite Adulto",P11&amp;"-"&amp;Q11&amp;" · "&amp;M11),IF(P11="Baobá",IF(R11="","⚠ Sin clasificar Baobá",P11&amp;"-"&amp;R11&amp;" · "&amp;M11),IF(P11="Juvenil",IF(AND(OR(L11="Crua",L11="Crua/Amarela"),Y11&lt;&gt;"Sí"),"⚠ Juvenil necesita Amarela+",P11&amp;" · "&amp;M11),P11&amp;" · "&amp;M11))))</f>
        <v/>
      </c>
      <c r="T11" s="23" t="n"/>
      <c r="U11" s="22" t="inlineStr">
        <is>
          <t>Sí</t>
        </is>
      </c>
      <c r="V11" s="22" t="n"/>
      <c r="W11" s="22" t="n"/>
      <c r="X11" s="22" t="n"/>
      <c r="Y11" s="22" t="inlineStr">
        <is>
          <t>No</t>
        </is>
      </c>
      <c r="Z11" s="22" t="inlineStr">
        <is>
          <t>XS</t>
        </is>
      </c>
      <c r="AA11" s="22" t="n">
        <v>35</v>
      </c>
      <c r="AB11" s="22" t="inlineStr">
        <is>
          <t>Pagado</t>
        </is>
      </c>
      <c r="AC11" s="22" t="n"/>
      <c r="AD11" s="23">
        <f>IF(D11&lt;&gt;"","P"&amp;TEXT(ROW()-4,"0000"),"")</f>
        <v/>
      </c>
    </row>
    <row r="12" ht="14.25" customHeight="1" s="72">
      <c r="A12" s="22" t="inlineStr">
        <is>
          <t>2025-09-12 14:26:29</t>
        </is>
      </c>
      <c r="B12" s="22" t="n"/>
      <c r="C12" s="22" t="n"/>
      <c r="D12" s="22" t="inlineStr">
        <is>
          <t>Matteo</t>
        </is>
      </c>
      <c r="E12" s="22" t="inlineStr">
        <is>
          <t>Ferreira</t>
        </is>
      </c>
      <c r="F12" s="22" t="inlineStr">
        <is>
          <t>Boto</t>
        </is>
      </c>
      <c r="G12" s="23">
        <f>IF(F12&lt;&gt;"",F12,IF(AND(D12="",E12=""),"",TRIM(D12&amp;" "&amp;E12)))</f>
        <v/>
      </c>
      <c r="H12" s="22" t="n"/>
      <c r="I12" s="22" t="inlineStr">
        <is>
          <t>+34 696 769 761</t>
        </is>
      </c>
      <c r="J12" s="22" t="inlineStr">
        <is>
          <t>Curitiba-Brasil</t>
        </is>
      </c>
      <c r="K12" s="22" t="inlineStr">
        <is>
          <t>Mestre Pastinha</t>
        </is>
      </c>
      <c r="L12" s="22" t="inlineStr">
        <is>
          <t>Marrom/Vermelha</t>
        </is>
      </c>
      <c r="M12" s="22" t="inlineStr">
        <is>
          <t>Masculino</t>
        </is>
      </c>
      <c r="N12" s="29" t="n">
        <v>33949</v>
      </c>
      <c r="O12" s="23">
        <f>IF(N12="","",DATEDIF(N12,TODAY(),"Y"))</f>
        <v/>
      </c>
      <c r="P12" s="23">
        <f>IF(O12="","",IF(O12&lt;=11,"Infantil",IF(O12&lt;=17,"Juvenil",IF(O12&lt;=44,"Adulto","Baobá"))))</f>
        <v/>
      </c>
      <c r="Q12" s="23">
        <f>IF(P12&lt;&gt;"Adulto","",IF(OR(L12="Marrom",L12="Marrom/Vermelha"),"A",IF(OR(L12="Roxa",L12="Roxa/Marrom"),"B",IF(OR(L12="Verde",L12="Verde/Roxa"),"C",IF(OR(L12="Azul",L12="Azul/Verde"),"D",IF(OR(L12="Laranja",L12="Laranja/Azul"),"E",IF(Y12="Sí","E","N/A")))))))</f>
        <v/>
      </c>
      <c r="R12" s="23">
        <f>IF(P12&lt;&gt;"Baobá","",IF(OR(L12="Laranja",L12="Laranja/Azul"),"Alumnos",IF(Y12="Sí","Alumnos","Graduados+")))</f>
        <v/>
      </c>
      <c r="S12" s="23">
        <f>IF(P12="","",IF(P12="Adulto",IF(OR(Q12="",Q12="N/A"),"⚠ Corda no compite Adulto",P12&amp;"-"&amp;Q12&amp;" · "&amp;M12),IF(P12="Baobá",IF(R12="","⚠ Sin clasificar Baobá",P12&amp;"-"&amp;R12&amp;" · "&amp;M12),IF(P12="Juvenil",IF(AND(OR(L12="Crua",L12="Crua/Amarela"),Y12&lt;&gt;"Sí"),"⚠ Juvenil necesita Amarela+",P12&amp;" · "&amp;M12),P12&amp;" · "&amp;M12))))</f>
        <v/>
      </c>
      <c r="T12" s="23" t="n"/>
      <c r="U12" s="22" t="inlineStr">
        <is>
          <t>Sí</t>
        </is>
      </c>
      <c r="V12" s="22" t="n"/>
      <c r="W12" s="22" t="n"/>
      <c r="X12" s="22" t="n"/>
      <c r="Y12" s="22" t="inlineStr">
        <is>
          <t>No</t>
        </is>
      </c>
      <c r="Z12" s="22" t="inlineStr">
        <is>
          <t>S</t>
        </is>
      </c>
      <c r="AA12" s="22" t="n">
        <v>35</v>
      </c>
      <c r="AB12" s="22" t="inlineStr">
        <is>
          <t>Pagado</t>
        </is>
      </c>
      <c r="AC12" s="22" t="n"/>
      <c r="AD12" s="23">
        <f>IF(D12&lt;&gt;"","P"&amp;TEXT(ROW()-4,"0000"),"")</f>
        <v/>
      </c>
    </row>
    <row r="13" ht="14.25" customHeight="1" s="72">
      <c r="A13" s="22" t="inlineStr">
        <is>
          <t>2025-08-08 11:12:34</t>
        </is>
      </c>
      <c r="B13" s="22" t="n"/>
      <c r="C13" s="22" t="n"/>
      <c r="D13" s="22" t="inlineStr">
        <is>
          <t>Thiago</t>
        </is>
      </c>
      <c r="E13" s="22" t="inlineStr">
        <is>
          <t>Barbosa</t>
        </is>
      </c>
      <c r="F13" s="22" t="inlineStr">
        <is>
          <t>Gato</t>
        </is>
      </c>
      <c r="G13" s="23">
        <f>IF(F13&lt;&gt;"",F13,IF(AND(D13="",E13=""),"",TRIM(D13&amp;" "&amp;E13)))</f>
        <v/>
      </c>
      <c r="H13" s="22" t="n"/>
      <c r="I13" s="22" t="inlineStr">
        <is>
          <t>+34 664 287 385</t>
        </is>
      </c>
      <c r="J13" s="22" t="inlineStr">
        <is>
          <t>Montevideo-Uruguay</t>
        </is>
      </c>
      <c r="K13" s="22" t="inlineStr">
        <is>
          <t>Mestre Onça</t>
        </is>
      </c>
      <c r="L13" s="22" t="inlineStr">
        <is>
          <t>Marrom</t>
        </is>
      </c>
      <c r="M13" s="22" t="inlineStr">
        <is>
          <t>Masculino</t>
        </is>
      </c>
      <c r="N13" s="29" t="n">
        <v>37494</v>
      </c>
      <c r="O13" s="23">
        <f>IF(N13="","",DATEDIF(N13,TODAY(),"Y"))</f>
        <v/>
      </c>
      <c r="P13" s="23">
        <f>IF(O13="","",IF(O13&lt;=11,"Infantil",IF(O13&lt;=17,"Juvenil",IF(O13&lt;=44,"Adulto","Baobá"))))</f>
        <v/>
      </c>
      <c r="Q13" s="23">
        <f>IF(P13&lt;&gt;"Adulto","",IF(OR(L13="Marrom",L13="Marrom/Vermelha"),"A",IF(OR(L13="Roxa",L13="Roxa/Marrom"),"B",IF(OR(L13="Verde",L13="Verde/Roxa"),"C",IF(OR(L13="Azul",L13="Azul/Verde"),"D",IF(OR(L13="Laranja",L13="Laranja/Azul"),"E",IF(Y13="Sí","E","N/A")))))))</f>
        <v/>
      </c>
      <c r="R13" s="23">
        <f>IF(P13&lt;&gt;"Baobá","",IF(OR(L13="Laranja",L13="Laranja/Azul"),"Alumnos",IF(Y13="Sí","Alumnos","Graduados+")))</f>
        <v/>
      </c>
      <c r="S13" s="23">
        <f>IF(P13="","",IF(P13="Adulto",IF(OR(Q13="",Q13="N/A"),"⚠ Corda no compite Adulto",P13&amp;"-"&amp;Q13&amp;" · "&amp;M13),IF(P13="Baobá",IF(R13="","⚠ Sin clasificar Baobá",P13&amp;"-"&amp;R13&amp;" · "&amp;M13),IF(P13="Juvenil",IF(AND(OR(L13="Crua",L13="Crua/Amarela"),Y13&lt;&gt;"Sí"),"⚠ Juvenil necesita Amarela+",P13&amp;" · "&amp;M13),P13&amp;" · "&amp;M13))))</f>
        <v/>
      </c>
      <c r="T13" s="23" t="n"/>
      <c r="U13" s="22" t="inlineStr">
        <is>
          <t>Sí</t>
        </is>
      </c>
      <c r="V13" s="22" t="n"/>
      <c r="W13" s="22" t="n"/>
      <c r="X13" s="22" t="n"/>
      <c r="Y13" s="22" t="inlineStr">
        <is>
          <t>No</t>
        </is>
      </c>
      <c r="Z13" s="22" t="inlineStr">
        <is>
          <t>M</t>
        </is>
      </c>
      <c r="AA13" s="22" t="n">
        <v>35</v>
      </c>
      <c r="AB13" s="22" t="inlineStr">
        <is>
          <t>Pagado</t>
        </is>
      </c>
      <c r="AC13" s="22" t="n"/>
      <c r="AD13" s="23">
        <f>IF(D13&lt;&gt;"","P"&amp;TEXT(ROW()-4,"0000"),"")</f>
        <v/>
      </c>
    </row>
    <row r="14" ht="14.25" customHeight="1" s="72">
      <c r="A14" s="22" t="inlineStr">
        <is>
          <t>2025-10-04 08:41:34</t>
        </is>
      </c>
      <c r="B14" s="22" t="n"/>
      <c r="C14" s="22" t="n"/>
      <c r="D14" s="22" t="inlineStr">
        <is>
          <t>Carlos</t>
        </is>
      </c>
      <c r="E14" s="22" t="inlineStr">
        <is>
          <t>Martins</t>
        </is>
      </c>
      <c r="F14" s="22" t="inlineStr">
        <is>
          <t>Salamandra</t>
        </is>
      </c>
      <c r="G14" s="23">
        <f>IF(F14&lt;&gt;"",F14,IF(AND(D14="",E14=""),"",TRIM(D14&amp;" "&amp;E14)))</f>
        <v/>
      </c>
      <c r="H14" s="22" t="n"/>
      <c r="I14" s="22" t="inlineStr">
        <is>
          <t>+34 640 270 516</t>
        </is>
      </c>
      <c r="J14" s="22" t="inlineStr">
        <is>
          <t>Bogotá-Colombia</t>
        </is>
      </c>
      <c r="K14" s="22" t="inlineStr">
        <is>
          <t>Mestre Tartaruga</t>
        </is>
      </c>
      <c r="L14" s="22" t="inlineStr">
        <is>
          <t>Marrom</t>
        </is>
      </c>
      <c r="M14" s="22" t="inlineStr">
        <is>
          <t>Masculino</t>
        </is>
      </c>
      <c r="N14" s="29" t="n">
        <v>35978</v>
      </c>
      <c r="O14" s="23">
        <f>IF(N14="","",DATEDIF(N14,TODAY(),"Y"))</f>
        <v/>
      </c>
      <c r="P14" s="23">
        <f>IF(O14="","",IF(O14&lt;=11,"Infantil",IF(O14&lt;=17,"Juvenil",IF(O14&lt;=44,"Adulto","Baobá"))))</f>
        <v/>
      </c>
      <c r="Q14" s="23">
        <f>IF(P14&lt;&gt;"Adulto","",IF(OR(L14="Marrom",L14="Marrom/Vermelha"),"A",IF(OR(L14="Roxa",L14="Roxa/Marrom"),"B",IF(OR(L14="Verde",L14="Verde/Roxa"),"C",IF(OR(L14="Azul",L14="Azul/Verde"),"D",IF(OR(L14="Laranja",L14="Laranja/Azul"),"E",IF(Y14="Sí","E","N/A")))))))</f>
        <v/>
      </c>
      <c r="R14" s="23">
        <f>IF(P14&lt;&gt;"Baobá","",IF(OR(L14="Laranja",L14="Laranja/Azul"),"Alumnos",IF(Y14="Sí","Alumnos","Graduados+")))</f>
        <v/>
      </c>
      <c r="S14" s="23">
        <f>IF(P14="","",IF(P14="Adulto",IF(OR(Q14="",Q14="N/A"),"⚠ Corda no compite Adulto",P14&amp;"-"&amp;Q14&amp;" · "&amp;M14),IF(P14="Baobá",IF(R14="","⚠ Sin clasificar Baobá",P14&amp;"-"&amp;R14&amp;" · "&amp;M14),IF(P14="Juvenil",IF(AND(OR(L14="Crua",L14="Crua/Amarela"),Y14&lt;&gt;"Sí"),"⚠ Juvenil necesita Amarela+",P14&amp;" · "&amp;M14),P14&amp;" · "&amp;M14))))</f>
        <v/>
      </c>
      <c r="T14" s="23" t="n"/>
      <c r="U14" s="22" t="inlineStr">
        <is>
          <t>Sí</t>
        </is>
      </c>
      <c r="V14" s="22" t="n"/>
      <c r="W14" s="22" t="n"/>
      <c r="X14" s="22" t="n"/>
      <c r="Y14" s="22" t="inlineStr">
        <is>
          <t>No</t>
        </is>
      </c>
      <c r="Z14" s="22" t="inlineStr">
        <is>
          <t>L</t>
        </is>
      </c>
      <c r="AA14" s="22" t="n">
        <v>35</v>
      </c>
      <c r="AB14" s="22" t="inlineStr">
        <is>
          <t>Pagado</t>
        </is>
      </c>
      <c r="AC14" s="22" t="n"/>
      <c r="AD14" s="23">
        <f>IF(D14&lt;&gt;"","P"&amp;TEXT(ROW()-4,"0000"),"")</f>
        <v/>
      </c>
    </row>
    <row r="15" ht="14.25" customHeight="1" s="72">
      <c r="A15" s="22" t="inlineStr">
        <is>
          <t>2025-08-13 08:24:16</t>
        </is>
      </c>
      <c r="B15" s="22" t="n"/>
      <c r="C15" s="22" t="n"/>
      <c r="D15" s="22" t="inlineStr">
        <is>
          <t>Caio</t>
        </is>
      </c>
      <c r="E15" s="22" t="inlineStr">
        <is>
          <t>Wagner</t>
        </is>
      </c>
      <c r="F15" s="22" t="inlineStr">
        <is>
          <t>Cágado</t>
        </is>
      </c>
      <c r="G15" s="23">
        <f>IF(F15&lt;&gt;"",F15,IF(AND(D15="",E15=""),"",TRIM(D15&amp;" "&amp;E15)))</f>
        <v/>
      </c>
      <c r="H15" s="22" t="n"/>
      <c r="I15" s="22" t="inlineStr">
        <is>
          <t>+34 664 813 848</t>
        </is>
      </c>
      <c r="J15" s="22" t="inlineStr">
        <is>
          <t>Bogotá-Colombia</t>
        </is>
      </c>
      <c r="K15" s="22" t="inlineStr">
        <is>
          <t>Mestre Cobra</t>
        </is>
      </c>
      <c r="L15" s="22" t="inlineStr">
        <is>
          <t>Marrom/Vermelha</t>
        </is>
      </c>
      <c r="M15" s="22" t="inlineStr">
        <is>
          <t>Masculino</t>
        </is>
      </c>
      <c r="N15" s="29" t="n">
        <v>35922</v>
      </c>
      <c r="O15" s="23">
        <f>IF(N15="","",DATEDIF(N15,TODAY(),"Y"))</f>
        <v/>
      </c>
      <c r="P15" s="23">
        <f>IF(O15="","",IF(O15&lt;=11,"Infantil",IF(O15&lt;=17,"Juvenil",IF(O15&lt;=44,"Adulto","Baobá"))))</f>
        <v/>
      </c>
      <c r="Q15" s="23">
        <f>IF(P15&lt;&gt;"Adulto","",IF(OR(L15="Marrom",L15="Marrom/Vermelha"),"A",IF(OR(L15="Roxa",L15="Roxa/Marrom"),"B",IF(OR(L15="Verde",L15="Verde/Roxa"),"C",IF(OR(L15="Azul",L15="Azul/Verde"),"D",IF(OR(L15="Laranja",L15="Laranja/Azul"),"E",IF(Y15="Sí","E","N/A")))))))</f>
        <v/>
      </c>
      <c r="R15" s="23">
        <f>IF(P15&lt;&gt;"Baobá","",IF(OR(L15="Laranja",L15="Laranja/Azul"),"Alumnos",IF(Y15="Sí","Alumnos","Graduados+")))</f>
        <v/>
      </c>
      <c r="S15" s="23">
        <f>IF(P15="","",IF(P15="Adulto",IF(OR(Q15="",Q15="N/A"),"⚠ Corda no compite Adulto",P15&amp;"-"&amp;Q15&amp;" · "&amp;M15),IF(P15="Baobá",IF(R15="","⚠ Sin clasificar Baobá",P15&amp;"-"&amp;R15&amp;" · "&amp;M15),IF(P15="Juvenil",IF(AND(OR(L15="Crua",L15="Crua/Amarela"),Y15&lt;&gt;"Sí"),"⚠ Juvenil necesita Amarela+",P15&amp;" · "&amp;M15),P15&amp;" · "&amp;M15))))</f>
        <v/>
      </c>
      <c r="T15" s="23" t="n"/>
      <c r="U15" s="22" t="inlineStr">
        <is>
          <t>Sí</t>
        </is>
      </c>
      <c r="V15" s="22" t="n"/>
      <c r="W15" s="22" t="n"/>
      <c r="X15" s="22" t="n"/>
      <c r="Y15" s="22" t="inlineStr">
        <is>
          <t>No</t>
        </is>
      </c>
      <c r="Z15" s="22" t="inlineStr">
        <is>
          <t>XL</t>
        </is>
      </c>
      <c r="AA15" s="22" t="n">
        <v>35</v>
      </c>
      <c r="AB15" s="22" t="inlineStr">
        <is>
          <t>Pagado</t>
        </is>
      </c>
      <c r="AC15" s="22" t="n"/>
      <c r="AD15" s="23">
        <f>IF(D15&lt;&gt;"","P"&amp;TEXT(ROW()-4,"0000"),"")</f>
        <v/>
      </c>
    </row>
    <row r="16" ht="14.25" customHeight="1" s="72">
      <c r="A16" s="22" t="inlineStr">
        <is>
          <t>2025-08-19 19:34:03</t>
        </is>
      </c>
      <c r="B16" s="22" t="n"/>
      <c r="C16" s="22" t="n"/>
      <c r="D16" s="22" t="inlineStr">
        <is>
          <t>Luca</t>
        </is>
      </c>
      <c r="E16" s="22" t="inlineStr">
        <is>
          <t>Rossi</t>
        </is>
      </c>
      <c r="F16" s="22" t="inlineStr">
        <is>
          <t>Tartaruga</t>
        </is>
      </c>
      <c r="G16" s="23">
        <f>IF(F16&lt;&gt;"",F16,IF(AND(D16="",E16=""),"",TRIM(D16&amp;" "&amp;E16)))</f>
        <v/>
      </c>
      <c r="H16" s="22" t="n"/>
      <c r="I16" s="22" t="inlineStr">
        <is>
          <t>+34 617 151 698</t>
        </is>
      </c>
      <c r="J16" s="22" t="inlineStr">
        <is>
          <t>Santiago-Chile</t>
        </is>
      </c>
      <c r="K16" s="22" t="inlineStr">
        <is>
          <t>Contra-Mestre Pomba</t>
        </is>
      </c>
      <c r="L16" s="22" t="inlineStr">
        <is>
          <t>Marrom/Vermelha</t>
        </is>
      </c>
      <c r="M16" s="22" t="inlineStr">
        <is>
          <t>Masculino</t>
        </is>
      </c>
      <c r="N16" s="29" t="n">
        <v>32204</v>
      </c>
      <c r="O16" s="23">
        <f>IF(N16="","",DATEDIF(N16,TODAY(),"Y"))</f>
        <v/>
      </c>
      <c r="P16" s="23">
        <f>IF(O16="","",IF(O16&lt;=11,"Infantil",IF(O16&lt;=17,"Juvenil",IF(O16&lt;=44,"Adulto","Baobá"))))</f>
        <v/>
      </c>
      <c r="Q16" s="23">
        <f>IF(P16&lt;&gt;"Adulto","",IF(OR(L16="Marrom",L16="Marrom/Vermelha"),"A",IF(OR(L16="Roxa",L16="Roxa/Marrom"),"B",IF(OR(L16="Verde",L16="Verde/Roxa"),"C",IF(OR(L16="Azul",L16="Azul/Verde"),"D",IF(OR(L16="Laranja",L16="Laranja/Azul"),"E",IF(Y16="Sí","E","N/A")))))))</f>
        <v/>
      </c>
      <c r="R16" s="23">
        <f>IF(P16&lt;&gt;"Baobá","",IF(OR(L16="Laranja",L16="Laranja/Azul"),"Alumnos",IF(Y16="Sí","Alumnos","Graduados+")))</f>
        <v/>
      </c>
      <c r="S16" s="23">
        <f>IF(P16="","",IF(P16="Adulto",IF(OR(Q16="",Q16="N/A"),"⚠ Corda no compite Adulto",P16&amp;"-"&amp;Q16&amp;" · "&amp;M16),IF(P16="Baobá",IF(R16="","⚠ Sin clasificar Baobá",P16&amp;"-"&amp;R16&amp;" · "&amp;M16),IF(P16="Juvenil",IF(AND(OR(L16="Crua",L16="Crua/Amarela"),Y16&lt;&gt;"Sí"),"⚠ Juvenil necesita Amarela+",P16&amp;" · "&amp;M16),P16&amp;" · "&amp;M16))))</f>
        <v/>
      </c>
      <c r="T16" s="23" t="n"/>
      <c r="U16" s="22" t="inlineStr">
        <is>
          <t>Sí</t>
        </is>
      </c>
      <c r="V16" s="22" t="n"/>
      <c r="W16" s="22" t="n"/>
      <c r="X16" s="22" t="n"/>
      <c r="Y16" s="22" t="inlineStr">
        <is>
          <t>No</t>
        </is>
      </c>
      <c r="Z16" s="22" t="inlineStr">
        <is>
          <t>XXL</t>
        </is>
      </c>
      <c r="AA16" s="22" t="n">
        <v>35</v>
      </c>
      <c r="AB16" s="22" t="inlineStr">
        <is>
          <t>Pagado</t>
        </is>
      </c>
      <c r="AC16" s="22" t="n"/>
      <c r="AD16" s="23">
        <f>IF(D16&lt;&gt;"","P"&amp;TEXT(ROW()-4,"0000"),"")</f>
        <v/>
      </c>
    </row>
    <row r="17" ht="14.25" customHeight="1" s="72">
      <c r="A17" s="22" t="inlineStr">
        <is>
          <t>2025-10-03 21:11:04</t>
        </is>
      </c>
      <c r="B17" s="22" t="n"/>
      <c r="C17" s="22" t="n"/>
      <c r="D17" s="22" t="inlineStr">
        <is>
          <t>Nicolas</t>
        </is>
      </c>
      <c r="E17" s="22" t="inlineStr">
        <is>
          <t>Ribeiro</t>
        </is>
      </c>
      <c r="F17" s="22" t="inlineStr">
        <is>
          <t>Capivara</t>
        </is>
      </c>
      <c r="G17" s="23">
        <f>IF(F17&lt;&gt;"",F17,IF(AND(D17="",E17=""),"",TRIM(D17&amp;" "&amp;E17)))</f>
        <v/>
      </c>
      <c r="H17" s="22" t="n"/>
      <c r="I17" s="22" t="inlineStr">
        <is>
          <t>+34 696 982 340</t>
        </is>
      </c>
      <c r="J17" s="22" t="inlineStr">
        <is>
          <t>Roma-Italia</t>
        </is>
      </c>
      <c r="K17" s="22" t="inlineStr">
        <is>
          <t>Professor Leão</t>
        </is>
      </c>
      <c r="L17" s="22" t="inlineStr">
        <is>
          <t>Marrom/Vermelha</t>
        </is>
      </c>
      <c r="M17" s="22" t="inlineStr">
        <is>
          <t>Masculino</t>
        </is>
      </c>
      <c r="N17" s="29" t="n">
        <v>31521</v>
      </c>
      <c r="O17" s="23">
        <f>IF(N17="","",DATEDIF(N17,TODAY(),"Y"))</f>
        <v/>
      </c>
      <c r="P17" s="23">
        <f>IF(O17="","",IF(O17&lt;=11,"Infantil",IF(O17&lt;=17,"Juvenil",IF(O17&lt;=44,"Adulto","Baobá"))))</f>
        <v/>
      </c>
      <c r="Q17" s="23">
        <f>IF(P17&lt;&gt;"Adulto","",IF(OR(L17="Marrom",L17="Marrom/Vermelha"),"A",IF(OR(L17="Roxa",L17="Roxa/Marrom"),"B",IF(OR(L17="Verde",L17="Verde/Roxa"),"C",IF(OR(L17="Azul",L17="Azul/Verde"),"D",IF(OR(L17="Laranja",L17="Laranja/Azul"),"E",IF(Y17="Sí","E","N/A")))))))</f>
        <v/>
      </c>
      <c r="R17" s="23">
        <f>IF(P17&lt;&gt;"Baobá","",IF(OR(L17="Laranja",L17="Laranja/Azul"),"Alumnos",IF(Y17="Sí","Alumnos","Graduados+")))</f>
        <v/>
      </c>
      <c r="S17" s="23">
        <f>IF(P17="","",IF(P17="Adulto",IF(OR(Q17="",Q17="N/A"),"⚠ Corda no compite Adulto",P17&amp;"-"&amp;Q17&amp;" · "&amp;M17),IF(P17="Baobá",IF(R17="","⚠ Sin clasificar Baobá",P17&amp;"-"&amp;R17&amp;" · "&amp;M17),IF(P17="Juvenil",IF(AND(OR(L17="Crua",L17="Crua/Amarela"),Y17&lt;&gt;"Sí"),"⚠ Juvenil necesita Amarela+",P17&amp;" · "&amp;M17),P17&amp;" · "&amp;M17))))</f>
        <v/>
      </c>
      <c r="T17" s="23" t="n"/>
      <c r="U17" s="22" t="inlineStr">
        <is>
          <t>Sí</t>
        </is>
      </c>
      <c r="V17" s="22" t="n"/>
      <c r="W17" s="22" t="n"/>
      <c r="X17" s="22" t="n"/>
      <c r="Y17" s="22" t="inlineStr">
        <is>
          <t>No</t>
        </is>
      </c>
      <c r="Z17" s="22" t="inlineStr">
        <is>
          <t>XS</t>
        </is>
      </c>
      <c r="AA17" s="22" t="n">
        <v>35</v>
      </c>
      <c r="AB17" s="22" t="inlineStr">
        <is>
          <t>Pagado</t>
        </is>
      </c>
      <c r="AC17" s="22" t="n"/>
      <c r="AD17" s="23">
        <f>IF(D17&lt;&gt;"","P"&amp;TEXT(ROW()-4,"0000"),"")</f>
        <v/>
      </c>
    </row>
    <row r="18" ht="14.25" customHeight="1" s="72">
      <c r="A18" s="22" t="inlineStr">
        <is>
          <t>2025-10-02 17:05:26</t>
        </is>
      </c>
      <c r="B18" s="22" t="n"/>
      <c r="C18" s="22" t="n"/>
      <c r="D18" s="22" t="inlineStr">
        <is>
          <t>Julio</t>
        </is>
      </c>
      <c r="E18" s="22" t="inlineStr">
        <is>
          <t>Pires</t>
        </is>
      </c>
      <c r="F18" s="22" t="inlineStr">
        <is>
          <t>Gambá</t>
        </is>
      </c>
      <c r="G18" s="23">
        <f>IF(F18&lt;&gt;"",F18,IF(AND(D18="",E18=""),"",TRIM(D18&amp;" "&amp;E18)))</f>
        <v/>
      </c>
      <c r="H18" s="22" t="n"/>
      <c r="I18" s="22" t="inlineStr">
        <is>
          <t>+34 650 367 309</t>
        </is>
      </c>
      <c r="J18" s="22" t="inlineStr">
        <is>
          <t>Lyon-Francia</t>
        </is>
      </c>
      <c r="K18" s="22" t="inlineStr">
        <is>
          <t>Mestre Onça</t>
        </is>
      </c>
      <c r="L18" s="22" t="inlineStr">
        <is>
          <t>Marrom/Vermelha</t>
        </is>
      </c>
      <c r="M18" s="22" t="inlineStr">
        <is>
          <t>Masculino</t>
        </is>
      </c>
      <c r="N18" s="29" t="n">
        <v>35251</v>
      </c>
      <c r="O18" s="23">
        <f>IF(N18="","",DATEDIF(N18,TODAY(),"Y"))</f>
        <v/>
      </c>
      <c r="P18" s="23">
        <f>IF(O18="","",IF(O18&lt;=11,"Infantil",IF(O18&lt;=17,"Juvenil",IF(O18&lt;=44,"Adulto","Baobá"))))</f>
        <v/>
      </c>
      <c r="Q18" s="23">
        <f>IF(P18&lt;&gt;"Adulto","",IF(OR(L18="Marrom",L18="Marrom/Vermelha"),"A",IF(OR(L18="Roxa",L18="Roxa/Marrom"),"B",IF(OR(L18="Verde",L18="Verde/Roxa"),"C",IF(OR(L18="Azul",L18="Azul/Verde"),"D",IF(OR(L18="Laranja",L18="Laranja/Azul"),"E",IF(Y18="Sí","E","N/A")))))))</f>
        <v/>
      </c>
      <c r="R18" s="23">
        <f>IF(P18&lt;&gt;"Baobá","",IF(OR(L18="Laranja",L18="Laranja/Azul"),"Alumnos",IF(Y18="Sí","Alumnos","Graduados+")))</f>
        <v/>
      </c>
      <c r="S18" s="23">
        <f>IF(P18="","",IF(P18="Adulto",IF(OR(Q18="",Q18="N/A"),"⚠ Corda no compite Adulto",P18&amp;"-"&amp;Q18&amp;" · "&amp;M18),IF(P18="Baobá",IF(R18="","⚠ Sin clasificar Baobá",P18&amp;"-"&amp;R18&amp;" · "&amp;M18),IF(P18="Juvenil",IF(AND(OR(L18="Crua",L18="Crua/Amarela"),Y18&lt;&gt;"Sí"),"⚠ Juvenil necesita Amarela+",P18&amp;" · "&amp;M18),P18&amp;" · "&amp;M18))))</f>
        <v/>
      </c>
      <c r="T18" s="23" t="n"/>
      <c r="U18" s="22" t="inlineStr">
        <is>
          <t>Sí</t>
        </is>
      </c>
      <c r="V18" s="22" t="n"/>
      <c r="W18" s="22" t="n"/>
      <c r="X18" s="22" t="n"/>
      <c r="Y18" s="22" t="inlineStr">
        <is>
          <t>No</t>
        </is>
      </c>
      <c r="Z18" s="22" t="inlineStr">
        <is>
          <t>S</t>
        </is>
      </c>
      <c r="AA18" s="22" t="n">
        <v>35</v>
      </c>
      <c r="AB18" s="22" t="inlineStr">
        <is>
          <t>Pagado</t>
        </is>
      </c>
      <c r="AC18" s="22" t="n"/>
      <c r="AD18" s="23">
        <f>IF(D18&lt;&gt;"","P"&amp;TEXT(ROW()-4,"0000"),"")</f>
        <v/>
      </c>
    </row>
    <row r="19" ht="14.25" customHeight="1" s="72">
      <c r="A19" s="22" t="inlineStr">
        <is>
          <t>2025-10-21 12:29:20</t>
        </is>
      </c>
      <c r="B19" s="22" t="n"/>
      <c r="C19" s="22" t="n"/>
      <c r="D19" s="22" t="inlineStr">
        <is>
          <t>Antoine</t>
        </is>
      </c>
      <c r="E19" s="22" t="inlineStr">
        <is>
          <t>Lima</t>
        </is>
      </c>
      <c r="F19" s="22" t="inlineStr">
        <is>
          <t>Albatroz</t>
        </is>
      </c>
      <c r="G19" s="23">
        <f>IF(F19&lt;&gt;"",F19,IF(AND(D19="",E19=""),"",TRIM(D19&amp;" "&amp;E19)))</f>
        <v/>
      </c>
      <c r="H19" s="22" t="n"/>
      <c r="I19" s="22" t="inlineStr">
        <is>
          <t>+34 611 569 736</t>
        </is>
      </c>
      <c r="J19" s="22" t="inlineStr">
        <is>
          <t>Curitiba-Brasil</t>
        </is>
      </c>
      <c r="K19" s="22" t="inlineStr">
        <is>
          <t>Contra-Mestre Falcão</t>
        </is>
      </c>
      <c r="L19" s="22" t="inlineStr">
        <is>
          <t>Marrom</t>
        </is>
      </c>
      <c r="M19" s="22" t="inlineStr">
        <is>
          <t>Masculino</t>
        </is>
      </c>
      <c r="N19" s="29" t="n">
        <v>31884</v>
      </c>
      <c r="O19" s="23">
        <f>IF(N19="","",DATEDIF(N19,TODAY(),"Y"))</f>
        <v/>
      </c>
      <c r="P19" s="23">
        <f>IF(O19="","",IF(O19&lt;=11,"Infantil",IF(O19&lt;=17,"Juvenil",IF(O19&lt;=44,"Adulto","Baobá"))))</f>
        <v/>
      </c>
      <c r="Q19" s="23">
        <f>IF(P19&lt;&gt;"Adulto","",IF(OR(L19="Marrom",L19="Marrom/Vermelha"),"A",IF(OR(L19="Roxa",L19="Roxa/Marrom"),"B",IF(OR(L19="Verde",L19="Verde/Roxa"),"C",IF(OR(L19="Azul",L19="Azul/Verde"),"D",IF(OR(L19="Laranja",L19="Laranja/Azul"),"E",IF(Y19="Sí","E","N/A")))))))</f>
        <v/>
      </c>
      <c r="R19" s="23">
        <f>IF(P19&lt;&gt;"Baobá","",IF(OR(L19="Laranja",L19="Laranja/Azul"),"Alumnos",IF(Y19="Sí","Alumnos","Graduados+")))</f>
        <v/>
      </c>
      <c r="S19" s="23">
        <f>IF(P19="","",IF(P19="Adulto",IF(OR(Q19="",Q19="N/A"),"⚠ Corda no compite Adulto",P19&amp;"-"&amp;Q19&amp;" · "&amp;M19),IF(P19="Baobá",IF(R19="","⚠ Sin clasificar Baobá",P19&amp;"-"&amp;R19&amp;" · "&amp;M19),IF(P19="Juvenil",IF(AND(OR(L19="Crua",L19="Crua/Amarela"),Y19&lt;&gt;"Sí"),"⚠ Juvenil necesita Amarela+",P19&amp;" · "&amp;M19),P19&amp;" · "&amp;M19))))</f>
        <v/>
      </c>
      <c r="T19" s="23" t="n"/>
      <c r="U19" s="22" t="inlineStr">
        <is>
          <t>Sí</t>
        </is>
      </c>
      <c r="V19" s="22" t="n"/>
      <c r="W19" s="22" t="n"/>
      <c r="X19" s="22" t="n"/>
      <c r="Y19" s="22" t="inlineStr">
        <is>
          <t>No</t>
        </is>
      </c>
      <c r="Z19" s="22" t="inlineStr">
        <is>
          <t>M</t>
        </is>
      </c>
      <c r="AA19" s="22" t="n">
        <v>35</v>
      </c>
      <c r="AB19" s="22" t="inlineStr">
        <is>
          <t>Pagado</t>
        </is>
      </c>
      <c r="AC19" s="22" t="n"/>
      <c r="AD19" s="23">
        <f>IF(D19&lt;&gt;"","P"&amp;TEXT(ROW()-4,"0000"),"")</f>
        <v/>
      </c>
    </row>
    <row r="20" ht="14.25" customHeight="1" s="72">
      <c r="A20" s="22" t="inlineStr">
        <is>
          <t>2025-09-05 22:22:56</t>
        </is>
      </c>
      <c r="B20" s="22" t="n"/>
      <c r="C20" s="22" t="n"/>
      <c r="D20" s="22" t="inlineStr">
        <is>
          <t>André</t>
        </is>
      </c>
      <c r="E20" s="22" t="inlineStr">
        <is>
          <t>Schmidt</t>
        </is>
      </c>
      <c r="F20" s="22" t="inlineStr">
        <is>
          <t>Centopeia</t>
        </is>
      </c>
      <c r="G20" s="23">
        <f>IF(F20&lt;&gt;"",F20,IF(AND(D20="",E20=""),"",TRIM(D20&amp;" "&amp;E20)))</f>
        <v/>
      </c>
      <c r="H20" s="22" t="n"/>
      <c r="I20" s="22" t="inlineStr">
        <is>
          <t>+34 657 391 261</t>
        </is>
      </c>
      <c r="J20" s="22" t="inlineStr">
        <is>
          <t>Buenos Aires-Argentina</t>
        </is>
      </c>
      <c r="K20" s="22" t="inlineStr">
        <is>
          <t>Professor Tatu</t>
        </is>
      </c>
      <c r="L20" s="22" t="inlineStr">
        <is>
          <t>Marrom</t>
        </is>
      </c>
      <c r="M20" s="22" t="inlineStr">
        <is>
          <t>Masculino</t>
        </is>
      </c>
      <c r="N20" s="78" t="n">
        <v>30091</v>
      </c>
      <c r="O20" s="23">
        <f>IF(N20="","",DATEDIF(N20,TODAY(),"Y"))</f>
        <v/>
      </c>
      <c r="P20" s="23">
        <f>IF(O20="","",IF(O20&lt;=11,"Infantil",IF(O20&lt;=17,"Juvenil",IF(O20&lt;=44,"Adulto","Baobá"))))</f>
        <v/>
      </c>
      <c r="Q20" s="23">
        <f>IF(P20&lt;&gt;"Adulto","",IF(OR(L20="Marrom",L20="Marrom/Vermelha"),"A",IF(OR(L20="Roxa",L20="Roxa/Marrom"),"B",IF(OR(L20="Verde",L20="Verde/Roxa"),"C",IF(OR(L20="Azul",L20="Azul/Verde"),"D",IF(OR(L20="Laranja",L20="Laranja/Azul"),"E",IF(Y20="Sí","E","N/A")))))))</f>
        <v/>
      </c>
      <c r="R20" s="23">
        <f>IF(P20&lt;&gt;"Baobá","",IF(OR(L20="Laranja",L20="Laranja/Azul"),"Alumnos",IF(Y20="Sí","Alumnos","Graduados+")))</f>
        <v/>
      </c>
      <c r="S20" s="23">
        <f>IF(P20="","",IF(P20="Adulto",IF(OR(Q20="",Q20="N/A"),"⚠ Corda no compite Adulto",P20&amp;"-"&amp;Q20&amp;" · "&amp;M20),IF(P20="Baobá",IF(R20="","⚠ Sin clasificar Baobá",P20&amp;"-"&amp;R20&amp;" · "&amp;M20),IF(P20="Juvenil",IF(AND(OR(L20="Crua",L20="Crua/Amarela"),Y20&lt;&gt;"Sí"),"⚠ Juvenil necesita Amarela+",P20&amp;" · "&amp;M20),P20&amp;" · "&amp;M20))))</f>
        <v/>
      </c>
      <c r="T20" s="23" t="n"/>
      <c r="U20" s="22" t="inlineStr">
        <is>
          <t>Sí</t>
        </is>
      </c>
      <c r="V20" s="22" t="n"/>
      <c r="W20" s="22" t="n"/>
      <c r="X20" s="22" t="n"/>
      <c r="Y20" s="22" t="inlineStr">
        <is>
          <t>No</t>
        </is>
      </c>
      <c r="Z20" s="22" t="inlineStr">
        <is>
          <t>L</t>
        </is>
      </c>
      <c r="AA20" s="22" t="n">
        <v>35</v>
      </c>
      <c r="AB20" s="22" t="inlineStr">
        <is>
          <t>Pagado</t>
        </is>
      </c>
      <c r="AC20" s="22" t="n"/>
      <c r="AD20" s="23">
        <f>IF(D20&lt;&gt;"","P"&amp;TEXT(ROW()-4,"0000"),"")</f>
        <v/>
      </c>
    </row>
    <row r="21" ht="14.25" customHeight="1" s="72">
      <c r="A21" s="22" t="inlineStr">
        <is>
          <t>2025-10-17 08:42:52</t>
        </is>
      </c>
      <c r="B21" s="22" t="n"/>
      <c r="C21" s="22" t="n"/>
      <c r="D21" s="22" t="inlineStr">
        <is>
          <t>Luisa</t>
        </is>
      </c>
      <c r="E21" s="22" t="inlineStr">
        <is>
          <t>Hoffmann</t>
        </is>
      </c>
      <c r="F21" s="22" t="inlineStr">
        <is>
          <t>Mariposa</t>
        </is>
      </c>
      <c r="G21" s="23">
        <f>IF(F21&lt;&gt;"",F21,IF(AND(D21="",E21=""),"",TRIM(D21&amp;" "&amp;E21)))</f>
        <v/>
      </c>
      <c r="H21" s="22" t="n"/>
      <c r="I21" s="22" t="inlineStr">
        <is>
          <t>+34 694 206 999</t>
        </is>
      </c>
      <c r="J21" s="22" t="inlineStr">
        <is>
          <t>Brasília-Brasil</t>
        </is>
      </c>
      <c r="K21" s="22" t="inlineStr">
        <is>
          <t>Professor Tigre</t>
        </is>
      </c>
      <c r="L21" s="22" t="inlineStr">
        <is>
          <t>Marrom/Vermelha</t>
        </is>
      </c>
      <c r="M21" s="22" t="inlineStr">
        <is>
          <t>Femenino</t>
        </is>
      </c>
      <c r="N21" s="29" t="n">
        <v>36946</v>
      </c>
      <c r="O21" s="23">
        <f>IF(N21="","",DATEDIF(N21,TODAY(),"Y"))</f>
        <v/>
      </c>
      <c r="P21" s="23">
        <f>IF(O21="","",IF(O21&lt;=11,"Infantil",IF(O21&lt;=17,"Juvenil",IF(O21&lt;=44,"Adulto","Baobá"))))</f>
        <v/>
      </c>
      <c r="Q21" s="23">
        <f>IF(P21&lt;&gt;"Adulto","",IF(OR(L21="Marrom",L21="Marrom/Vermelha"),"A",IF(OR(L21="Roxa",L21="Roxa/Marrom"),"B",IF(OR(L21="Verde",L21="Verde/Roxa"),"C",IF(OR(L21="Azul",L21="Azul/Verde"),"D",IF(OR(L21="Laranja",L21="Laranja/Azul"),"E",IF(Y21="Sí","E","N/A")))))))</f>
        <v/>
      </c>
      <c r="R21" s="23">
        <f>IF(P21&lt;&gt;"Baobá","",IF(OR(L21="Laranja",L21="Laranja/Azul"),"Alumnos",IF(Y21="Sí","Alumnos","Graduados+")))</f>
        <v/>
      </c>
      <c r="S21" s="23">
        <f>IF(P21="","",IF(P21="Adulto",IF(OR(Q21="",Q21="N/A"),"⚠ Corda no compite Adulto",P21&amp;"-"&amp;Q21&amp;" · "&amp;M21),IF(P21="Baobá",IF(R21="","⚠ Sin clasificar Baobá",P21&amp;"-"&amp;R21&amp;" · "&amp;M21),IF(P21="Juvenil",IF(AND(OR(L21="Crua",L21="Crua/Amarela"),Y21&lt;&gt;"Sí"),"⚠ Juvenil necesita Amarela+",P21&amp;" · "&amp;M21),P21&amp;" · "&amp;M21))))</f>
        <v/>
      </c>
      <c r="T21" s="23" t="n"/>
      <c r="U21" s="22" t="inlineStr">
        <is>
          <t>Sí</t>
        </is>
      </c>
      <c r="V21" s="22" t="n"/>
      <c r="W21" s="22" t="n"/>
      <c r="X21" s="22" t="n"/>
      <c r="Y21" s="22" t="inlineStr">
        <is>
          <t>No</t>
        </is>
      </c>
      <c r="Z21" s="22" t="inlineStr">
        <is>
          <t>XL</t>
        </is>
      </c>
      <c r="AA21" s="22" t="n">
        <v>35</v>
      </c>
      <c r="AB21" s="22" t="inlineStr">
        <is>
          <t>Pagado</t>
        </is>
      </c>
      <c r="AC21" s="22" t="n"/>
      <c r="AD21" s="23">
        <f>IF(D21&lt;&gt;"","P"&amp;TEXT(ROW()-4,"0000"),"")</f>
        <v/>
      </c>
    </row>
    <row r="22" ht="14.25" customHeight="1" s="72">
      <c r="A22" s="22" t="inlineStr">
        <is>
          <t>2025-10-05 12:18:38</t>
        </is>
      </c>
      <c r="B22" s="22" t="n"/>
      <c r="C22" s="22" t="n"/>
      <c r="D22" s="22" t="inlineStr">
        <is>
          <t>Isabel</t>
        </is>
      </c>
      <c r="E22" s="22" t="inlineStr">
        <is>
          <t>Esposito</t>
        </is>
      </c>
      <c r="F22" s="22" t="inlineStr">
        <is>
          <t>Cachorro-do-Mato</t>
        </is>
      </c>
      <c r="G22" s="23">
        <f>IF(F22&lt;&gt;"",F22,IF(AND(D22="",E22=""),"",TRIM(D22&amp;" "&amp;E22)))</f>
        <v/>
      </c>
      <c r="H22" s="22" t="n"/>
      <c r="I22" s="22" t="inlineStr">
        <is>
          <t>+34 636 803 749</t>
        </is>
      </c>
      <c r="J22" s="22" t="inlineStr">
        <is>
          <t>Porto-Portugal</t>
        </is>
      </c>
      <c r="K22" s="22" t="inlineStr">
        <is>
          <t>Contra-Mestre Pomba</t>
        </is>
      </c>
      <c r="L22" s="22" t="inlineStr">
        <is>
          <t>Marrom</t>
        </is>
      </c>
      <c r="M22" s="22" t="inlineStr">
        <is>
          <t>Femenino</t>
        </is>
      </c>
      <c r="N22" s="29" t="n">
        <v>32656</v>
      </c>
      <c r="O22" s="23">
        <f>IF(N22="","",DATEDIF(N22,TODAY(),"Y"))</f>
        <v/>
      </c>
      <c r="P22" s="23">
        <f>IF(O22="","",IF(O22&lt;=11,"Infantil",IF(O22&lt;=17,"Juvenil",IF(O22&lt;=44,"Adulto","Baobá"))))</f>
        <v/>
      </c>
      <c r="Q22" s="23">
        <f>IF(P22&lt;&gt;"Adulto","",IF(OR(L22="Marrom",L22="Marrom/Vermelha"),"A",IF(OR(L22="Roxa",L22="Roxa/Marrom"),"B",IF(OR(L22="Verde",L22="Verde/Roxa"),"C",IF(OR(L22="Azul",L22="Azul/Verde"),"D",IF(OR(L22="Laranja",L22="Laranja/Azul"),"E",IF(Y22="Sí","E","N/A")))))))</f>
        <v/>
      </c>
      <c r="R22" s="23">
        <f>IF(P22&lt;&gt;"Baobá","",IF(OR(L22="Laranja",L22="Laranja/Azul"),"Alumnos",IF(Y22="Sí","Alumnos","Graduados+")))</f>
        <v/>
      </c>
      <c r="S22" s="23">
        <f>IF(P22="","",IF(P22="Adulto",IF(OR(Q22="",Q22="N/A"),"⚠ Corda no compite Adulto",P22&amp;"-"&amp;Q22&amp;" · "&amp;M22),IF(P22="Baobá",IF(R22="","⚠ Sin clasificar Baobá",P22&amp;"-"&amp;R22&amp;" · "&amp;M22),IF(P22="Juvenil",IF(AND(OR(L22="Crua",L22="Crua/Amarela"),Y22&lt;&gt;"Sí"),"⚠ Juvenil necesita Amarela+",P22&amp;" · "&amp;M22),P22&amp;" · "&amp;M22))))</f>
        <v/>
      </c>
      <c r="T22" s="23" t="n"/>
      <c r="U22" s="22" t="inlineStr">
        <is>
          <t>Sí</t>
        </is>
      </c>
      <c r="V22" s="22" t="n"/>
      <c r="W22" s="22" t="n"/>
      <c r="X22" s="22" t="n"/>
      <c r="Y22" s="22" t="inlineStr">
        <is>
          <t>No</t>
        </is>
      </c>
      <c r="Z22" s="22" t="inlineStr">
        <is>
          <t>XXL</t>
        </is>
      </c>
      <c r="AA22" s="22" t="n">
        <v>35</v>
      </c>
      <c r="AB22" s="22" t="inlineStr">
        <is>
          <t>Pagado</t>
        </is>
      </c>
      <c r="AC22" s="22" t="n"/>
      <c r="AD22" s="23">
        <f>IF(D22&lt;&gt;"","P"&amp;TEXT(ROW()-4,"0000"),"")</f>
        <v/>
      </c>
    </row>
    <row r="23" ht="14.25" customHeight="1" s="72">
      <c r="A23" s="22" t="inlineStr">
        <is>
          <t>2025-08-03 18:27:53</t>
        </is>
      </c>
      <c r="B23" s="22" t="n"/>
      <c r="C23" s="22" t="n"/>
      <c r="D23" s="22" t="inlineStr">
        <is>
          <t>Sara</t>
        </is>
      </c>
      <c r="E23" s="22" t="inlineStr">
        <is>
          <t>Costa</t>
        </is>
      </c>
      <c r="F23" s="22" t="inlineStr">
        <is>
          <t>Lagarto</t>
        </is>
      </c>
      <c r="G23" s="23">
        <f>IF(F23&lt;&gt;"",F23,IF(AND(D23="",E23=""),"",TRIM(D23&amp;" "&amp;E23)))</f>
        <v/>
      </c>
      <c r="H23" s="22" t="n"/>
      <c r="I23" s="22" t="inlineStr">
        <is>
          <t>+34 610 441 889</t>
        </is>
      </c>
      <c r="J23" s="22" t="inlineStr">
        <is>
          <t>Brasília-Brasil</t>
        </is>
      </c>
      <c r="K23" s="22" t="inlineStr">
        <is>
          <t>Professor Tigre</t>
        </is>
      </c>
      <c r="L23" s="22" t="inlineStr">
        <is>
          <t>Marrom</t>
        </is>
      </c>
      <c r="M23" s="22" t="inlineStr">
        <is>
          <t>Femenino</t>
        </is>
      </c>
      <c r="N23" s="29" t="n">
        <v>36509</v>
      </c>
      <c r="O23" s="23">
        <f>IF(N23="","",DATEDIF(N23,TODAY(),"Y"))</f>
        <v/>
      </c>
      <c r="P23" s="23">
        <f>IF(O23="","",IF(O23&lt;=11,"Infantil",IF(O23&lt;=17,"Juvenil",IF(O23&lt;=44,"Adulto","Baobá"))))</f>
        <v/>
      </c>
      <c r="Q23" s="23">
        <f>IF(P23&lt;&gt;"Adulto","",IF(OR(L23="Marrom",L23="Marrom/Vermelha"),"A",IF(OR(L23="Roxa",L23="Roxa/Marrom"),"B",IF(OR(L23="Verde",L23="Verde/Roxa"),"C",IF(OR(L23="Azul",L23="Azul/Verde"),"D",IF(OR(L23="Laranja",L23="Laranja/Azul"),"E",IF(Y23="Sí","E","N/A")))))))</f>
        <v/>
      </c>
      <c r="R23" s="23">
        <f>IF(P23&lt;&gt;"Baobá","",IF(OR(L23="Laranja",L23="Laranja/Azul"),"Alumnos",IF(Y23="Sí","Alumnos","Graduados+")))</f>
        <v/>
      </c>
      <c r="S23" s="23">
        <f>IF(P23="","",IF(P23="Adulto",IF(OR(Q23="",Q23="N/A"),"⚠ Corda no compite Adulto",P23&amp;"-"&amp;Q23&amp;" · "&amp;M23),IF(P23="Baobá",IF(R23="","⚠ Sin clasificar Baobá",P23&amp;"-"&amp;R23&amp;" · "&amp;M23),IF(P23="Juvenil",IF(AND(OR(L23="Crua",L23="Crua/Amarela"),Y23&lt;&gt;"Sí"),"⚠ Juvenil necesita Amarela+",P23&amp;" · "&amp;M23),P23&amp;" · "&amp;M23))))</f>
        <v/>
      </c>
      <c r="T23" s="23" t="n"/>
      <c r="U23" s="22" t="inlineStr">
        <is>
          <t>Sí</t>
        </is>
      </c>
      <c r="V23" s="22" t="n"/>
      <c r="W23" s="22" t="n"/>
      <c r="X23" s="22" t="n"/>
      <c r="Y23" s="22" t="inlineStr">
        <is>
          <t>No</t>
        </is>
      </c>
      <c r="Z23" s="22" t="inlineStr">
        <is>
          <t>XS</t>
        </is>
      </c>
      <c r="AA23" s="22" t="n">
        <v>35</v>
      </c>
      <c r="AB23" s="22" t="inlineStr">
        <is>
          <t>Pagado</t>
        </is>
      </c>
      <c r="AC23" s="22" t="n"/>
      <c r="AD23" s="23">
        <f>IF(D23&lt;&gt;"","P"&amp;TEXT(ROW()-4,"0000"),"")</f>
        <v/>
      </c>
    </row>
    <row r="24" ht="14.25" customHeight="1" s="72">
      <c r="A24" s="22" t="inlineStr">
        <is>
          <t>2025-10-23 14:35:00</t>
        </is>
      </c>
      <c r="B24" s="22" t="n"/>
      <c r="C24" s="22" t="n"/>
      <c r="D24" s="22" t="inlineStr">
        <is>
          <t>Mariana</t>
        </is>
      </c>
      <c r="E24" s="22" t="inlineStr">
        <is>
          <t>Lima</t>
        </is>
      </c>
      <c r="F24" s="22" t="inlineStr">
        <is>
          <t>Formiga</t>
        </is>
      </c>
      <c r="G24" s="23">
        <f>IF(F24&lt;&gt;"",F24,IF(AND(D24="",E24=""),"",TRIM(D24&amp;" "&amp;E24)))</f>
        <v/>
      </c>
      <c r="H24" s="22" t="n"/>
      <c r="I24" s="22" t="inlineStr">
        <is>
          <t>+34 698 252 658</t>
        </is>
      </c>
      <c r="J24" s="22" t="inlineStr">
        <is>
          <t>Salvador-Brasil</t>
        </is>
      </c>
      <c r="K24" s="22" t="inlineStr">
        <is>
          <t>Contra-Mestre Jabuti</t>
        </is>
      </c>
      <c r="L24" s="22" t="inlineStr">
        <is>
          <t>Marrom</t>
        </is>
      </c>
      <c r="M24" s="22" t="inlineStr">
        <is>
          <t>Femenino</t>
        </is>
      </c>
      <c r="N24" s="29" t="n">
        <v>31660</v>
      </c>
      <c r="O24" s="23">
        <f>IF(N24="","",DATEDIF(N24,TODAY(),"Y"))</f>
        <v/>
      </c>
      <c r="P24" s="23">
        <f>IF(O24="","",IF(O24&lt;=11,"Infantil",IF(O24&lt;=17,"Juvenil",IF(O24&lt;=44,"Adulto","Baobá"))))</f>
        <v/>
      </c>
      <c r="Q24" s="23">
        <f>IF(P24&lt;&gt;"Adulto","",IF(OR(L24="Marrom",L24="Marrom/Vermelha"),"A",IF(OR(L24="Roxa",L24="Roxa/Marrom"),"B",IF(OR(L24="Verde",L24="Verde/Roxa"),"C",IF(OR(L24="Azul",L24="Azul/Verde"),"D",IF(OR(L24="Laranja",L24="Laranja/Azul"),"E",IF(Y24="Sí","E","N/A")))))))</f>
        <v/>
      </c>
      <c r="R24" s="23">
        <f>IF(P24&lt;&gt;"Baobá","",IF(OR(L24="Laranja",L24="Laranja/Azul"),"Alumnos",IF(Y24="Sí","Alumnos","Graduados+")))</f>
        <v/>
      </c>
      <c r="S24" s="23">
        <f>IF(P24="","",IF(P24="Adulto",IF(OR(Q24="",Q24="N/A"),"⚠ Corda no compite Adulto",P24&amp;"-"&amp;Q24&amp;" · "&amp;M24),IF(P24="Baobá",IF(R24="","⚠ Sin clasificar Baobá",P24&amp;"-"&amp;R24&amp;" · "&amp;M24),IF(P24="Juvenil",IF(AND(OR(L24="Crua",L24="Crua/Amarela"),Y24&lt;&gt;"Sí"),"⚠ Juvenil necesita Amarela+",P24&amp;" · "&amp;M24),P24&amp;" · "&amp;M24))))</f>
        <v/>
      </c>
      <c r="T24" s="23" t="n"/>
      <c r="U24" s="22" t="inlineStr">
        <is>
          <t>Sí</t>
        </is>
      </c>
      <c r="V24" s="22" t="n"/>
      <c r="W24" s="22" t="n"/>
      <c r="X24" s="22" t="n"/>
      <c r="Y24" s="22" t="inlineStr">
        <is>
          <t>No</t>
        </is>
      </c>
      <c r="Z24" s="22" t="inlineStr">
        <is>
          <t>S</t>
        </is>
      </c>
      <c r="AA24" s="22" t="n">
        <v>35</v>
      </c>
      <c r="AB24" s="22" t="inlineStr">
        <is>
          <t>Pagado</t>
        </is>
      </c>
      <c r="AC24" s="22" t="n"/>
      <c r="AD24" s="23">
        <f>IF(D24&lt;&gt;"","P"&amp;TEXT(ROW()-4,"0000"),"")</f>
        <v/>
      </c>
    </row>
    <row r="25" ht="14.25" customHeight="1" s="72">
      <c r="A25" s="22" t="inlineStr">
        <is>
          <t>2025-09-05 08:19:23</t>
        </is>
      </c>
      <c r="B25" s="22" t="n"/>
      <c r="C25" s="22" t="n"/>
      <c r="D25" s="22" t="inlineStr">
        <is>
          <t>Beatriz</t>
        </is>
      </c>
      <c r="E25" s="22" t="inlineStr">
        <is>
          <t>Romano</t>
        </is>
      </c>
      <c r="F25" s="22" t="inlineStr">
        <is>
          <t>Peixe</t>
        </is>
      </c>
      <c r="G25" s="23">
        <f>IF(F25&lt;&gt;"",F25,IF(AND(D25="",E25=""),"",TRIM(D25&amp;" "&amp;E25)))</f>
        <v/>
      </c>
      <c r="H25" s="22" t="n"/>
      <c r="I25" s="22" t="inlineStr">
        <is>
          <t>+34 636 798 355</t>
        </is>
      </c>
      <c r="J25" s="22" t="inlineStr">
        <is>
          <t>Curitiba-Brasil</t>
        </is>
      </c>
      <c r="K25" s="22" t="inlineStr">
        <is>
          <t>Contra-Mestre Jabuti</t>
        </is>
      </c>
      <c r="L25" s="22" t="inlineStr">
        <is>
          <t>Marrom</t>
        </is>
      </c>
      <c r="M25" s="22" t="inlineStr">
        <is>
          <t>Femenino</t>
        </is>
      </c>
      <c r="N25" s="29" t="n">
        <v>31978</v>
      </c>
      <c r="O25" s="23">
        <f>IF(N25="","",DATEDIF(N25,TODAY(),"Y"))</f>
        <v/>
      </c>
      <c r="P25" s="23">
        <f>IF(O25="","",IF(O25&lt;=11,"Infantil",IF(O25&lt;=17,"Juvenil",IF(O25&lt;=44,"Adulto","Baobá"))))</f>
        <v/>
      </c>
      <c r="Q25" s="23">
        <f>IF(P25&lt;&gt;"Adulto","",IF(OR(L25="Marrom",L25="Marrom/Vermelha"),"A",IF(OR(L25="Roxa",L25="Roxa/Marrom"),"B",IF(OR(L25="Verde",L25="Verde/Roxa"),"C",IF(OR(L25="Azul",L25="Azul/Verde"),"D",IF(OR(L25="Laranja",L25="Laranja/Azul"),"E",IF(Y25="Sí","E","N/A")))))))</f>
        <v/>
      </c>
      <c r="R25" s="23">
        <f>IF(P25&lt;&gt;"Baobá","",IF(OR(L25="Laranja",L25="Laranja/Azul"),"Alumnos",IF(Y25="Sí","Alumnos","Graduados+")))</f>
        <v/>
      </c>
      <c r="S25" s="23">
        <f>IF(P25="","",IF(P25="Adulto",IF(OR(Q25="",Q25="N/A"),"⚠ Corda no compite Adulto",P25&amp;"-"&amp;Q25&amp;" · "&amp;M25),IF(P25="Baobá",IF(R25="","⚠ Sin clasificar Baobá",P25&amp;"-"&amp;R25&amp;" · "&amp;M25),IF(P25="Juvenil",IF(AND(OR(L25="Crua",L25="Crua/Amarela"),Y25&lt;&gt;"Sí"),"⚠ Juvenil necesita Amarela+",P25&amp;" · "&amp;M25),P25&amp;" · "&amp;M25))))</f>
        <v/>
      </c>
      <c r="T25" s="23" t="n"/>
      <c r="U25" s="22" t="inlineStr">
        <is>
          <t>Sí</t>
        </is>
      </c>
      <c r="V25" s="22" t="n"/>
      <c r="W25" s="22" t="n"/>
      <c r="X25" s="22" t="n"/>
      <c r="Y25" s="22" t="inlineStr">
        <is>
          <t>No</t>
        </is>
      </c>
      <c r="Z25" s="22" t="inlineStr">
        <is>
          <t>M</t>
        </is>
      </c>
      <c r="AA25" s="22" t="n">
        <v>35</v>
      </c>
      <c r="AB25" s="22" t="inlineStr">
        <is>
          <t>Pagado</t>
        </is>
      </c>
      <c r="AC25" s="22" t="n"/>
      <c r="AD25" s="23">
        <f>IF(D25&lt;&gt;"","P"&amp;TEXT(ROW()-4,"0000"),"")</f>
        <v/>
      </c>
    </row>
    <row r="26" ht="14.25" customHeight="1" s="72">
      <c r="A26" s="22" t="inlineStr">
        <is>
          <t>2025-10-05 22:59:15</t>
        </is>
      </c>
      <c r="B26" s="22" t="n"/>
      <c r="C26" s="22" t="n"/>
      <c r="D26" s="22" t="inlineStr">
        <is>
          <t>Valentina</t>
        </is>
      </c>
      <c r="E26" s="22" t="inlineStr">
        <is>
          <t>Martínez</t>
        </is>
      </c>
      <c r="F26" s="22" t="inlineStr">
        <is>
          <t>Falcão</t>
        </is>
      </c>
      <c r="G26" s="23">
        <f>IF(F26&lt;&gt;"",F26,IF(AND(D26="",E26=""),"",TRIM(D26&amp;" "&amp;E26)))</f>
        <v/>
      </c>
      <c r="H26" s="22" t="n"/>
      <c r="I26" s="22" t="inlineStr">
        <is>
          <t>+34 662 125 283</t>
        </is>
      </c>
      <c r="J26" s="22" t="inlineStr">
        <is>
          <t>Marseille-Francia</t>
        </is>
      </c>
      <c r="K26" s="22" t="inlineStr">
        <is>
          <t>Professor Macaco</t>
        </is>
      </c>
      <c r="L26" s="22" t="inlineStr">
        <is>
          <t>Marrom</t>
        </is>
      </c>
      <c r="M26" s="22" t="inlineStr">
        <is>
          <t>Femenino</t>
        </is>
      </c>
      <c r="N26" s="29" t="n">
        <v>30676</v>
      </c>
      <c r="O26" s="23">
        <f>IF(N26="","",DATEDIF(N26,TODAY(),"Y"))</f>
        <v/>
      </c>
      <c r="P26" s="23">
        <f>IF(O26="","",IF(O26&lt;=11,"Infantil",IF(O26&lt;=17,"Juvenil",IF(O26&lt;=44,"Adulto","Baobá"))))</f>
        <v/>
      </c>
      <c r="Q26" s="23">
        <f>IF(P26&lt;&gt;"Adulto","",IF(OR(L26="Marrom",L26="Marrom/Vermelha"),"A",IF(OR(L26="Roxa",L26="Roxa/Marrom"),"B",IF(OR(L26="Verde",L26="Verde/Roxa"),"C",IF(OR(L26="Azul",L26="Azul/Verde"),"D",IF(OR(L26="Laranja",L26="Laranja/Azul"),"E",IF(Y26="Sí","E","N/A")))))))</f>
        <v/>
      </c>
      <c r="R26" s="23">
        <f>IF(P26&lt;&gt;"Baobá","",IF(OR(L26="Laranja",L26="Laranja/Azul"),"Alumnos",IF(Y26="Sí","Alumnos","Graduados+")))</f>
        <v/>
      </c>
      <c r="S26" s="23">
        <f>IF(P26="","",IF(P26="Adulto",IF(OR(Q26="",Q26="N/A"),"⚠ Corda no compite Adulto",P26&amp;"-"&amp;Q26&amp;" · "&amp;M26),IF(P26="Baobá",IF(R26="","⚠ Sin clasificar Baobá",P26&amp;"-"&amp;R26&amp;" · "&amp;M26),IF(P26="Juvenil",IF(AND(OR(L26="Crua",L26="Crua/Amarela"),Y26&lt;&gt;"Sí"),"⚠ Juvenil necesita Amarela+",P26&amp;" · "&amp;M26),P26&amp;" · "&amp;M26))))</f>
        <v/>
      </c>
      <c r="T26" s="23" t="n"/>
      <c r="U26" s="22" t="inlineStr">
        <is>
          <t>Sí</t>
        </is>
      </c>
      <c r="V26" s="22" t="n"/>
      <c r="W26" s="22" t="n"/>
      <c r="X26" s="22" t="n"/>
      <c r="Y26" s="22" t="inlineStr">
        <is>
          <t>No</t>
        </is>
      </c>
      <c r="Z26" s="22" t="inlineStr">
        <is>
          <t>L</t>
        </is>
      </c>
      <c r="AA26" s="22" t="n">
        <v>35</v>
      </c>
      <c r="AB26" s="22" t="inlineStr">
        <is>
          <t>Pagado</t>
        </is>
      </c>
      <c r="AC26" s="22" t="n"/>
      <c r="AD26" s="23">
        <f>IF(D26&lt;&gt;"","P"&amp;TEXT(ROW()-4,"0000"),"")</f>
        <v/>
      </c>
    </row>
    <row r="27" ht="14.25" customHeight="1" s="72">
      <c r="A27" s="22" t="inlineStr">
        <is>
          <t>2025-08-09 10:50:44</t>
        </is>
      </c>
      <c r="B27" s="22" t="n"/>
      <c r="C27" s="22" t="n"/>
      <c r="D27" s="22" t="inlineStr">
        <is>
          <t>Lucia</t>
        </is>
      </c>
      <c r="E27" s="22" t="inlineStr">
        <is>
          <t>Marino</t>
        </is>
      </c>
      <c r="F27" s="22" t="inlineStr">
        <is>
          <t>Raia</t>
        </is>
      </c>
      <c r="G27" s="23">
        <f>IF(F27&lt;&gt;"",F27,IF(AND(D27="",E27=""),"",TRIM(D27&amp;" "&amp;E27)))</f>
        <v/>
      </c>
      <c r="H27" s="22" t="n"/>
      <c r="I27" s="22" t="inlineStr">
        <is>
          <t>+34 614 979 581</t>
        </is>
      </c>
      <c r="J27" s="22" t="inlineStr">
        <is>
          <t>Sevilla-España</t>
        </is>
      </c>
      <c r="K27" s="22" t="inlineStr">
        <is>
          <t>Contra-Mestre Arara</t>
        </is>
      </c>
      <c r="L27" s="22" t="inlineStr">
        <is>
          <t>Marrom/Vermelha</t>
        </is>
      </c>
      <c r="M27" s="22" t="inlineStr">
        <is>
          <t>Femenino</t>
        </is>
      </c>
      <c r="N27" s="29" t="n">
        <v>33034</v>
      </c>
      <c r="O27" s="23">
        <f>IF(N27="","",DATEDIF(N27,TODAY(),"Y"))</f>
        <v/>
      </c>
      <c r="P27" s="23">
        <f>IF(O27="","",IF(O27&lt;=11,"Infantil",IF(O27&lt;=17,"Juvenil",IF(O27&lt;=44,"Adulto","Baobá"))))</f>
        <v/>
      </c>
      <c r="Q27" s="23">
        <f>IF(P27&lt;&gt;"Adulto","",IF(OR(L27="Marrom",L27="Marrom/Vermelha"),"A",IF(OR(L27="Roxa",L27="Roxa/Marrom"),"B",IF(OR(L27="Verde",L27="Verde/Roxa"),"C",IF(OR(L27="Azul",L27="Azul/Verde"),"D",IF(OR(L27="Laranja",L27="Laranja/Azul"),"E",IF(Y27="Sí","E","N/A")))))))</f>
        <v/>
      </c>
      <c r="R27" s="23">
        <f>IF(P27&lt;&gt;"Baobá","",IF(OR(L27="Laranja",L27="Laranja/Azul"),"Alumnos",IF(Y27="Sí","Alumnos","Graduados+")))</f>
        <v/>
      </c>
      <c r="S27" s="23">
        <f>IF(P27="","",IF(P27="Adulto",IF(OR(Q27="",Q27="N/A"),"⚠ Corda no compite Adulto",P27&amp;"-"&amp;Q27&amp;" · "&amp;M27),IF(P27="Baobá",IF(R27="","⚠ Sin clasificar Baobá",P27&amp;"-"&amp;R27&amp;" · "&amp;M27),IF(P27="Juvenil",IF(AND(OR(L27="Crua",L27="Crua/Amarela"),Y27&lt;&gt;"Sí"),"⚠ Juvenil necesita Amarela+",P27&amp;" · "&amp;M27),P27&amp;" · "&amp;M27))))</f>
        <v/>
      </c>
      <c r="T27" s="23" t="n"/>
      <c r="U27" s="22" t="inlineStr">
        <is>
          <t>Sí</t>
        </is>
      </c>
      <c r="V27" s="22" t="n"/>
      <c r="W27" s="22" t="n"/>
      <c r="X27" s="22" t="n"/>
      <c r="Y27" s="22" t="inlineStr">
        <is>
          <t>No</t>
        </is>
      </c>
      <c r="Z27" s="22" t="inlineStr">
        <is>
          <t>XL</t>
        </is>
      </c>
      <c r="AA27" s="22" t="n">
        <v>35</v>
      </c>
      <c r="AB27" s="22" t="inlineStr">
        <is>
          <t>Pagado</t>
        </is>
      </c>
      <c r="AC27" s="22" t="n"/>
      <c r="AD27" s="23">
        <f>IF(D27&lt;&gt;"","P"&amp;TEXT(ROW()-4,"0000"),"")</f>
        <v/>
      </c>
    </row>
    <row r="28" ht="14.25" customHeight="1" s="72">
      <c r="A28" s="22" t="inlineStr">
        <is>
          <t>2025-08-08 08:42:12</t>
        </is>
      </c>
      <c r="B28" s="22" t="n"/>
      <c r="C28" s="22" t="n"/>
      <c r="D28" s="22" t="inlineStr">
        <is>
          <t>Tamara</t>
        </is>
      </c>
      <c r="E28" s="22" t="inlineStr">
        <is>
          <t>Ferrari</t>
        </is>
      </c>
      <c r="F28" s="22" t="inlineStr">
        <is>
          <t>Arara-Azul</t>
        </is>
      </c>
      <c r="G28" s="23">
        <f>IF(F28&lt;&gt;"",F28,IF(AND(D28="",E28=""),"",TRIM(D28&amp;" "&amp;E28)))</f>
        <v/>
      </c>
      <c r="H28" s="22" t="n"/>
      <c r="I28" s="22" t="inlineStr">
        <is>
          <t>+34 645 985 171</t>
        </is>
      </c>
      <c r="J28" s="22" t="inlineStr">
        <is>
          <t>Cascais-Portugal</t>
        </is>
      </c>
      <c r="K28" s="22" t="inlineStr">
        <is>
          <t>Contra-Mestre Jabuti</t>
        </is>
      </c>
      <c r="L28" s="22" t="inlineStr">
        <is>
          <t>Marrom</t>
        </is>
      </c>
      <c r="M28" s="22" t="inlineStr">
        <is>
          <t>Femenino</t>
        </is>
      </c>
      <c r="N28" s="29" t="n">
        <v>30938</v>
      </c>
      <c r="O28" s="23">
        <f>IF(N28="","",DATEDIF(N28,TODAY(),"Y"))</f>
        <v/>
      </c>
      <c r="P28" s="23">
        <f>IF(O28="","",IF(O28&lt;=11,"Infantil",IF(O28&lt;=17,"Juvenil",IF(O28&lt;=44,"Adulto","Baobá"))))</f>
        <v/>
      </c>
      <c r="Q28" s="23">
        <f>IF(P28&lt;&gt;"Adulto","",IF(OR(L28="Marrom",L28="Marrom/Vermelha"),"A",IF(OR(L28="Roxa",L28="Roxa/Marrom"),"B",IF(OR(L28="Verde",L28="Verde/Roxa"),"C",IF(OR(L28="Azul",L28="Azul/Verde"),"D",IF(OR(L28="Laranja",L28="Laranja/Azul"),"E",IF(Y28="Sí","E","N/A")))))))</f>
        <v/>
      </c>
      <c r="R28" s="23">
        <f>IF(P28&lt;&gt;"Baobá","",IF(OR(L28="Laranja",L28="Laranja/Azul"),"Alumnos",IF(Y28="Sí","Alumnos","Graduados+")))</f>
        <v/>
      </c>
      <c r="S28" s="23">
        <f>IF(P28="","",IF(P28="Adulto",IF(OR(Q28="",Q28="N/A"),"⚠ Corda no compite Adulto",P28&amp;"-"&amp;Q28&amp;" · "&amp;M28),IF(P28="Baobá",IF(R28="","⚠ Sin clasificar Baobá",P28&amp;"-"&amp;R28&amp;" · "&amp;M28),IF(P28="Juvenil",IF(AND(OR(L28="Crua",L28="Crua/Amarela"),Y28&lt;&gt;"Sí"),"⚠ Juvenil necesita Amarela+",P28&amp;" · "&amp;M28),P28&amp;" · "&amp;M28))))</f>
        <v/>
      </c>
      <c r="T28" s="23" t="n"/>
      <c r="U28" s="22" t="inlineStr">
        <is>
          <t>Sí</t>
        </is>
      </c>
      <c r="V28" s="22" t="n"/>
      <c r="W28" s="22" t="n"/>
      <c r="X28" s="22" t="n"/>
      <c r="Y28" s="22" t="inlineStr">
        <is>
          <t>No</t>
        </is>
      </c>
      <c r="Z28" s="22" t="inlineStr">
        <is>
          <t>XXL</t>
        </is>
      </c>
      <c r="AA28" s="22" t="n">
        <v>35</v>
      </c>
      <c r="AB28" s="22" t="inlineStr">
        <is>
          <t>Pagado</t>
        </is>
      </c>
      <c r="AC28" s="22" t="n"/>
      <c r="AD28" s="23">
        <f>IF(D28&lt;&gt;"","P"&amp;TEXT(ROW()-4,"0000"),"")</f>
        <v/>
      </c>
    </row>
    <row r="29" ht="14.25" customHeight="1" s="72">
      <c r="A29" s="22" t="inlineStr">
        <is>
          <t>2025-10-27 16:21:01</t>
        </is>
      </c>
      <c r="B29" s="22" t="n"/>
      <c r="C29" s="22" t="n"/>
      <c r="D29" s="22" t="inlineStr">
        <is>
          <t>Mariana</t>
        </is>
      </c>
      <c r="E29" s="22" t="inlineStr">
        <is>
          <t>Fischer</t>
        </is>
      </c>
      <c r="F29" s="22" t="inlineStr">
        <is>
          <t>Mutum</t>
        </is>
      </c>
      <c r="G29" s="23">
        <f>IF(F29&lt;&gt;"",F29,IF(AND(D29="",E29=""),"",TRIM(D29&amp;" "&amp;E29)))</f>
        <v/>
      </c>
      <c r="H29" s="22" t="n"/>
      <c r="I29" s="22" t="inlineStr">
        <is>
          <t>+34 632 694 371</t>
        </is>
      </c>
      <c r="J29" s="22" t="inlineStr">
        <is>
          <t>Salvador-Brasil</t>
        </is>
      </c>
      <c r="K29" s="22" t="inlineStr">
        <is>
          <t>Professor Leão</t>
        </is>
      </c>
      <c r="L29" s="22" t="inlineStr">
        <is>
          <t>Marrom/Vermelha</t>
        </is>
      </c>
      <c r="M29" s="22" t="inlineStr">
        <is>
          <t>Femenino</t>
        </is>
      </c>
      <c r="N29" s="29" t="n">
        <v>31240</v>
      </c>
      <c r="O29" s="23">
        <f>IF(N29="","",DATEDIF(N29,TODAY(),"Y"))</f>
        <v/>
      </c>
      <c r="P29" s="23">
        <f>IF(O29="","",IF(O29&lt;=11,"Infantil",IF(O29&lt;=17,"Juvenil",IF(O29&lt;=44,"Adulto","Baobá"))))</f>
        <v/>
      </c>
      <c r="Q29" s="23">
        <f>IF(P29&lt;&gt;"Adulto","",IF(OR(L29="Marrom",L29="Marrom/Vermelha"),"A",IF(OR(L29="Roxa",L29="Roxa/Marrom"),"B",IF(OR(L29="Verde",L29="Verde/Roxa"),"C",IF(OR(L29="Azul",L29="Azul/Verde"),"D",IF(OR(L29="Laranja",L29="Laranja/Azul"),"E",IF(Y29="Sí","E","N/A")))))))</f>
        <v/>
      </c>
      <c r="R29" s="23">
        <f>IF(P29&lt;&gt;"Baobá","",IF(OR(L29="Laranja",L29="Laranja/Azul"),"Alumnos",IF(Y29="Sí","Alumnos","Graduados+")))</f>
        <v/>
      </c>
      <c r="S29" s="23">
        <f>IF(P29="","",IF(P29="Adulto",IF(OR(Q29="",Q29="N/A"),"⚠ Corda no compite Adulto",P29&amp;"-"&amp;Q29&amp;" · "&amp;M29),IF(P29="Baobá",IF(R29="","⚠ Sin clasificar Baobá",P29&amp;"-"&amp;R29&amp;" · "&amp;M29),IF(P29="Juvenil",IF(AND(OR(L29="Crua",L29="Crua/Amarela"),Y29&lt;&gt;"Sí"),"⚠ Juvenil necesita Amarela+",P29&amp;" · "&amp;M29),P29&amp;" · "&amp;M29))))</f>
        <v/>
      </c>
      <c r="T29" s="23" t="n"/>
      <c r="U29" s="22" t="inlineStr">
        <is>
          <t>Sí</t>
        </is>
      </c>
      <c r="V29" s="22" t="n"/>
      <c r="W29" s="22" t="n"/>
      <c r="X29" s="22" t="n"/>
      <c r="Y29" s="22" t="inlineStr">
        <is>
          <t>No</t>
        </is>
      </c>
      <c r="Z29" s="22" t="inlineStr">
        <is>
          <t>XS</t>
        </is>
      </c>
      <c r="AA29" s="22" t="n">
        <v>35</v>
      </c>
      <c r="AB29" s="22" t="inlineStr">
        <is>
          <t>Pagado</t>
        </is>
      </c>
      <c r="AC29" s="22" t="n"/>
      <c r="AD29" s="23">
        <f>IF(D29&lt;&gt;"","P"&amp;TEXT(ROW()-4,"0000"),"")</f>
        <v/>
      </c>
    </row>
    <row r="30" ht="14.25" customHeight="1" s="72">
      <c r="A30" s="22" t="inlineStr">
        <is>
          <t>2025-10-26 13:27:38</t>
        </is>
      </c>
      <c r="B30" s="22" t="n"/>
      <c r="C30" s="22" t="n"/>
      <c r="D30" s="22" t="inlineStr">
        <is>
          <t>Alice</t>
        </is>
      </c>
      <c r="E30" s="22" t="inlineStr">
        <is>
          <t>Nascimento</t>
        </is>
      </c>
      <c r="F30" s="22" t="inlineStr">
        <is>
          <t>Quati</t>
        </is>
      </c>
      <c r="G30" s="23">
        <f>IF(F30&lt;&gt;"",F30,IF(AND(D30="",E30=""),"",TRIM(D30&amp;" "&amp;E30)))</f>
        <v/>
      </c>
      <c r="H30" s="22" t="n"/>
      <c r="I30" s="22" t="inlineStr">
        <is>
          <t>+34 659 690 294</t>
        </is>
      </c>
      <c r="J30" s="22" t="inlineStr">
        <is>
          <t>Porto-Portugal</t>
        </is>
      </c>
      <c r="K30" s="22" t="inlineStr">
        <is>
          <t>Mestre Pastinha</t>
        </is>
      </c>
      <c r="L30" s="22" t="inlineStr">
        <is>
          <t>Marrom/Vermelha</t>
        </is>
      </c>
      <c r="M30" s="22" t="inlineStr">
        <is>
          <t>Femenino</t>
        </is>
      </c>
      <c r="N30" s="29" t="n">
        <v>30133</v>
      </c>
      <c r="O30" s="23">
        <f>IF(N30="","",DATEDIF(N30,TODAY(),"Y"))</f>
        <v/>
      </c>
      <c r="P30" s="23">
        <f>IF(O30="","",IF(O30&lt;=11,"Infantil",IF(O30&lt;=17,"Juvenil",IF(O30&lt;=44,"Adulto","Baobá"))))</f>
        <v/>
      </c>
      <c r="Q30" s="23">
        <f>IF(P30&lt;&gt;"Adulto","",IF(OR(L30="Marrom",L30="Marrom/Vermelha"),"A",IF(OR(L30="Roxa",L30="Roxa/Marrom"),"B",IF(OR(L30="Verde",L30="Verde/Roxa"),"C",IF(OR(L30="Azul",L30="Azul/Verde"),"D",IF(OR(L30="Laranja",L30="Laranja/Azul"),"E",IF(Y30="Sí","E","N/A")))))))</f>
        <v/>
      </c>
      <c r="R30" s="23">
        <f>IF(P30&lt;&gt;"Baobá","",IF(OR(L30="Laranja",L30="Laranja/Azul"),"Alumnos",IF(Y30="Sí","Alumnos","Graduados+")))</f>
        <v/>
      </c>
      <c r="S30" s="23">
        <f>IF(P30="","",IF(P30="Adulto",IF(OR(Q30="",Q30="N/A"),"⚠ Corda no compite Adulto",P30&amp;"-"&amp;Q30&amp;" · "&amp;M30),IF(P30="Baobá",IF(R30="","⚠ Sin clasificar Baobá",P30&amp;"-"&amp;R30&amp;" · "&amp;M30),IF(P30="Juvenil",IF(AND(OR(L30="Crua",L30="Crua/Amarela"),Y30&lt;&gt;"Sí"),"⚠ Juvenil necesita Amarela+",P30&amp;" · "&amp;M30),P30&amp;" · "&amp;M30))))</f>
        <v/>
      </c>
      <c r="T30" s="23" t="n"/>
      <c r="U30" s="22" t="inlineStr">
        <is>
          <t>Sí</t>
        </is>
      </c>
      <c r="V30" s="22" t="n"/>
      <c r="W30" s="22" t="n"/>
      <c r="X30" s="22" t="n"/>
      <c r="Y30" s="22" t="inlineStr">
        <is>
          <t>No</t>
        </is>
      </c>
      <c r="Z30" s="22" t="inlineStr">
        <is>
          <t>S</t>
        </is>
      </c>
      <c r="AA30" s="22" t="n">
        <v>35</v>
      </c>
      <c r="AB30" s="22" t="inlineStr">
        <is>
          <t>Pagado</t>
        </is>
      </c>
      <c r="AC30" s="22" t="n"/>
      <c r="AD30" s="23">
        <f>IF(D30&lt;&gt;"","P"&amp;TEXT(ROW()-4,"0000"),"")</f>
        <v/>
      </c>
    </row>
    <row r="31" ht="14.25" customHeight="1" s="72">
      <c r="A31" s="22" t="inlineStr">
        <is>
          <t>2025-10-26 16:43:46</t>
        </is>
      </c>
      <c r="B31" s="22" t="n"/>
      <c r="C31" s="22" t="n"/>
      <c r="D31" s="22" t="inlineStr">
        <is>
          <t>Aiko</t>
        </is>
      </c>
      <c r="E31" s="22" t="inlineStr">
        <is>
          <t>Fernández</t>
        </is>
      </c>
      <c r="F31" s="22" t="inlineStr">
        <is>
          <t>Peixe-Espada</t>
        </is>
      </c>
      <c r="G31" s="23">
        <f>IF(F31&lt;&gt;"",F31,IF(AND(D31="",E31=""),"",TRIM(D31&amp;" "&amp;E31)))</f>
        <v/>
      </c>
      <c r="H31" s="22" t="n"/>
      <c r="I31" s="22" t="inlineStr">
        <is>
          <t>+34 656 541 171</t>
        </is>
      </c>
      <c r="J31" s="22" t="inlineStr">
        <is>
          <t>Marseille-Francia</t>
        </is>
      </c>
      <c r="K31" s="22" t="inlineStr">
        <is>
          <t>Professor Lobo</t>
        </is>
      </c>
      <c r="L31" s="22" t="inlineStr">
        <is>
          <t>Marrom/Vermelha</t>
        </is>
      </c>
      <c r="M31" s="22" t="inlineStr">
        <is>
          <t>Femenino</t>
        </is>
      </c>
      <c r="N31" s="29" t="n">
        <v>34666</v>
      </c>
      <c r="O31" s="23">
        <f>IF(N31="","",DATEDIF(N31,TODAY(),"Y"))</f>
        <v/>
      </c>
      <c r="P31" s="23">
        <f>IF(O31="","",IF(O31&lt;=11,"Infantil",IF(O31&lt;=17,"Juvenil",IF(O31&lt;=44,"Adulto","Baobá"))))</f>
        <v/>
      </c>
      <c r="Q31" s="23">
        <f>IF(P31&lt;&gt;"Adulto","",IF(OR(L31="Marrom",L31="Marrom/Vermelha"),"A",IF(OR(L31="Roxa",L31="Roxa/Marrom"),"B",IF(OR(L31="Verde",L31="Verde/Roxa"),"C",IF(OR(L31="Azul",L31="Azul/Verde"),"D",IF(OR(L31="Laranja",L31="Laranja/Azul"),"E",IF(Y31="Sí","E","N/A")))))))</f>
        <v/>
      </c>
      <c r="R31" s="23">
        <f>IF(P31&lt;&gt;"Baobá","",IF(OR(L31="Laranja",L31="Laranja/Azul"),"Alumnos",IF(Y31="Sí","Alumnos","Graduados+")))</f>
        <v/>
      </c>
      <c r="S31" s="23">
        <f>IF(P31="","",IF(P31="Adulto",IF(OR(Q31="",Q31="N/A"),"⚠ Corda no compite Adulto",P31&amp;"-"&amp;Q31&amp;" · "&amp;M31),IF(P31="Baobá",IF(R31="","⚠ Sin clasificar Baobá",P31&amp;"-"&amp;R31&amp;" · "&amp;M31),IF(P31="Juvenil",IF(AND(OR(L31="Crua",L31="Crua/Amarela"),Y31&lt;&gt;"Sí"),"⚠ Juvenil necesita Amarela+",P31&amp;" · "&amp;M31),P31&amp;" · "&amp;M31))))</f>
        <v/>
      </c>
      <c r="T31" s="23" t="n"/>
      <c r="U31" s="22" t="inlineStr">
        <is>
          <t>Sí</t>
        </is>
      </c>
      <c r="V31" s="22" t="n"/>
      <c r="W31" s="22" t="n"/>
      <c r="X31" s="22" t="n"/>
      <c r="Y31" s="22" t="inlineStr">
        <is>
          <t>No</t>
        </is>
      </c>
      <c r="Z31" s="22" t="inlineStr">
        <is>
          <t>M</t>
        </is>
      </c>
      <c r="AA31" s="22" t="n">
        <v>35</v>
      </c>
      <c r="AB31" s="22" t="inlineStr">
        <is>
          <t>Pagado</t>
        </is>
      </c>
      <c r="AC31" s="22" t="n"/>
      <c r="AD31" s="23">
        <f>IF(D31&lt;&gt;"","P"&amp;TEXT(ROW()-4,"0000"),"")</f>
        <v/>
      </c>
    </row>
    <row r="32" ht="14.25" customHeight="1" s="72">
      <c r="A32" s="22" t="inlineStr">
        <is>
          <t>2025-08-24 22:19:32</t>
        </is>
      </c>
      <c r="B32" s="22" t="n"/>
      <c r="C32" s="22" t="n"/>
      <c r="D32" s="22" t="inlineStr">
        <is>
          <t>Viviane</t>
        </is>
      </c>
      <c r="E32" s="22" t="inlineStr">
        <is>
          <t>Bernard</t>
        </is>
      </c>
      <c r="F32" s="22" t="inlineStr">
        <is>
          <t>Papagaio</t>
        </is>
      </c>
      <c r="G32" s="23">
        <f>IF(F32&lt;&gt;"",F32,IF(AND(D32="",E32=""),"",TRIM(D32&amp;" "&amp;E32)))</f>
        <v/>
      </c>
      <c r="H32" s="22" t="n"/>
      <c r="I32" s="22" t="inlineStr">
        <is>
          <t>+34 651 512 813</t>
        </is>
      </c>
      <c r="J32" s="22" t="inlineStr">
        <is>
          <t>Coimbra-Portugal</t>
        </is>
      </c>
      <c r="K32" s="22" t="inlineStr">
        <is>
          <t>Professor Tatu</t>
        </is>
      </c>
      <c r="L32" s="22" t="inlineStr">
        <is>
          <t>Marrom/Vermelha</t>
        </is>
      </c>
      <c r="M32" s="22" t="inlineStr">
        <is>
          <t>Femenino</t>
        </is>
      </c>
      <c r="N32" s="78" t="n">
        <v>36630</v>
      </c>
      <c r="O32" s="23">
        <f>IF(N32="","",DATEDIF(N32,TODAY(),"Y"))</f>
        <v/>
      </c>
      <c r="P32" s="23">
        <f>IF(O32="","",IF(O32&lt;=11,"Infantil",IF(O32&lt;=17,"Juvenil",IF(O32&lt;=44,"Adulto","Baobá"))))</f>
        <v/>
      </c>
      <c r="Q32" s="23">
        <f>IF(P32&lt;&gt;"Adulto","",IF(OR(L32="Marrom",L32="Marrom/Vermelha"),"A",IF(OR(L32="Roxa",L32="Roxa/Marrom"),"B",IF(OR(L32="Verde",L32="Verde/Roxa"),"C",IF(OR(L32="Azul",L32="Azul/Verde"),"D",IF(OR(L32="Laranja",L32="Laranja/Azul"),"E",IF(Y32="Sí","E","N/A")))))))</f>
        <v/>
      </c>
      <c r="R32" s="23">
        <f>IF(P32&lt;&gt;"Baobá","",IF(OR(L32="Laranja",L32="Laranja/Azul"),"Alumnos",IF(Y32="Sí","Alumnos","Graduados+")))</f>
        <v/>
      </c>
      <c r="S32" s="23">
        <f>IF(P32="","",IF(P32="Adulto",IF(OR(Q32="",Q32="N/A"),"⚠ Corda no compite Adulto",P32&amp;"-"&amp;Q32&amp;" · "&amp;M32),IF(P32="Baobá",IF(R32="","⚠ Sin clasificar Baobá",P32&amp;"-"&amp;R32&amp;" · "&amp;M32),IF(P32="Juvenil",IF(AND(OR(L32="Crua",L32="Crua/Amarela"),Y32&lt;&gt;"Sí"),"⚠ Juvenil necesita Amarela+",P32&amp;" · "&amp;M32),P32&amp;" · "&amp;M32))))</f>
        <v/>
      </c>
      <c r="T32" s="23" t="n"/>
      <c r="U32" s="22" t="inlineStr">
        <is>
          <t>Sí</t>
        </is>
      </c>
      <c r="V32" s="22" t="n"/>
      <c r="W32" s="22" t="n"/>
      <c r="X32" s="22" t="n"/>
      <c r="Y32" s="22" t="inlineStr">
        <is>
          <t>No</t>
        </is>
      </c>
      <c r="Z32" s="22" t="inlineStr">
        <is>
          <t>L</t>
        </is>
      </c>
      <c r="AA32" s="22" t="n">
        <v>35</v>
      </c>
      <c r="AB32" s="22" t="inlineStr">
        <is>
          <t>Pagado</t>
        </is>
      </c>
      <c r="AC32" s="22" t="n"/>
      <c r="AD32" s="23">
        <f>IF(D32&lt;&gt;"","P"&amp;TEXT(ROW()-4,"0000"),"")</f>
        <v/>
      </c>
    </row>
    <row r="33" ht="14.25" customHeight="1" s="72">
      <c r="A33" s="22" t="inlineStr">
        <is>
          <t>2025-10-13 18:47:57</t>
        </is>
      </c>
      <c r="B33" s="22" t="n"/>
      <c r="C33" s="22" t="n"/>
      <c r="D33" s="22" t="inlineStr">
        <is>
          <t>Daniela</t>
        </is>
      </c>
      <c r="E33" s="22" t="inlineStr">
        <is>
          <t>Hoffmann</t>
        </is>
      </c>
      <c r="F33" s="22" t="inlineStr">
        <is>
          <t>Baiacu</t>
        </is>
      </c>
      <c r="G33" s="23">
        <f>IF(F33&lt;&gt;"",F33,IF(AND(D33="",E33=""),"",TRIM(D33&amp;" "&amp;E33)))</f>
        <v/>
      </c>
      <c r="H33" s="22" t="n"/>
      <c r="I33" s="22" t="inlineStr">
        <is>
          <t>+34 661 661 953</t>
        </is>
      </c>
      <c r="J33" s="22" t="inlineStr">
        <is>
          <t>São Paulo-Brasil</t>
        </is>
      </c>
      <c r="K33" s="22" t="inlineStr">
        <is>
          <t>Mestre Coruja</t>
        </is>
      </c>
      <c r="L33" s="22" t="inlineStr">
        <is>
          <t>Marrom</t>
        </is>
      </c>
      <c r="M33" s="22" t="inlineStr">
        <is>
          <t>Femenino</t>
        </is>
      </c>
      <c r="N33" s="29" t="n">
        <v>34803</v>
      </c>
      <c r="O33" s="23">
        <f>IF(N33="","",DATEDIF(N33,TODAY(),"Y"))</f>
        <v/>
      </c>
      <c r="P33" s="23">
        <f>IF(O33="","",IF(O33&lt;=11,"Infantil",IF(O33&lt;=17,"Juvenil",IF(O33&lt;=44,"Adulto","Baobá"))))</f>
        <v/>
      </c>
      <c r="Q33" s="23">
        <f>IF(P33&lt;&gt;"Adulto","",IF(OR(L33="Marrom",L33="Marrom/Vermelha"),"A",IF(OR(L33="Roxa",L33="Roxa/Marrom"),"B",IF(OR(L33="Verde",L33="Verde/Roxa"),"C",IF(OR(L33="Azul",L33="Azul/Verde"),"D",IF(OR(L33="Laranja",L33="Laranja/Azul"),"E",IF(Y33="Sí","E","N/A")))))))</f>
        <v/>
      </c>
      <c r="R33" s="23">
        <f>IF(P33&lt;&gt;"Baobá","",IF(OR(L33="Laranja",L33="Laranja/Azul"),"Alumnos",IF(Y33="Sí","Alumnos","Graduados+")))</f>
        <v/>
      </c>
      <c r="S33" s="23">
        <f>IF(P33="","",IF(P33="Adulto",IF(OR(Q33="",Q33="N/A"),"⚠ Corda no compite Adulto",P33&amp;"-"&amp;Q33&amp;" · "&amp;M33),IF(P33="Baobá",IF(R33="","⚠ Sin clasificar Baobá",P33&amp;"-"&amp;R33&amp;" · "&amp;M33),IF(P33="Juvenil",IF(AND(OR(L33="Crua",L33="Crua/Amarela"),Y33&lt;&gt;"Sí"),"⚠ Juvenil necesita Amarela+",P33&amp;" · "&amp;M33),P33&amp;" · "&amp;M33))))</f>
        <v/>
      </c>
      <c r="T33" s="23" t="n"/>
      <c r="U33" s="22" t="inlineStr">
        <is>
          <t>Sí</t>
        </is>
      </c>
      <c r="V33" s="22" t="n"/>
      <c r="W33" s="22" t="n"/>
      <c r="X33" s="22" t="n"/>
      <c r="Y33" s="22" t="inlineStr">
        <is>
          <t>No</t>
        </is>
      </c>
      <c r="Z33" s="22" t="inlineStr">
        <is>
          <t>XL</t>
        </is>
      </c>
      <c r="AA33" s="22" t="n">
        <v>35</v>
      </c>
      <c r="AB33" s="22" t="inlineStr">
        <is>
          <t>Pagado</t>
        </is>
      </c>
      <c r="AC33" s="22" t="n"/>
      <c r="AD33" s="23">
        <f>IF(D33&lt;&gt;"","P"&amp;TEXT(ROW()-4,"0000"),"")</f>
        <v/>
      </c>
    </row>
    <row r="34" ht="14.25" customHeight="1" s="72">
      <c r="A34" s="22" t="inlineStr">
        <is>
          <t>2025-10-20 18:20:29</t>
        </is>
      </c>
      <c r="B34" s="22" t="n"/>
      <c r="C34" s="22" t="n"/>
      <c r="D34" s="22" t="inlineStr">
        <is>
          <t>Nagore</t>
        </is>
      </c>
      <c r="E34" s="22" t="inlineStr">
        <is>
          <t>Petit</t>
        </is>
      </c>
      <c r="F34" s="22" t="inlineStr">
        <is>
          <t>Piranha</t>
        </is>
      </c>
      <c r="G34" s="23">
        <f>IF(F34&lt;&gt;"",F34,IF(AND(D34="",E34=""),"",TRIM(D34&amp;" "&amp;E34)))</f>
        <v/>
      </c>
      <c r="H34" s="22" t="n"/>
      <c r="I34" s="22" t="inlineStr">
        <is>
          <t>+34 696 318 623</t>
        </is>
      </c>
      <c r="J34" s="22" t="inlineStr">
        <is>
          <t>Santiago-Chile</t>
        </is>
      </c>
      <c r="K34" s="22" t="inlineStr">
        <is>
          <t>Professor Gavião</t>
        </is>
      </c>
      <c r="L34" s="22" t="inlineStr">
        <is>
          <t>Marrom</t>
        </is>
      </c>
      <c r="M34" s="22" t="inlineStr">
        <is>
          <t>Femenino</t>
        </is>
      </c>
      <c r="N34" s="29" t="n">
        <v>30357</v>
      </c>
      <c r="O34" s="23">
        <f>IF(N34="","",DATEDIF(N34,TODAY(),"Y"))</f>
        <v/>
      </c>
      <c r="P34" s="23">
        <f>IF(O34="","",IF(O34&lt;=11,"Infantil",IF(O34&lt;=17,"Juvenil",IF(O34&lt;=44,"Adulto","Baobá"))))</f>
        <v/>
      </c>
      <c r="Q34" s="23">
        <f>IF(P34&lt;&gt;"Adulto","",IF(OR(L34="Marrom",L34="Marrom/Vermelha"),"A",IF(OR(L34="Roxa",L34="Roxa/Marrom"),"B",IF(OR(L34="Verde",L34="Verde/Roxa"),"C",IF(OR(L34="Azul",L34="Azul/Verde"),"D",IF(OR(L34="Laranja",L34="Laranja/Azul"),"E",IF(Y34="Sí","E","N/A")))))))</f>
        <v/>
      </c>
      <c r="R34" s="23">
        <f>IF(P34&lt;&gt;"Baobá","",IF(OR(L34="Laranja",L34="Laranja/Azul"),"Alumnos",IF(Y34="Sí","Alumnos","Graduados+")))</f>
        <v/>
      </c>
      <c r="S34" s="23">
        <f>IF(P34="","",IF(P34="Adulto",IF(OR(Q34="",Q34="N/A"),"⚠ Corda no compite Adulto",P34&amp;"-"&amp;Q34&amp;" · "&amp;M34),IF(P34="Baobá",IF(R34="","⚠ Sin clasificar Baobá",P34&amp;"-"&amp;R34&amp;" · "&amp;M34),IF(P34="Juvenil",IF(AND(OR(L34="Crua",L34="Crua/Amarela"),Y34&lt;&gt;"Sí"),"⚠ Juvenil necesita Amarela+",P34&amp;" · "&amp;M34),P34&amp;" · "&amp;M34))))</f>
        <v/>
      </c>
      <c r="T34" s="23" t="n"/>
      <c r="U34" s="22" t="inlineStr">
        <is>
          <t>Sí</t>
        </is>
      </c>
      <c r="V34" s="22" t="n"/>
      <c r="W34" s="22" t="n"/>
      <c r="X34" s="22" t="n"/>
      <c r="Y34" s="22" t="inlineStr">
        <is>
          <t>No</t>
        </is>
      </c>
      <c r="Z34" s="22" t="inlineStr">
        <is>
          <t>XXL</t>
        </is>
      </c>
      <c r="AA34" s="22" t="n">
        <v>35</v>
      </c>
      <c r="AB34" s="22" t="inlineStr">
        <is>
          <t>Pagado</t>
        </is>
      </c>
      <c r="AC34" s="22" t="n"/>
      <c r="AD34" s="23">
        <f>IF(D34&lt;&gt;"","P"&amp;TEXT(ROW()-4,"0000"),"")</f>
        <v/>
      </c>
    </row>
    <row r="35" ht="14.25" customHeight="1" s="72">
      <c r="A35" s="22" t="inlineStr">
        <is>
          <t>2025-10-22 18:39:21</t>
        </is>
      </c>
      <c r="B35" s="22" t="n"/>
      <c r="C35" s="22" t="n"/>
      <c r="D35" s="22" t="inlineStr">
        <is>
          <t>Julia</t>
        </is>
      </c>
      <c r="E35" s="22" t="inlineStr">
        <is>
          <t>Müller</t>
        </is>
      </c>
      <c r="F35" s="22" t="inlineStr">
        <is>
          <t>Lobo</t>
        </is>
      </c>
      <c r="G35" s="23">
        <f>IF(F35&lt;&gt;"",F35,IF(AND(D35="",E35=""),"",TRIM(D35&amp;" "&amp;E35)))</f>
        <v/>
      </c>
      <c r="H35" s="22" t="n"/>
      <c r="I35" s="22" t="inlineStr">
        <is>
          <t>+34 696 417 330</t>
        </is>
      </c>
      <c r="J35" s="22" t="inlineStr">
        <is>
          <t>Bilbao-España</t>
        </is>
      </c>
      <c r="K35" s="22" t="inlineStr">
        <is>
          <t>Mestre Cobra</t>
        </is>
      </c>
      <c r="L35" s="22" t="inlineStr">
        <is>
          <t>Marrom/Vermelha</t>
        </is>
      </c>
      <c r="M35" s="22" t="inlineStr">
        <is>
          <t>Femenino</t>
        </is>
      </c>
      <c r="N35" s="29" t="n">
        <v>37994</v>
      </c>
      <c r="O35" s="23">
        <f>IF(N35="","",DATEDIF(N35,TODAY(),"Y"))</f>
        <v/>
      </c>
      <c r="P35" s="23">
        <f>IF(O35="","",IF(O35&lt;=11,"Infantil",IF(O35&lt;=17,"Juvenil",IF(O35&lt;=44,"Adulto","Baobá"))))</f>
        <v/>
      </c>
      <c r="Q35" s="23">
        <f>IF(P35&lt;&gt;"Adulto","",IF(OR(L35="Marrom",L35="Marrom/Vermelha"),"A",IF(OR(L35="Roxa",L35="Roxa/Marrom"),"B",IF(OR(L35="Verde",L35="Verde/Roxa"),"C",IF(OR(L35="Azul",L35="Azul/Verde"),"D",IF(OR(L35="Laranja",L35="Laranja/Azul"),"E",IF(Y35="Sí","E","N/A")))))))</f>
        <v/>
      </c>
      <c r="R35" s="23">
        <f>IF(P35&lt;&gt;"Baobá","",IF(OR(L35="Laranja",L35="Laranja/Azul"),"Alumnos",IF(Y35="Sí","Alumnos","Graduados+")))</f>
        <v/>
      </c>
      <c r="S35" s="23">
        <f>IF(P35="","",IF(P35="Adulto",IF(OR(Q35="",Q35="N/A"),"⚠ Corda no compite Adulto",P35&amp;"-"&amp;Q35&amp;" · "&amp;M35),IF(P35="Baobá",IF(R35="","⚠ Sin clasificar Baobá",P35&amp;"-"&amp;R35&amp;" · "&amp;M35),IF(P35="Juvenil",IF(AND(OR(L35="Crua",L35="Crua/Amarela"),Y35&lt;&gt;"Sí"),"⚠ Juvenil necesita Amarela+",P35&amp;" · "&amp;M35),P35&amp;" · "&amp;M35))))</f>
        <v/>
      </c>
      <c r="T35" s="23" t="n"/>
      <c r="U35" s="22" t="inlineStr">
        <is>
          <t>Sí</t>
        </is>
      </c>
      <c r="V35" s="22" t="n"/>
      <c r="W35" s="22" t="n"/>
      <c r="X35" s="22" t="n"/>
      <c r="Y35" s="22" t="inlineStr">
        <is>
          <t>No</t>
        </is>
      </c>
      <c r="Z35" s="22" t="inlineStr">
        <is>
          <t>XS</t>
        </is>
      </c>
      <c r="AA35" s="22" t="n">
        <v>35</v>
      </c>
      <c r="AB35" s="22" t="inlineStr">
        <is>
          <t>Pagado</t>
        </is>
      </c>
      <c r="AC35" s="22" t="n"/>
      <c r="AD35" s="23">
        <f>IF(D35&lt;&gt;"","P"&amp;TEXT(ROW()-4,"0000"),"")</f>
        <v/>
      </c>
    </row>
    <row r="36" ht="14.25" customHeight="1" s="72">
      <c r="A36" s="22" t="inlineStr">
        <is>
          <t>2025-09-20 21:49:04</t>
        </is>
      </c>
      <c r="B36" s="22" t="n"/>
      <c r="C36" s="22" t="n"/>
      <c r="D36" s="22" t="inlineStr">
        <is>
          <t>Miriam</t>
        </is>
      </c>
      <c r="E36" s="22" t="inlineStr">
        <is>
          <t>Thomas</t>
        </is>
      </c>
      <c r="F36" s="22" t="inlineStr">
        <is>
          <t>Mosquito</t>
        </is>
      </c>
      <c r="G36" s="23">
        <f>IF(F36&lt;&gt;"",F36,IF(AND(D36="",E36=""),"",TRIM(D36&amp;" "&amp;E36)))</f>
        <v/>
      </c>
      <c r="H36" s="22" t="n"/>
      <c r="I36" s="22" t="inlineStr">
        <is>
          <t>+34 690 689 299</t>
        </is>
      </c>
      <c r="J36" s="22" t="inlineStr">
        <is>
          <t>Múnich-Alemania</t>
        </is>
      </c>
      <c r="K36" s="22" t="inlineStr">
        <is>
          <t>Mestre Tartaruga</t>
        </is>
      </c>
      <c r="L36" s="22" t="inlineStr">
        <is>
          <t>Marrom/Vermelha</t>
        </is>
      </c>
      <c r="M36" s="22" t="inlineStr">
        <is>
          <t>Femenino</t>
        </is>
      </c>
      <c r="N36" s="29" t="n">
        <v>33699</v>
      </c>
      <c r="O36" s="23">
        <f>IF(N36="","",DATEDIF(N36,TODAY(),"Y"))</f>
        <v/>
      </c>
      <c r="P36" s="23">
        <f>IF(O36="","",IF(O36&lt;=11,"Infantil",IF(O36&lt;=17,"Juvenil",IF(O36&lt;=44,"Adulto","Baobá"))))</f>
        <v/>
      </c>
      <c r="Q36" s="23">
        <f>IF(P36&lt;&gt;"Adulto","",IF(OR(L36="Marrom",L36="Marrom/Vermelha"),"A",IF(OR(L36="Roxa",L36="Roxa/Marrom"),"B",IF(OR(L36="Verde",L36="Verde/Roxa"),"C",IF(OR(L36="Azul",L36="Azul/Verde"),"D",IF(OR(L36="Laranja",L36="Laranja/Azul"),"E",IF(Y36="Sí","E","N/A")))))))</f>
        <v/>
      </c>
      <c r="R36" s="23">
        <f>IF(P36&lt;&gt;"Baobá","",IF(OR(L36="Laranja",L36="Laranja/Azul"),"Alumnos",IF(Y36="Sí","Alumnos","Graduados+")))</f>
        <v/>
      </c>
      <c r="S36" s="23">
        <f>IF(P36="","",IF(P36="Adulto",IF(OR(Q36="",Q36="N/A"),"⚠ Corda no compite Adulto",P36&amp;"-"&amp;Q36&amp;" · "&amp;M36),IF(P36="Baobá",IF(R36="","⚠ Sin clasificar Baobá",P36&amp;"-"&amp;R36&amp;" · "&amp;M36),IF(P36="Juvenil",IF(AND(OR(L36="Crua",L36="Crua/Amarela"),Y36&lt;&gt;"Sí"),"⚠ Juvenil necesita Amarela+",P36&amp;" · "&amp;M36),P36&amp;" · "&amp;M36))))</f>
        <v/>
      </c>
      <c r="T36" s="23" t="n"/>
      <c r="U36" s="22" t="inlineStr">
        <is>
          <t>Sí</t>
        </is>
      </c>
      <c r="V36" s="22" t="n"/>
      <c r="W36" s="22" t="n"/>
      <c r="X36" s="22" t="n"/>
      <c r="Y36" s="22" t="inlineStr">
        <is>
          <t>No</t>
        </is>
      </c>
      <c r="Z36" s="22" t="inlineStr">
        <is>
          <t>S</t>
        </is>
      </c>
      <c r="AA36" s="22" t="n">
        <v>35</v>
      </c>
      <c r="AB36" s="22" t="inlineStr">
        <is>
          <t>Pagado</t>
        </is>
      </c>
      <c r="AC36" s="22" t="n"/>
      <c r="AD36" s="23">
        <f>IF(D36&lt;&gt;"","P"&amp;TEXT(ROW()-4,"0000"),"")</f>
        <v/>
      </c>
    </row>
    <row r="37" ht="14.25" customHeight="1" s="72">
      <c r="A37" s="22" t="inlineStr">
        <is>
          <t>2025-10-03 10:09:14</t>
        </is>
      </c>
      <c r="B37" s="22" t="n"/>
      <c r="C37" s="22" t="n"/>
      <c r="D37" s="22" t="inlineStr">
        <is>
          <t>Marco</t>
        </is>
      </c>
      <c r="E37" s="22" t="inlineStr">
        <is>
          <t>Machado</t>
        </is>
      </c>
      <c r="F37" s="22" t="inlineStr">
        <is>
          <t>Araçari</t>
        </is>
      </c>
      <c r="G37" s="23">
        <f>IF(F37&lt;&gt;"",F37,IF(AND(D37="",E37=""),"",TRIM(D37&amp;" "&amp;E37)))</f>
        <v/>
      </c>
      <c r="H37" s="22" t="n"/>
      <c r="I37" s="22" t="inlineStr">
        <is>
          <t>+34 637 165 524</t>
        </is>
      </c>
      <c r="J37" s="22" t="inlineStr">
        <is>
          <t>Milán-Italia</t>
        </is>
      </c>
      <c r="K37" s="22" t="inlineStr">
        <is>
          <t>Professor Borboleta</t>
        </is>
      </c>
      <c r="L37" s="22" t="inlineStr">
        <is>
          <t>Roxa</t>
        </is>
      </c>
      <c r="M37" s="22" t="inlineStr">
        <is>
          <t>Masculino</t>
        </is>
      </c>
      <c r="N37" s="29" t="n">
        <v>32003</v>
      </c>
      <c r="O37" s="23">
        <f>IF(N37="","",DATEDIF(N37,TODAY(),"Y"))</f>
        <v/>
      </c>
      <c r="P37" s="23">
        <f>IF(O37="","",IF(O37&lt;=11,"Infantil",IF(O37&lt;=17,"Juvenil",IF(O37&lt;=44,"Adulto","Baobá"))))</f>
        <v/>
      </c>
      <c r="Q37" s="23">
        <f>IF(P37&lt;&gt;"Adulto","",IF(OR(L37="Marrom",L37="Marrom/Vermelha"),"A",IF(OR(L37="Roxa",L37="Roxa/Marrom"),"B",IF(OR(L37="Verde",L37="Verde/Roxa"),"C",IF(OR(L37="Azul",L37="Azul/Verde"),"D",IF(OR(L37="Laranja",L37="Laranja/Azul"),"E",IF(Y37="Sí","E","N/A")))))))</f>
        <v/>
      </c>
      <c r="R37" s="23">
        <f>IF(P37&lt;&gt;"Baobá","",IF(OR(L37="Laranja",L37="Laranja/Azul"),"Alumnos",IF(Y37="Sí","Alumnos","Graduados+")))</f>
        <v/>
      </c>
      <c r="S37" s="23">
        <f>IF(P37="","",IF(P37="Adulto",IF(OR(Q37="",Q37="N/A"),"⚠ Corda no compite Adulto",P37&amp;"-"&amp;Q37&amp;" · "&amp;M37),IF(P37="Baobá",IF(R37="","⚠ Sin clasificar Baobá",P37&amp;"-"&amp;R37&amp;" · "&amp;M37),IF(P37="Juvenil",IF(AND(OR(L37="Crua",L37="Crua/Amarela"),Y37&lt;&gt;"Sí"),"⚠ Juvenil necesita Amarela+",P37&amp;" · "&amp;M37),P37&amp;" · "&amp;M37))))</f>
        <v/>
      </c>
      <c r="T37" s="23" t="n"/>
      <c r="U37" s="22" t="inlineStr">
        <is>
          <t>Sí</t>
        </is>
      </c>
      <c r="V37" s="22" t="n"/>
      <c r="W37" s="22" t="n"/>
      <c r="X37" s="22" t="n"/>
      <c r="Y37" s="22" t="inlineStr">
        <is>
          <t>No</t>
        </is>
      </c>
      <c r="Z37" s="22" t="inlineStr">
        <is>
          <t>XS</t>
        </is>
      </c>
      <c r="AA37" s="22" t="n">
        <v>35</v>
      </c>
      <c r="AB37" s="22" t="inlineStr">
        <is>
          <t>Pagado</t>
        </is>
      </c>
      <c r="AC37" s="22" t="n"/>
      <c r="AD37" s="23">
        <f>IF(D37&lt;&gt;"","P"&amp;TEXT(ROW()-4,"0000"),"")</f>
        <v/>
      </c>
    </row>
    <row r="38" ht="14.25" customHeight="1" s="72">
      <c r="A38" s="22" t="inlineStr">
        <is>
          <t>2025-08-07 21:26:24</t>
        </is>
      </c>
      <c r="B38" s="22" t="n"/>
      <c r="C38" s="22" t="n"/>
      <c r="D38" s="22" t="inlineStr">
        <is>
          <t>Marc</t>
        </is>
      </c>
      <c r="E38" s="22" t="inlineStr">
        <is>
          <t>Oliveira</t>
        </is>
      </c>
      <c r="F38" s="22" t="inlineStr">
        <is>
          <t>Lontra</t>
        </is>
      </c>
      <c r="G38" s="23">
        <f>IF(F38&lt;&gt;"",F38,IF(AND(D38="",E38=""),"",TRIM(D38&amp;" "&amp;E38)))</f>
        <v/>
      </c>
      <c r="H38" s="22" t="n"/>
      <c r="I38" s="22" t="inlineStr">
        <is>
          <t>+34 683 489 588</t>
        </is>
      </c>
      <c r="J38" s="22" t="inlineStr">
        <is>
          <t>São Paulo-Brasil</t>
        </is>
      </c>
      <c r="K38" s="22" t="inlineStr">
        <is>
          <t>Contra-Mestre Jabuti</t>
        </is>
      </c>
      <c r="L38" s="22" t="inlineStr">
        <is>
          <t>Roxa</t>
        </is>
      </c>
      <c r="M38" s="22" t="inlineStr">
        <is>
          <t>Masculino</t>
        </is>
      </c>
      <c r="N38" s="29" t="n">
        <v>34908</v>
      </c>
      <c r="O38" s="23">
        <f>IF(N38="","",DATEDIF(N38,TODAY(),"Y"))</f>
        <v/>
      </c>
      <c r="P38" s="23">
        <f>IF(O38="","",IF(O38&lt;=11,"Infantil",IF(O38&lt;=17,"Juvenil",IF(O38&lt;=44,"Adulto","Baobá"))))</f>
        <v/>
      </c>
      <c r="Q38" s="23">
        <f>IF(P38&lt;&gt;"Adulto","",IF(OR(L38="Marrom",L38="Marrom/Vermelha"),"A",IF(OR(L38="Roxa",L38="Roxa/Marrom"),"B",IF(OR(L38="Verde",L38="Verde/Roxa"),"C",IF(OR(L38="Azul",L38="Azul/Verde"),"D",IF(OR(L38="Laranja",L38="Laranja/Azul"),"E",IF(Y38="Sí","E","N/A")))))))</f>
        <v/>
      </c>
      <c r="R38" s="23">
        <f>IF(P38&lt;&gt;"Baobá","",IF(OR(L38="Laranja",L38="Laranja/Azul"),"Alumnos",IF(Y38="Sí","Alumnos","Graduados+")))</f>
        <v/>
      </c>
      <c r="S38" s="23">
        <f>IF(P38="","",IF(P38="Adulto",IF(OR(Q38="",Q38="N/A"),"⚠ Corda no compite Adulto",P38&amp;"-"&amp;Q38&amp;" · "&amp;M38),IF(P38="Baobá",IF(R38="","⚠ Sin clasificar Baobá",P38&amp;"-"&amp;R38&amp;" · "&amp;M38),IF(P38="Juvenil",IF(AND(OR(L38="Crua",L38="Crua/Amarela"),Y38&lt;&gt;"Sí"),"⚠ Juvenil necesita Amarela+",P38&amp;" · "&amp;M38),P38&amp;" · "&amp;M38))))</f>
        <v/>
      </c>
      <c r="T38" s="23" t="n"/>
      <c r="U38" s="22" t="inlineStr">
        <is>
          <t>Sí</t>
        </is>
      </c>
      <c r="V38" s="22" t="n"/>
      <c r="W38" s="22" t="n"/>
      <c r="X38" s="22" t="n"/>
      <c r="Y38" s="22" t="inlineStr">
        <is>
          <t>No</t>
        </is>
      </c>
      <c r="Z38" s="22" t="inlineStr">
        <is>
          <t>S</t>
        </is>
      </c>
      <c r="AA38" s="22" t="n">
        <v>35</v>
      </c>
      <c r="AB38" s="22" t="inlineStr">
        <is>
          <t>Pagado</t>
        </is>
      </c>
      <c r="AC38" s="22" t="n"/>
      <c r="AD38" s="23">
        <f>IF(D38&lt;&gt;"","P"&amp;TEXT(ROW()-4,"0000"),"")</f>
        <v/>
      </c>
    </row>
    <row r="39" ht="14.25" customHeight="1" s="72">
      <c r="A39" s="22" t="inlineStr">
        <is>
          <t>2025-09-18 19:47:34</t>
        </is>
      </c>
      <c r="B39" s="22" t="n"/>
      <c r="C39" s="22" t="n"/>
      <c r="D39" s="22" t="inlineStr">
        <is>
          <t>Nicolas</t>
        </is>
      </c>
      <c r="E39" s="22" t="inlineStr">
        <is>
          <t>Jiménez</t>
        </is>
      </c>
      <c r="F39" s="22" t="inlineStr">
        <is>
          <t>Iguana</t>
        </is>
      </c>
      <c r="G39" s="23">
        <f>IF(F39&lt;&gt;"",F39,IF(AND(D39="",E39=""),"",TRIM(D39&amp;" "&amp;E39)))</f>
        <v/>
      </c>
      <c r="H39" s="22" t="n"/>
      <c r="I39" s="22" t="inlineStr">
        <is>
          <t>+34 672 324 379</t>
        </is>
      </c>
      <c r="J39" s="22" t="inlineStr">
        <is>
          <t>Florencia-Italia</t>
        </is>
      </c>
      <c r="K39" s="22" t="inlineStr">
        <is>
          <t>Mestre Tartaruga</t>
        </is>
      </c>
      <c r="L39" s="22" t="inlineStr">
        <is>
          <t>Roxa/Marrom</t>
        </is>
      </c>
      <c r="M39" s="22" t="inlineStr">
        <is>
          <t>Masculino</t>
        </is>
      </c>
      <c r="N39" s="29" t="n">
        <v>38179</v>
      </c>
      <c r="O39" s="23">
        <f>IF(N39="","",DATEDIF(N39,TODAY(),"Y"))</f>
        <v/>
      </c>
      <c r="P39" s="23">
        <f>IF(O39="","",IF(O39&lt;=11,"Infantil",IF(O39&lt;=17,"Juvenil",IF(O39&lt;=44,"Adulto","Baobá"))))</f>
        <v/>
      </c>
      <c r="Q39" s="23">
        <f>IF(P39&lt;&gt;"Adulto","",IF(OR(L39="Marrom",L39="Marrom/Vermelha"),"A",IF(OR(L39="Roxa",L39="Roxa/Marrom"),"B",IF(OR(L39="Verde",L39="Verde/Roxa"),"C",IF(OR(L39="Azul",L39="Azul/Verde"),"D",IF(OR(L39="Laranja",L39="Laranja/Azul"),"E",IF(Y39="Sí","E","N/A")))))))</f>
        <v/>
      </c>
      <c r="R39" s="23">
        <f>IF(P39&lt;&gt;"Baobá","",IF(OR(L39="Laranja",L39="Laranja/Azul"),"Alumnos",IF(Y39="Sí","Alumnos","Graduados+")))</f>
        <v/>
      </c>
      <c r="S39" s="23">
        <f>IF(P39="","",IF(P39="Adulto",IF(OR(Q39="",Q39="N/A"),"⚠ Corda no compite Adulto",P39&amp;"-"&amp;Q39&amp;" · "&amp;M39),IF(P39="Baobá",IF(R39="","⚠ Sin clasificar Baobá",P39&amp;"-"&amp;R39&amp;" · "&amp;M39),IF(P39="Juvenil",IF(AND(OR(L39="Crua",L39="Crua/Amarela"),Y39&lt;&gt;"Sí"),"⚠ Juvenil necesita Amarela+",P39&amp;" · "&amp;M39),P39&amp;" · "&amp;M39))))</f>
        <v/>
      </c>
      <c r="T39" s="23" t="n"/>
      <c r="U39" s="22" t="inlineStr">
        <is>
          <t>Sí</t>
        </is>
      </c>
      <c r="V39" s="22" t="n"/>
      <c r="W39" s="22" t="n"/>
      <c r="X39" s="22" t="n"/>
      <c r="Y39" s="22" t="inlineStr">
        <is>
          <t>No</t>
        </is>
      </c>
      <c r="Z39" s="22" t="inlineStr">
        <is>
          <t>M</t>
        </is>
      </c>
      <c r="AA39" s="22" t="n">
        <v>35</v>
      </c>
      <c r="AB39" s="22" t="inlineStr">
        <is>
          <t>Pagado</t>
        </is>
      </c>
      <c r="AC39" s="22" t="n"/>
      <c r="AD39" s="23">
        <f>IF(D39&lt;&gt;"","P"&amp;TEXT(ROW()-4,"0000"),"")</f>
        <v/>
      </c>
    </row>
    <row r="40" ht="14.25" customHeight="1" s="72">
      <c r="A40" s="22" t="inlineStr">
        <is>
          <t>2025-10-22 20:25:46</t>
        </is>
      </c>
      <c r="B40" s="22" t="n"/>
      <c r="C40" s="22" t="n"/>
      <c r="D40" s="22" t="inlineStr">
        <is>
          <t>Matheus</t>
        </is>
      </c>
      <c r="E40" s="22" t="inlineStr">
        <is>
          <t>Moreau</t>
        </is>
      </c>
      <c r="F40" s="22" t="inlineStr">
        <is>
          <t>Escorpião</t>
        </is>
      </c>
      <c r="G40" s="23">
        <f>IF(F40&lt;&gt;"",F40,IF(AND(D40="",E40=""),"",TRIM(D40&amp;" "&amp;E40)))</f>
        <v/>
      </c>
      <c r="H40" s="22" t="n"/>
      <c r="I40" s="22" t="inlineStr">
        <is>
          <t>+34 626 737 646</t>
        </is>
      </c>
      <c r="J40" s="22" t="inlineStr">
        <is>
          <t>Rio de Janeiro-Brasil</t>
        </is>
      </c>
      <c r="K40" s="22" t="inlineStr">
        <is>
          <t>Mestre Sucuri</t>
        </is>
      </c>
      <c r="L40" s="22" t="inlineStr">
        <is>
          <t>Roxa</t>
        </is>
      </c>
      <c r="M40" s="22" t="inlineStr">
        <is>
          <t>Masculino</t>
        </is>
      </c>
      <c r="N40" s="29" t="n">
        <v>31707</v>
      </c>
      <c r="O40" s="23">
        <f>IF(N40="","",DATEDIF(N40,TODAY(),"Y"))</f>
        <v/>
      </c>
      <c r="P40" s="23">
        <f>IF(O40="","",IF(O40&lt;=11,"Infantil",IF(O40&lt;=17,"Juvenil",IF(O40&lt;=44,"Adulto","Baobá"))))</f>
        <v/>
      </c>
      <c r="Q40" s="23">
        <f>IF(P40&lt;&gt;"Adulto","",IF(OR(L40="Marrom",L40="Marrom/Vermelha"),"A",IF(OR(L40="Roxa",L40="Roxa/Marrom"),"B",IF(OR(L40="Verde",L40="Verde/Roxa"),"C",IF(OR(L40="Azul",L40="Azul/Verde"),"D",IF(OR(L40="Laranja",L40="Laranja/Azul"),"E",IF(Y40="Sí","E","N/A")))))))</f>
        <v/>
      </c>
      <c r="R40" s="23">
        <f>IF(P40&lt;&gt;"Baobá","",IF(OR(L40="Laranja",L40="Laranja/Azul"),"Alumnos",IF(Y40="Sí","Alumnos","Graduados+")))</f>
        <v/>
      </c>
      <c r="S40" s="23">
        <f>IF(P40="","",IF(P40="Adulto",IF(OR(Q40="",Q40="N/A"),"⚠ Corda no compite Adulto",P40&amp;"-"&amp;Q40&amp;" · "&amp;M40),IF(P40="Baobá",IF(R40="","⚠ Sin clasificar Baobá",P40&amp;"-"&amp;R40&amp;" · "&amp;M40),IF(P40="Juvenil",IF(AND(OR(L40="Crua",L40="Crua/Amarela"),Y40&lt;&gt;"Sí"),"⚠ Juvenil necesita Amarela+",P40&amp;" · "&amp;M40),P40&amp;" · "&amp;M40))))</f>
        <v/>
      </c>
      <c r="T40" s="23" t="n"/>
      <c r="U40" s="22" t="inlineStr">
        <is>
          <t>Sí</t>
        </is>
      </c>
      <c r="V40" s="22" t="n"/>
      <c r="W40" s="22" t="n"/>
      <c r="X40" s="22" t="n"/>
      <c r="Y40" s="22" t="inlineStr">
        <is>
          <t>No</t>
        </is>
      </c>
      <c r="Z40" s="22" t="inlineStr">
        <is>
          <t>L</t>
        </is>
      </c>
      <c r="AA40" s="22" t="n">
        <v>35</v>
      </c>
      <c r="AB40" s="22" t="inlineStr">
        <is>
          <t>Pagado</t>
        </is>
      </c>
      <c r="AC40" s="22" t="n"/>
      <c r="AD40" s="23">
        <f>IF(D40&lt;&gt;"","P"&amp;TEXT(ROW()-4,"0000"),"")</f>
        <v/>
      </c>
    </row>
    <row r="41" ht="14.25" customHeight="1" s="72">
      <c r="A41" s="22" t="inlineStr">
        <is>
          <t>2025-08-03 18:27:08</t>
        </is>
      </c>
      <c r="B41" s="22" t="n"/>
      <c r="C41" s="22" t="n"/>
      <c r="D41" s="22" t="inlineStr">
        <is>
          <t>Caio</t>
        </is>
      </c>
      <c r="E41" s="22" t="inlineStr">
        <is>
          <t>Sánchez</t>
        </is>
      </c>
      <c r="F41" s="22" t="inlineStr">
        <is>
          <t>Gavião-Real</t>
        </is>
      </c>
      <c r="G41" s="23">
        <f>IF(F41&lt;&gt;"",F41,IF(AND(D41="",E41=""),"",TRIM(D41&amp;" "&amp;E41)))</f>
        <v/>
      </c>
      <c r="H41" s="22" t="n"/>
      <c r="I41" s="22" t="inlineStr">
        <is>
          <t>+34 616 366 488</t>
        </is>
      </c>
      <c r="J41" s="22" t="inlineStr">
        <is>
          <t>Lyon-Francia</t>
        </is>
      </c>
      <c r="K41" s="22" t="inlineStr">
        <is>
          <t>Contra-Mestre Arara</t>
        </is>
      </c>
      <c r="L41" s="22" t="inlineStr">
        <is>
          <t>Roxa</t>
        </is>
      </c>
      <c r="M41" s="22" t="inlineStr">
        <is>
          <t>Masculino</t>
        </is>
      </c>
      <c r="N41" s="29" t="n">
        <v>33035</v>
      </c>
      <c r="O41" s="23">
        <f>IF(N41="","",DATEDIF(N41,TODAY(),"Y"))</f>
        <v/>
      </c>
      <c r="P41" s="23">
        <f>IF(O41="","",IF(O41&lt;=11,"Infantil",IF(O41&lt;=17,"Juvenil",IF(O41&lt;=44,"Adulto","Baobá"))))</f>
        <v/>
      </c>
      <c r="Q41" s="23">
        <f>IF(P41&lt;&gt;"Adulto","",IF(OR(L41="Marrom",L41="Marrom/Vermelha"),"A",IF(OR(L41="Roxa",L41="Roxa/Marrom"),"B",IF(OR(L41="Verde",L41="Verde/Roxa"),"C",IF(OR(L41="Azul",L41="Azul/Verde"),"D",IF(OR(L41="Laranja",L41="Laranja/Azul"),"E",IF(Y41="Sí","E","N/A")))))))</f>
        <v/>
      </c>
      <c r="R41" s="23">
        <f>IF(P41&lt;&gt;"Baobá","",IF(OR(L41="Laranja",L41="Laranja/Azul"),"Alumnos",IF(Y41="Sí","Alumnos","Graduados+")))</f>
        <v/>
      </c>
      <c r="S41" s="23">
        <f>IF(P41="","",IF(P41="Adulto",IF(OR(Q41="",Q41="N/A"),"⚠ Corda no compite Adulto",P41&amp;"-"&amp;Q41&amp;" · "&amp;M41),IF(P41="Baobá",IF(R41="","⚠ Sin clasificar Baobá",P41&amp;"-"&amp;R41&amp;" · "&amp;M41),IF(P41="Juvenil",IF(AND(OR(L41="Crua",L41="Crua/Amarela"),Y41&lt;&gt;"Sí"),"⚠ Juvenil necesita Amarela+",P41&amp;" · "&amp;M41),P41&amp;" · "&amp;M41))))</f>
        <v/>
      </c>
      <c r="T41" s="23" t="n"/>
      <c r="U41" s="22" t="inlineStr">
        <is>
          <t>Sí</t>
        </is>
      </c>
      <c r="V41" s="22" t="n"/>
      <c r="W41" s="22" t="n"/>
      <c r="X41" s="22" t="n"/>
      <c r="Y41" s="22" t="inlineStr">
        <is>
          <t>No</t>
        </is>
      </c>
      <c r="Z41" s="22" t="inlineStr">
        <is>
          <t>XL</t>
        </is>
      </c>
      <c r="AA41" s="22" t="n">
        <v>35</v>
      </c>
      <c r="AB41" s="22" t="inlineStr">
        <is>
          <t>Pagado</t>
        </is>
      </c>
      <c r="AC41" s="22" t="n"/>
      <c r="AD41" s="23">
        <f>IF(D41&lt;&gt;"","P"&amp;TEXT(ROW()-4,"0000"),"")</f>
        <v/>
      </c>
    </row>
    <row r="42" ht="14.25" customHeight="1" s="72">
      <c r="A42" s="22" t="inlineStr">
        <is>
          <t>2025-09-09 20:53:26</t>
        </is>
      </c>
      <c r="B42" s="22" t="n"/>
      <c r="C42" s="22" t="n"/>
      <c r="D42" s="22" t="inlineStr">
        <is>
          <t>Tomás</t>
        </is>
      </c>
      <c r="E42" s="22" t="inlineStr">
        <is>
          <t>Rodrigues</t>
        </is>
      </c>
      <c r="F42" s="22" t="inlineStr">
        <is>
          <t>Pato</t>
        </is>
      </c>
      <c r="G42" s="23">
        <f>IF(F42&lt;&gt;"",F42,IF(AND(D42="",E42=""),"",TRIM(D42&amp;" "&amp;E42)))</f>
        <v/>
      </c>
      <c r="H42" s="22" t="n"/>
      <c r="I42" s="22" t="inlineStr">
        <is>
          <t>+34 670 119 867</t>
        </is>
      </c>
      <c r="J42" s="22" t="inlineStr">
        <is>
          <t>Belo Horizonte-Brasil</t>
        </is>
      </c>
      <c r="K42" s="22" t="inlineStr">
        <is>
          <t>Contra-Mestre Jabuti</t>
        </is>
      </c>
      <c r="L42" s="22" t="inlineStr">
        <is>
          <t>Roxa/Marrom</t>
        </is>
      </c>
      <c r="M42" s="22" t="inlineStr">
        <is>
          <t>Masculino</t>
        </is>
      </c>
      <c r="N42" s="29" t="n">
        <v>35737</v>
      </c>
      <c r="O42" s="23">
        <f>IF(N42="","",DATEDIF(N42,TODAY(),"Y"))</f>
        <v/>
      </c>
      <c r="P42" s="23">
        <f>IF(O42="","",IF(O42&lt;=11,"Infantil",IF(O42&lt;=17,"Juvenil",IF(O42&lt;=44,"Adulto","Baobá"))))</f>
        <v/>
      </c>
      <c r="Q42" s="23">
        <f>IF(P42&lt;&gt;"Adulto","",IF(OR(L42="Marrom",L42="Marrom/Vermelha"),"A",IF(OR(L42="Roxa",L42="Roxa/Marrom"),"B",IF(OR(L42="Verde",L42="Verde/Roxa"),"C",IF(OR(L42="Azul",L42="Azul/Verde"),"D",IF(OR(L42="Laranja",L42="Laranja/Azul"),"E",IF(Y42="Sí","E","N/A")))))))</f>
        <v/>
      </c>
      <c r="R42" s="23">
        <f>IF(P42&lt;&gt;"Baobá","",IF(OR(L42="Laranja",L42="Laranja/Azul"),"Alumnos",IF(Y42="Sí","Alumnos","Graduados+")))</f>
        <v/>
      </c>
      <c r="S42" s="23">
        <f>IF(P42="","",IF(P42="Adulto",IF(OR(Q42="",Q42="N/A"),"⚠ Corda no compite Adulto",P42&amp;"-"&amp;Q42&amp;" · "&amp;M42),IF(P42="Baobá",IF(R42="","⚠ Sin clasificar Baobá",P42&amp;"-"&amp;R42&amp;" · "&amp;M42),IF(P42="Juvenil",IF(AND(OR(L42="Crua",L42="Crua/Amarela"),Y42&lt;&gt;"Sí"),"⚠ Juvenil necesita Amarela+",P42&amp;" · "&amp;M42),P42&amp;" · "&amp;M42))))</f>
        <v/>
      </c>
      <c r="T42" s="23" t="n"/>
      <c r="U42" s="22" t="inlineStr">
        <is>
          <t>Sí</t>
        </is>
      </c>
      <c r="V42" s="22" t="n"/>
      <c r="W42" s="22" t="n"/>
      <c r="X42" s="22" t="n"/>
      <c r="Y42" s="22" t="inlineStr">
        <is>
          <t>No</t>
        </is>
      </c>
      <c r="Z42" s="22" t="inlineStr">
        <is>
          <t>XXL</t>
        </is>
      </c>
      <c r="AA42" s="22" t="n">
        <v>35</v>
      </c>
      <c r="AB42" s="22" t="inlineStr">
        <is>
          <t>Pagado</t>
        </is>
      </c>
      <c r="AC42" s="22" t="n"/>
      <c r="AD42" s="23">
        <f>IF(D42&lt;&gt;"","P"&amp;TEXT(ROW()-4,"0000"),"")</f>
        <v/>
      </c>
    </row>
    <row r="43" ht="14.25" customHeight="1" s="72">
      <c r="A43" s="22" t="inlineStr">
        <is>
          <t>2025-10-02 20:01:15</t>
        </is>
      </c>
      <c r="B43" s="22" t="n"/>
      <c r="C43" s="22" t="n"/>
      <c r="D43" s="22" t="inlineStr">
        <is>
          <t>Andres</t>
        </is>
      </c>
      <c r="E43" s="22" t="inlineStr">
        <is>
          <t>Oliveira</t>
        </is>
      </c>
      <c r="F43" s="22" t="inlineStr">
        <is>
          <t>Congro</t>
        </is>
      </c>
      <c r="G43" s="23">
        <f>IF(F43&lt;&gt;"",F43,IF(AND(D43="",E43=""),"",TRIM(D43&amp;" "&amp;E43)))</f>
        <v/>
      </c>
      <c r="H43" s="22" t="n"/>
      <c r="I43" s="22" t="inlineStr">
        <is>
          <t>+34 689 256 344</t>
        </is>
      </c>
      <c r="J43" s="22" t="inlineStr">
        <is>
          <t>Brasília-Brasil</t>
        </is>
      </c>
      <c r="K43" s="22" t="inlineStr">
        <is>
          <t>Mestre Tartaruga</t>
        </is>
      </c>
      <c r="L43" s="22" t="inlineStr">
        <is>
          <t>Roxa</t>
        </is>
      </c>
      <c r="M43" s="22" t="inlineStr">
        <is>
          <t>Masculino</t>
        </is>
      </c>
      <c r="N43" s="29" t="n">
        <v>30366</v>
      </c>
      <c r="O43" s="23">
        <f>IF(N43="","",DATEDIF(N43,TODAY(),"Y"))</f>
        <v/>
      </c>
      <c r="P43" s="23">
        <f>IF(O43="","",IF(O43&lt;=11,"Infantil",IF(O43&lt;=17,"Juvenil",IF(O43&lt;=44,"Adulto","Baobá"))))</f>
        <v/>
      </c>
      <c r="Q43" s="23">
        <f>IF(P43&lt;&gt;"Adulto","",IF(OR(L43="Marrom",L43="Marrom/Vermelha"),"A",IF(OR(L43="Roxa",L43="Roxa/Marrom"),"B",IF(OR(L43="Verde",L43="Verde/Roxa"),"C",IF(OR(L43="Azul",L43="Azul/Verde"),"D",IF(OR(L43="Laranja",L43="Laranja/Azul"),"E",IF(Y43="Sí","E","N/A")))))))</f>
        <v/>
      </c>
      <c r="R43" s="23">
        <f>IF(P43&lt;&gt;"Baobá","",IF(OR(L43="Laranja",L43="Laranja/Azul"),"Alumnos",IF(Y43="Sí","Alumnos","Graduados+")))</f>
        <v/>
      </c>
      <c r="S43" s="23">
        <f>IF(P43="","",IF(P43="Adulto",IF(OR(Q43="",Q43="N/A"),"⚠ Corda no compite Adulto",P43&amp;"-"&amp;Q43&amp;" · "&amp;M43),IF(P43="Baobá",IF(R43="","⚠ Sin clasificar Baobá",P43&amp;"-"&amp;R43&amp;" · "&amp;M43),IF(P43="Juvenil",IF(AND(OR(L43="Crua",L43="Crua/Amarela"),Y43&lt;&gt;"Sí"),"⚠ Juvenil necesita Amarela+",P43&amp;" · "&amp;M43),P43&amp;" · "&amp;M43))))</f>
        <v/>
      </c>
      <c r="T43" s="23" t="n"/>
      <c r="U43" s="22" t="inlineStr">
        <is>
          <t>Sí</t>
        </is>
      </c>
      <c r="V43" s="22" t="n"/>
      <c r="W43" s="22" t="n"/>
      <c r="X43" s="22" t="n"/>
      <c r="Y43" s="22" t="inlineStr">
        <is>
          <t>No</t>
        </is>
      </c>
      <c r="Z43" s="22" t="inlineStr">
        <is>
          <t>XS</t>
        </is>
      </c>
      <c r="AA43" s="22" t="n">
        <v>35</v>
      </c>
      <c r="AB43" s="22" t="inlineStr">
        <is>
          <t>Pagado</t>
        </is>
      </c>
      <c r="AC43" s="22" t="n"/>
      <c r="AD43" s="23">
        <f>IF(D43&lt;&gt;"","P"&amp;TEXT(ROW()-4,"0000"),"")</f>
        <v/>
      </c>
    </row>
    <row r="44" ht="14.25" customHeight="1" s="72">
      <c r="A44" s="22" t="inlineStr">
        <is>
          <t>2025-08-15 19:16:49</t>
        </is>
      </c>
      <c r="B44" s="22" t="n"/>
      <c r="C44" s="22" t="n"/>
      <c r="D44" s="22" t="inlineStr">
        <is>
          <t>Leandro</t>
        </is>
      </c>
      <c r="E44" s="22" t="inlineStr">
        <is>
          <t>López</t>
        </is>
      </c>
      <c r="F44" s="22" t="inlineStr">
        <is>
          <t>Pomba</t>
        </is>
      </c>
      <c r="G44" s="23">
        <f>IF(F44&lt;&gt;"",F44,IF(AND(D44="",E44=""),"",TRIM(D44&amp;" "&amp;E44)))</f>
        <v/>
      </c>
      <c r="H44" s="22" t="n"/>
      <c r="I44" s="22" t="inlineStr">
        <is>
          <t>+34 687 721 865</t>
        </is>
      </c>
      <c r="J44" s="22" t="inlineStr">
        <is>
          <t>Porto Alegre-Brasil</t>
        </is>
      </c>
      <c r="K44" s="22" t="inlineStr">
        <is>
          <t>Professor Gavião</t>
        </is>
      </c>
      <c r="L44" s="22" t="inlineStr">
        <is>
          <t>Roxa</t>
        </is>
      </c>
      <c r="M44" s="22" t="inlineStr">
        <is>
          <t>Masculino</t>
        </is>
      </c>
      <c r="N44" s="29" t="n">
        <v>34749</v>
      </c>
      <c r="O44" s="23">
        <f>IF(N44="","",DATEDIF(N44,TODAY(),"Y"))</f>
        <v/>
      </c>
      <c r="P44" s="23">
        <f>IF(O44="","",IF(O44&lt;=11,"Infantil",IF(O44&lt;=17,"Juvenil",IF(O44&lt;=44,"Adulto","Baobá"))))</f>
        <v/>
      </c>
      <c r="Q44" s="23">
        <f>IF(P44&lt;&gt;"Adulto","",IF(OR(L44="Marrom",L44="Marrom/Vermelha"),"A",IF(OR(L44="Roxa",L44="Roxa/Marrom"),"B",IF(OR(L44="Verde",L44="Verde/Roxa"),"C",IF(OR(L44="Azul",L44="Azul/Verde"),"D",IF(OR(L44="Laranja",L44="Laranja/Azul"),"E",IF(Y44="Sí","E","N/A")))))))</f>
        <v/>
      </c>
      <c r="R44" s="23">
        <f>IF(P44&lt;&gt;"Baobá","",IF(OR(L44="Laranja",L44="Laranja/Azul"),"Alumnos",IF(Y44="Sí","Alumnos","Graduados+")))</f>
        <v/>
      </c>
      <c r="S44" s="23">
        <f>IF(P44="","",IF(P44="Adulto",IF(OR(Q44="",Q44="N/A"),"⚠ Corda no compite Adulto",P44&amp;"-"&amp;Q44&amp;" · "&amp;M44),IF(P44="Baobá",IF(R44="","⚠ Sin clasificar Baobá",P44&amp;"-"&amp;R44&amp;" · "&amp;M44),IF(P44="Juvenil",IF(AND(OR(L44="Crua",L44="Crua/Amarela"),Y44&lt;&gt;"Sí"),"⚠ Juvenil necesita Amarela+",P44&amp;" · "&amp;M44),P44&amp;" · "&amp;M44))))</f>
        <v/>
      </c>
      <c r="T44" s="23" t="n"/>
      <c r="U44" s="22" t="inlineStr">
        <is>
          <t>Sí</t>
        </is>
      </c>
      <c r="V44" s="22" t="n"/>
      <c r="W44" s="22" t="n"/>
      <c r="X44" s="22" t="n"/>
      <c r="Y44" s="22" t="inlineStr">
        <is>
          <t>No</t>
        </is>
      </c>
      <c r="Z44" s="22" t="inlineStr">
        <is>
          <t>S</t>
        </is>
      </c>
      <c r="AA44" s="22" t="n">
        <v>35</v>
      </c>
      <c r="AB44" s="22" t="inlineStr">
        <is>
          <t>Pagado</t>
        </is>
      </c>
      <c r="AC44" s="22" t="n"/>
      <c r="AD44" s="23">
        <f>IF(D44&lt;&gt;"","P"&amp;TEXT(ROW()-4,"0000"),"")</f>
        <v/>
      </c>
    </row>
    <row r="45" ht="14.25" customHeight="1" s="72">
      <c r="A45" s="22" t="inlineStr">
        <is>
          <t>2025-08-10 17:43:58</t>
        </is>
      </c>
      <c r="B45" s="22" t="n"/>
      <c r="C45" s="22" t="n"/>
      <c r="D45" s="22" t="inlineStr">
        <is>
          <t>Marco</t>
        </is>
      </c>
      <c r="E45" s="22" t="inlineStr">
        <is>
          <t>Dupont</t>
        </is>
      </c>
      <c r="F45" s="22" t="inlineStr">
        <is>
          <t>Abelha</t>
        </is>
      </c>
      <c r="G45" s="23">
        <f>IF(F45&lt;&gt;"",F45,IF(AND(D45="",E45=""),"",TRIM(D45&amp;" "&amp;E45)))</f>
        <v/>
      </c>
      <c r="H45" s="22" t="n"/>
      <c r="I45" s="22" t="inlineStr">
        <is>
          <t>+34 635 177 706</t>
        </is>
      </c>
      <c r="J45" s="22" t="inlineStr">
        <is>
          <t>Lisboa-Portugal</t>
        </is>
      </c>
      <c r="K45" s="22" t="inlineStr">
        <is>
          <t>Professor Leão</t>
        </is>
      </c>
      <c r="L45" s="22" t="inlineStr">
        <is>
          <t>Roxa</t>
        </is>
      </c>
      <c r="M45" s="22" t="inlineStr">
        <is>
          <t>Masculino</t>
        </is>
      </c>
      <c r="N45" s="29" t="n">
        <v>30099</v>
      </c>
      <c r="O45" s="23">
        <f>IF(N45="","",DATEDIF(N45,TODAY(),"Y"))</f>
        <v/>
      </c>
      <c r="P45" s="23">
        <f>IF(O45="","",IF(O45&lt;=11,"Infantil",IF(O45&lt;=17,"Juvenil",IF(O45&lt;=44,"Adulto","Baobá"))))</f>
        <v/>
      </c>
      <c r="Q45" s="23">
        <f>IF(P45&lt;&gt;"Adulto","",IF(OR(L45="Marrom",L45="Marrom/Vermelha"),"A",IF(OR(L45="Roxa",L45="Roxa/Marrom"),"B",IF(OR(L45="Verde",L45="Verde/Roxa"),"C",IF(OR(L45="Azul",L45="Azul/Verde"),"D",IF(OR(L45="Laranja",L45="Laranja/Azul"),"E",IF(Y45="Sí","E","N/A")))))))</f>
        <v/>
      </c>
      <c r="R45" s="23">
        <f>IF(P45&lt;&gt;"Baobá","",IF(OR(L45="Laranja",L45="Laranja/Azul"),"Alumnos",IF(Y45="Sí","Alumnos","Graduados+")))</f>
        <v/>
      </c>
      <c r="S45" s="23">
        <f>IF(P45="","",IF(P45="Adulto",IF(OR(Q45="",Q45="N/A"),"⚠ Corda no compite Adulto",P45&amp;"-"&amp;Q45&amp;" · "&amp;M45),IF(P45="Baobá",IF(R45="","⚠ Sin clasificar Baobá",P45&amp;"-"&amp;R45&amp;" · "&amp;M45),IF(P45="Juvenil",IF(AND(OR(L45="Crua",L45="Crua/Amarela"),Y45&lt;&gt;"Sí"),"⚠ Juvenil necesita Amarela+",P45&amp;" · "&amp;M45),P45&amp;" · "&amp;M45))))</f>
        <v/>
      </c>
      <c r="T45" s="23" t="n"/>
      <c r="U45" s="22" t="inlineStr">
        <is>
          <t>Sí</t>
        </is>
      </c>
      <c r="V45" s="22" t="n"/>
      <c r="W45" s="22" t="n"/>
      <c r="X45" s="22" t="n"/>
      <c r="Y45" s="22" t="inlineStr">
        <is>
          <t>No</t>
        </is>
      </c>
      <c r="Z45" s="22" t="inlineStr">
        <is>
          <t>M</t>
        </is>
      </c>
      <c r="AA45" s="22" t="n">
        <v>35</v>
      </c>
      <c r="AB45" s="22" t="inlineStr">
        <is>
          <t>Pagado</t>
        </is>
      </c>
      <c r="AC45" s="22" t="n"/>
      <c r="AD45" s="23">
        <f>IF(D45&lt;&gt;"","P"&amp;TEXT(ROW()-4,"0000"),"")</f>
        <v/>
      </c>
    </row>
    <row r="46" ht="14.25" customHeight="1" s="72">
      <c r="A46" s="22" t="inlineStr">
        <is>
          <t>2025-10-20 20:07:50</t>
        </is>
      </c>
      <c r="B46" s="22" t="n"/>
      <c r="C46" s="22" t="n"/>
      <c r="D46" s="22" t="inlineStr">
        <is>
          <t>Fernando</t>
        </is>
      </c>
      <c r="E46" s="22" t="inlineStr">
        <is>
          <t>Costa</t>
        </is>
      </c>
      <c r="F46" s="22" t="inlineStr">
        <is>
          <t>Arara</t>
        </is>
      </c>
      <c r="G46" s="23">
        <f>IF(F46&lt;&gt;"",F46,IF(AND(D46="",E46=""),"",TRIM(D46&amp;" "&amp;E46)))</f>
        <v/>
      </c>
      <c r="H46" s="22" t="n"/>
      <c r="I46" s="22" t="inlineStr">
        <is>
          <t>+34 654 645 538</t>
        </is>
      </c>
      <c r="J46" s="22" t="inlineStr">
        <is>
          <t>Hamburgo-Alemania</t>
        </is>
      </c>
      <c r="K46" s="22" t="inlineStr">
        <is>
          <t>Contra-Mestre Falcão</t>
        </is>
      </c>
      <c r="L46" s="22" t="inlineStr">
        <is>
          <t>Roxa/Marrom</t>
        </is>
      </c>
      <c r="M46" s="22" t="inlineStr">
        <is>
          <t>Masculino</t>
        </is>
      </c>
      <c r="N46" s="29" t="n">
        <v>32458</v>
      </c>
      <c r="O46" s="23">
        <f>IF(N46="","",DATEDIF(N46,TODAY(),"Y"))</f>
        <v/>
      </c>
      <c r="P46" s="23">
        <f>IF(O46="","",IF(O46&lt;=11,"Infantil",IF(O46&lt;=17,"Juvenil",IF(O46&lt;=44,"Adulto","Baobá"))))</f>
        <v/>
      </c>
      <c r="Q46" s="23">
        <f>IF(P46&lt;&gt;"Adulto","",IF(OR(L46="Marrom",L46="Marrom/Vermelha"),"A",IF(OR(L46="Roxa",L46="Roxa/Marrom"),"B",IF(OR(L46="Verde",L46="Verde/Roxa"),"C",IF(OR(L46="Azul",L46="Azul/Verde"),"D",IF(OR(L46="Laranja",L46="Laranja/Azul"),"E",IF(Y46="Sí","E","N/A")))))))</f>
        <v/>
      </c>
      <c r="R46" s="23">
        <f>IF(P46&lt;&gt;"Baobá","",IF(OR(L46="Laranja",L46="Laranja/Azul"),"Alumnos",IF(Y46="Sí","Alumnos","Graduados+")))</f>
        <v/>
      </c>
      <c r="S46" s="23">
        <f>IF(P46="","",IF(P46="Adulto",IF(OR(Q46="",Q46="N/A"),"⚠ Corda no compite Adulto",P46&amp;"-"&amp;Q46&amp;" · "&amp;M46),IF(P46="Baobá",IF(R46="","⚠ Sin clasificar Baobá",P46&amp;"-"&amp;R46&amp;" · "&amp;M46),IF(P46="Juvenil",IF(AND(OR(L46="Crua",L46="Crua/Amarela"),Y46&lt;&gt;"Sí"),"⚠ Juvenil necesita Amarela+",P46&amp;" · "&amp;M46),P46&amp;" · "&amp;M46))))</f>
        <v/>
      </c>
      <c r="T46" s="23" t="n"/>
      <c r="U46" s="22" t="inlineStr">
        <is>
          <t>Sí</t>
        </is>
      </c>
      <c r="V46" s="22" t="n"/>
      <c r="W46" s="22" t="n"/>
      <c r="X46" s="22" t="n"/>
      <c r="Y46" s="22" t="inlineStr">
        <is>
          <t>No</t>
        </is>
      </c>
      <c r="Z46" s="22" t="inlineStr">
        <is>
          <t>L</t>
        </is>
      </c>
      <c r="AA46" s="22" t="n">
        <v>35</v>
      </c>
      <c r="AB46" s="22" t="inlineStr">
        <is>
          <t>Pagado</t>
        </is>
      </c>
      <c r="AC46" s="22" t="n"/>
      <c r="AD46" s="23">
        <f>IF(D46&lt;&gt;"","P"&amp;TEXT(ROW()-4,"0000"),"")</f>
        <v/>
      </c>
    </row>
    <row r="47" ht="14.25" customHeight="1" s="72">
      <c r="A47" s="22" t="inlineStr">
        <is>
          <t>2025-08-28 14:52:31</t>
        </is>
      </c>
      <c r="B47" s="22" t="n"/>
      <c r="C47" s="22" t="n"/>
      <c r="D47" s="22" t="inlineStr">
        <is>
          <t>Lucas</t>
        </is>
      </c>
      <c r="E47" s="22" t="inlineStr">
        <is>
          <t>Richard</t>
        </is>
      </c>
      <c r="F47" s="22" t="inlineStr">
        <is>
          <t>Grilo</t>
        </is>
      </c>
      <c r="G47" s="23">
        <f>IF(F47&lt;&gt;"",F47,IF(AND(D47="",E47=""),"",TRIM(D47&amp;" "&amp;E47)))</f>
        <v/>
      </c>
      <c r="H47" s="22" t="n"/>
      <c r="I47" s="22" t="inlineStr">
        <is>
          <t>+34 656 750 948</t>
        </is>
      </c>
      <c r="J47" s="22" t="inlineStr">
        <is>
          <t>Montevideo-Uruguay</t>
        </is>
      </c>
      <c r="K47" s="22" t="inlineStr">
        <is>
          <t>Mestre Cobra</t>
        </is>
      </c>
      <c r="L47" s="22" t="inlineStr">
        <is>
          <t>Roxa</t>
        </is>
      </c>
      <c r="M47" s="22" t="inlineStr">
        <is>
          <t>Masculino</t>
        </is>
      </c>
      <c r="N47" s="29" t="n">
        <v>33321</v>
      </c>
      <c r="O47" s="23">
        <f>IF(N47="","",DATEDIF(N47,TODAY(),"Y"))</f>
        <v/>
      </c>
      <c r="P47" s="23">
        <f>IF(O47="","",IF(O47&lt;=11,"Infantil",IF(O47&lt;=17,"Juvenil",IF(O47&lt;=44,"Adulto","Baobá"))))</f>
        <v/>
      </c>
      <c r="Q47" s="23">
        <f>IF(P47&lt;&gt;"Adulto","",IF(OR(L47="Marrom",L47="Marrom/Vermelha"),"A",IF(OR(L47="Roxa",L47="Roxa/Marrom"),"B",IF(OR(L47="Verde",L47="Verde/Roxa"),"C",IF(OR(L47="Azul",L47="Azul/Verde"),"D",IF(OR(L47="Laranja",L47="Laranja/Azul"),"E",IF(Y47="Sí","E","N/A")))))))</f>
        <v/>
      </c>
      <c r="R47" s="23">
        <f>IF(P47&lt;&gt;"Baobá","",IF(OR(L47="Laranja",L47="Laranja/Azul"),"Alumnos",IF(Y47="Sí","Alumnos","Graduados+")))</f>
        <v/>
      </c>
      <c r="S47" s="23">
        <f>IF(P47="","",IF(P47="Adulto",IF(OR(Q47="",Q47="N/A"),"⚠ Corda no compite Adulto",P47&amp;"-"&amp;Q47&amp;" · "&amp;M47),IF(P47="Baobá",IF(R47="","⚠ Sin clasificar Baobá",P47&amp;"-"&amp;R47&amp;" · "&amp;M47),IF(P47="Juvenil",IF(AND(OR(L47="Crua",L47="Crua/Amarela"),Y47&lt;&gt;"Sí"),"⚠ Juvenil necesita Amarela+",P47&amp;" · "&amp;M47),P47&amp;" · "&amp;M47))))</f>
        <v/>
      </c>
      <c r="T47" s="23" t="n"/>
      <c r="U47" s="22" t="inlineStr">
        <is>
          <t>Sí</t>
        </is>
      </c>
      <c r="V47" s="22" t="n"/>
      <c r="W47" s="22" t="n"/>
      <c r="X47" s="22" t="n"/>
      <c r="Y47" s="22" t="inlineStr">
        <is>
          <t>No</t>
        </is>
      </c>
      <c r="Z47" s="22" t="inlineStr">
        <is>
          <t>XL</t>
        </is>
      </c>
      <c r="AA47" s="22" t="n">
        <v>35</v>
      </c>
      <c r="AB47" s="22" t="inlineStr">
        <is>
          <t>Pagado</t>
        </is>
      </c>
      <c r="AC47" s="22" t="n"/>
      <c r="AD47" s="23">
        <f>IF(D47&lt;&gt;"","P"&amp;TEXT(ROW()-4,"0000"),"")</f>
        <v/>
      </c>
    </row>
    <row r="48" ht="14.25" customHeight="1" s="72">
      <c r="A48" s="22" t="inlineStr">
        <is>
          <t>2025-10-21 12:39:51</t>
        </is>
      </c>
      <c r="B48" s="22" t="n"/>
      <c r="C48" s="22" t="n"/>
      <c r="D48" s="22" t="inlineStr">
        <is>
          <t>Francisco</t>
        </is>
      </c>
      <c r="E48" s="22" t="inlineStr">
        <is>
          <t>Mendes</t>
        </is>
      </c>
      <c r="F48" s="22" t="inlineStr">
        <is>
          <t>Cigarra</t>
        </is>
      </c>
      <c r="G48" s="23">
        <f>IF(F48&lt;&gt;"",F48,IF(AND(D48="",E48=""),"",TRIM(D48&amp;" "&amp;E48)))</f>
        <v/>
      </c>
      <c r="H48" s="22" t="n"/>
      <c r="I48" s="22" t="inlineStr">
        <is>
          <t>+34 669 546 945</t>
        </is>
      </c>
      <c r="J48" s="22" t="inlineStr">
        <is>
          <t>Cascais-Portugal</t>
        </is>
      </c>
      <c r="K48" s="22" t="inlineStr">
        <is>
          <t>Professor Borboleta</t>
        </is>
      </c>
      <c r="L48" s="22" t="inlineStr">
        <is>
          <t>Roxa/Marrom</t>
        </is>
      </c>
      <c r="M48" s="22" t="inlineStr">
        <is>
          <t>Masculino</t>
        </is>
      </c>
      <c r="N48" s="29" t="n">
        <v>35470</v>
      </c>
      <c r="O48" s="23">
        <f>IF(N48="","",DATEDIF(N48,TODAY(),"Y"))</f>
        <v/>
      </c>
      <c r="P48" s="23">
        <f>IF(O48="","",IF(O48&lt;=11,"Infantil",IF(O48&lt;=17,"Juvenil",IF(O48&lt;=44,"Adulto","Baobá"))))</f>
        <v/>
      </c>
      <c r="Q48" s="23">
        <f>IF(P48&lt;&gt;"Adulto","",IF(OR(L48="Marrom",L48="Marrom/Vermelha"),"A",IF(OR(L48="Roxa",L48="Roxa/Marrom"),"B",IF(OR(L48="Verde",L48="Verde/Roxa"),"C",IF(OR(L48="Azul",L48="Azul/Verde"),"D",IF(OR(L48="Laranja",L48="Laranja/Azul"),"E",IF(Y48="Sí","E","N/A")))))))</f>
        <v/>
      </c>
      <c r="R48" s="23">
        <f>IF(P48&lt;&gt;"Baobá","",IF(OR(L48="Laranja",L48="Laranja/Azul"),"Alumnos",IF(Y48="Sí","Alumnos","Graduados+")))</f>
        <v/>
      </c>
      <c r="S48" s="23">
        <f>IF(P48="","",IF(P48="Adulto",IF(OR(Q48="",Q48="N/A"),"⚠ Corda no compite Adulto",P48&amp;"-"&amp;Q48&amp;" · "&amp;M48),IF(P48="Baobá",IF(R48="","⚠ Sin clasificar Baobá",P48&amp;"-"&amp;R48&amp;" · "&amp;M48),IF(P48="Juvenil",IF(AND(OR(L48="Crua",L48="Crua/Amarela"),Y48&lt;&gt;"Sí"),"⚠ Juvenil necesita Amarela+",P48&amp;" · "&amp;M48),P48&amp;" · "&amp;M48))))</f>
        <v/>
      </c>
      <c r="T48" s="23" t="n"/>
      <c r="U48" s="22" t="inlineStr">
        <is>
          <t>Sí</t>
        </is>
      </c>
      <c r="V48" s="22" t="n"/>
      <c r="W48" s="22" t="n"/>
      <c r="X48" s="22" t="n"/>
      <c r="Y48" s="22" t="inlineStr">
        <is>
          <t>No</t>
        </is>
      </c>
      <c r="Z48" s="22" t="inlineStr">
        <is>
          <t>XXL</t>
        </is>
      </c>
      <c r="AA48" s="22" t="n">
        <v>35</v>
      </c>
      <c r="AB48" s="22" t="inlineStr">
        <is>
          <t>Pagado</t>
        </is>
      </c>
      <c r="AC48" s="22" t="n"/>
      <c r="AD48" s="23">
        <f>IF(D48&lt;&gt;"","P"&amp;TEXT(ROW()-4,"0000"),"")</f>
        <v/>
      </c>
    </row>
    <row r="49" ht="14.25" customHeight="1" s="72">
      <c r="A49" s="22" t="inlineStr">
        <is>
          <t>2025-09-08 20:29:36</t>
        </is>
      </c>
      <c r="B49" s="22" t="n"/>
      <c r="C49" s="22" t="n"/>
      <c r="D49" s="22" t="inlineStr">
        <is>
          <t>Hugo</t>
        </is>
      </c>
      <c r="E49" s="22" t="inlineStr">
        <is>
          <t>Marino</t>
        </is>
      </c>
      <c r="F49" s="22" t="inlineStr">
        <is>
          <t>Urubu</t>
        </is>
      </c>
      <c r="G49" s="23">
        <f>IF(F49&lt;&gt;"",F49,IF(AND(D49="",E49=""),"",TRIM(D49&amp;" "&amp;E49)))</f>
        <v/>
      </c>
      <c r="H49" s="22" t="n"/>
      <c r="I49" s="22" t="inlineStr">
        <is>
          <t>+34 653 129 606</t>
        </is>
      </c>
      <c r="J49" s="22" t="inlineStr">
        <is>
          <t>Lyon-Francia</t>
        </is>
      </c>
      <c r="K49" s="22" t="inlineStr">
        <is>
          <t>Professor Gavião</t>
        </is>
      </c>
      <c r="L49" s="22" t="inlineStr">
        <is>
          <t>Roxa/Marrom</t>
        </is>
      </c>
      <c r="M49" s="22" t="inlineStr">
        <is>
          <t>Masculino</t>
        </is>
      </c>
      <c r="N49" s="29" t="n">
        <v>32610</v>
      </c>
      <c r="O49" s="23">
        <f>IF(N49="","",DATEDIF(N49,TODAY(),"Y"))</f>
        <v/>
      </c>
      <c r="P49" s="23">
        <f>IF(O49="","",IF(O49&lt;=11,"Infantil",IF(O49&lt;=17,"Juvenil",IF(O49&lt;=44,"Adulto","Baobá"))))</f>
        <v/>
      </c>
      <c r="Q49" s="23">
        <f>IF(P49&lt;&gt;"Adulto","",IF(OR(L49="Marrom",L49="Marrom/Vermelha"),"A",IF(OR(L49="Roxa",L49="Roxa/Marrom"),"B",IF(OR(L49="Verde",L49="Verde/Roxa"),"C",IF(OR(L49="Azul",L49="Azul/Verde"),"D",IF(OR(L49="Laranja",L49="Laranja/Azul"),"E",IF(Y49="Sí","E","N/A")))))))</f>
        <v/>
      </c>
      <c r="R49" s="23">
        <f>IF(P49&lt;&gt;"Baobá","",IF(OR(L49="Laranja",L49="Laranja/Azul"),"Alumnos",IF(Y49="Sí","Alumnos","Graduados+")))</f>
        <v/>
      </c>
      <c r="S49" s="23">
        <f>IF(P49="","",IF(P49="Adulto",IF(OR(Q49="",Q49="N/A"),"⚠ Corda no compite Adulto",P49&amp;"-"&amp;Q49&amp;" · "&amp;M49),IF(P49="Baobá",IF(R49="","⚠ Sin clasificar Baobá",P49&amp;"-"&amp;R49&amp;" · "&amp;M49),IF(P49="Juvenil",IF(AND(OR(L49="Crua",L49="Crua/Amarela"),Y49&lt;&gt;"Sí"),"⚠ Juvenil necesita Amarela+",P49&amp;" · "&amp;M49),P49&amp;" · "&amp;M49))))</f>
        <v/>
      </c>
      <c r="T49" s="23" t="n"/>
      <c r="U49" s="22" t="inlineStr">
        <is>
          <t>Sí</t>
        </is>
      </c>
      <c r="V49" s="22" t="n"/>
      <c r="W49" s="22" t="n"/>
      <c r="X49" s="22" t="n"/>
      <c r="Y49" s="22" t="inlineStr">
        <is>
          <t>No</t>
        </is>
      </c>
      <c r="Z49" s="22" t="inlineStr">
        <is>
          <t>XS</t>
        </is>
      </c>
      <c r="AA49" s="22" t="n">
        <v>35</v>
      </c>
      <c r="AB49" s="22" t="inlineStr">
        <is>
          <t>Pagado</t>
        </is>
      </c>
      <c r="AC49" s="22" t="n"/>
      <c r="AD49" s="23">
        <f>IF(D49&lt;&gt;"","P"&amp;TEXT(ROW()-4,"0000"),"")</f>
        <v/>
      </c>
    </row>
    <row r="50" ht="14.25" customHeight="1" s="72">
      <c r="A50" s="22" t="inlineStr">
        <is>
          <t>2025-09-11 12:56:38</t>
        </is>
      </c>
      <c r="B50" s="22" t="n"/>
      <c r="C50" s="22" t="n"/>
      <c r="D50" s="22" t="inlineStr">
        <is>
          <t>Eric</t>
        </is>
      </c>
      <c r="E50" s="22" t="inlineStr">
        <is>
          <t>Meyer</t>
        </is>
      </c>
      <c r="F50" s="22" t="inlineStr">
        <is>
          <t>Raposa</t>
        </is>
      </c>
      <c r="G50" s="23">
        <f>IF(F50&lt;&gt;"",F50,IF(AND(D50="",E50=""),"",TRIM(D50&amp;" "&amp;E50)))</f>
        <v/>
      </c>
      <c r="H50" s="22" t="n"/>
      <c r="I50" s="22" t="inlineStr">
        <is>
          <t>+34 681 110 629</t>
        </is>
      </c>
      <c r="J50" s="22" t="inlineStr">
        <is>
          <t>Bilbao-España</t>
        </is>
      </c>
      <c r="K50" s="22" t="inlineStr">
        <is>
          <t>Contra-Mestre Falcão</t>
        </is>
      </c>
      <c r="L50" s="22" t="inlineStr">
        <is>
          <t>Roxa/Marrom</t>
        </is>
      </c>
      <c r="M50" s="22" t="inlineStr">
        <is>
          <t>Masculino</t>
        </is>
      </c>
      <c r="N50" s="29" t="n">
        <v>35778</v>
      </c>
      <c r="O50" s="23">
        <f>IF(N50="","",DATEDIF(N50,TODAY(),"Y"))</f>
        <v/>
      </c>
      <c r="P50" s="23">
        <f>IF(O50="","",IF(O50&lt;=11,"Infantil",IF(O50&lt;=17,"Juvenil",IF(O50&lt;=44,"Adulto","Baobá"))))</f>
        <v/>
      </c>
      <c r="Q50" s="23">
        <f>IF(P50&lt;&gt;"Adulto","",IF(OR(L50="Marrom",L50="Marrom/Vermelha"),"A",IF(OR(L50="Roxa",L50="Roxa/Marrom"),"B",IF(OR(L50="Verde",L50="Verde/Roxa"),"C",IF(OR(L50="Azul",L50="Azul/Verde"),"D",IF(OR(L50="Laranja",L50="Laranja/Azul"),"E",IF(Y50="Sí","E","N/A")))))))</f>
        <v/>
      </c>
      <c r="R50" s="23">
        <f>IF(P50&lt;&gt;"Baobá","",IF(OR(L50="Laranja",L50="Laranja/Azul"),"Alumnos",IF(Y50="Sí","Alumnos","Graduados+")))</f>
        <v/>
      </c>
      <c r="S50" s="23">
        <f>IF(P50="","",IF(P50="Adulto",IF(OR(Q50="",Q50="N/A"),"⚠ Corda no compite Adulto",P50&amp;"-"&amp;Q50&amp;" · "&amp;M50),IF(P50="Baobá",IF(R50="","⚠ Sin clasificar Baobá",P50&amp;"-"&amp;R50&amp;" · "&amp;M50),IF(P50="Juvenil",IF(AND(OR(L50="Crua",L50="Crua/Amarela"),Y50&lt;&gt;"Sí"),"⚠ Juvenil necesita Amarela+",P50&amp;" · "&amp;M50),P50&amp;" · "&amp;M50))))</f>
        <v/>
      </c>
      <c r="T50" s="23" t="n"/>
      <c r="U50" s="22" t="inlineStr">
        <is>
          <t>Sí</t>
        </is>
      </c>
      <c r="V50" s="22" t="n"/>
      <c r="W50" s="22" t="n"/>
      <c r="X50" s="22" t="n"/>
      <c r="Y50" s="22" t="inlineStr">
        <is>
          <t>No</t>
        </is>
      </c>
      <c r="Z50" s="22" t="inlineStr">
        <is>
          <t>S</t>
        </is>
      </c>
      <c r="AA50" s="22" t="n">
        <v>35</v>
      </c>
      <c r="AB50" s="22" t="inlineStr">
        <is>
          <t>Pagado</t>
        </is>
      </c>
      <c r="AC50" s="22" t="n"/>
      <c r="AD50" s="23">
        <f>IF(D50&lt;&gt;"","P"&amp;TEXT(ROW()-4,"0000"),"")</f>
        <v/>
      </c>
    </row>
    <row r="51" ht="14.25" customHeight="1" s="72">
      <c r="A51" s="22" t="inlineStr">
        <is>
          <t>2025-09-18 20:15:44</t>
        </is>
      </c>
      <c r="B51" s="22" t="n"/>
      <c r="C51" s="22" t="n"/>
      <c r="D51" s="22" t="inlineStr">
        <is>
          <t>Ivan</t>
        </is>
      </c>
      <c r="E51" s="22" t="inlineStr">
        <is>
          <t>Gonçalves</t>
        </is>
      </c>
      <c r="F51" s="22" t="inlineStr">
        <is>
          <t>Bem-te-vi</t>
        </is>
      </c>
      <c r="G51" s="23">
        <f>IF(F51&lt;&gt;"",F51,IF(AND(D51="",E51=""),"",TRIM(D51&amp;" "&amp;E51)))</f>
        <v/>
      </c>
      <c r="H51" s="22" t="n"/>
      <c r="I51" s="22" t="inlineStr">
        <is>
          <t>+34 667 911 117</t>
        </is>
      </c>
      <c r="J51" s="22" t="inlineStr">
        <is>
          <t>Fortaleza-Brasil</t>
        </is>
      </c>
      <c r="K51" s="22" t="inlineStr">
        <is>
          <t>Mestre Coruja</t>
        </is>
      </c>
      <c r="L51" s="22" t="inlineStr">
        <is>
          <t>Roxa/Marrom</t>
        </is>
      </c>
      <c r="M51" s="22" t="inlineStr">
        <is>
          <t>Masculino</t>
        </is>
      </c>
      <c r="N51" s="29" t="n">
        <v>35634</v>
      </c>
      <c r="O51" s="23">
        <f>IF(N51="","",DATEDIF(N51,TODAY(),"Y"))</f>
        <v/>
      </c>
      <c r="P51" s="23">
        <f>IF(O51="","",IF(O51&lt;=11,"Infantil",IF(O51&lt;=17,"Juvenil",IF(O51&lt;=44,"Adulto","Baobá"))))</f>
        <v/>
      </c>
      <c r="Q51" s="23">
        <f>IF(P51&lt;&gt;"Adulto","",IF(OR(L51="Marrom",L51="Marrom/Vermelha"),"A",IF(OR(L51="Roxa",L51="Roxa/Marrom"),"B",IF(OR(L51="Verde",L51="Verde/Roxa"),"C",IF(OR(L51="Azul",L51="Azul/Verde"),"D",IF(OR(L51="Laranja",L51="Laranja/Azul"),"E",IF(Y51="Sí","E","N/A")))))))</f>
        <v/>
      </c>
      <c r="R51" s="23">
        <f>IF(P51&lt;&gt;"Baobá","",IF(OR(L51="Laranja",L51="Laranja/Azul"),"Alumnos",IF(Y51="Sí","Alumnos","Graduados+")))</f>
        <v/>
      </c>
      <c r="S51" s="23">
        <f>IF(P51="","",IF(P51="Adulto",IF(OR(Q51="",Q51="N/A"),"⚠ Corda no compite Adulto",P51&amp;"-"&amp;Q51&amp;" · "&amp;M51),IF(P51="Baobá",IF(R51="","⚠ Sin clasificar Baobá",P51&amp;"-"&amp;R51&amp;" · "&amp;M51),IF(P51="Juvenil",IF(AND(OR(L51="Crua",L51="Crua/Amarela"),Y51&lt;&gt;"Sí"),"⚠ Juvenil necesita Amarela+",P51&amp;" · "&amp;M51),P51&amp;" · "&amp;M51))))</f>
        <v/>
      </c>
      <c r="T51" s="23" t="n"/>
      <c r="U51" s="22" t="inlineStr">
        <is>
          <t>Sí</t>
        </is>
      </c>
      <c r="V51" s="22" t="n"/>
      <c r="W51" s="22" t="n"/>
      <c r="X51" s="22" t="n"/>
      <c r="Y51" s="22" t="inlineStr">
        <is>
          <t>No</t>
        </is>
      </c>
      <c r="Z51" s="22" t="inlineStr">
        <is>
          <t>M</t>
        </is>
      </c>
      <c r="AA51" s="22" t="n">
        <v>35</v>
      </c>
      <c r="AB51" s="22" t="inlineStr">
        <is>
          <t>Pagado</t>
        </is>
      </c>
      <c r="AC51" s="22" t="n"/>
      <c r="AD51" s="23">
        <f>IF(D51&lt;&gt;"","P"&amp;TEXT(ROW()-4,"0000"),"")</f>
        <v/>
      </c>
    </row>
    <row r="52" ht="14.25" customHeight="1" s="72">
      <c r="A52" s="22" t="inlineStr">
        <is>
          <t>2025-08-10 18:37:23</t>
        </is>
      </c>
      <c r="B52" s="22" t="n"/>
      <c r="C52" s="22" t="n"/>
      <c r="D52" s="22" t="inlineStr">
        <is>
          <t>Ivan</t>
        </is>
      </c>
      <c r="E52" s="22" t="inlineStr">
        <is>
          <t>Monteiro</t>
        </is>
      </c>
      <c r="F52" s="22" t="inlineStr">
        <is>
          <t>Sabiá</t>
        </is>
      </c>
      <c r="G52" s="23">
        <f>IF(F52&lt;&gt;"",F52,IF(AND(D52="",E52=""),"",TRIM(D52&amp;" "&amp;E52)))</f>
        <v/>
      </c>
      <c r="H52" s="22" t="n"/>
      <c r="I52" s="22" t="inlineStr">
        <is>
          <t>+34 654 535 863</t>
        </is>
      </c>
      <c r="J52" s="22" t="inlineStr">
        <is>
          <t>Marseille-Francia</t>
        </is>
      </c>
      <c r="K52" s="22" t="inlineStr">
        <is>
          <t>Contra-Mestre Jabuti</t>
        </is>
      </c>
      <c r="L52" s="22" t="inlineStr">
        <is>
          <t>Roxa/Marrom</t>
        </is>
      </c>
      <c r="M52" s="22" t="inlineStr">
        <is>
          <t>Masculino</t>
        </is>
      </c>
      <c r="N52" s="29" t="n">
        <v>30172</v>
      </c>
      <c r="O52" s="23">
        <f>IF(N52="","",DATEDIF(N52,TODAY(),"Y"))</f>
        <v/>
      </c>
      <c r="P52" s="23">
        <f>IF(O52="","",IF(O52&lt;=11,"Infantil",IF(O52&lt;=17,"Juvenil",IF(O52&lt;=44,"Adulto","Baobá"))))</f>
        <v/>
      </c>
      <c r="Q52" s="23">
        <f>IF(P52&lt;&gt;"Adulto","",IF(OR(L52="Marrom",L52="Marrom/Vermelha"),"A",IF(OR(L52="Roxa",L52="Roxa/Marrom"),"B",IF(OR(L52="Verde",L52="Verde/Roxa"),"C",IF(OR(L52="Azul",L52="Azul/Verde"),"D",IF(OR(L52="Laranja",L52="Laranja/Azul"),"E",IF(Y52="Sí","E","N/A")))))))</f>
        <v/>
      </c>
      <c r="R52" s="23">
        <f>IF(P52&lt;&gt;"Baobá","",IF(OR(L52="Laranja",L52="Laranja/Azul"),"Alumnos",IF(Y52="Sí","Alumnos","Graduados+")))</f>
        <v/>
      </c>
      <c r="S52" s="23">
        <f>IF(P52="","",IF(P52="Adulto",IF(OR(Q52="",Q52="N/A"),"⚠ Corda no compite Adulto",P52&amp;"-"&amp;Q52&amp;" · "&amp;M52),IF(P52="Baobá",IF(R52="","⚠ Sin clasificar Baobá",P52&amp;"-"&amp;R52&amp;" · "&amp;M52),IF(P52="Juvenil",IF(AND(OR(L52="Crua",L52="Crua/Amarela"),Y52&lt;&gt;"Sí"),"⚠ Juvenil necesita Amarela+",P52&amp;" · "&amp;M52),P52&amp;" · "&amp;M52))))</f>
        <v/>
      </c>
      <c r="T52" s="23" t="n"/>
      <c r="U52" s="22" t="inlineStr">
        <is>
          <t>Sí</t>
        </is>
      </c>
      <c r="V52" s="22" t="n"/>
      <c r="W52" s="22" t="n"/>
      <c r="X52" s="22" t="n"/>
      <c r="Y52" s="22" t="inlineStr">
        <is>
          <t>No</t>
        </is>
      </c>
      <c r="Z52" s="22" t="inlineStr">
        <is>
          <t>L</t>
        </is>
      </c>
      <c r="AA52" s="22" t="n">
        <v>35</v>
      </c>
      <c r="AB52" s="22" t="inlineStr">
        <is>
          <t>Pagado</t>
        </is>
      </c>
      <c r="AC52" s="22" t="n"/>
      <c r="AD52" s="23">
        <f>IF(D52&lt;&gt;"","P"&amp;TEXT(ROW()-4,"0000"),"")</f>
        <v/>
      </c>
    </row>
    <row r="53" ht="14.25" customHeight="1" s="72">
      <c r="A53" s="22" t="inlineStr">
        <is>
          <t>2025-09-09 11:07:46</t>
        </is>
      </c>
      <c r="B53" s="22" t="n"/>
      <c r="C53" s="22" t="n"/>
      <c r="D53" s="22" t="inlineStr">
        <is>
          <t>Laura</t>
        </is>
      </c>
      <c r="E53" s="22" t="inlineStr">
        <is>
          <t>Rossi</t>
        </is>
      </c>
      <c r="F53" s="22" t="inlineStr">
        <is>
          <t>Puma</t>
        </is>
      </c>
      <c r="G53" s="23">
        <f>IF(F53&lt;&gt;"",F53,IF(AND(D53="",E53=""),"",TRIM(D53&amp;" "&amp;E53)))</f>
        <v/>
      </c>
      <c r="H53" s="22" t="n"/>
      <c r="I53" s="22" t="inlineStr">
        <is>
          <t>+34 625 860 648</t>
        </is>
      </c>
      <c r="J53" s="22" t="inlineStr">
        <is>
          <t>Barcelona-España</t>
        </is>
      </c>
      <c r="K53" s="22" t="inlineStr">
        <is>
          <t>Contra-Mestre Arara</t>
        </is>
      </c>
      <c r="L53" s="22" t="inlineStr">
        <is>
          <t>Roxa</t>
        </is>
      </c>
      <c r="M53" s="22" t="inlineStr">
        <is>
          <t>Femenino</t>
        </is>
      </c>
      <c r="N53" s="29" t="n">
        <v>36145</v>
      </c>
      <c r="O53" s="23">
        <f>IF(N53="","",DATEDIF(N53,TODAY(),"Y"))</f>
        <v/>
      </c>
      <c r="P53" s="23">
        <f>IF(O53="","",IF(O53&lt;=11,"Infantil",IF(O53&lt;=17,"Juvenil",IF(O53&lt;=44,"Adulto","Baobá"))))</f>
        <v/>
      </c>
      <c r="Q53" s="23">
        <f>IF(P53&lt;&gt;"Adulto","",IF(OR(L53="Marrom",L53="Marrom/Vermelha"),"A",IF(OR(L53="Roxa",L53="Roxa/Marrom"),"B",IF(OR(L53="Verde",L53="Verde/Roxa"),"C",IF(OR(L53="Azul",L53="Azul/Verde"),"D",IF(OR(L53="Laranja",L53="Laranja/Azul"),"E",IF(Y53="Sí","E","N/A")))))))</f>
        <v/>
      </c>
      <c r="R53" s="23">
        <f>IF(P53&lt;&gt;"Baobá","",IF(OR(L53="Laranja",L53="Laranja/Azul"),"Alumnos",IF(Y53="Sí","Alumnos","Graduados+")))</f>
        <v/>
      </c>
      <c r="S53" s="23">
        <f>IF(P53="","",IF(P53="Adulto",IF(OR(Q53="",Q53="N/A"),"⚠ Corda no compite Adulto",P53&amp;"-"&amp;Q53&amp;" · "&amp;M53),IF(P53="Baobá",IF(R53="","⚠ Sin clasificar Baobá",P53&amp;"-"&amp;R53&amp;" · "&amp;M53),IF(P53="Juvenil",IF(AND(OR(L53="Crua",L53="Crua/Amarela"),Y53&lt;&gt;"Sí"),"⚠ Juvenil necesita Amarela+",P53&amp;" · "&amp;M53),P53&amp;" · "&amp;M53))))</f>
        <v/>
      </c>
      <c r="T53" s="23" t="n"/>
      <c r="U53" s="22" t="inlineStr">
        <is>
          <t>Sí</t>
        </is>
      </c>
      <c r="V53" s="22" t="n"/>
      <c r="W53" s="22" t="n"/>
      <c r="X53" s="22" t="n"/>
      <c r="Y53" s="22" t="inlineStr">
        <is>
          <t>No</t>
        </is>
      </c>
      <c r="Z53" s="22" t="inlineStr">
        <is>
          <t>XL</t>
        </is>
      </c>
      <c r="AA53" s="22" t="n">
        <v>35</v>
      </c>
      <c r="AB53" s="22" t="inlineStr">
        <is>
          <t>Pagado</t>
        </is>
      </c>
      <c r="AC53" s="22" t="n"/>
      <c r="AD53" s="23">
        <f>IF(D53&lt;&gt;"","P"&amp;TEXT(ROW()-4,"0000"),"")</f>
        <v/>
      </c>
    </row>
    <row r="54" ht="14.25" customHeight="1" s="72">
      <c r="A54" s="22" t="inlineStr">
        <is>
          <t>2025-09-24 17:48:33</t>
        </is>
      </c>
      <c r="B54" s="22" t="n"/>
      <c r="C54" s="22" t="n"/>
      <c r="D54" s="22" t="inlineStr">
        <is>
          <t>Silvia</t>
        </is>
      </c>
      <c r="E54" s="22" t="inlineStr">
        <is>
          <t>Wagner</t>
        </is>
      </c>
      <c r="F54" s="22" t="inlineStr">
        <is>
          <t>Caranguejo</t>
        </is>
      </c>
      <c r="G54" s="23">
        <f>IF(F54&lt;&gt;"",F54,IF(AND(D54="",E54=""),"",TRIM(D54&amp;" "&amp;E54)))</f>
        <v/>
      </c>
      <c r="H54" s="22" t="n"/>
      <c r="I54" s="22" t="inlineStr">
        <is>
          <t>+34 622 952 298</t>
        </is>
      </c>
      <c r="J54" s="22" t="inlineStr">
        <is>
          <t>Coimbra-Portugal</t>
        </is>
      </c>
      <c r="K54" s="22" t="inlineStr">
        <is>
          <t>Mestre Onça</t>
        </is>
      </c>
      <c r="L54" s="22" t="inlineStr">
        <is>
          <t>Roxa/Marrom</t>
        </is>
      </c>
      <c r="M54" s="22" t="inlineStr">
        <is>
          <t>Femenino</t>
        </is>
      </c>
      <c r="N54" s="29" t="n">
        <v>34038</v>
      </c>
      <c r="O54" s="23">
        <f>IF(N54="","",DATEDIF(N54,TODAY(),"Y"))</f>
        <v/>
      </c>
      <c r="P54" s="23">
        <f>IF(O54="","",IF(O54&lt;=11,"Infantil",IF(O54&lt;=17,"Juvenil",IF(O54&lt;=44,"Adulto","Baobá"))))</f>
        <v/>
      </c>
      <c r="Q54" s="23">
        <f>IF(P54&lt;&gt;"Adulto","",IF(OR(L54="Marrom",L54="Marrom/Vermelha"),"A",IF(OR(L54="Roxa",L54="Roxa/Marrom"),"B",IF(OR(L54="Verde",L54="Verde/Roxa"),"C",IF(OR(L54="Azul",L54="Azul/Verde"),"D",IF(OR(L54="Laranja",L54="Laranja/Azul"),"E",IF(Y54="Sí","E","N/A")))))))</f>
        <v/>
      </c>
      <c r="R54" s="23">
        <f>IF(P54&lt;&gt;"Baobá","",IF(OR(L54="Laranja",L54="Laranja/Azul"),"Alumnos",IF(Y54="Sí","Alumnos","Graduados+")))</f>
        <v/>
      </c>
      <c r="S54" s="23">
        <f>IF(P54="","",IF(P54="Adulto",IF(OR(Q54="",Q54="N/A"),"⚠ Corda no compite Adulto",P54&amp;"-"&amp;Q54&amp;" · "&amp;M54),IF(P54="Baobá",IF(R54="","⚠ Sin clasificar Baobá",P54&amp;"-"&amp;R54&amp;" · "&amp;M54),IF(P54="Juvenil",IF(AND(OR(L54="Crua",L54="Crua/Amarela"),Y54&lt;&gt;"Sí"),"⚠ Juvenil necesita Amarela+",P54&amp;" · "&amp;M54),P54&amp;" · "&amp;M54))))</f>
        <v/>
      </c>
      <c r="T54" s="23" t="n"/>
      <c r="U54" s="22" t="inlineStr">
        <is>
          <t>Sí</t>
        </is>
      </c>
      <c r="V54" s="22" t="n"/>
      <c r="W54" s="22" t="n"/>
      <c r="X54" s="22" t="n"/>
      <c r="Y54" s="22" t="inlineStr">
        <is>
          <t>No</t>
        </is>
      </c>
      <c r="Z54" s="22" t="inlineStr">
        <is>
          <t>XXL</t>
        </is>
      </c>
      <c r="AA54" s="22" t="n">
        <v>35</v>
      </c>
      <c r="AB54" s="22" t="inlineStr">
        <is>
          <t>Pagado</t>
        </is>
      </c>
      <c r="AC54" s="22" t="n"/>
      <c r="AD54" s="23">
        <f>IF(D54&lt;&gt;"","P"&amp;TEXT(ROW()-4,"0000"),"")</f>
        <v/>
      </c>
    </row>
    <row r="55" ht="14.25" customHeight="1" s="72">
      <c r="A55" s="22" t="inlineStr">
        <is>
          <t>2025-08-23 16:08:17</t>
        </is>
      </c>
      <c r="B55" s="22" t="n"/>
      <c r="C55" s="22" t="n"/>
      <c r="D55" s="22" t="inlineStr">
        <is>
          <t>Beatriz</t>
        </is>
      </c>
      <c r="E55" s="22" t="inlineStr">
        <is>
          <t>Ferreira</t>
        </is>
      </c>
      <c r="F55" s="22" t="inlineStr">
        <is>
          <t>Urubu-Rei</t>
        </is>
      </c>
      <c r="G55" s="23">
        <f>IF(F55&lt;&gt;"",F55,IF(AND(D55="",E55=""),"",TRIM(D55&amp;" "&amp;E55)))</f>
        <v/>
      </c>
      <c r="H55" s="22" t="n"/>
      <c r="I55" s="22" t="inlineStr">
        <is>
          <t>+34 680 399 814</t>
        </is>
      </c>
      <c r="J55" s="22" t="inlineStr">
        <is>
          <t>Brasília-Brasil</t>
        </is>
      </c>
      <c r="K55" s="22" t="inlineStr">
        <is>
          <t>Mestre Tartaruga</t>
        </is>
      </c>
      <c r="L55" s="22" t="inlineStr">
        <is>
          <t>Roxa/Marrom</t>
        </is>
      </c>
      <c r="M55" s="22" t="inlineStr">
        <is>
          <t>Femenino</t>
        </is>
      </c>
      <c r="N55" s="29" t="n">
        <v>36910</v>
      </c>
      <c r="O55" s="23">
        <f>IF(N55="","",DATEDIF(N55,TODAY(),"Y"))</f>
        <v/>
      </c>
      <c r="P55" s="23">
        <f>IF(O55="","",IF(O55&lt;=11,"Infantil",IF(O55&lt;=17,"Juvenil",IF(O55&lt;=44,"Adulto","Baobá"))))</f>
        <v/>
      </c>
      <c r="Q55" s="23">
        <f>IF(P55&lt;&gt;"Adulto","",IF(OR(L55="Marrom",L55="Marrom/Vermelha"),"A",IF(OR(L55="Roxa",L55="Roxa/Marrom"),"B",IF(OR(L55="Verde",L55="Verde/Roxa"),"C",IF(OR(L55="Azul",L55="Azul/Verde"),"D",IF(OR(L55="Laranja",L55="Laranja/Azul"),"E",IF(Y55="Sí","E","N/A")))))))</f>
        <v/>
      </c>
      <c r="R55" s="23">
        <f>IF(P55&lt;&gt;"Baobá","",IF(OR(L55="Laranja",L55="Laranja/Azul"),"Alumnos",IF(Y55="Sí","Alumnos","Graduados+")))</f>
        <v/>
      </c>
      <c r="S55" s="23">
        <f>IF(P55="","",IF(P55="Adulto",IF(OR(Q55="",Q55="N/A"),"⚠ Corda no compite Adulto",P55&amp;"-"&amp;Q55&amp;" · "&amp;M55),IF(P55="Baobá",IF(R55="","⚠ Sin clasificar Baobá",P55&amp;"-"&amp;R55&amp;" · "&amp;M55),IF(P55="Juvenil",IF(AND(OR(L55="Crua",L55="Crua/Amarela"),Y55&lt;&gt;"Sí"),"⚠ Juvenil necesita Amarela+",P55&amp;" · "&amp;M55),P55&amp;" · "&amp;M55))))</f>
        <v/>
      </c>
      <c r="T55" s="23" t="n"/>
      <c r="U55" s="22" t="inlineStr">
        <is>
          <t>Sí</t>
        </is>
      </c>
      <c r="V55" s="22" t="n"/>
      <c r="W55" s="22" t="n"/>
      <c r="X55" s="22" t="n"/>
      <c r="Y55" s="22" t="inlineStr">
        <is>
          <t>No</t>
        </is>
      </c>
      <c r="Z55" s="22" t="inlineStr">
        <is>
          <t>XS</t>
        </is>
      </c>
      <c r="AA55" s="22" t="n">
        <v>35</v>
      </c>
      <c r="AB55" s="22" t="inlineStr">
        <is>
          <t>Pagado</t>
        </is>
      </c>
      <c r="AC55" s="22" t="n"/>
      <c r="AD55" s="23">
        <f>IF(D55&lt;&gt;"","P"&amp;TEXT(ROW()-4,"0000"),"")</f>
        <v/>
      </c>
    </row>
    <row r="56" ht="14.25" customHeight="1" s="72">
      <c r="A56" s="22" t="inlineStr">
        <is>
          <t>2025-09-16 15:28:21</t>
        </is>
      </c>
      <c r="B56" s="22" t="n"/>
      <c r="C56" s="22" t="n"/>
      <c r="D56" s="22" t="inlineStr">
        <is>
          <t>Daniela</t>
        </is>
      </c>
      <c r="E56" s="22" t="inlineStr">
        <is>
          <t>Ferreira</t>
        </is>
      </c>
      <c r="F56" s="22" t="inlineStr">
        <is>
          <t>Besouro</t>
        </is>
      </c>
      <c r="G56" s="23">
        <f>IF(F56&lt;&gt;"",F56,IF(AND(D56="",E56=""),"",TRIM(D56&amp;" "&amp;E56)))</f>
        <v/>
      </c>
      <c r="H56" s="22" t="n"/>
      <c r="I56" s="22" t="inlineStr">
        <is>
          <t>+34 642 982 589</t>
        </is>
      </c>
      <c r="J56" s="22" t="inlineStr">
        <is>
          <t>Porto Alegre-Brasil</t>
        </is>
      </c>
      <c r="K56" s="22" t="inlineStr">
        <is>
          <t>Contra-Mestre Falcão</t>
        </is>
      </c>
      <c r="L56" s="22" t="inlineStr">
        <is>
          <t>Roxa/Marrom</t>
        </is>
      </c>
      <c r="M56" s="22" t="inlineStr">
        <is>
          <t>Femenino</t>
        </is>
      </c>
      <c r="N56" s="29" t="n">
        <v>33819</v>
      </c>
      <c r="O56" s="23">
        <f>IF(N56="","",DATEDIF(N56,TODAY(),"Y"))</f>
        <v/>
      </c>
      <c r="P56" s="23">
        <f>IF(O56="","",IF(O56&lt;=11,"Infantil",IF(O56&lt;=17,"Juvenil",IF(O56&lt;=44,"Adulto","Baobá"))))</f>
        <v/>
      </c>
      <c r="Q56" s="23">
        <f>IF(P56&lt;&gt;"Adulto","",IF(OR(L56="Marrom",L56="Marrom/Vermelha"),"A",IF(OR(L56="Roxa",L56="Roxa/Marrom"),"B",IF(OR(L56="Verde",L56="Verde/Roxa"),"C",IF(OR(L56="Azul",L56="Azul/Verde"),"D",IF(OR(L56="Laranja",L56="Laranja/Azul"),"E",IF(Y56="Sí","E","N/A")))))))</f>
        <v/>
      </c>
      <c r="R56" s="23">
        <f>IF(P56&lt;&gt;"Baobá","",IF(OR(L56="Laranja",L56="Laranja/Azul"),"Alumnos",IF(Y56="Sí","Alumnos","Graduados+")))</f>
        <v/>
      </c>
      <c r="S56" s="23">
        <f>IF(P56="","",IF(P56="Adulto",IF(OR(Q56="",Q56="N/A"),"⚠ Corda no compite Adulto",P56&amp;"-"&amp;Q56&amp;" · "&amp;M56),IF(P56="Baobá",IF(R56="","⚠ Sin clasificar Baobá",P56&amp;"-"&amp;R56&amp;" · "&amp;M56),IF(P56="Juvenil",IF(AND(OR(L56="Crua",L56="Crua/Amarela"),Y56&lt;&gt;"Sí"),"⚠ Juvenil necesita Amarela+",P56&amp;" · "&amp;M56),P56&amp;" · "&amp;M56))))</f>
        <v/>
      </c>
      <c r="T56" s="23" t="n"/>
      <c r="U56" s="22" t="inlineStr">
        <is>
          <t>Sí</t>
        </is>
      </c>
      <c r="V56" s="22" t="n"/>
      <c r="W56" s="22" t="n"/>
      <c r="X56" s="22" t="n"/>
      <c r="Y56" s="22" t="inlineStr">
        <is>
          <t>No</t>
        </is>
      </c>
      <c r="Z56" s="22" t="inlineStr">
        <is>
          <t>S</t>
        </is>
      </c>
      <c r="AA56" s="22" t="n">
        <v>35</v>
      </c>
      <c r="AB56" s="22" t="inlineStr">
        <is>
          <t>Pagado</t>
        </is>
      </c>
      <c r="AC56" s="22" t="n"/>
      <c r="AD56" s="23">
        <f>IF(D56&lt;&gt;"","P"&amp;TEXT(ROW()-4,"0000"),"")</f>
        <v/>
      </c>
    </row>
    <row r="57" ht="14.25" customHeight="1" s="72">
      <c r="A57" s="22" t="inlineStr">
        <is>
          <t>2025-10-21 18:03:09</t>
        </is>
      </c>
      <c r="B57" s="22" t="n"/>
      <c r="C57" s="22" t="n"/>
      <c r="D57" s="22" t="inlineStr">
        <is>
          <t>Carla</t>
        </is>
      </c>
      <c r="E57" s="22" t="inlineStr">
        <is>
          <t>Hoffmann</t>
        </is>
      </c>
      <c r="F57" s="22" t="inlineStr">
        <is>
          <t>Gavião</t>
        </is>
      </c>
      <c r="G57" s="23">
        <f>IF(F57&lt;&gt;"",F57,IF(AND(D57="",E57=""),"",TRIM(D57&amp;" "&amp;E57)))</f>
        <v/>
      </c>
      <c r="H57" s="22" t="n"/>
      <c r="I57" s="22" t="inlineStr">
        <is>
          <t>+34 620 354 221</t>
        </is>
      </c>
      <c r="J57" s="22" t="inlineStr">
        <is>
          <t>Milán-Italia</t>
        </is>
      </c>
      <c r="K57" s="22" t="inlineStr">
        <is>
          <t>Professor Lobo</t>
        </is>
      </c>
      <c r="L57" s="22" t="inlineStr">
        <is>
          <t>Roxa</t>
        </is>
      </c>
      <c r="M57" s="22" t="inlineStr">
        <is>
          <t>Femenino</t>
        </is>
      </c>
      <c r="N57" s="29" t="n">
        <v>31328</v>
      </c>
      <c r="O57" s="23">
        <f>IF(N57="","",DATEDIF(N57,TODAY(),"Y"))</f>
        <v/>
      </c>
      <c r="P57" s="23">
        <f>IF(O57="","",IF(O57&lt;=11,"Infantil",IF(O57&lt;=17,"Juvenil",IF(O57&lt;=44,"Adulto","Baobá"))))</f>
        <v/>
      </c>
      <c r="Q57" s="23">
        <f>IF(P57&lt;&gt;"Adulto","",IF(OR(L57="Marrom",L57="Marrom/Vermelha"),"A",IF(OR(L57="Roxa",L57="Roxa/Marrom"),"B",IF(OR(L57="Verde",L57="Verde/Roxa"),"C",IF(OR(L57="Azul",L57="Azul/Verde"),"D",IF(OR(L57="Laranja",L57="Laranja/Azul"),"E",IF(Y57="Sí","E","N/A")))))))</f>
        <v/>
      </c>
      <c r="R57" s="23">
        <f>IF(P57&lt;&gt;"Baobá","",IF(OR(L57="Laranja",L57="Laranja/Azul"),"Alumnos",IF(Y57="Sí","Alumnos","Graduados+")))</f>
        <v/>
      </c>
      <c r="S57" s="23">
        <f>IF(P57="","",IF(P57="Adulto",IF(OR(Q57="",Q57="N/A"),"⚠ Corda no compite Adulto",P57&amp;"-"&amp;Q57&amp;" · "&amp;M57),IF(P57="Baobá",IF(R57="","⚠ Sin clasificar Baobá",P57&amp;"-"&amp;R57&amp;" · "&amp;M57),IF(P57="Juvenil",IF(AND(OR(L57="Crua",L57="Crua/Amarela"),Y57&lt;&gt;"Sí"),"⚠ Juvenil necesita Amarela+",P57&amp;" · "&amp;M57),P57&amp;" · "&amp;M57))))</f>
        <v/>
      </c>
      <c r="T57" s="23" t="n"/>
      <c r="U57" s="22" t="inlineStr">
        <is>
          <t>Sí</t>
        </is>
      </c>
      <c r="V57" s="22" t="n"/>
      <c r="W57" s="22" t="n"/>
      <c r="X57" s="22" t="n"/>
      <c r="Y57" s="22" t="inlineStr">
        <is>
          <t>No</t>
        </is>
      </c>
      <c r="Z57" s="22" t="inlineStr">
        <is>
          <t>M</t>
        </is>
      </c>
      <c r="AA57" s="22" t="n">
        <v>35</v>
      </c>
      <c r="AB57" s="22" t="inlineStr">
        <is>
          <t>Pagado</t>
        </is>
      </c>
      <c r="AC57" s="22" t="n"/>
      <c r="AD57" s="23">
        <f>IF(D57&lt;&gt;"","P"&amp;TEXT(ROW()-4,"0000"),"")</f>
        <v/>
      </c>
    </row>
    <row r="58" ht="14.25" customHeight="1" s="72">
      <c r="A58" s="22" t="inlineStr">
        <is>
          <t>2025-10-13 15:58:28</t>
        </is>
      </c>
      <c r="B58" s="22" t="n"/>
      <c r="C58" s="22" t="n"/>
      <c r="D58" s="22" t="inlineStr">
        <is>
          <t>Viviane</t>
        </is>
      </c>
      <c r="E58" s="22" t="inlineStr">
        <is>
          <t>Robert</t>
        </is>
      </c>
      <c r="F58" s="22" t="inlineStr">
        <is>
          <t>Lobo-Branco</t>
        </is>
      </c>
      <c r="G58" s="23">
        <f>IF(F58&lt;&gt;"",F58,IF(AND(D58="",E58=""),"",TRIM(D58&amp;" "&amp;E58)))</f>
        <v/>
      </c>
      <c r="H58" s="22" t="n"/>
      <c r="I58" s="22" t="inlineStr">
        <is>
          <t>+34 649 682 735</t>
        </is>
      </c>
      <c r="J58" s="22" t="inlineStr">
        <is>
          <t>Belo Horizonte-Brasil</t>
        </is>
      </c>
      <c r="K58" s="22" t="inlineStr">
        <is>
          <t>Professor Lobo</t>
        </is>
      </c>
      <c r="L58" s="22" t="inlineStr">
        <is>
          <t>Roxa/Marrom</t>
        </is>
      </c>
      <c r="M58" s="22" t="inlineStr">
        <is>
          <t>Femenino</t>
        </is>
      </c>
      <c r="N58" s="29" t="n">
        <v>37002</v>
      </c>
      <c r="O58" s="23">
        <f>IF(N58="","",DATEDIF(N58,TODAY(),"Y"))</f>
        <v/>
      </c>
      <c r="P58" s="23">
        <f>IF(O58="","",IF(O58&lt;=11,"Infantil",IF(O58&lt;=17,"Juvenil",IF(O58&lt;=44,"Adulto","Baobá"))))</f>
        <v/>
      </c>
      <c r="Q58" s="23">
        <f>IF(P58&lt;&gt;"Adulto","",IF(OR(L58="Marrom",L58="Marrom/Vermelha"),"A",IF(OR(L58="Roxa",L58="Roxa/Marrom"),"B",IF(OR(L58="Verde",L58="Verde/Roxa"),"C",IF(OR(L58="Azul",L58="Azul/Verde"),"D",IF(OR(L58="Laranja",L58="Laranja/Azul"),"E",IF(Y58="Sí","E","N/A")))))))</f>
        <v/>
      </c>
      <c r="R58" s="23">
        <f>IF(P58&lt;&gt;"Baobá","",IF(OR(L58="Laranja",L58="Laranja/Azul"),"Alumnos",IF(Y58="Sí","Alumnos","Graduados+")))</f>
        <v/>
      </c>
      <c r="S58" s="23">
        <f>IF(P58="","",IF(P58="Adulto",IF(OR(Q58="",Q58="N/A"),"⚠ Corda no compite Adulto",P58&amp;"-"&amp;Q58&amp;" · "&amp;M58),IF(P58="Baobá",IF(R58="","⚠ Sin clasificar Baobá",P58&amp;"-"&amp;R58&amp;" · "&amp;M58),IF(P58="Juvenil",IF(AND(OR(L58="Crua",L58="Crua/Amarela"),Y58&lt;&gt;"Sí"),"⚠ Juvenil necesita Amarela+",P58&amp;" · "&amp;M58),P58&amp;" · "&amp;M58))))</f>
        <v/>
      </c>
      <c r="T58" s="23" t="n"/>
      <c r="U58" s="22" t="inlineStr">
        <is>
          <t>Sí</t>
        </is>
      </c>
      <c r="V58" s="22" t="n"/>
      <c r="W58" s="22" t="n"/>
      <c r="X58" s="22" t="n"/>
      <c r="Y58" s="22" t="inlineStr">
        <is>
          <t>No</t>
        </is>
      </c>
      <c r="Z58" s="22" t="inlineStr">
        <is>
          <t>L</t>
        </is>
      </c>
      <c r="AA58" s="22" t="n">
        <v>35</v>
      </c>
      <c r="AB58" s="22" t="inlineStr">
        <is>
          <t>Pagado</t>
        </is>
      </c>
      <c r="AC58" s="22" t="n"/>
      <c r="AD58" s="23">
        <f>IF(D58&lt;&gt;"","P"&amp;TEXT(ROW()-4,"0000"),"")</f>
        <v/>
      </c>
    </row>
    <row r="59" ht="14.25" customHeight="1" s="72">
      <c r="A59" s="22" t="inlineStr">
        <is>
          <t>2025-08-09 18:05:10</t>
        </is>
      </c>
      <c r="B59" s="22" t="n"/>
      <c r="C59" s="22" t="n"/>
      <c r="D59" s="22" t="inlineStr">
        <is>
          <t>María</t>
        </is>
      </c>
      <c r="E59" s="22" t="inlineStr">
        <is>
          <t>Martínez</t>
        </is>
      </c>
      <c r="F59" s="22" t="inlineStr">
        <is>
          <t>Leão</t>
        </is>
      </c>
      <c r="G59" s="23">
        <f>IF(F59&lt;&gt;"",F59,IF(AND(D59="",E59=""),"",TRIM(D59&amp;" "&amp;E59)))</f>
        <v/>
      </c>
      <c r="H59" s="22" t="n"/>
      <c r="I59" s="22" t="inlineStr">
        <is>
          <t>+34 680 176 260</t>
        </is>
      </c>
      <c r="J59" s="22" t="inlineStr">
        <is>
          <t>São Paulo-Brasil</t>
        </is>
      </c>
      <c r="K59" s="22" t="inlineStr">
        <is>
          <t>Professor Macaco</t>
        </is>
      </c>
      <c r="L59" s="22" t="inlineStr">
        <is>
          <t>Roxa/Marrom</t>
        </is>
      </c>
      <c r="M59" s="22" t="inlineStr">
        <is>
          <t>Femenino</t>
        </is>
      </c>
      <c r="N59" s="29" t="n">
        <v>33227</v>
      </c>
      <c r="O59" s="23">
        <f>IF(N59="","",DATEDIF(N59,TODAY(),"Y"))</f>
        <v/>
      </c>
      <c r="P59" s="23">
        <f>IF(O59="","",IF(O59&lt;=11,"Infantil",IF(O59&lt;=17,"Juvenil",IF(O59&lt;=44,"Adulto","Baobá"))))</f>
        <v/>
      </c>
      <c r="Q59" s="23">
        <f>IF(P59&lt;&gt;"Adulto","",IF(OR(L59="Marrom",L59="Marrom/Vermelha"),"A",IF(OR(L59="Roxa",L59="Roxa/Marrom"),"B",IF(OR(L59="Verde",L59="Verde/Roxa"),"C",IF(OR(L59="Azul",L59="Azul/Verde"),"D",IF(OR(L59="Laranja",L59="Laranja/Azul"),"E",IF(Y59="Sí","E","N/A")))))))</f>
        <v/>
      </c>
      <c r="R59" s="23">
        <f>IF(P59&lt;&gt;"Baobá","",IF(OR(L59="Laranja",L59="Laranja/Azul"),"Alumnos",IF(Y59="Sí","Alumnos","Graduados+")))</f>
        <v/>
      </c>
      <c r="S59" s="23">
        <f>IF(P59="","",IF(P59="Adulto",IF(OR(Q59="",Q59="N/A"),"⚠ Corda no compite Adulto",P59&amp;"-"&amp;Q59&amp;" · "&amp;M59),IF(P59="Baobá",IF(R59="","⚠ Sin clasificar Baobá",P59&amp;"-"&amp;R59&amp;" · "&amp;M59),IF(P59="Juvenil",IF(AND(OR(L59="Crua",L59="Crua/Amarela"),Y59&lt;&gt;"Sí"),"⚠ Juvenil necesita Amarela+",P59&amp;" · "&amp;M59),P59&amp;" · "&amp;M59))))</f>
        <v/>
      </c>
      <c r="T59" s="23" t="n"/>
      <c r="U59" s="22" t="inlineStr">
        <is>
          <t>Sí</t>
        </is>
      </c>
      <c r="V59" s="22" t="n"/>
      <c r="W59" s="22" t="n"/>
      <c r="X59" s="22" t="n"/>
      <c r="Y59" s="22" t="inlineStr">
        <is>
          <t>No</t>
        </is>
      </c>
      <c r="Z59" s="22" t="inlineStr">
        <is>
          <t>XL</t>
        </is>
      </c>
      <c r="AA59" s="22" t="n">
        <v>35</v>
      </c>
      <c r="AB59" s="22" t="inlineStr">
        <is>
          <t>Pagado</t>
        </is>
      </c>
      <c r="AC59" s="22" t="n"/>
      <c r="AD59" s="23">
        <f>IF(D59&lt;&gt;"","P"&amp;TEXT(ROW()-4,"0000"),"")</f>
        <v/>
      </c>
    </row>
    <row r="60" ht="14.25" customHeight="1" s="72">
      <c r="A60" s="22" t="inlineStr">
        <is>
          <t>2025-09-10 08:14:18</t>
        </is>
      </c>
      <c r="B60" s="22" t="n"/>
      <c r="C60" s="22" t="n"/>
      <c r="D60" s="22" t="inlineStr">
        <is>
          <t>Fátima</t>
        </is>
      </c>
      <c r="E60" s="22" t="inlineStr">
        <is>
          <t>Wagner</t>
        </is>
      </c>
      <c r="F60" s="22" t="inlineStr">
        <is>
          <t>Louva-Deus</t>
        </is>
      </c>
      <c r="G60" s="23">
        <f>IF(F60&lt;&gt;"",F60,IF(AND(D60="",E60=""),"",TRIM(D60&amp;" "&amp;E60)))</f>
        <v/>
      </c>
      <c r="H60" s="22" t="n"/>
      <c r="I60" s="22" t="inlineStr">
        <is>
          <t>+34 699 980 564</t>
        </is>
      </c>
      <c r="J60" s="22" t="inlineStr">
        <is>
          <t>Recife-Brasil</t>
        </is>
      </c>
      <c r="K60" s="22" t="inlineStr">
        <is>
          <t>Mestre Onça</t>
        </is>
      </c>
      <c r="L60" s="22" t="inlineStr">
        <is>
          <t>Roxa</t>
        </is>
      </c>
      <c r="M60" s="22" t="inlineStr">
        <is>
          <t>Femenino</t>
        </is>
      </c>
      <c r="N60" s="29" t="n">
        <v>35388</v>
      </c>
      <c r="O60" s="23">
        <f>IF(N60="","",DATEDIF(N60,TODAY(),"Y"))</f>
        <v/>
      </c>
      <c r="P60" s="23">
        <f>IF(O60="","",IF(O60&lt;=11,"Infantil",IF(O60&lt;=17,"Juvenil",IF(O60&lt;=44,"Adulto","Baobá"))))</f>
        <v/>
      </c>
      <c r="Q60" s="23">
        <f>IF(P60&lt;&gt;"Adulto","",IF(OR(L60="Marrom",L60="Marrom/Vermelha"),"A",IF(OR(L60="Roxa",L60="Roxa/Marrom"),"B",IF(OR(L60="Verde",L60="Verde/Roxa"),"C",IF(OR(L60="Azul",L60="Azul/Verde"),"D",IF(OR(L60="Laranja",L60="Laranja/Azul"),"E",IF(Y60="Sí","E","N/A")))))))</f>
        <v/>
      </c>
      <c r="R60" s="23">
        <f>IF(P60&lt;&gt;"Baobá","",IF(OR(L60="Laranja",L60="Laranja/Azul"),"Alumnos",IF(Y60="Sí","Alumnos","Graduados+")))</f>
        <v/>
      </c>
      <c r="S60" s="23">
        <f>IF(P60="","",IF(P60="Adulto",IF(OR(Q60="",Q60="N/A"),"⚠ Corda no compite Adulto",P60&amp;"-"&amp;Q60&amp;" · "&amp;M60),IF(P60="Baobá",IF(R60="","⚠ Sin clasificar Baobá",P60&amp;"-"&amp;R60&amp;" · "&amp;M60),IF(P60="Juvenil",IF(AND(OR(L60="Crua",L60="Crua/Amarela"),Y60&lt;&gt;"Sí"),"⚠ Juvenil necesita Amarela+",P60&amp;" · "&amp;M60),P60&amp;" · "&amp;M60))))</f>
        <v/>
      </c>
      <c r="T60" s="23" t="n"/>
      <c r="U60" s="22" t="inlineStr">
        <is>
          <t>Sí</t>
        </is>
      </c>
      <c r="V60" s="22" t="n"/>
      <c r="W60" s="22" t="n"/>
      <c r="X60" s="22" t="n"/>
      <c r="Y60" s="22" t="inlineStr">
        <is>
          <t>No</t>
        </is>
      </c>
      <c r="Z60" s="22" t="inlineStr">
        <is>
          <t>XXL</t>
        </is>
      </c>
      <c r="AA60" s="22" t="n">
        <v>35</v>
      </c>
      <c r="AB60" s="22" t="inlineStr">
        <is>
          <t>Pagado</t>
        </is>
      </c>
      <c r="AC60" s="22" t="n"/>
      <c r="AD60" s="23">
        <f>IF(D60&lt;&gt;"","P"&amp;TEXT(ROW()-4,"0000"),"")</f>
        <v/>
      </c>
    </row>
    <row r="61" ht="14.25" customHeight="1" s="72">
      <c r="A61" s="22" t="inlineStr">
        <is>
          <t>2025-10-26 22:12:27</t>
        </is>
      </c>
      <c r="B61" s="22" t="n"/>
      <c r="C61" s="22" t="n"/>
      <c r="D61" s="22" t="inlineStr">
        <is>
          <t>Mariana</t>
        </is>
      </c>
      <c r="E61" s="22" t="inlineStr">
        <is>
          <t>Freitas</t>
        </is>
      </c>
      <c r="F61" s="22" t="inlineStr">
        <is>
          <t>Siriema</t>
        </is>
      </c>
      <c r="G61" s="23">
        <f>IF(F61&lt;&gt;"",F61,IF(AND(D61="",E61=""),"",TRIM(D61&amp;" "&amp;E61)))</f>
        <v/>
      </c>
      <c r="H61" s="22" t="n"/>
      <c r="I61" s="22" t="inlineStr">
        <is>
          <t>+34 638 763 252</t>
        </is>
      </c>
      <c r="J61" s="22" t="inlineStr">
        <is>
          <t>Cascais-Portugal</t>
        </is>
      </c>
      <c r="K61" s="22" t="inlineStr">
        <is>
          <t>Mestre Cobra</t>
        </is>
      </c>
      <c r="L61" s="22" t="inlineStr">
        <is>
          <t>Roxa/Marrom</t>
        </is>
      </c>
      <c r="M61" s="22" t="inlineStr">
        <is>
          <t>Femenino</t>
        </is>
      </c>
      <c r="N61" s="29" t="n">
        <v>37262</v>
      </c>
      <c r="O61" s="23">
        <f>IF(N61="","",DATEDIF(N61,TODAY(),"Y"))</f>
        <v/>
      </c>
      <c r="P61" s="23">
        <f>IF(O61="","",IF(O61&lt;=11,"Infantil",IF(O61&lt;=17,"Juvenil",IF(O61&lt;=44,"Adulto","Baobá"))))</f>
        <v/>
      </c>
      <c r="Q61" s="23">
        <f>IF(P61&lt;&gt;"Adulto","",IF(OR(L61="Marrom",L61="Marrom/Vermelha"),"A",IF(OR(L61="Roxa",L61="Roxa/Marrom"),"B",IF(OR(L61="Verde",L61="Verde/Roxa"),"C",IF(OR(L61="Azul",L61="Azul/Verde"),"D",IF(OR(L61="Laranja",L61="Laranja/Azul"),"E",IF(Y61="Sí","E","N/A")))))))</f>
        <v/>
      </c>
      <c r="R61" s="23">
        <f>IF(P61&lt;&gt;"Baobá","",IF(OR(L61="Laranja",L61="Laranja/Azul"),"Alumnos",IF(Y61="Sí","Alumnos","Graduados+")))</f>
        <v/>
      </c>
      <c r="S61" s="23">
        <f>IF(P61="","",IF(P61="Adulto",IF(OR(Q61="",Q61="N/A"),"⚠ Corda no compite Adulto",P61&amp;"-"&amp;Q61&amp;" · "&amp;M61),IF(P61="Baobá",IF(R61="","⚠ Sin clasificar Baobá",P61&amp;"-"&amp;R61&amp;" · "&amp;M61),IF(P61="Juvenil",IF(AND(OR(L61="Crua",L61="Crua/Amarela"),Y61&lt;&gt;"Sí"),"⚠ Juvenil necesita Amarela+",P61&amp;" · "&amp;M61),P61&amp;" · "&amp;M61))))</f>
        <v/>
      </c>
      <c r="T61" s="23" t="n"/>
      <c r="U61" s="22" t="inlineStr">
        <is>
          <t>Sí</t>
        </is>
      </c>
      <c r="V61" s="22" t="n"/>
      <c r="W61" s="22" t="n"/>
      <c r="X61" s="22" t="n"/>
      <c r="Y61" s="22" t="inlineStr">
        <is>
          <t>No</t>
        </is>
      </c>
      <c r="Z61" s="22" t="inlineStr">
        <is>
          <t>XS</t>
        </is>
      </c>
      <c r="AA61" s="22" t="n">
        <v>35</v>
      </c>
      <c r="AB61" s="22" t="inlineStr">
        <is>
          <t>Pagado</t>
        </is>
      </c>
      <c r="AC61" s="22" t="n"/>
      <c r="AD61" s="23">
        <f>IF(D61&lt;&gt;"","P"&amp;TEXT(ROW()-4,"0000"),"")</f>
        <v/>
      </c>
    </row>
    <row r="62" ht="14.25" customHeight="1" s="72">
      <c r="A62" s="22" t="inlineStr">
        <is>
          <t>2025-09-20 19:52:36</t>
        </is>
      </c>
      <c r="B62" s="22" t="n"/>
      <c r="C62" s="22" t="n"/>
      <c r="D62" s="22" t="inlineStr">
        <is>
          <t>Nadia</t>
        </is>
      </c>
      <c r="E62" s="22" t="inlineStr">
        <is>
          <t>Petit</t>
        </is>
      </c>
      <c r="F62" s="22" t="inlineStr">
        <is>
          <t>Tamanduá</t>
        </is>
      </c>
      <c r="G62" s="23">
        <f>IF(F62&lt;&gt;"",F62,IF(AND(D62="",E62=""),"",TRIM(D62&amp;" "&amp;E62)))</f>
        <v/>
      </c>
      <c r="H62" s="22" t="n"/>
      <c r="I62" s="22" t="inlineStr">
        <is>
          <t>+34 625 579 805</t>
        </is>
      </c>
      <c r="J62" s="22" t="inlineStr">
        <is>
          <t>Paris-Francia</t>
        </is>
      </c>
      <c r="K62" s="22" t="inlineStr">
        <is>
          <t>Mestre Sucuri</t>
        </is>
      </c>
      <c r="L62" s="22" t="inlineStr">
        <is>
          <t>Roxa/Marrom</t>
        </is>
      </c>
      <c r="M62" s="22" t="inlineStr">
        <is>
          <t>Femenino</t>
        </is>
      </c>
      <c r="N62" s="29" t="n">
        <v>35326</v>
      </c>
      <c r="O62" s="23">
        <f>IF(N62="","",DATEDIF(N62,TODAY(),"Y"))</f>
        <v/>
      </c>
      <c r="P62" s="23">
        <f>IF(O62="","",IF(O62&lt;=11,"Infantil",IF(O62&lt;=17,"Juvenil",IF(O62&lt;=44,"Adulto","Baobá"))))</f>
        <v/>
      </c>
      <c r="Q62" s="23">
        <f>IF(P62&lt;&gt;"Adulto","",IF(OR(L62="Marrom",L62="Marrom/Vermelha"),"A",IF(OR(L62="Roxa",L62="Roxa/Marrom"),"B",IF(OR(L62="Verde",L62="Verde/Roxa"),"C",IF(OR(L62="Azul",L62="Azul/Verde"),"D",IF(OR(L62="Laranja",L62="Laranja/Azul"),"E",IF(Y62="Sí","E","N/A")))))))</f>
        <v/>
      </c>
      <c r="R62" s="23">
        <f>IF(P62&lt;&gt;"Baobá","",IF(OR(L62="Laranja",L62="Laranja/Azul"),"Alumnos",IF(Y62="Sí","Alumnos","Graduados+")))</f>
        <v/>
      </c>
      <c r="S62" s="23">
        <f>IF(P62="","",IF(P62="Adulto",IF(OR(Q62="",Q62="N/A"),"⚠ Corda no compite Adulto",P62&amp;"-"&amp;Q62&amp;" · "&amp;M62),IF(P62="Baobá",IF(R62="","⚠ Sin clasificar Baobá",P62&amp;"-"&amp;R62&amp;" · "&amp;M62),IF(P62="Juvenil",IF(AND(OR(L62="Crua",L62="Crua/Amarela"),Y62&lt;&gt;"Sí"),"⚠ Juvenil necesita Amarela+",P62&amp;" · "&amp;M62),P62&amp;" · "&amp;M62))))</f>
        <v/>
      </c>
      <c r="T62" s="23" t="n"/>
      <c r="U62" s="22" t="inlineStr">
        <is>
          <t>Sí</t>
        </is>
      </c>
      <c r="V62" s="22" t="n"/>
      <c r="W62" s="22" t="n"/>
      <c r="X62" s="22" t="n"/>
      <c r="Y62" s="22" t="inlineStr">
        <is>
          <t>No</t>
        </is>
      </c>
      <c r="Z62" s="22" t="inlineStr">
        <is>
          <t>S</t>
        </is>
      </c>
      <c r="AA62" s="22" t="n">
        <v>35</v>
      </c>
      <c r="AB62" s="22" t="inlineStr">
        <is>
          <t>Pagado</t>
        </is>
      </c>
      <c r="AC62" s="22" t="n"/>
      <c r="AD62" s="23">
        <f>IF(D62&lt;&gt;"","P"&amp;TEXT(ROW()-4,"0000"),"")</f>
        <v/>
      </c>
    </row>
    <row r="63" ht="14.25" customHeight="1" s="72">
      <c r="A63" s="22" t="inlineStr">
        <is>
          <t>2025-09-15 09:38:02</t>
        </is>
      </c>
      <c r="B63" s="22" t="n"/>
      <c r="C63" s="22" t="n"/>
      <c r="D63" s="22" t="inlineStr">
        <is>
          <t>Amaia</t>
        </is>
      </c>
      <c r="E63" s="22" t="inlineStr">
        <is>
          <t>Russo</t>
        </is>
      </c>
      <c r="F63" s="22" t="inlineStr">
        <is>
          <t>Beija-Flor</t>
        </is>
      </c>
      <c r="G63" s="23">
        <f>IF(F63&lt;&gt;"",F63,IF(AND(D63="",E63=""),"",TRIM(D63&amp;" "&amp;E63)))</f>
        <v/>
      </c>
      <c r="H63" s="22" t="n"/>
      <c r="I63" s="22" t="inlineStr">
        <is>
          <t>+34 687 356 126</t>
        </is>
      </c>
      <c r="J63" s="22" t="inlineStr">
        <is>
          <t>Fortaleza-Brasil</t>
        </is>
      </c>
      <c r="K63" s="22" t="inlineStr">
        <is>
          <t>Mestre Onça</t>
        </is>
      </c>
      <c r="L63" s="22" t="inlineStr">
        <is>
          <t>Roxa</t>
        </is>
      </c>
      <c r="M63" s="22" t="inlineStr">
        <is>
          <t>Femenino</t>
        </is>
      </c>
      <c r="N63" s="29" t="n">
        <v>30608</v>
      </c>
      <c r="O63" s="23">
        <f>IF(N63="","",DATEDIF(N63,TODAY(),"Y"))</f>
        <v/>
      </c>
      <c r="P63" s="23">
        <f>IF(O63="","",IF(O63&lt;=11,"Infantil",IF(O63&lt;=17,"Juvenil",IF(O63&lt;=44,"Adulto","Baobá"))))</f>
        <v/>
      </c>
      <c r="Q63" s="23">
        <f>IF(P63&lt;&gt;"Adulto","",IF(OR(L63="Marrom",L63="Marrom/Vermelha"),"A",IF(OR(L63="Roxa",L63="Roxa/Marrom"),"B",IF(OR(L63="Verde",L63="Verde/Roxa"),"C",IF(OR(L63="Azul",L63="Azul/Verde"),"D",IF(OR(L63="Laranja",L63="Laranja/Azul"),"E",IF(Y63="Sí","E","N/A")))))))</f>
        <v/>
      </c>
      <c r="R63" s="23">
        <f>IF(P63&lt;&gt;"Baobá","",IF(OR(L63="Laranja",L63="Laranja/Azul"),"Alumnos",IF(Y63="Sí","Alumnos","Graduados+")))</f>
        <v/>
      </c>
      <c r="S63" s="23">
        <f>IF(P63="","",IF(P63="Adulto",IF(OR(Q63="",Q63="N/A"),"⚠ Corda no compite Adulto",P63&amp;"-"&amp;Q63&amp;" · "&amp;M63),IF(P63="Baobá",IF(R63="","⚠ Sin clasificar Baobá",P63&amp;"-"&amp;R63&amp;" · "&amp;M63),IF(P63="Juvenil",IF(AND(OR(L63="Crua",L63="Crua/Amarela"),Y63&lt;&gt;"Sí"),"⚠ Juvenil necesita Amarela+",P63&amp;" · "&amp;M63),P63&amp;" · "&amp;M63))))</f>
        <v/>
      </c>
      <c r="T63" s="23" t="n"/>
      <c r="U63" s="22" t="inlineStr">
        <is>
          <t>Sí</t>
        </is>
      </c>
      <c r="V63" s="22" t="n"/>
      <c r="W63" s="22" t="n"/>
      <c r="X63" s="22" t="n"/>
      <c r="Y63" s="22" t="inlineStr">
        <is>
          <t>No</t>
        </is>
      </c>
      <c r="Z63" s="22" t="inlineStr">
        <is>
          <t>M</t>
        </is>
      </c>
      <c r="AA63" s="22" t="n">
        <v>35</v>
      </c>
      <c r="AB63" s="22" t="inlineStr">
        <is>
          <t>Pagado</t>
        </is>
      </c>
      <c r="AC63" s="22" t="n"/>
      <c r="AD63" s="23">
        <f>IF(D63&lt;&gt;"","P"&amp;TEXT(ROW()-4,"0000"),"")</f>
        <v/>
      </c>
    </row>
    <row r="64" ht="14.25" customHeight="1" s="72">
      <c r="A64" s="22" t="inlineStr">
        <is>
          <t>2025-08-25 18:52:17</t>
        </is>
      </c>
      <c r="B64" s="22" t="n"/>
      <c r="C64" s="22" t="n"/>
      <c r="D64" s="22" t="inlineStr">
        <is>
          <t>Martina</t>
        </is>
      </c>
      <c r="E64" s="22" t="inlineStr">
        <is>
          <t>Costa</t>
        </is>
      </c>
      <c r="F64" s="22" t="inlineStr">
        <is>
          <t>Suçuarana</t>
        </is>
      </c>
      <c r="G64" s="23">
        <f>IF(F64&lt;&gt;"",F64,IF(AND(D64="",E64=""),"",TRIM(D64&amp;" "&amp;E64)))</f>
        <v/>
      </c>
      <c r="H64" s="22" t="n"/>
      <c r="I64" s="22" t="inlineStr">
        <is>
          <t>+34 632 581 631</t>
        </is>
      </c>
      <c r="J64" s="22" t="inlineStr">
        <is>
          <t>Buenos Aires-Argentina</t>
        </is>
      </c>
      <c r="K64" s="22" t="inlineStr">
        <is>
          <t>Professor Tigre</t>
        </is>
      </c>
      <c r="L64" s="22" t="inlineStr">
        <is>
          <t>Roxa/Marrom</t>
        </is>
      </c>
      <c r="M64" s="22" t="inlineStr">
        <is>
          <t>Femenino</t>
        </is>
      </c>
      <c r="N64" s="29" t="n">
        <v>36447</v>
      </c>
      <c r="O64" s="23">
        <f>IF(N64="","",DATEDIF(N64,TODAY(),"Y"))</f>
        <v/>
      </c>
      <c r="P64" s="23">
        <f>IF(O64="","",IF(O64&lt;=11,"Infantil",IF(O64&lt;=17,"Juvenil",IF(O64&lt;=44,"Adulto","Baobá"))))</f>
        <v/>
      </c>
      <c r="Q64" s="23">
        <f>IF(P64&lt;&gt;"Adulto","",IF(OR(L64="Marrom",L64="Marrom/Vermelha"),"A",IF(OR(L64="Roxa",L64="Roxa/Marrom"),"B",IF(OR(L64="Verde",L64="Verde/Roxa"),"C",IF(OR(L64="Azul",L64="Azul/Verde"),"D",IF(OR(L64="Laranja",L64="Laranja/Azul"),"E",IF(Y64="Sí","E","N/A")))))))</f>
        <v/>
      </c>
      <c r="R64" s="23">
        <f>IF(P64&lt;&gt;"Baobá","",IF(OR(L64="Laranja",L64="Laranja/Azul"),"Alumnos",IF(Y64="Sí","Alumnos","Graduados+")))</f>
        <v/>
      </c>
      <c r="S64" s="23">
        <f>IF(P64="","",IF(P64="Adulto",IF(OR(Q64="",Q64="N/A"),"⚠ Corda no compite Adulto",P64&amp;"-"&amp;Q64&amp;" · "&amp;M64),IF(P64="Baobá",IF(R64="","⚠ Sin clasificar Baobá",P64&amp;"-"&amp;R64&amp;" · "&amp;M64),IF(P64="Juvenil",IF(AND(OR(L64="Crua",L64="Crua/Amarela"),Y64&lt;&gt;"Sí"),"⚠ Juvenil necesita Amarela+",P64&amp;" · "&amp;M64),P64&amp;" · "&amp;M64))))</f>
        <v/>
      </c>
      <c r="T64" s="23" t="n"/>
      <c r="U64" s="22" t="inlineStr">
        <is>
          <t>Sí</t>
        </is>
      </c>
      <c r="V64" s="22" t="n"/>
      <c r="W64" s="22" t="n"/>
      <c r="X64" s="22" t="n"/>
      <c r="Y64" s="22" t="inlineStr">
        <is>
          <t>No</t>
        </is>
      </c>
      <c r="Z64" s="22" t="inlineStr">
        <is>
          <t>L</t>
        </is>
      </c>
      <c r="AA64" s="22" t="n">
        <v>35</v>
      </c>
      <c r="AB64" s="22" t="inlineStr">
        <is>
          <t>Pagado</t>
        </is>
      </c>
      <c r="AC64" s="22" t="n"/>
      <c r="AD64" s="23">
        <f>IF(D64&lt;&gt;"","P"&amp;TEXT(ROW()-4,"0000"),"")</f>
        <v/>
      </c>
    </row>
    <row r="65" ht="14.25" customHeight="1" s="72">
      <c r="A65" s="22" t="inlineStr">
        <is>
          <t>2025-10-27 15:05:30</t>
        </is>
      </c>
      <c r="B65" s="22" t="n"/>
      <c r="C65" s="22" t="n"/>
      <c r="D65" s="22" t="inlineStr">
        <is>
          <t>Andreia</t>
        </is>
      </c>
      <c r="E65" s="22" t="inlineStr">
        <is>
          <t>Bernard</t>
        </is>
      </c>
      <c r="F65" s="22" t="inlineStr">
        <is>
          <t>Tucano</t>
        </is>
      </c>
      <c r="G65" s="23">
        <f>IF(F65&lt;&gt;"",F65,IF(AND(D65="",E65=""),"",TRIM(D65&amp;" "&amp;E65)))</f>
        <v/>
      </c>
      <c r="H65" s="22" t="n"/>
      <c r="I65" s="22" t="inlineStr">
        <is>
          <t>+34 652 428 786</t>
        </is>
      </c>
      <c r="J65" s="22" t="inlineStr">
        <is>
          <t>Curitiba-Brasil</t>
        </is>
      </c>
      <c r="K65" s="22" t="inlineStr">
        <is>
          <t>Professor Gavião</t>
        </is>
      </c>
      <c r="L65" s="22" t="inlineStr">
        <is>
          <t>Roxa</t>
        </is>
      </c>
      <c r="M65" s="22" t="inlineStr">
        <is>
          <t>Femenino</t>
        </is>
      </c>
      <c r="N65" s="29" t="n">
        <v>34538</v>
      </c>
      <c r="O65" s="23">
        <f>IF(N65="","",DATEDIF(N65,TODAY(),"Y"))</f>
        <v/>
      </c>
      <c r="P65" s="23">
        <f>IF(O65="","",IF(O65&lt;=11,"Infantil",IF(O65&lt;=17,"Juvenil",IF(O65&lt;=44,"Adulto","Baobá"))))</f>
        <v/>
      </c>
      <c r="Q65" s="23">
        <f>IF(P65&lt;&gt;"Adulto","",IF(OR(L65="Marrom",L65="Marrom/Vermelha"),"A",IF(OR(L65="Roxa",L65="Roxa/Marrom"),"B",IF(OR(L65="Verde",L65="Verde/Roxa"),"C",IF(OR(L65="Azul",L65="Azul/Verde"),"D",IF(OR(L65="Laranja",L65="Laranja/Azul"),"E",IF(Y65="Sí","E","N/A")))))))</f>
        <v/>
      </c>
      <c r="R65" s="23">
        <f>IF(P65&lt;&gt;"Baobá","",IF(OR(L65="Laranja",L65="Laranja/Azul"),"Alumnos",IF(Y65="Sí","Alumnos","Graduados+")))</f>
        <v/>
      </c>
      <c r="S65" s="23">
        <f>IF(P65="","",IF(P65="Adulto",IF(OR(Q65="",Q65="N/A"),"⚠ Corda no compite Adulto",P65&amp;"-"&amp;Q65&amp;" · "&amp;M65),IF(P65="Baobá",IF(R65="","⚠ Sin clasificar Baobá",P65&amp;"-"&amp;R65&amp;" · "&amp;M65),IF(P65="Juvenil",IF(AND(OR(L65="Crua",L65="Crua/Amarela"),Y65&lt;&gt;"Sí"),"⚠ Juvenil necesita Amarela+",P65&amp;" · "&amp;M65),P65&amp;" · "&amp;M65))))</f>
        <v/>
      </c>
      <c r="T65" s="23" t="n"/>
      <c r="U65" s="22" t="inlineStr">
        <is>
          <t>Sí</t>
        </is>
      </c>
      <c r="V65" s="22" t="n"/>
      <c r="W65" s="22" t="n"/>
      <c r="X65" s="22" t="n"/>
      <c r="Y65" s="22" t="inlineStr">
        <is>
          <t>No</t>
        </is>
      </c>
      <c r="Z65" s="22" t="inlineStr">
        <is>
          <t>XL</t>
        </is>
      </c>
      <c r="AA65" s="22" t="n">
        <v>35</v>
      </c>
      <c r="AB65" s="22" t="inlineStr">
        <is>
          <t>Pagado</t>
        </is>
      </c>
      <c r="AC65" s="22" t="n"/>
      <c r="AD65" s="23">
        <f>IF(D65&lt;&gt;"","P"&amp;TEXT(ROW()-4,"0000"),"")</f>
        <v/>
      </c>
    </row>
    <row r="66" ht="14.25" customHeight="1" s="72">
      <c r="A66" s="22" t="inlineStr">
        <is>
          <t>2025-09-10 18:25:52</t>
        </is>
      </c>
      <c r="B66" s="22" t="n"/>
      <c r="C66" s="22" t="n"/>
      <c r="D66" s="22" t="inlineStr">
        <is>
          <t>Yuki</t>
        </is>
      </c>
      <c r="E66" s="22" t="inlineStr">
        <is>
          <t>Pereira</t>
        </is>
      </c>
      <c r="F66" s="22" t="inlineStr">
        <is>
          <t>Onça</t>
        </is>
      </c>
      <c r="G66" s="23">
        <f>IF(F66&lt;&gt;"",F66,IF(AND(D66="",E66=""),"",TRIM(D66&amp;" "&amp;E66)))</f>
        <v/>
      </c>
      <c r="H66" s="22" t="n"/>
      <c r="I66" s="22" t="inlineStr">
        <is>
          <t>+34 668 190 422</t>
        </is>
      </c>
      <c r="J66" s="22" t="inlineStr">
        <is>
          <t>Porto-Portugal</t>
        </is>
      </c>
      <c r="K66" s="22" t="inlineStr">
        <is>
          <t>Professor Borboleta</t>
        </is>
      </c>
      <c r="L66" s="22" t="inlineStr">
        <is>
          <t>Roxa/Marrom</t>
        </is>
      </c>
      <c r="M66" s="22" t="inlineStr">
        <is>
          <t>Femenino</t>
        </is>
      </c>
      <c r="N66" s="29" t="n">
        <v>37100</v>
      </c>
      <c r="O66" s="23">
        <f>IF(N66="","",DATEDIF(N66,TODAY(),"Y"))</f>
        <v/>
      </c>
      <c r="P66" s="23">
        <f>IF(O66="","",IF(O66&lt;=11,"Infantil",IF(O66&lt;=17,"Juvenil",IF(O66&lt;=44,"Adulto","Baobá"))))</f>
        <v/>
      </c>
      <c r="Q66" s="23">
        <f>IF(P66&lt;&gt;"Adulto","",IF(OR(L66="Marrom",L66="Marrom/Vermelha"),"A",IF(OR(L66="Roxa",L66="Roxa/Marrom"),"B",IF(OR(L66="Verde",L66="Verde/Roxa"),"C",IF(OR(L66="Azul",L66="Azul/Verde"),"D",IF(OR(L66="Laranja",L66="Laranja/Azul"),"E",IF(Y66="Sí","E","N/A")))))))</f>
        <v/>
      </c>
      <c r="R66" s="23">
        <f>IF(P66&lt;&gt;"Baobá","",IF(OR(L66="Laranja",L66="Laranja/Azul"),"Alumnos",IF(Y66="Sí","Alumnos","Graduados+")))</f>
        <v/>
      </c>
      <c r="S66" s="23">
        <f>IF(P66="","",IF(P66="Adulto",IF(OR(Q66="",Q66="N/A"),"⚠ Corda no compite Adulto",P66&amp;"-"&amp;Q66&amp;" · "&amp;M66),IF(P66="Baobá",IF(R66="","⚠ Sin clasificar Baobá",P66&amp;"-"&amp;R66&amp;" · "&amp;M66),IF(P66="Juvenil",IF(AND(OR(L66="Crua",L66="Crua/Amarela"),Y66&lt;&gt;"Sí"),"⚠ Juvenil necesita Amarela+",P66&amp;" · "&amp;M66),P66&amp;" · "&amp;M66))))</f>
        <v/>
      </c>
      <c r="T66" s="23" t="n"/>
      <c r="U66" s="22" t="inlineStr">
        <is>
          <t>Sí</t>
        </is>
      </c>
      <c r="V66" s="22" t="n"/>
      <c r="W66" s="22" t="n"/>
      <c r="X66" s="22" t="n"/>
      <c r="Y66" s="22" t="inlineStr">
        <is>
          <t>No</t>
        </is>
      </c>
      <c r="Z66" s="22" t="inlineStr">
        <is>
          <t>XXL</t>
        </is>
      </c>
      <c r="AA66" s="22" t="n">
        <v>35</v>
      </c>
      <c r="AB66" s="22" t="inlineStr">
        <is>
          <t>Pagado</t>
        </is>
      </c>
      <c r="AC66" s="22" t="n"/>
      <c r="AD66" s="23">
        <f>IF(D66&lt;&gt;"","P"&amp;TEXT(ROW()-4,"0000"),"")</f>
        <v/>
      </c>
    </row>
    <row r="67" ht="14.25" customHeight="1" s="72">
      <c r="A67" s="22" t="inlineStr">
        <is>
          <t>2025-10-27 08:42:55</t>
        </is>
      </c>
      <c r="B67" s="22" t="n"/>
      <c r="C67" s="22" t="n"/>
      <c r="D67" s="22" t="inlineStr">
        <is>
          <t>Noémie</t>
        </is>
      </c>
      <c r="E67" s="22" t="inlineStr">
        <is>
          <t>Moreau</t>
        </is>
      </c>
      <c r="F67" s="22" t="inlineStr">
        <is>
          <t>Pantera</t>
        </is>
      </c>
      <c r="G67" s="23">
        <f>IF(F67&lt;&gt;"",F67,IF(AND(D67="",E67=""),"",TRIM(D67&amp;" "&amp;E67)))</f>
        <v/>
      </c>
      <c r="H67" s="22" t="n"/>
      <c r="I67" s="22" t="inlineStr">
        <is>
          <t>+34 662 155 292</t>
        </is>
      </c>
      <c r="J67" s="22" t="inlineStr">
        <is>
          <t>Hamburgo-Alemania</t>
        </is>
      </c>
      <c r="K67" s="22" t="inlineStr">
        <is>
          <t>Professor Lobo</t>
        </is>
      </c>
      <c r="L67" s="22" t="inlineStr">
        <is>
          <t>Roxa/Marrom</t>
        </is>
      </c>
      <c r="M67" s="22" t="inlineStr">
        <is>
          <t>Femenino</t>
        </is>
      </c>
      <c r="N67" s="29" t="n">
        <v>32827</v>
      </c>
      <c r="O67" s="23">
        <f>IF(N67="","",DATEDIF(N67,TODAY(),"Y"))</f>
        <v/>
      </c>
      <c r="P67" s="23">
        <f>IF(O67="","",IF(O67&lt;=11,"Infantil",IF(O67&lt;=17,"Juvenil",IF(O67&lt;=44,"Adulto","Baobá"))))</f>
        <v/>
      </c>
      <c r="Q67" s="23">
        <f>IF(P67&lt;&gt;"Adulto","",IF(OR(L67="Marrom",L67="Marrom/Vermelha"),"A",IF(OR(L67="Roxa",L67="Roxa/Marrom"),"B",IF(OR(L67="Verde",L67="Verde/Roxa"),"C",IF(OR(L67="Azul",L67="Azul/Verde"),"D",IF(OR(L67="Laranja",L67="Laranja/Azul"),"E",IF(Y67="Sí","E","N/A")))))))</f>
        <v/>
      </c>
      <c r="R67" s="23">
        <f>IF(P67&lt;&gt;"Baobá","",IF(OR(L67="Laranja",L67="Laranja/Azul"),"Alumnos",IF(Y67="Sí","Alumnos","Graduados+")))</f>
        <v/>
      </c>
      <c r="S67" s="23">
        <f>IF(P67="","",IF(P67="Adulto",IF(OR(Q67="",Q67="N/A"),"⚠ Corda no compite Adulto",P67&amp;"-"&amp;Q67&amp;" · "&amp;M67),IF(P67="Baobá",IF(R67="","⚠ Sin clasificar Baobá",P67&amp;"-"&amp;R67&amp;" · "&amp;M67),IF(P67="Juvenil",IF(AND(OR(L67="Crua",L67="Crua/Amarela"),Y67&lt;&gt;"Sí"),"⚠ Juvenil necesita Amarela+",P67&amp;" · "&amp;M67),P67&amp;" · "&amp;M67))))</f>
        <v/>
      </c>
      <c r="T67" s="23" t="n"/>
      <c r="U67" s="22" t="inlineStr">
        <is>
          <t>Sí</t>
        </is>
      </c>
      <c r="V67" s="22" t="n"/>
      <c r="W67" s="22" t="n"/>
      <c r="X67" s="22" t="n"/>
      <c r="Y67" s="22" t="inlineStr">
        <is>
          <t>No</t>
        </is>
      </c>
      <c r="Z67" s="22" t="inlineStr">
        <is>
          <t>XS</t>
        </is>
      </c>
      <c r="AA67" s="22" t="n">
        <v>35</v>
      </c>
      <c r="AB67" s="22" t="inlineStr">
        <is>
          <t>Pagado</t>
        </is>
      </c>
      <c r="AC67" s="22" t="n"/>
      <c r="AD67" s="23">
        <f>IF(D67&lt;&gt;"","P"&amp;TEXT(ROW()-4,"0000"),"")</f>
        <v/>
      </c>
    </row>
    <row r="68" ht="14.25" customHeight="1" s="72">
      <c r="A68" s="22" t="inlineStr">
        <is>
          <t>2025-08-07 12:35:08</t>
        </is>
      </c>
      <c r="B68" s="22" t="n"/>
      <c r="C68" s="22" t="n"/>
      <c r="D68" s="22" t="inlineStr">
        <is>
          <t>Nadia</t>
        </is>
      </c>
      <c r="E68" s="22" t="inlineStr">
        <is>
          <t>Petit</t>
        </is>
      </c>
      <c r="F68" s="22" t="inlineStr">
        <is>
          <t>Morcego</t>
        </is>
      </c>
      <c r="G68" s="23">
        <f>IF(F68&lt;&gt;"",F68,IF(AND(D68="",E68=""),"",TRIM(D68&amp;" "&amp;E68)))</f>
        <v/>
      </c>
      <c r="H68" s="22" t="n"/>
      <c r="I68" s="22" t="inlineStr">
        <is>
          <t>+34 699 596 224</t>
        </is>
      </c>
      <c r="J68" s="22" t="inlineStr">
        <is>
          <t>Rio de Janeiro-Brasil</t>
        </is>
      </c>
      <c r="K68" s="22" t="inlineStr">
        <is>
          <t>Professor Lobo</t>
        </is>
      </c>
      <c r="L68" s="22" t="inlineStr">
        <is>
          <t>Roxa/Marrom</t>
        </is>
      </c>
      <c r="M68" s="22" t="inlineStr">
        <is>
          <t>Femenino</t>
        </is>
      </c>
      <c r="N68" s="29" t="n">
        <v>35770</v>
      </c>
      <c r="O68" s="23">
        <f>IF(N68="","",DATEDIF(N68,TODAY(),"Y"))</f>
        <v/>
      </c>
      <c r="P68" s="23">
        <f>IF(O68="","",IF(O68&lt;=11,"Infantil",IF(O68&lt;=17,"Juvenil",IF(O68&lt;=44,"Adulto","Baobá"))))</f>
        <v/>
      </c>
      <c r="Q68" s="23">
        <f>IF(P68&lt;&gt;"Adulto","",IF(OR(L68="Marrom",L68="Marrom/Vermelha"),"A",IF(OR(L68="Roxa",L68="Roxa/Marrom"),"B",IF(OR(L68="Verde",L68="Verde/Roxa"),"C",IF(OR(L68="Azul",L68="Azul/Verde"),"D",IF(OR(L68="Laranja",L68="Laranja/Azul"),"E",IF(Y68="Sí","E","N/A")))))))</f>
        <v/>
      </c>
      <c r="R68" s="23">
        <f>IF(P68&lt;&gt;"Baobá","",IF(OR(L68="Laranja",L68="Laranja/Azul"),"Alumnos",IF(Y68="Sí","Alumnos","Graduados+")))</f>
        <v/>
      </c>
      <c r="S68" s="23">
        <f>IF(P68="","",IF(P68="Adulto",IF(OR(Q68="",Q68="N/A"),"⚠ Corda no compite Adulto",P68&amp;"-"&amp;Q68&amp;" · "&amp;M68),IF(P68="Baobá",IF(R68="","⚠ Sin clasificar Baobá",P68&amp;"-"&amp;R68&amp;" · "&amp;M68),IF(P68="Juvenil",IF(AND(OR(L68="Crua",L68="Crua/Amarela"),Y68&lt;&gt;"Sí"),"⚠ Juvenil necesita Amarela+",P68&amp;" · "&amp;M68),P68&amp;" · "&amp;M68))))</f>
        <v/>
      </c>
      <c r="T68" s="23" t="n"/>
      <c r="U68" s="22" t="inlineStr">
        <is>
          <t>Sí</t>
        </is>
      </c>
      <c r="V68" s="22" t="n"/>
      <c r="W68" s="22" t="n"/>
      <c r="X68" s="22" t="n"/>
      <c r="Y68" s="22" t="inlineStr">
        <is>
          <t>No</t>
        </is>
      </c>
      <c r="Z68" s="22" t="inlineStr">
        <is>
          <t>S</t>
        </is>
      </c>
      <c r="AA68" s="22" t="n">
        <v>35</v>
      </c>
      <c r="AB68" s="22" t="inlineStr">
        <is>
          <t>Pagado</t>
        </is>
      </c>
      <c r="AC68" s="22" t="n"/>
      <c r="AD68" s="23">
        <f>IF(D68&lt;&gt;"","P"&amp;TEXT(ROW()-4,"0000"),"")</f>
        <v/>
      </c>
    </row>
    <row r="69" ht="14.25" customHeight="1" s="72">
      <c r="A69" s="22" t="inlineStr">
        <is>
          <t>2025-10-16 13:21:35</t>
        </is>
      </c>
      <c r="B69" s="22" t="n"/>
      <c r="C69" s="22" t="n"/>
      <c r="D69" s="22" t="inlineStr">
        <is>
          <t>Antoine</t>
        </is>
      </c>
      <c r="E69" s="22" t="inlineStr">
        <is>
          <t>Freitas</t>
        </is>
      </c>
      <c r="F69" s="22" t="inlineStr">
        <is>
          <t>Bicho-Preguiça</t>
        </is>
      </c>
      <c r="G69" s="23">
        <f>IF(F69&lt;&gt;"",F69,IF(AND(D69="",E69=""),"",TRIM(D69&amp;" "&amp;E69)))</f>
        <v/>
      </c>
      <c r="H69" s="22" t="n"/>
      <c r="I69" s="22" t="inlineStr">
        <is>
          <t>+34 658 566 429</t>
        </is>
      </c>
      <c r="J69" s="22" t="inlineStr">
        <is>
          <t>Bilbao-España</t>
        </is>
      </c>
      <c r="K69" s="22" t="inlineStr">
        <is>
          <t>Mestre Onça</t>
        </is>
      </c>
      <c r="L69" s="22" t="inlineStr">
        <is>
          <t>Verde/Roxa</t>
        </is>
      </c>
      <c r="M69" s="22" t="inlineStr">
        <is>
          <t>Masculino</t>
        </is>
      </c>
      <c r="N69" s="29" t="n">
        <v>31601</v>
      </c>
      <c r="O69" s="23">
        <f>IF(N69="","",DATEDIF(N69,TODAY(),"Y"))</f>
        <v/>
      </c>
      <c r="P69" s="23">
        <f>IF(O69="","",IF(O69&lt;=11,"Infantil",IF(O69&lt;=17,"Juvenil",IF(O69&lt;=44,"Adulto","Baobá"))))</f>
        <v/>
      </c>
      <c r="Q69" s="23">
        <f>IF(P69&lt;&gt;"Adulto","",IF(OR(L69="Marrom",L69="Marrom/Vermelha"),"A",IF(OR(L69="Roxa",L69="Roxa/Marrom"),"B",IF(OR(L69="Verde",L69="Verde/Roxa"),"C",IF(OR(L69="Azul",L69="Azul/Verde"),"D",IF(OR(L69="Laranja",L69="Laranja/Azul"),"E",IF(Y69="Sí","E","N/A")))))))</f>
        <v/>
      </c>
      <c r="R69" s="23">
        <f>IF(P69&lt;&gt;"Baobá","",IF(OR(L69="Laranja",L69="Laranja/Azul"),"Alumnos",IF(Y69="Sí","Alumnos","Graduados+")))</f>
        <v/>
      </c>
      <c r="S69" s="23">
        <f>IF(P69="","",IF(P69="Adulto",IF(OR(Q69="",Q69="N/A"),"⚠ Corda no compite Adulto",P69&amp;"-"&amp;Q69&amp;" · "&amp;M69),IF(P69="Baobá",IF(R69="","⚠ Sin clasificar Baobá",P69&amp;"-"&amp;R69&amp;" · "&amp;M69),IF(P69="Juvenil",IF(AND(OR(L69="Crua",L69="Crua/Amarela"),Y69&lt;&gt;"Sí"),"⚠ Juvenil necesita Amarela+",P69&amp;" · "&amp;M69),P69&amp;" · "&amp;M69))))</f>
        <v/>
      </c>
      <c r="T69" s="23" t="n"/>
      <c r="U69" s="22" t="inlineStr">
        <is>
          <t>Sí</t>
        </is>
      </c>
      <c r="V69" s="22" t="n"/>
      <c r="W69" s="22" t="n"/>
      <c r="X69" s="22" t="n"/>
      <c r="Y69" s="22" t="inlineStr">
        <is>
          <t>No</t>
        </is>
      </c>
      <c r="Z69" s="22" t="inlineStr">
        <is>
          <t>XS</t>
        </is>
      </c>
      <c r="AA69" s="22" t="n">
        <v>35</v>
      </c>
      <c r="AB69" s="22" t="inlineStr">
        <is>
          <t>Pagado</t>
        </is>
      </c>
      <c r="AC69" s="22" t="n"/>
      <c r="AD69" s="23">
        <f>IF(D69&lt;&gt;"","P"&amp;TEXT(ROW()-4,"0000"),"")</f>
        <v/>
      </c>
    </row>
    <row r="70" ht="14.25" customHeight="1" s="72">
      <c r="A70" s="22" t="inlineStr">
        <is>
          <t>2025-09-02 13:47:30</t>
        </is>
      </c>
      <c r="B70" s="22" t="n"/>
      <c r="C70" s="22" t="n"/>
      <c r="D70" s="22" t="inlineStr">
        <is>
          <t>Olivier</t>
        </is>
      </c>
      <c r="E70" s="22" t="inlineStr">
        <is>
          <t>Marino</t>
        </is>
      </c>
      <c r="F70" s="22" t="inlineStr">
        <is>
          <t>Jabuti</t>
        </is>
      </c>
      <c r="G70" s="23">
        <f>IF(F70&lt;&gt;"",F70,IF(AND(D70="",E70=""),"",TRIM(D70&amp;" "&amp;E70)))</f>
        <v/>
      </c>
      <c r="H70" s="22" t="n"/>
      <c r="I70" s="22" t="inlineStr">
        <is>
          <t>+34 659 779 911</t>
        </is>
      </c>
      <c r="J70" s="22" t="inlineStr">
        <is>
          <t>Manaus-Brasil</t>
        </is>
      </c>
      <c r="K70" s="22" t="inlineStr">
        <is>
          <t>Mestre Tartaruga</t>
        </is>
      </c>
      <c r="L70" s="22" t="inlineStr">
        <is>
          <t>Verde</t>
        </is>
      </c>
      <c r="M70" s="22" t="inlineStr">
        <is>
          <t>Masculino</t>
        </is>
      </c>
      <c r="N70" s="29" t="n">
        <v>37697</v>
      </c>
      <c r="O70" s="23">
        <f>IF(N70="","",DATEDIF(N70,TODAY(),"Y"))</f>
        <v/>
      </c>
      <c r="P70" s="23">
        <f>IF(O70="","",IF(O70&lt;=11,"Infantil",IF(O70&lt;=17,"Juvenil",IF(O70&lt;=44,"Adulto","Baobá"))))</f>
        <v/>
      </c>
      <c r="Q70" s="23">
        <f>IF(P70&lt;&gt;"Adulto","",IF(OR(L70="Marrom",L70="Marrom/Vermelha"),"A",IF(OR(L70="Roxa",L70="Roxa/Marrom"),"B",IF(OR(L70="Verde",L70="Verde/Roxa"),"C",IF(OR(L70="Azul",L70="Azul/Verde"),"D",IF(OR(L70="Laranja",L70="Laranja/Azul"),"E",IF(Y70="Sí","E","N/A")))))))</f>
        <v/>
      </c>
      <c r="R70" s="23">
        <f>IF(P70&lt;&gt;"Baobá","",IF(OR(L70="Laranja",L70="Laranja/Azul"),"Alumnos",IF(Y70="Sí","Alumnos","Graduados+")))</f>
        <v/>
      </c>
      <c r="S70" s="23">
        <f>IF(P70="","",IF(P70="Adulto",IF(OR(Q70="",Q70="N/A"),"⚠ Corda no compite Adulto",P70&amp;"-"&amp;Q70&amp;" · "&amp;M70),IF(P70="Baobá",IF(R70="","⚠ Sin clasificar Baobá",P70&amp;"-"&amp;R70&amp;" · "&amp;M70),IF(P70="Juvenil",IF(AND(OR(L70="Crua",L70="Crua/Amarela"),Y70&lt;&gt;"Sí"),"⚠ Juvenil necesita Amarela+",P70&amp;" · "&amp;M70),P70&amp;" · "&amp;M70))))</f>
        <v/>
      </c>
      <c r="T70" s="23" t="n"/>
      <c r="U70" s="22" t="inlineStr">
        <is>
          <t>Sí</t>
        </is>
      </c>
      <c r="V70" s="22" t="n"/>
      <c r="W70" s="22" t="n"/>
      <c r="X70" s="22" t="n"/>
      <c r="Y70" s="22" t="inlineStr">
        <is>
          <t>No</t>
        </is>
      </c>
      <c r="Z70" s="22" t="inlineStr">
        <is>
          <t>S</t>
        </is>
      </c>
      <c r="AA70" s="22" t="n">
        <v>35</v>
      </c>
      <c r="AB70" s="22" t="inlineStr">
        <is>
          <t>Pagado</t>
        </is>
      </c>
      <c r="AC70" s="22" t="n"/>
      <c r="AD70" s="23">
        <f>IF(D70&lt;&gt;"","P"&amp;TEXT(ROW()-4,"0000"),"")</f>
        <v/>
      </c>
    </row>
    <row r="71" ht="14.25" customHeight="1" s="72">
      <c r="A71" s="22" t="inlineStr">
        <is>
          <t>2025-10-11 21:06:55</t>
        </is>
      </c>
      <c r="B71" s="22" t="n"/>
      <c r="C71" s="22" t="n"/>
      <c r="D71" s="22" t="inlineStr">
        <is>
          <t>Thiago</t>
        </is>
      </c>
      <c r="E71" s="22" t="inlineStr">
        <is>
          <t>Carvalho</t>
        </is>
      </c>
      <c r="F71" s="22" t="inlineStr">
        <is>
          <t>Rã</t>
        </is>
      </c>
      <c r="G71" s="23">
        <f>IF(F71&lt;&gt;"",F71,IF(AND(D71="",E71=""),"",TRIM(D71&amp;" "&amp;E71)))</f>
        <v/>
      </c>
      <c r="H71" s="22" t="n"/>
      <c r="I71" s="22" t="inlineStr">
        <is>
          <t>+34 677 567 115</t>
        </is>
      </c>
      <c r="J71" s="22" t="inlineStr">
        <is>
          <t>Manaus-Brasil</t>
        </is>
      </c>
      <c r="K71" s="22" t="inlineStr">
        <is>
          <t>Professor Macaco</t>
        </is>
      </c>
      <c r="L71" s="22" t="inlineStr">
        <is>
          <t>Verde/Roxa</t>
        </is>
      </c>
      <c r="M71" s="22" t="inlineStr">
        <is>
          <t>Masculino</t>
        </is>
      </c>
      <c r="N71" s="29" t="n">
        <v>30744</v>
      </c>
      <c r="O71" s="23">
        <f>IF(N71="","",DATEDIF(N71,TODAY(),"Y"))</f>
        <v/>
      </c>
      <c r="P71" s="23">
        <f>IF(O71="","",IF(O71&lt;=11,"Infantil",IF(O71&lt;=17,"Juvenil",IF(O71&lt;=44,"Adulto","Baobá"))))</f>
        <v/>
      </c>
      <c r="Q71" s="23">
        <f>IF(P71&lt;&gt;"Adulto","",IF(OR(L71="Marrom",L71="Marrom/Vermelha"),"A",IF(OR(L71="Roxa",L71="Roxa/Marrom"),"B",IF(OR(L71="Verde",L71="Verde/Roxa"),"C",IF(OR(L71="Azul",L71="Azul/Verde"),"D",IF(OR(L71="Laranja",L71="Laranja/Azul"),"E",IF(Y71="Sí","E","N/A")))))))</f>
        <v/>
      </c>
      <c r="R71" s="23">
        <f>IF(P71&lt;&gt;"Baobá","",IF(OR(L71="Laranja",L71="Laranja/Azul"),"Alumnos",IF(Y71="Sí","Alumnos","Graduados+")))</f>
        <v/>
      </c>
      <c r="S71" s="23">
        <f>IF(P71="","",IF(P71="Adulto",IF(OR(Q71="",Q71="N/A"),"⚠ Corda no compite Adulto",P71&amp;"-"&amp;Q71&amp;" · "&amp;M71),IF(P71="Baobá",IF(R71="","⚠ Sin clasificar Baobá",P71&amp;"-"&amp;R71&amp;" · "&amp;M71),IF(P71="Juvenil",IF(AND(OR(L71="Crua",L71="Crua/Amarela"),Y71&lt;&gt;"Sí"),"⚠ Juvenil necesita Amarela+",P71&amp;" · "&amp;M71),P71&amp;" · "&amp;M71))))</f>
        <v/>
      </c>
      <c r="T71" s="23" t="n"/>
      <c r="U71" s="22" t="inlineStr">
        <is>
          <t>Sí</t>
        </is>
      </c>
      <c r="V71" s="22" t="n"/>
      <c r="W71" s="22" t="n"/>
      <c r="X71" s="22" t="n"/>
      <c r="Y71" s="22" t="inlineStr">
        <is>
          <t>No</t>
        </is>
      </c>
      <c r="Z71" s="22" t="inlineStr">
        <is>
          <t>M</t>
        </is>
      </c>
      <c r="AA71" s="22" t="n">
        <v>35</v>
      </c>
      <c r="AB71" s="22" t="inlineStr">
        <is>
          <t>Pagado</t>
        </is>
      </c>
      <c r="AC71" s="22" t="n"/>
      <c r="AD71" s="23">
        <f>IF(D71&lt;&gt;"","P"&amp;TEXT(ROW()-4,"0000"),"")</f>
        <v/>
      </c>
    </row>
    <row r="72" ht="14.25" customHeight="1" s="72">
      <c r="A72" s="22" t="inlineStr">
        <is>
          <t>2025-09-26 12:21:39</t>
        </is>
      </c>
      <c r="B72" s="22" t="n"/>
      <c r="C72" s="22" t="n"/>
      <c r="D72" s="22" t="inlineStr">
        <is>
          <t>Eric</t>
        </is>
      </c>
      <c r="E72" s="22" t="inlineStr">
        <is>
          <t>Dupont</t>
        </is>
      </c>
      <c r="F72" s="22" t="inlineStr">
        <is>
          <t>Aranha</t>
        </is>
      </c>
      <c r="G72" s="23">
        <f>IF(F72&lt;&gt;"",F72,IF(AND(D72="",E72=""),"",TRIM(D72&amp;" "&amp;E72)))</f>
        <v/>
      </c>
      <c r="H72" s="22" t="n"/>
      <c r="I72" s="22" t="inlineStr">
        <is>
          <t>+34 693 182 972</t>
        </is>
      </c>
      <c r="J72" s="22" t="inlineStr">
        <is>
          <t>Marseille-Francia</t>
        </is>
      </c>
      <c r="K72" s="22" t="inlineStr">
        <is>
          <t>Professor Tatu</t>
        </is>
      </c>
      <c r="L72" s="22" t="inlineStr">
        <is>
          <t>Verde</t>
        </is>
      </c>
      <c r="M72" s="22" t="inlineStr">
        <is>
          <t>Masculino</t>
        </is>
      </c>
      <c r="N72" s="29" t="n">
        <v>33776</v>
      </c>
      <c r="O72" s="23">
        <f>IF(N72="","",DATEDIF(N72,TODAY(),"Y"))</f>
        <v/>
      </c>
      <c r="P72" s="23">
        <f>IF(O72="","",IF(O72&lt;=11,"Infantil",IF(O72&lt;=17,"Juvenil",IF(O72&lt;=44,"Adulto","Baobá"))))</f>
        <v/>
      </c>
      <c r="Q72" s="23">
        <f>IF(P72&lt;&gt;"Adulto","",IF(OR(L72="Marrom",L72="Marrom/Vermelha"),"A",IF(OR(L72="Roxa",L72="Roxa/Marrom"),"B",IF(OR(L72="Verde",L72="Verde/Roxa"),"C",IF(OR(L72="Azul",L72="Azul/Verde"),"D",IF(OR(L72="Laranja",L72="Laranja/Azul"),"E",IF(Y72="Sí","E","N/A")))))))</f>
        <v/>
      </c>
      <c r="R72" s="23">
        <f>IF(P72&lt;&gt;"Baobá","",IF(OR(L72="Laranja",L72="Laranja/Azul"),"Alumnos",IF(Y72="Sí","Alumnos","Graduados+")))</f>
        <v/>
      </c>
      <c r="S72" s="23">
        <f>IF(P72="","",IF(P72="Adulto",IF(OR(Q72="",Q72="N/A"),"⚠ Corda no compite Adulto",P72&amp;"-"&amp;Q72&amp;" · "&amp;M72),IF(P72="Baobá",IF(R72="","⚠ Sin clasificar Baobá",P72&amp;"-"&amp;R72&amp;" · "&amp;M72),IF(P72="Juvenil",IF(AND(OR(L72="Crua",L72="Crua/Amarela"),Y72&lt;&gt;"Sí"),"⚠ Juvenil necesita Amarela+",P72&amp;" · "&amp;M72),P72&amp;" · "&amp;M72))))</f>
        <v/>
      </c>
      <c r="T72" s="23" t="n"/>
      <c r="U72" s="22" t="inlineStr">
        <is>
          <t>Sí</t>
        </is>
      </c>
      <c r="V72" s="22" t="n"/>
      <c r="W72" s="22" t="n"/>
      <c r="X72" s="22" t="n"/>
      <c r="Y72" s="22" t="inlineStr">
        <is>
          <t>No</t>
        </is>
      </c>
      <c r="Z72" s="22" t="inlineStr">
        <is>
          <t>L</t>
        </is>
      </c>
      <c r="AA72" s="22" t="n">
        <v>35</v>
      </c>
      <c r="AB72" s="22" t="inlineStr">
        <is>
          <t>Pagado</t>
        </is>
      </c>
      <c r="AC72" s="22" t="n"/>
      <c r="AD72" s="23">
        <f>IF(D72&lt;&gt;"","P"&amp;TEXT(ROW()-4,"0000"),"")</f>
        <v/>
      </c>
    </row>
    <row r="73" ht="14.25" customHeight="1" s="72">
      <c r="A73" s="22" t="inlineStr">
        <is>
          <t>2025-10-25 15:55:34</t>
        </is>
      </c>
      <c r="B73" s="22" t="n"/>
      <c r="C73" s="22" t="n"/>
      <c r="D73" s="22" t="inlineStr">
        <is>
          <t>Marcelo</t>
        </is>
      </c>
      <c r="E73" s="22" t="inlineStr">
        <is>
          <t>Ribeiro</t>
        </is>
      </c>
      <c r="F73" s="22" t="inlineStr">
        <is>
          <t>Tatuzinho</t>
        </is>
      </c>
      <c r="G73" s="23">
        <f>IF(F73&lt;&gt;"",F73,IF(AND(D73="",E73=""),"",TRIM(D73&amp;" "&amp;E73)))</f>
        <v/>
      </c>
      <c r="H73" s="22" t="n"/>
      <c r="I73" s="22" t="inlineStr">
        <is>
          <t>+34 640 746 800</t>
        </is>
      </c>
      <c r="J73" s="22" t="inlineStr">
        <is>
          <t>Coimbra-Portugal</t>
        </is>
      </c>
      <c r="K73" s="22" t="inlineStr">
        <is>
          <t>Mestre Onça</t>
        </is>
      </c>
      <c r="L73" s="22" t="inlineStr">
        <is>
          <t>Verde</t>
        </is>
      </c>
      <c r="M73" s="22" t="inlineStr">
        <is>
          <t>Masculino</t>
        </is>
      </c>
      <c r="N73" s="29" t="n">
        <v>37441</v>
      </c>
      <c r="O73" s="23">
        <f>IF(N73="","",DATEDIF(N73,TODAY(),"Y"))</f>
        <v/>
      </c>
      <c r="P73" s="23">
        <f>IF(O73="","",IF(O73&lt;=11,"Infantil",IF(O73&lt;=17,"Juvenil",IF(O73&lt;=44,"Adulto","Baobá"))))</f>
        <v/>
      </c>
      <c r="Q73" s="23">
        <f>IF(P73&lt;&gt;"Adulto","",IF(OR(L73="Marrom",L73="Marrom/Vermelha"),"A",IF(OR(L73="Roxa",L73="Roxa/Marrom"),"B",IF(OR(L73="Verde",L73="Verde/Roxa"),"C",IF(OR(L73="Azul",L73="Azul/Verde"),"D",IF(OR(L73="Laranja",L73="Laranja/Azul"),"E",IF(Y73="Sí","E","N/A")))))))</f>
        <v/>
      </c>
      <c r="R73" s="23">
        <f>IF(P73&lt;&gt;"Baobá","",IF(OR(L73="Laranja",L73="Laranja/Azul"),"Alumnos",IF(Y73="Sí","Alumnos","Graduados+")))</f>
        <v/>
      </c>
      <c r="S73" s="23">
        <f>IF(P73="","",IF(P73="Adulto",IF(OR(Q73="",Q73="N/A"),"⚠ Corda no compite Adulto",P73&amp;"-"&amp;Q73&amp;" · "&amp;M73),IF(P73="Baobá",IF(R73="","⚠ Sin clasificar Baobá",P73&amp;"-"&amp;R73&amp;" · "&amp;M73),IF(P73="Juvenil",IF(AND(OR(L73="Crua",L73="Crua/Amarela"),Y73&lt;&gt;"Sí"),"⚠ Juvenil necesita Amarela+",P73&amp;" · "&amp;M73),P73&amp;" · "&amp;M73))))</f>
        <v/>
      </c>
      <c r="T73" s="23" t="n"/>
      <c r="U73" s="22" t="inlineStr">
        <is>
          <t>Sí</t>
        </is>
      </c>
      <c r="V73" s="22" t="n"/>
      <c r="W73" s="22" t="n"/>
      <c r="X73" s="22" t="n"/>
      <c r="Y73" s="22" t="inlineStr">
        <is>
          <t>No</t>
        </is>
      </c>
      <c r="Z73" s="22" t="inlineStr">
        <is>
          <t>XL</t>
        </is>
      </c>
      <c r="AA73" s="22" t="n">
        <v>35</v>
      </c>
      <c r="AB73" s="22" t="inlineStr">
        <is>
          <t>Pagado</t>
        </is>
      </c>
      <c r="AC73" s="22" t="n"/>
      <c r="AD73" s="23">
        <f>IF(D73&lt;&gt;"","P"&amp;TEXT(ROW()-4,"0000"),"")</f>
        <v/>
      </c>
    </row>
    <row r="74" ht="14.25" customHeight="1" s="72">
      <c r="A74" s="22" t="inlineStr">
        <is>
          <t>2025-10-23 21:06:28</t>
        </is>
      </c>
      <c r="B74" s="22" t="n"/>
      <c r="C74" s="22" t="n"/>
      <c r="D74" s="22" t="inlineStr">
        <is>
          <t>Matheus</t>
        </is>
      </c>
      <c r="E74" s="22" t="inlineStr">
        <is>
          <t>Hoffmann</t>
        </is>
      </c>
      <c r="F74" s="22" t="inlineStr">
        <is>
          <t>Macaco</t>
        </is>
      </c>
      <c r="G74" s="23">
        <f>IF(F74&lt;&gt;"",F74,IF(AND(D74="",E74=""),"",TRIM(D74&amp;" "&amp;E74)))</f>
        <v/>
      </c>
      <c r="H74" s="22" t="n"/>
      <c r="I74" s="22" t="inlineStr">
        <is>
          <t>+34 613 147 432</t>
        </is>
      </c>
      <c r="J74" s="22" t="inlineStr">
        <is>
          <t>Belo Horizonte-Brasil</t>
        </is>
      </c>
      <c r="K74" s="22" t="inlineStr">
        <is>
          <t>Mestre Coruja</t>
        </is>
      </c>
      <c r="L74" s="22" t="inlineStr">
        <is>
          <t>Verde</t>
        </is>
      </c>
      <c r="M74" s="22" t="inlineStr">
        <is>
          <t>Masculino</t>
        </is>
      </c>
      <c r="N74" s="29" t="n">
        <v>34134</v>
      </c>
      <c r="O74" s="23">
        <f>IF(N74="","",DATEDIF(N74,TODAY(),"Y"))</f>
        <v/>
      </c>
      <c r="P74" s="23">
        <f>IF(O74="","",IF(O74&lt;=11,"Infantil",IF(O74&lt;=17,"Juvenil",IF(O74&lt;=44,"Adulto","Baobá"))))</f>
        <v/>
      </c>
      <c r="Q74" s="23">
        <f>IF(P74&lt;&gt;"Adulto","",IF(OR(L74="Marrom",L74="Marrom/Vermelha"),"A",IF(OR(L74="Roxa",L74="Roxa/Marrom"),"B",IF(OR(L74="Verde",L74="Verde/Roxa"),"C",IF(OR(L74="Azul",L74="Azul/Verde"),"D",IF(OR(L74="Laranja",L74="Laranja/Azul"),"E",IF(Y74="Sí","E","N/A")))))))</f>
        <v/>
      </c>
      <c r="R74" s="23">
        <f>IF(P74&lt;&gt;"Baobá","",IF(OR(L74="Laranja",L74="Laranja/Azul"),"Alumnos",IF(Y74="Sí","Alumnos","Graduados+")))</f>
        <v/>
      </c>
      <c r="S74" s="23">
        <f>IF(P74="","",IF(P74="Adulto",IF(OR(Q74="",Q74="N/A"),"⚠ Corda no compite Adulto",P74&amp;"-"&amp;Q74&amp;" · "&amp;M74),IF(P74="Baobá",IF(R74="","⚠ Sin clasificar Baobá",P74&amp;"-"&amp;R74&amp;" · "&amp;M74),IF(P74="Juvenil",IF(AND(OR(L74="Crua",L74="Crua/Amarela"),Y74&lt;&gt;"Sí"),"⚠ Juvenil necesita Amarela+",P74&amp;" · "&amp;M74),P74&amp;" · "&amp;M74))))</f>
        <v/>
      </c>
      <c r="T74" s="23" t="n"/>
      <c r="U74" s="22" t="inlineStr">
        <is>
          <t>Sí</t>
        </is>
      </c>
      <c r="V74" s="22" t="n"/>
      <c r="W74" s="22" t="n"/>
      <c r="X74" s="22" t="n"/>
      <c r="Y74" s="22" t="inlineStr">
        <is>
          <t>No</t>
        </is>
      </c>
      <c r="Z74" s="22" t="inlineStr">
        <is>
          <t>XXL</t>
        </is>
      </c>
      <c r="AA74" s="22" t="n">
        <v>35</v>
      </c>
      <c r="AB74" s="22" t="inlineStr">
        <is>
          <t>Pagado</t>
        </is>
      </c>
      <c r="AC74" s="22" t="n"/>
      <c r="AD74" s="23">
        <f>IF(D74&lt;&gt;"","P"&amp;TEXT(ROW()-4,"0000"),"")</f>
        <v/>
      </c>
    </row>
    <row r="75" ht="14.25" customHeight="1" s="72">
      <c r="A75" s="22" t="inlineStr">
        <is>
          <t>2025-08-08 16:26:36</t>
        </is>
      </c>
      <c r="B75" s="22" t="n"/>
      <c r="C75" s="22" t="n"/>
      <c r="D75" s="22" t="inlineStr">
        <is>
          <t>Gabriel</t>
        </is>
      </c>
      <c r="E75" s="22" t="inlineStr">
        <is>
          <t>Sánchez</t>
        </is>
      </c>
      <c r="F75" s="22" t="inlineStr">
        <is>
          <t>Mangangá</t>
        </is>
      </c>
      <c r="G75" s="23">
        <f>IF(F75&lt;&gt;"",F75,IF(AND(D75="",E75=""),"",TRIM(D75&amp;" "&amp;E75)))</f>
        <v/>
      </c>
      <c r="H75" s="22" t="n"/>
      <c r="I75" s="22" t="inlineStr">
        <is>
          <t>+34 631 279 180</t>
        </is>
      </c>
      <c r="J75" s="22" t="inlineStr">
        <is>
          <t>Múnich-Alemania</t>
        </is>
      </c>
      <c r="K75" s="22" t="inlineStr">
        <is>
          <t>Professor Lobo</t>
        </is>
      </c>
      <c r="L75" s="22" t="inlineStr">
        <is>
          <t>Verde/Roxa</t>
        </is>
      </c>
      <c r="M75" s="22" t="inlineStr">
        <is>
          <t>Masculino</t>
        </is>
      </c>
      <c r="N75" s="29" t="n">
        <v>30422</v>
      </c>
      <c r="O75" s="23">
        <f>IF(N75="","",DATEDIF(N75,TODAY(),"Y"))</f>
        <v/>
      </c>
      <c r="P75" s="23">
        <f>IF(O75="","",IF(O75&lt;=11,"Infantil",IF(O75&lt;=17,"Juvenil",IF(O75&lt;=44,"Adulto","Baobá"))))</f>
        <v/>
      </c>
      <c r="Q75" s="23">
        <f>IF(P75&lt;&gt;"Adulto","",IF(OR(L75="Marrom",L75="Marrom/Vermelha"),"A",IF(OR(L75="Roxa",L75="Roxa/Marrom"),"B",IF(OR(L75="Verde",L75="Verde/Roxa"),"C",IF(OR(L75="Azul",L75="Azul/Verde"),"D",IF(OR(L75="Laranja",L75="Laranja/Azul"),"E",IF(Y75="Sí","E","N/A")))))))</f>
        <v/>
      </c>
      <c r="R75" s="23">
        <f>IF(P75&lt;&gt;"Baobá","",IF(OR(L75="Laranja",L75="Laranja/Azul"),"Alumnos",IF(Y75="Sí","Alumnos","Graduados+")))</f>
        <v/>
      </c>
      <c r="S75" s="23">
        <f>IF(P75="","",IF(P75="Adulto",IF(OR(Q75="",Q75="N/A"),"⚠ Corda no compite Adulto",P75&amp;"-"&amp;Q75&amp;" · "&amp;M75),IF(P75="Baobá",IF(R75="","⚠ Sin clasificar Baobá",P75&amp;"-"&amp;R75&amp;" · "&amp;M75),IF(P75="Juvenil",IF(AND(OR(L75="Crua",L75="Crua/Amarela"),Y75&lt;&gt;"Sí"),"⚠ Juvenil necesita Amarela+",P75&amp;" · "&amp;M75),P75&amp;" · "&amp;M75))))</f>
        <v/>
      </c>
      <c r="T75" s="23" t="n"/>
      <c r="U75" s="22" t="inlineStr">
        <is>
          <t>Sí</t>
        </is>
      </c>
      <c r="V75" s="22" t="n"/>
      <c r="W75" s="22" t="n"/>
      <c r="X75" s="22" t="n"/>
      <c r="Y75" s="22" t="inlineStr">
        <is>
          <t>No</t>
        </is>
      </c>
      <c r="Z75" s="22" t="inlineStr">
        <is>
          <t>XS</t>
        </is>
      </c>
      <c r="AA75" s="22" t="n">
        <v>35</v>
      </c>
      <c r="AB75" s="22" t="inlineStr">
        <is>
          <t>Pagado</t>
        </is>
      </c>
      <c r="AC75" s="22" t="n"/>
      <c r="AD75" s="23">
        <f>IF(D75&lt;&gt;"","P"&amp;TEXT(ROW()-4,"0000"),"")</f>
        <v/>
      </c>
    </row>
    <row r="76" ht="14.25" customHeight="1" s="72">
      <c r="A76" s="22" t="inlineStr">
        <is>
          <t>2025-10-05 11:29:40</t>
        </is>
      </c>
      <c r="B76" s="22" t="n"/>
      <c r="C76" s="22" t="n"/>
      <c r="D76" s="22" t="inlineStr">
        <is>
          <t>Tomás</t>
        </is>
      </c>
      <c r="E76" s="22" t="inlineStr">
        <is>
          <t>Leroy</t>
        </is>
      </c>
      <c r="F76" s="22" t="inlineStr">
        <is>
          <t>Onça-Pintada</t>
        </is>
      </c>
      <c r="G76" s="23">
        <f>IF(F76&lt;&gt;"",F76,IF(AND(D76="",E76=""),"",TRIM(D76&amp;" "&amp;E76)))</f>
        <v/>
      </c>
      <c r="H76" s="22" t="n"/>
      <c r="I76" s="22" t="inlineStr">
        <is>
          <t>+34 642 782 109</t>
        </is>
      </c>
      <c r="J76" s="22" t="inlineStr">
        <is>
          <t>Montevideo-Uruguay</t>
        </is>
      </c>
      <c r="K76" s="22" t="inlineStr">
        <is>
          <t>Mestre Coruja</t>
        </is>
      </c>
      <c r="L76" s="22" t="inlineStr">
        <is>
          <t>Verde</t>
        </is>
      </c>
      <c r="M76" s="22" t="inlineStr">
        <is>
          <t>Masculino</t>
        </is>
      </c>
      <c r="N76" s="29" t="n">
        <v>30565</v>
      </c>
      <c r="O76" s="23">
        <f>IF(N76="","",DATEDIF(N76,TODAY(),"Y"))</f>
        <v/>
      </c>
      <c r="P76" s="23">
        <f>IF(O76="","",IF(O76&lt;=11,"Infantil",IF(O76&lt;=17,"Juvenil",IF(O76&lt;=44,"Adulto","Baobá"))))</f>
        <v/>
      </c>
      <c r="Q76" s="23">
        <f>IF(P76&lt;&gt;"Adulto","",IF(OR(L76="Marrom",L76="Marrom/Vermelha"),"A",IF(OR(L76="Roxa",L76="Roxa/Marrom"),"B",IF(OR(L76="Verde",L76="Verde/Roxa"),"C",IF(OR(L76="Azul",L76="Azul/Verde"),"D",IF(OR(L76="Laranja",L76="Laranja/Azul"),"E",IF(Y76="Sí","E","N/A")))))))</f>
        <v/>
      </c>
      <c r="R76" s="23">
        <f>IF(P76&lt;&gt;"Baobá","",IF(OR(L76="Laranja",L76="Laranja/Azul"),"Alumnos",IF(Y76="Sí","Alumnos","Graduados+")))</f>
        <v/>
      </c>
      <c r="S76" s="23">
        <f>IF(P76="","",IF(P76="Adulto",IF(OR(Q76="",Q76="N/A"),"⚠ Corda no compite Adulto",P76&amp;"-"&amp;Q76&amp;" · "&amp;M76),IF(P76="Baobá",IF(R76="","⚠ Sin clasificar Baobá",P76&amp;"-"&amp;R76&amp;" · "&amp;M76),IF(P76="Juvenil",IF(AND(OR(L76="Crua",L76="Crua/Amarela"),Y76&lt;&gt;"Sí"),"⚠ Juvenil necesita Amarela+",P76&amp;" · "&amp;M76),P76&amp;" · "&amp;M76))))</f>
        <v/>
      </c>
      <c r="T76" s="23" t="n"/>
      <c r="U76" s="22" t="inlineStr">
        <is>
          <t>Sí</t>
        </is>
      </c>
      <c r="V76" s="22" t="n"/>
      <c r="W76" s="22" t="n"/>
      <c r="X76" s="22" t="n"/>
      <c r="Y76" s="22" t="inlineStr">
        <is>
          <t>No</t>
        </is>
      </c>
      <c r="Z76" s="22" t="inlineStr">
        <is>
          <t>S</t>
        </is>
      </c>
      <c r="AA76" s="22" t="n">
        <v>35</v>
      </c>
      <c r="AB76" s="22" t="inlineStr">
        <is>
          <t>Pagado</t>
        </is>
      </c>
      <c r="AC76" s="22" t="n"/>
      <c r="AD76" s="23">
        <f>IF(D76&lt;&gt;"","P"&amp;TEXT(ROW()-4,"0000"),"")</f>
        <v/>
      </c>
    </row>
    <row r="77" ht="14.25" customHeight="1" s="72">
      <c r="A77" s="22" t="inlineStr">
        <is>
          <t>2025-08-15 13:37:19</t>
        </is>
      </c>
      <c r="B77" s="22" t="n"/>
      <c r="C77" s="22" t="n"/>
      <c r="D77" s="22" t="inlineStr">
        <is>
          <t>Julián</t>
        </is>
      </c>
      <c r="E77" s="22" t="inlineStr">
        <is>
          <t>Robert</t>
        </is>
      </c>
      <c r="F77" s="22" t="inlineStr">
        <is>
          <t>Teiú</t>
        </is>
      </c>
      <c r="G77" s="23">
        <f>IF(F77&lt;&gt;"",F77,IF(AND(D77="",E77=""),"",TRIM(D77&amp;" "&amp;E77)))</f>
        <v/>
      </c>
      <c r="H77" s="22" t="n"/>
      <c r="I77" s="22" t="inlineStr">
        <is>
          <t>+34 698 356 567</t>
        </is>
      </c>
      <c r="J77" s="22" t="inlineStr">
        <is>
          <t>Paris-Francia</t>
        </is>
      </c>
      <c r="K77" s="22" t="inlineStr">
        <is>
          <t>Contra-Mestre Arara</t>
        </is>
      </c>
      <c r="L77" s="22" t="inlineStr">
        <is>
          <t>Verde</t>
        </is>
      </c>
      <c r="M77" s="22" t="inlineStr">
        <is>
          <t>Masculino</t>
        </is>
      </c>
      <c r="N77" s="29" t="n">
        <v>33820</v>
      </c>
      <c r="O77" s="23">
        <f>IF(N77="","",DATEDIF(N77,TODAY(),"Y"))</f>
        <v/>
      </c>
      <c r="P77" s="23">
        <f>IF(O77="","",IF(O77&lt;=11,"Infantil",IF(O77&lt;=17,"Juvenil",IF(O77&lt;=44,"Adulto","Baobá"))))</f>
        <v/>
      </c>
      <c r="Q77" s="23">
        <f>IF(P77&lt;&gt;"Adulto","",IF(OR(L77="Marrom",L77="Marrom/Vermelha"),"A",IF(OR(L77="Roxa",L77="Roxa/Marrom"),"B",IF(OR(L77="Verde",L77="Verde/Roxa"),"C",IF(OR(L77="Azul",L77="Azul/Verde"),"D",IF(OR(L77="Laranja",L77="Laranja/Azul"),"E",IF(Y77="Sí","E","N/A")))))))</f>
        <v/>
      </c>
      <c r="R77" s="23">
        <f>IF(P77&lt;&gt;"Baobá","",IF(OR(L77="Laranja",L77="Laranja/Azul"),"Alumnos",IF(Y77="Sí","Alumnos","Graduados+")))</f>
        <v/>
      </c>
      <c r="S77" s="23">
        <f>IF(P77="","",IF(P77="Adulto",IF(OR(Q77="",Q77="N/A"),"⚠ Corda no compite Adulto",P77&amp;"-"&amp;Q77&amp;" · "&amp;M77),IF(P77="Baobá",IF(R77="","⚠ Sin clasificar Baobá",P77&amp;"-"&amp;R77&amp;" · "&amp;M77),IF(P77="Juvenil",IF(AND(OR(L77="Crua",L77="Crua/Amarela"),Y77&lt;&gt;"Sí"),"⚠ Juvenil necesita Amarela+",P77&amp;" · "&amp;M77),P77&amp;" · "&amp;M77))))</f>
        <v/>
      </c>
      <c r="T77" s="23" t="n"/>
      <c r="U77" s="22" t="inlineStr">
        <is>
          <t>Sí</t>
        </is>
      </c>
      <c r="V77" s="22" t="n"/>
      <c r="W77" s="22" t="n"/>
      <c r="X77" s="22" t="n"/>
      <c r="Y77" s="22" t="inlineStr">
        <is>
          <t>No</t>
        </is>
      </c>
      <c r="Z77" s="22" t="inlineStr">
        <is>
          <t>M</t>
        </is>
      </c>
      <c r="AA77" s="22" t="n">
        <v>35</v>
      </c>
      <c r="AB77" s="22" t="inlineStr">
        <is>
          <t>Pagado</t>
        </is>
      </c>
      <c r="AC77" s="22" t="n"/>
      <c r="AD77" s="23">
        <f>IF(D77&lt;&gt;"","P"&amp;TEXT(ROW()-4,"0000"),"")</f>
        <v/>
      </c>
    </row>
    <row r="78" ht="14.25" customHeight="1" s="72">
      <c r="A78" s="22" t="inlineStr">
        <is>
          <t>2025-08-13 17:22:36</t>
        </is>
      </c>
      <c r="B78" s="22" t="n"/>
      <c r="C78" s="22" t="n"/>
      <c r="D78" s="22" t="inlineStr">
        <is>
          <t>Santiago</t>
        </is>
      </c>
      <c r="E78" s="22" t="inlineStr">
        <is>
          <t>Schulz</t>
        </is>
      </c>
      <c r="F78" s="22" t="inlineStr">
        <is>
          <t>Gato-Maracajá</t>
        </is>
      </c>
      <c r="G78" s="23">
        <f>IF(F78&lt;&gt;"",F78,IF(AND(D78="",E78=""),"",TRIM(D78&amp;" "&amp;E78)))</f>
        <v/>
      </c>
      <c r="H78" s="22" t="n"/>
      <c r="I78" s="22" t="inlineStr">
        <is>
          <t>+34 612 949 774</t>
        </is>
      </c>
      <c r="J78" s="22" t="inlineStr">
        <is>
          <t>Roma-Italia</t>
        </is>
      </c>
      <c r="K78" s="22" t="inlineStr">
        <is>
          <t>Professor Tigre</t>
        </is>
      </c>
      <c r="L78" s="22" t="inlineStr">
        <is>
          <t>Verde/Roxa</t>
        </is>
      </c>
      <c r="M78" s="22" t="inlineStr">
        <is>
          <t>Masculino</t>
        </is>
      </c>
      <c r="N78" s="29" t="n">
        <v>38288</v>
      </c>
      <c r="O78" s="23">
        <f>IF(N78="","",DATEDIF(N78,TODAY(),"Y"))</f>
        <v/>
      </c>
      <c r="P78" s="23">
        <f>IF(O78="","",IF(O78&lt;=11,"Infantil",IF(O78&lt;=17,"Juvenil",IF(O78&lt;=44,"Adulto","Baobá"))))</f>
        <v/>
      </c>
      <c r="Q78" s="23">
        <f>IF(P78&lt;&gt;"Adulto","",IF(OR(L78="Marrom",L78="Marrom/Vermelha"),"A",IF(OR(L78="Roxa",L78="Roxa/Marrom"),"B",IF(OR(L78="Verde",L78="Verde/Roxa"),"C",IF(OR(L78="Azul",L78="Azul/Verde"),"D",IF(OR(L78="Laranja",L78="Laranja/Azul"),"E",IF(Y78="Sí","E","N/A")))))))</f>
        <v/>
      </c>
      <c r="R78" s="23">
        <f>IF(P78&lt;&gt;"Baobá","",IF(OR(L78="Laranja",L78="Laranja/Azul"),"Alumnos",IF(Y78="Sí","Alumnos","Graduados+")))</f>
        <v/>
      </c>
      <c r="S78" s="23">
        <f>IF(P78="","",IF(P78="Adulto",IF(OR(Q78="",Q78="N/A"),"⚠ Corda no compite Adulto",P78&amp;"-"&amp;Q78&amp;" · "&amp;M78),IF(P78="Baobá",IF(R78="","⚠ Sin clasificar Baobá",P78&amp;"-"&amp;R78&amp;" · "&amp;M78),IF(P78="Juvenil",IF(AND(OR(L78="Crua",L78="Crua/Amarela"),Y78&lt;&gt;"Sí"),"⚠ Juvenil necesita Amarela+",P78&amp;" · "&amp;M78),P78&amp;" · "&amp;M78))))</f>
        <v/>
      </c>
      <c r="T78" s="23" t="n"/>
      <c r="U78" s="22" t="inlineStr">
        <is>
          <t>Sí</t>
        </is>
      </c>
      <c r="V78" s="22" t="n"/>
      <c r="W78" s="22" t="n"/>
      <c r="X78" s="22" t="n"/>
      <c r="Y78" s="22" t="inlineStr">
        <is>
          <t>No</t>
        </is>
      </c>
      <c r="Z78" s="22" t="inlineStr">
        <is>
          <t>L</t>
        </is>
      </c>
      <c r="AA78" s="22" t="n">
        <v>35</v>
      </c>
      <c r="AB78" s="22" t="inlineStr">
        <is>
          <t>Pagado</t>
        </is>
      </c>
      <c r="AC78" s="22" t="n"/>
      <c r="AD78" s="23">
        <f>IF(D78&lt;&gt;"","P"&amp;TEXT(ROW()-4,"0000"),"")</f>
        <v/>
      </c>
    </row>
    <row r="79" ht="14.25" customHeight="1" s="72">
      <c r="A79" s="22" t="inlineStr">
        <is>
          <t>2025-10-25 19:03:58</t>
        </is>
      </c>
      <c r="B79" s="22" t="n"/>
      <c r="C79" s="22" t="n"/>
      <c r="D79" s="22" t="inlineStr">
        <is>
          <t>Nicolas</t>
        </is>
      </c>
      <c r="E79" s="22" t="inlineStr">
        <is>
          <t>Sousa</t>
        </is>
      </c>
      <c r="F79" s="22" t="inlineStr">
        <is>
          <t>Ganso</t>
        </is>
      </c>
      <c r="G79" s="23">
        <f>IF(F79&lt;&gt;"",F79,IF(AND(D79="",E79=""),"",TRIM(D79&amp;" "&amp;E79)))</f>
        <v/>
      </c>
      <c r="H79" s="22" t="n"/>
      <c r="I79" s="22" t="inlineStr">
        <is>
          <t>+34 646 894 918</t>
        </is>
      </c>
      <c r="J79" s="22" t="inlineStr">
        <is>
          <t>Sevilla-España</t>
        </is>
      </c>
      <c r="K79" s="22" t="inlineStr">
        <is>
          <t>Professor Lobo</t>
        </is>
      </c>
      <c r="L79" s="22" t="inlineStr">
        <is>
          <t>Verde/Roxa</t>
        </is>
      </c>
      <c r="M79" s="22" t="inlineStr">
        <is>
          <t>Masculino</t>
        </is>
      </c>
      <c r="N79" s="29" t="n">
        <v>34080</v>
      </c>
      <c r="O79" s="23">
        <f>IF(N79="","",DATEDIF(N79,TODAY(),"Y"))</f>
        <v/>
      </c>
      <c r="P79" s="23">
        <f>IF(O79="","",IF(O79&lt;=11,"Infantil",IF(O79&lt;=17,"Juvenil",IF(O79&lt;=44,"Adulto","Baobá"))))</f>
        <v/>
      </c>
      <c r="Q79" s="23">
        <f>IF(P79&lt;&gt;"Adulto","",IF(OR(L79="Marrom",L79="Marrom/Vermelha"),"A",IF(OR(L79="Roxa",L79="Roxa/Marrom"),"B",IF(OR(L79="Verde",L79="Verde/Roxa"),"C",IF(OR(L79="Azul",L79="Azul/Verde"),"D",IF(OR(L79="Laranja",L79="Laranja/Azul"),"E",IF(Y79="Sí","E","N/A")))))))</f>
        <v/>
      </c>
      <c r="R79" s="23">
        <f>IF(P79&lt;&gt;"Baobá","",IF(OR(L79="Laranja",L79="Laranja/Azul"),"Alumnos",IF(Y79="Sí","Alumnos","Graduados+")))</f>
        <v/>
      </c>
      <c r="S79" s="23">
        <f>IF(P79="","",IF(P79="Adulto",IF(OR(Q79="",Q79="N/A"),"⚠ Corda no compite Adulto",P79&amp;"-"&amp;Q79&amp;" · "&amp;M79),IF(P79="Baobá",IF(R79="","⚠ Sin clasificar Baobá",P79&amp;"-"&amp;R79&amp;" · "&amp;M79),IF(P79="Juvenil",IF(AND(OR(L79="Crua",L79="Crua/Amarela"),Y79&lt;&gt;"Sí"),"⚠ Juvenil necesita Amarela+",P79&amp;" · "&amp;M79),P79&amp;" · "&amp;M79))))</f>
        <v/>
      </c>
      <c r="T79" s="23" t="n"/>
      <c r="U79" s="22" t="inlineStr">
        <is>
          <t>Sí</t>
        </is>
      </c>
      <c r="V79" s="22" t="n"/>
      <c r="W79" s="22" t="n"/>
      <c r="X79" s="22" t="n"/>
      <c r="Y79" s="22" t="inlineStr">
        <is>
          <t>No</t>
        </is>
      </c>
      <c r="Z79" s="22" t="inlineStr">
        <is>
          <t>XL</t>
        </is>
      </c>
      <c r="AA79" s="22" t="n">
        <v>35</v>
      </c>
      <c r="AB79" s="22" t="inlineStr">
        <is>
          <t>Pagado</t>
        </is>
      </c>
      <c r="AC79" s="22" t="n"/>
      <c r="AD79" s="23">
        <f>IF(D79&lt;&gt;"","P"&amp;TEXT(ROW()-4,"0000"),"")</f>
        <v/>
      </c>
    </row>
    <row r="80" ht="14.25" customHeight="1" s="72">
      <c r="A80" s="22" t="inlineStr">
        <is>
          <t>2025-08-20 12:43:48</t>
        </is>
      </c>
      <c r="B80" s="22" t="n"/>
      <c r="C80" s="22" t="n"/>
      <c r="D80" s="22" t="inlineStr">
        <is>
          <t>Matteo</t>
        </is>
      </c>
      <c r="E80" s="22" t="inlineStr">
        <is>
          <t>Barbosa</t>
        </is>
      </c>
      <c r="F80" s="22" t="inlineStr">
        <is>
          <t>Camarão</t>
        </is>
      </c>
      <c r="G80" s="23">
        <f>IF(F80&lt;&gt;"",F80,IF(AND(D80="",E80=""),"",TRIM(D80&amp;" "&amp;E80)))</f>
        <v/>
      </c>
      <c r="H80" s="22" t="n"/>
      <c r="I80" s="22" t="inlineStr">
        <is>
          <t>+34 690 199 742</t>
        </is>
      </c>
      <c r="J80" s="22" t="inlineStr">
        <is>
          <t>Salvador-Brasil</t>
        </is>
      </c>
      <c r="K80" s="22" t="inlineStr">
        <is>
          <t>Mestre Coruja</t>
        </is>
      </c>
      <c r="L80" s="22" t="inlineStr">
        <is>
          <t>Verde/Roxa</t>
        </is>
      </c>
      <c r="M80" s="22" t="inlineStr">
        <is>
          <t>Masculino</t>
        </is>
      </c>
      <c r="N80" s="29" t="n">
        <v>32892</v>
      </c>
      <c r="O80" s="23">
        <f>IF(N80="","",DATEDIF(N80,TODAY(),"Y"))</f>
        <v/>
      </c>
      <c r="P80" s="23">
        <f>IF(O80="","",IF(O80&lt;=11,"Infantil",IF(O80&lt;=17,"Juvenil",IF(O80&lt;=44,"Adulto","Baobá"))))</f>
        <v/>
      </c>
      <c r="Q80" s="23">
        <f>IF(P80&lt;&gt;"Adulto","",IF(OR(L80="Marrom",L80="Marrom/Vermelha"),"A",IF(OR(L80="Roxa",L80="Roxa/Marrom"),"B",IF(OR(L80="Verde",L80="Verde/Roxa"),"C",IF(OR(L80="Azul",L80="Azul/Verde"),"D",IF(OR(L80="Laranja",L80="Laranja/Azul"),"E",IF(Y80="Sí","E","N/A")))))))</f>
        <v/>
      </c>
      <c r="R80" s="23">
        <f>IF(P80&lt;&gt;"Baobá","",IF(OR(L80="Laranja",L80="Laranja/Azul"),"Alumnos",IF(Y80="Sí","Alumnos","Graduados+")))</f>
        <v/>
      </c>
      <c r="S80" s="23">
        <f>IF(P80="","",IF(P80="Adulto",IF(OR(Q80="",Q80="N/A"),"⚠ Corda no compite Adulto",P80&amp;"-"&amp;Q80&amp;" · "&amp;M80),IF(P80="Baobá",IF(R80="","⚠ Sin clasificar Baobá",P80&amp;"-"&amp;R80&amp;" · "&amp;M80),IF(P80="Juvenil",IF(AND(OR(L80="Crua",L80="Crua/Amarela"),Y80&lt;&gt;"Sí"),"⚠ Juvenil necesita Amarela+",P80&amp;" · "&amp;M80),P80&amp;" · "&amp;M80))))</f>
        <v/>
      </c>
      <c r="T80" s="23" t="n"/>
      <c r="U80" s="22" t="inlineStr">
        <is>
          <t>Sí</t>
        </is>
      </c>
      <c r="V80" s="22" t="n"/>
      <c r="W80" s="22" t="n"/>
      <c r="X80" s="22" t="n"/>
      <c r="Y80" s="22" t="inlineStr">
        <is>
          <t>No</t>
        </is>
      </c>
      <c r="Z80" s="22" t="inlineStr">
        <is>
          <t>XXL</t>
        </is>
      </c>
      <c r="AA80" s="22" t="n">
        <v>35</v>
      </c>
      <c r="AB80" s="22" t="inlineStr">
        <is>
          <t>Pagado</t>
        </is>
      </c>
      <c r="AC80" s="22" t="n"/>
      <c r="AD80" s="23">
        <f>IF(D80&lt;&gt;"","P"&amp;TEXT(ROW()-4,"0000"),"")</f>
        <v/>
      </c>
    </row>
    <row r="81" ht="14.25" customHeight="1" s="72">
      <c r="A81" s="22" t="inlineStr">
        <is>
          <t>2025-09-24 10:05:58</t>
        </is>
      </c>
      <c r="B81" s="22" t="n"/>
      <c r="C81" s="22" t="n"/>
      <c r="D81" s="22" t="inlineStr">
        <is>
          <t>Santiago</t>
        </is>
      </c>
      <c r="E81" s="22" t="inlineStr">
        <is>
          <t>Russo</t>
        </is>
      </c>
      <c r="F81" s="22" t="inlineStr">
        <is>
          <t>Periquito</t>
        </is>
      </c>
      <c r="G81" s="23">
        <f>IF(F81&lt;&gt;"",F81,IF(AND(D81="",E81=""),"",TRIM(D81&amp;" "&amp;E81)))</f>
        <v/>
      </c>
      <c r="H81" s="22" t="n"/>
      <c r="I81" s="22" t="inlineStr">
        <is>
          <t>+34 663 279 305</t>
        </is>
      </c>
      <c r="J81" s="22" t="inlineStr">
        <is>
          <t>Brasília-Brasil</t>
        </is>
      </c>
      <c r="K81" s="22" t="inlineStr">
        <is>
          <t>Professor Tatu</t>
        </is>
      </c>
      <c r="L81" s="22" t="inlineStr">
        <is>
          <t>Verde/Roxa</t>
        </is>
      </c>
      <c r="M81" s="22" t="inlineStr">
        <is>
          <t>Masculino</t>
        </is>
      </c>
      <c r="N81" s="29" t="n">
        <v>34229</v>
      </c>
      <c r="O81" s="23">
        <f>IF(N81="","",DATEDIF(N81,TODAY(),"Y"))</f>
        <v/>
      </c>
      <c r="P81" s="23">
        <f>IF(O81="","",IF(O81&lt;=11,"Infantil",IF(O81&lt;=17,"Juvenil",IF(O81&lt;=44,"Adulto","Baobá"))))</f>
        <v/>
      </c>
      <c r="Q81" s="23">
        <f>IF(P81&lt;&gt;"Adulto","",IF(OR(L81="Marrom",L81="Marrom/Vermelha"),"A",IF(OR(L81="Roxa",L81="Roxa/Marrom"),"B",IF(OR(L81="Verde",L81="Verde/Roxa"),"C",IF(OR(L81="Azul",L81="Azul/Verde"),"D",IF(OR(L81="Laranja",L81="Laranja/Azul"),"E",IF(Y81="Sí","E","N/A")))))))</f>
        <v/>
      </c>
      <c r="R81" s="23">
        <f>IF(P81&lt;&gt;"Baobá","",IF(OR(L81="Laranja",L81="Laranja/Azul"),"Alumnos",IF(Y81="Sí","Alumnos","Graduados+")))</f>
        <v/>
      </c>
      <c r="S81" s="23">
        <f>IF(P81="","",IF(P81="Adulto",IF(OR(Q81="",Q81="N/A"),"⚠ Corda no compite Adulto",P81&amp;"-"&amp;Q81&amp;" · "&amp;M81),IF(P81="Baobá",IF(R81="","⚠ Sin clasificar Baobá",P81&amp;"-"&amp;R81&amp;" · "&amp;M81),IF(P81="Juvenil",IF(AND(OR(L81="Crua",L81="Crua/Amarela"),Y81&lt;&gt;"Sí"),"⚠ Juvenil necesita Amarela+",P81&amp;" · "&amp;M81),P81&amp;" · "&amp;M81))))</f>
        <v/>
      </c>
      <c r="T81" s="23" t="n"/>
      <c r="U81" s="22" t="inlineStr">
        <is>
          <t>Sí</t>
        </is>
      </c>
      <c r="V81" s="22" t="n"/>
      <c r="W81" s="22" t="n"/>
      <c r="X81" s="22" t="n"/>
      <c r="Y81" s="22" t="inlineStr">
        <is>
          <t>No</t>
        </is>
      </c>
      <c r="Z81" s="22" t="inlineStr">
        <is>
          <t>XS</t>
        </is>
      </c>
      <c r="AA81" s="22" t="n">
        <v>35</v>
      </c>
      <c r="AB81" s="22" t="inlineStr">
        <is>
          <t>Pagado</t>
        </is>
      </c>
      <c r="AC81" s="22" t="n"/>
      <c r="AD81" s="23">
        <f>IF(D81&lt;&gt;"","P"&amp;TEXT(ROW()-4,"0000"),"")</f>
        <v/>
      </c>
    </row>
    <row r="82" ht="14.25" customHeight="1" s="72">
      <c r="A82" s="22" t="inlineStr">
        <is>
          <t>2025-09-27 10:16:58</t>
        </is>
      </c>
      <c r="B82" s="22" t="n"/>
      <c r="C82" s="22" t="n"/>
      <c r="D82" s="22" t="inlineStr">
        <is>
          <t>Ivan</t>
        </is>
      </c>
      <c r="E82" s="22" t="inlineStr">
        <is>
          <t>Schulz</t>
        </is>
      </c>
      <c r="F82" s="22" t="inlineStr">
        <is>
          <t>Golfinho-Rosa</t>
        </is>
      </c>
      <c r="G82" s="23">
        <f>IF(F82&lt;&gt;"",F82,IF(AND(D82="",E82=""),"",TRIM(D82&amp;" "&amp;E82)))</f>
        <v/>
      </c>
      <c r="H82" s="22" t="n"/>
      <c r="I82" s="22" t="inlineStr">
        <is>
          <t>+34 653 923 217</t>
        </is>
      </c>
      <c r="J82" s="22" t="inlineStr">
        <is>
          <t>Montevideo-Uruguay</t>
        </is>
      </c>
      <c r="K82" s="22" t="inlineStr">
        <is>
          <t>Contra-Mestre Falcão</t>
        </is>
      </c>
      <c r="L82" s="22" t="inlineStr">
        <is>
          <t>Verde/Roxa</t>
        </is>
      </c>
      <c r="M82" s="22" t="inlineStr">
        <is>
          <t>Masculino</t>
        </is>
      </c>
      <c r="N82" s="29" t="n">
        <v>36644</v>
      </c>
      <c r="O82" s="23">
        <f>IF(N82="","",DATEDIF(N82,TODAY(),"Y"))</f>
        <v/>
      </c>
      <c r="P82" s="23">
        <f>IF(O82="","",IF(O82&lt;=11,"Infantil",IF(O82&lt;=17,"Juvenil",IF(O82&lt;=44,"Adulto","Baobá"))))</f>
        <v/>
      </c>
      <c r="Q82" s="23">
        <f>IF(P82&lt;&gt;"Adulto","",IF(OR(L82="Marrom",L82="Marrom/Vermelha"),"A",IF(OR(L82="Roxa",L82="Roxa/Marrom"),"B",IF(OR(L82="Verde",L82="Verde/Roxa"),"C",IF(OR(L82="Azul",L82="Azul/Verde"),"D",IF(OR(L82="Laranja",L82="Laranja/Azul"),"E",IF(Y82="Sí","E","N/A")))))))</f>
        <v/>
      </c>
      <c r="R82" s="23">
        <f>IF(P82&lt;&gt;"Baobá","",IF(OR(L82="Laranja",L82="Laranja/Azul"),"Alumnos",IF(Y82="Sí","Alumnos","Graduados+")))</f>
        <v/>
      </c>
      <c r="S82" s="23">
        <f>IF(P82="","",IF(P82="Adulto",IF(OR(Q82="",Q82="N/A"),"⚠ Corda no compite Adulto",P82&amp;"-"&amp;Q82&amp;" · "&amp;M82),IF(P82="Baobá",IF(R82="","⚠ Sin clasificar Baobá",P82&amp;"-"&amp;R82&amp;" · "&amp;M82),IF(P82="Juvenil",IF(AND(OR(L82="Crua",L82="Crua/Amarela"),Y82&lt;&gt;"Sí"),"⚠ Juvenil necesita Amarela+",P82&amp;" · "&amp;M82),P82&amp;" · "&amp;M82))))</f>
        <v/>
      </c>
      <c r="T82" s="23" t="n"/>
      <c r="U82" s="22" t="inlineStr">
        <is>
          <t>Sí</t>
        </is>
      </c>
      <c r="V82" s="22" t="n"/>
      <c r="W82" s="22" t="n"/>
      <c r="X82" s="22" t="n"/>
      <c r="Y82" s="22" t="inlineStr">
        <is>
          <t>No</t>
        </is>
      </c>
      <c r="Z82" s="22" t="inlineStr">
        <is>
          <t>S</t>
        </is>
      </c>
      <c r="AA82" s="22" t="n">
        <v>35</v>
      </c>
      <c r="AB82" s="22" t="inlineStr">
        <is>
          <t>Pagado</t>
        </is>
      </c>
      <c r="AC82" s="22" t="n"/>
      <c r="AD82" s="23">
        <f>IF(D82&lt;&gt;"","P"&amp;TEXT(ROW()-4,"0000"),"")</f>
        <v/>
      </c>
    </row>
    <row r="83" ht="14.25" customHeight="1" s="72">
      <c r="A83" s="22" t="inlineStr">
        <is>
          <t>2025-10-24 18:25:54</t>
        </is>
      </c>
      <c r="B83" s="22" t="n"/>
      <c r="C83" s="22" t="n"/>
      <c r="D83" s="22" t="inlineStr">
        <is>
          <t>Sergio</t>
        </is>
      </c>
      <c r="E83" s="22" t="inlineStr">
        <is>
          <t>Colombo</t>
        </is>
      </c>
      <c r="F83" s="22" t="inlineStr">
        <is>
          <t>Peixe-Lua</t>
        </is>
      </c>
      <c r="G83" s="23">
        <f>IF(F83&lt;&gt;"",F83,IF(AND(D83="",E83=""),"",TRIM(D83&amp;" "&amp;E83)))</f>
        <v/>
      </c>
      <c r="H83" s="22" t="n"/>
      <c r="I83" s="22" t="inlineStr">
        <is>
          <t>+34 621 909 504</t>
        </is>
      </c>
      <c r="J83" s="22" t="inlineStr">
        <is>
          <t>São Paulo-Brasil</t>
        </is>
      </c>
      <c r="K83" s="22" t="inlineStr">
        <is>
          <t>Professor Tigre</t>
        </is>
      </c>
      <c r="L83" s="22" t="inlineStr">
        <is>
          <t>Verde/Roxa</t>
        </is>
      </c>
      <c r="M83" s="22" t="inlineStr">
        <is>
          <t>Masculino</t>
        </is>
      </c>
      <c r="N83" s="29" t="n">
        <v>31823</v>
      </c>
      <c r="O83" s="23">
        <f>IF(N83="","",DATEDIF(N83,TODAY(),"Y"))</f>
        <v/>
      </c>
      <c r="P83" s="23">
        <f>IF(O83="","",IF(O83&lt;=11,"Infantil",IF(O83&lt;=17,"Juvenil",IF(O83&lt;=44,"Adulto","Baobá"))))</f>
        <v/>
      </c>
      <c r="Q83" s="23">
        <f>IF(P83&lt;&gt;"Adulto","",IF(OR(L83="Marrom",L83="Marrom/Vermelha"),"A",IF(OR(L83="Roxa",L83="Roxa/Marrom"),"B",IF(OR(L83="Verde",L83="Verde/Roxa"),"C",IF(OR(L83="Azul",L83="Azul/Verde"),"D",IF(OR(L83="Laranja",L83="Laranja/Azul"),"E",IF(Y83="Sí","E","N/A")))))))</f>
        <v/>
      </c>
      <c r="R83" s="23">
        <f>IF(P83&lt;&gt;"Baobá","",IF(OR(L83="Laranja",L83="Laranja/Azul"),"Alumnos",IF(Y83="Sí","Alumnos","Graduados+")))</f>
        <v/>
      </c>
      <c r="S83" s="23">
        <f>IF(P83="","",IF(P83="Adulto",IF(OR(Q83="",Q83="N/A"),"⚠ Corda no compite Adulto",P83&amp;"-"&amp;Q83&amp;" · "&amp;M83),IF(P83="Baobá",IF(R83="","⚠ Sin clasificar Baobá",P83&amp;"-"&amp;R83&amp;" · "&amp;M83),IF(P83="Juvenil",IF(AND(OR(L83="Crua",L83="Crua/Amarela"),Y83&lt;&gt;"Sí"),"⚠ Juvenil necesita Amarela+",P83&amp;" · "&amp;M83),P83&amp;" · "&amp;M83))))</f>
        <v/>
      </c>
      <c r="T83" s="23" t="n"/>
      <c r="U83" s="22" t="inlineStr">
        <is>
          <t>Sí</t>
        </is>
      </c>
      <c r="V83" s="22" t="n"/>
      <c r="W83" s="22" t="n"/>
      <c r="X83" s="22" t="n"/>
      <c r="Y83" s="22" t="inlineStr">
        <is>
          <t>No</t>
        </is>
      </c>
      <c r="Z83" s="22" t="inlineStr">
        <is>
          <t>M</t>
        </is>
      </c>
      <c r="AA83" s="22" t="n">
        <v>35</v>
      </c>
      <c r="AB83" s="22" t="inlineStr">
        <is>
          <t>Pagado</t>
        </is>
      </c>
      <c r="AC83" s="22" t="n"/>
      <c r="AD83" s="23">
        <f>IF(D83&lt;&gt;"","P"&amp;TEXT(ROW()-4,"0000"),"")</f>
        <v/>
      </c>
    </row>
    <row r="84" ht="14.25" customHeight="1" s="72">
      <c r="A84" s="22" t="inlineStr">
        <is>
          <t>2025-09-22 19:43:16</t>
        </is>
      </c>
      <c r="B84" s="22" t="n"/>
      <c r="C84" s="22" t="n"/>
      <c r="D84" s="22" t="inlineStr">
        <is>
          <t>Raul</t>
        </is>
      </c>
      <c r="E84" s="22" t="inlineStr">
        <is>
          <t>Marino</t>
        </is>
      </c>
      <c r="F84" s="22" t="inlineStr">
        <is>
          <t>Camaleão</t>
        </is>
      </c>
      <c r="G84" s="23">
        <f>IF(F84&lt;&gt;"",F84,IF(AND(D84="",E84=""),"",TRIM(D84&amp;" "&amp;E84)))</f>
        <v/>
      </c>
      <c r="H84" s="22" t="n"/>
      <c r="I84" s="22" t="inlineStr">
        <is>
          <t>+34 691 480 210</t>
        </is>
      </c>
      <c r="J84" s="22" t="inlineStr">
        <is>
          <t>Sevilla-España</t>
        </is>
      </c>
      <c r="K84" s="22" t="inlineStr">
        <is>
          <t>Mestre Tartaruga</t>
        </is>
      </c>
      <c r="L84" s="22" t="inlineStr">
        <is>
          <t>Verde</t>
        </is>
      </c>
      <c r="M84" s="22" t="inlineStr">
        <is>
          <t>Masculino</t>
        </is>
      </c>
      <c r="N84" s="29" t="n">
        <v>38278</v>
      </c>
      <c r="O84" s="23">
        <f>IF(N84="","",DATEDIF(N84,TODAY(),"Y"))</f>
        <v/>
      </c>
      <c r="P84" s="23">
        <f>IF(O84="","",IF(O84&lt;=11,"Infantil",IF(O84&lt;=17,"Juvenil",IF(O84&lt;=44,"Adulto","Baobá"))))</f>
        <v/>
      </c>
      <c r="Q84" s="23">
        <f>IF(P84&lt;&gt;"Adulto","",IF(OR(L84="Marrom",L84="Marrom/Vermelha"),"A",IF(OR(L84="Roxa",L84="Roxa/Marrom"),"B",IF(OR(L84="Verde",L84="Verde/Roxa"),"C",IF(OR(L84="Azul",L84="Azul/Verde"),"D",IF(OR(L84="Laranja",L84="Laranja/Azul"),"E",IF(Y84="Sí","E","N/A")))))))</f>
        <v/>
      </c>
      <c r="R84" s="23">
        <f>IF(P84&lt;&gt;"Baobá","",IF(OR(L84="Laranja",L84="Laranja/Azul"),"Alumnos",IF(Y84="Sí","Alumnos","Graduados+")))</f>
        <v/>
      </c>
      <c r="S84" s="23">
        <f>IF(P84="","",IF(P84="Adulto",IF(OR(Q84="",Q84="N/A"),"⚠ Corda no compite Adulto",P84&amp;"-"&amp;Q84&amp;" · "&amp;M84),IF(P84="Baobá",IF(R84="","⚠ Sin clasificar Baobá",P84&amp;"-"&amp;R84&amp;" · "&amp;M84),IF(P84="Juvenil",IF(AND(OR(L84="Crua",L84="Crua/Amarela"),Y84&lt;&gt;"Sí"),"⚠ Juvenil necesita Amarela+",P84&amp;" · "&amp;M84),P84&amp;" · "&amp;M84))))</f>
        <v/>
      </c>
      <c r="T84" s="23" t="n"/>
      <c r="U84" s="22" t="inlineStr">
        <is>
          <t>Sí</t>
        </is>
      </c>
      <c r="V84" s="22" t="n"/>
      <c r="W84" s="22" t="n"/>
      <c r="X84" s="22" t="n"/>
      <c r="Y84" s="22" t="inlineStr">
        <is>
          <t>No</t>
        </is>
      </c>
      <c r="Z84" s="22" t="inlineStr">
        <is>
          <t>L</t>
        </is>
      </c>
      <c r="AA84" s="22" t="n">
        <v>35</v>
      </c>
      <c r="AB84" s="22" t="inlineStr">
        <is>
          <t>Pagado</t>
        </is>
      </c>
      <c r="AC84" s="22" t="n"/>
      <c r="AD84" s="23">
        <f>IF(D84&lt;&gt;"","P"&amp;TEXT(ROW()-4,"0000"),"")</f>
        <v/>
      </c>
    </row>
    <row r="85" ht="14.25" customHeight="1" s="72">
      <c r="A85" s="22" t="inlineStr">
        <is>
          <t>2025-09-20 11:41:04</t>
        </is>
      </c>
      <c r="B85" s="22" t="n"/>
      <c r="C85" s="22" t="n"/>
      <c r="D85" s="22" t="inlineStr">
        <is>
          <t>Carmen</t>
        </is>
      </c>
      <c r="E85" s="22" t="inlineStr">
        <is>
          <t>Moreau</t>
        </is>
      </c>
      <c r="F85" s="22" t="inlineStr">
        <is>
          <t>Irara</t>
        </is>
      </c>
      <c r="G85" s="23">
        <f>IF(F85&lt;&gt;"",F85,IF(AND(D85="",E85=""),"",TRIM(D85&amp;" "&amp;E85)))</f>
        <v/>
      </c>
      <c r="H85" s="22" t="n"/>
      <c r="I85" s="22" t="inlineStr">
        <is>
          <t>+34 699 409 764</t>
        </is>
      </c>
      <c r="J85" s="22" t="inlineStr">
        <is>
          <t>Milán-Italia</t>
        </is>
      </c>
      <c r="K85" s="22" t="inlineStr">
        <is>
          <t>Professor Leão</t>
        </is>
      </c>
      <c r="L85" s="22" t="inlineStr">
        <is>
          <t>Verde/Roxa</t>
        </is>
      </c>
      <c r="M85" s="22" t="inlineStr">
        <is>
          <t>Femenino</t>
        </is>
      </c>
      <c r="N85" s="29" t="n">
        <v>36527</v>
      </c>
      <c r="O85" s="23">
        <f>IF(N85="","",DATEDIF(N85,TODAY(),"Y"))</f>
        <v/>
      </c>
      <c r="P85" s="23">
        <f>IF(O85="","",IF(O85&lt;=11,"Infantil",IF(O85&lt;=17,"Juvenil",IF(O85&lt;=44,"Adulto","Baobá"))))</f>
        <v/>
      </c>
      <c r="Q85" s="23">
        <f>IF(P85&lt;&gt;"Adulto","",IF(OR(L85="Marrom",L85="Marrom/Vermelha"),"A",IF(OR(L85="Roxa",L85="Roxa/Marrom"),"B",IF(OR(L85="Verde",L85="Verde/Roxa"),"C",IF(OR(L85="Azul",L85="Azul/Verde"),"D",IF(OR(L85="Laranja",L85="Laranja/Azul"),"E",IF(Y85="Sí","E","N/A")))))))</f>
        <v/>
      </c>
      <c r="R85" s="23">
        <f>IF(P85&lt;&gt;"Baobá","",IF(OR(L85="Laranja",L85="Laranja/Azul"),"Alumnos",IF(Y85="Sí","Alumnos","Graduados+")))</f>
        <v/>
      </c>
      <c r="S85" s="23">
        <f>IF(P85="","",IF(P85="Adulto",IF(OR(Q85="",Q85="N/A"),"⚠ Corda no compite Adulto",P85&amp;"-"&amp;Q85&amp;" · "&amp;M85),IF(P85="Baobá",IF(R85="","⚠ Sin clasificar Baobá",P85&amp;"-"&amp;R85&amp;" · "&amp;M85),IF(P85="Juvenil",IF(AND(OR(L85="Crua",L85="Crua/Amarela"),Y85&lt;&gt;"Sí"),"⚠ Juvenil necesita Amarela+",P85&amp;" · "&amp;M85),P85&amp;" · "&amp;M85))))</f>
        <v/>
      </c>
      <c r="T85" s="23" t="n"/>
      <c r="U85" s="22" t="inlineStr">
        <is>
          <t>Sí</t>
        </is>
      </c>
      <c r="V85" s="22" t="n"/>
      <c r="W85" s="22" t="n"/>
      <c r="X85" s="22" t="n"/>
      <c r="Y85" s="22" t="inlineStr">
        <is>
          <t>No</t>
        </is>
      </c>
      <c r="Z85" s="22" t="inlineStr">
        <is>
          <t>XL</t>
        </is>
      </c>
      <c r="AA85" s="22" t="n">
        <v>35</v>
      </c>
      <c r="AB85" s="22" t="inlineStr">
        <is>
          <t>Pagado</t>
        </is>
      </c>
      <c r="AC85" s="22" t="n"/>
      <c r="AD85" s="23">
        <f>IF(D85&lt;&gt;"","P"&amp;TEXT(ROW()-4,"0000"),"")</f>
        <v/>
      </c>
    </row>
    <row r="86" ht="14.25" customHeight="1" s="72">
      <c r="A86" s="22" t="inlineStr">
        <is>
          <t>2025-09-16 09:06:15</t>
        </is>
      </c>
      <c r="B86" s="22" t="n"/>
      <c r="C86" s="22" t="n"/>
      <c r="D86" s="22" t="inlineStr">
        <is>
          <t>Noémie</t>
        </is>
      </c>
      <c r="E86" s="22" t="inlineStr">
        <is>
          <t>Barbosa</t>
        </is>
      </c>
      <c r="F86" s="22" t="inlineStr">
        <is>
          <t>Baleia</t>
        </is>
      </c>
      <c r="G86" s="23">
        <f>IF(F86&lt;&gt;"",F86,IF(AND(D86="",E86=""),"",TRIM(D86&amp;" "&amp;E86)))</f>
        <v/>
      </c>
      <c r="H86" s="22" t="n"/>
      <c r="I86" s="22" t="inlineStr">
        <is>
          <t>+34 659 564 479</t>
        </is>
      </c>
      <c r="J86" s="22" t="inlineStr">
        <is>
          <t>Milán-Italia</t>
        </is>
      </c>
      <c r="K86" s="22" t="inlineStr">
        <is>
          <t>Mestre Urso</t>
        </is>
      </c>
      <c r="L86" s="22" t="inlineStr">
        <is>
          <t>Verde</t>
        </is>
      </c>
      <c r="M86" s="22" t="inlineStr">
        <is>
          <t>Femenino</t>
        </is>
      </c>
      <c r="N86" s="29" t="n">
        <v>36728</v>
      </c>
      <c r="O86" s="23">
        <f>IF(N86="","",DATEDIF(N86,TODAY(),"Y"))</f>
        <v/>
      </c>
      <c r="P86" s="23">
        <f>IF(O86="","",IF(O86&lt;=11,"Infantil",IF(O86&lt;=17,"Juvenil",IF(O86&lt;=44,"Adulto","Baobá"))))</f>
        <v/>
      </c>
      <c r="Q86" s="23">
        <f>IF(P86&lt;&gt;"Adulto","",IF(OR(L86="Marrom",L86="Marrom/Vermelha"),"A",IF(OR(L86="Roxa",L86="Roxa/Marrom"),"B",IF(OR(L86="Verde",L86="Verde/Roxa"),"C",IF(OR(L86="Azul",L86="Azul/Verde"),"D",IF(OR(L86="Laranja",L86="Laranja/Azul"),"E",IF(Y86="Sí","E","N/A")))))))</f>
        <v/>
      </c>
      <c r="R86" s="23">
        <f>IF(P86&lt;&gt;"Baobá","",IF(OR(L86="Laranja",L86="Laranja/Azul"),"Alumnos",IF(Y86="Sí","Alumnos","Graduados+")))</f>
        <v/>
      </c>
      <c r="S86" s="23">
        <f>IF(P86="","",IF(P86="Adulto",IF(OR(Q86="",Q86="N/A"),"⚠ Corda no compite Adulto",P86&amp;"-"&amp;Q86&amp;" · "&amp;M86),IF(P86="Baobá",IF(R86="","⚠ Sin clasificar Baobá",P86&amp;"-"&amp;R86&amp;" · "&amp;M86),IF(P86="Juvenil",IF(AND(OR(L86="Crua",L86="Crua/Amarela"),Y86&lt;&gt;"Sí"),"⚠ Juvenil necesita Amarela+",P86&amp;" · "&amp;M86),P86&amp;" · "&amp;M86))))</f>
        <v/>
      </c>
      <c r="T86" s="23" t="n"/>
      <c r="U86" s="22" t="inlineStr">
        <is>
          <t>Sí</t>
        </is>
      </c>
      <c r="V86" s="22" t="n"/>
      <c r="W86" s="22" t="n"/>
      <c r="X86" s="22" t="n"/>
      <c r="Y86" s="22" t="inlineStr">
        <is>
          <t>No</t>
        </is>
      </c>
      <c r="Z86" s="22" t="inlineStr">
        <is>
          <t>XXL</t>
        </is>
      </c>
      <c r="AA86" s="22" t="n">
        <v>35</v>
      </c>
      <c r="AB86" s="22" t="inlineStr">
        <is>
          <t>Pagado</t>
        </is>
      </c>
      <c r="AC86" s="22" t="n"/>
      <c r="AD86" s="23">
        <f>IF(D86&lt;&gt;"","P"&amp;TEXT(ROW()-4,"0000"),"")</f>
        <v/>
      </c>
    </row>
    <row r="87" ht="14.25" customHeight="1" s="72">
      <c r="A87" s="22" t="inlineStr">
        <is>
          <t>2025-08-27 15:39:26</t>
        </is>
      </c>
      <c r="B87" s="22" t="n"/>
      <c r="C87" s="22" t="n"/>
      <c r="D87" s="22" t="inlineStr">
        <is>
          <t>Sara</t>
        </is>
      </c>
      <c r="E87" s="22" t="inlineStr">
        <is>
          <t>Pereira</t>
        </is>
      </c>
      <c r="F87" s="22" t="inlineStr">
        <is>
          <t>Jacaré</t>
        </is>
      </c>
      <c r="G87" s="23">
        <f>IF(F87&lt;&gt;"",F87,IF(AND(D87="",E87=""),"",TRIM(D87&amp;" "&amp;E87)))</f>
        <v/>
      </c>
      <c r="H87" s="22" t="n"/>
      <c r="I87" s="22" t="inlineStr">
        <is>
          <t>+34 698 479 322</t>
        </is>
      </c>
      <c r="J87" s="22" t="inlineStr">
        <is>
          <t>Buenos Aires-Argentina</t>
        </is>
      </c>
      <c r="K87" s="22" t="inlineStr">
        <is>
          <t>Mestre Puma</t>
        </is>
      </c>
      <c r="L87" s="22" t="inlineStr">
        <is>
          <t>Verde/Roxa</t>
        </is>
      </c>
      <c r="M87" s="22" t="inlineStr">
        <is>
          <t>Femenino</t>
        </is>
      </c>
      <c r="N87" s="29" t="n">
        <v>35585</v>
      </c>
      <c r="O87" s="23">
        <f>IF(N87="","",DATEDIF(N87,TODAY(),"Y"))</f>
        <v/>
      </c>
      <c r="P87" s="23">
        <f>IF(O87="","",IF(O87&lt;=11,"Infantil",IF(O87&lt;=17,"Juvenil",IF(O87&lt;=44,"Adulto","Baobá"))))</f>
        <v/>
      </c>
      <c r="Q87" s="23">
        <f>IF(P87&lt;&gt;"Adulto","",IF(OR(L87="Marrom",L87="Marrom/Vermelha"),"A",IF(OR(L87="Roxa",L87="Roxa/Marrom"),"B",IF(OR(L87="Verde",L87="Verde/Roxa"),"C",IF(OR(L87="Azul",L87="Azul/Verde"),"D",IF(OR(L87="Laranja",L87="Laranja/Azul"),"E",IF(Y87="Sí","E","N/A")))))))</f>
        <v/>
      </c>
      <c r="R87" s="23">
        <f>IF(P87&lt;&gt;"Baobá","",IF(OR(L87="Laranja",L87="Laranja/Azul"),"Alumnos",IF(Y87="Sí","Alumnos","Graduados+")))</f>
        <v/>
      </c>
      <c r="S87" s="23">
        <f>IF(P87="","",IF(P87="Adulto",IF(OR(Q87="",Q87="N/A"),"⚠ Corda no compite Adulto",P87&amp;"-"&amp;Q87&amp;" · "&amp;M87),IF(P87="Baobá",IF(R87="","⚠ Sin clasificar Baobá",P87&amp;"-"&amp;R87&amp;" · "&amp;M87),IF(P87="Juvenil",IF(AND(OR(L87="Crua",L87="Crua/Amarela"),Y87&lt;&gt;"Sí"),"⚠ Juvenil necesita Amarela+",P87&amp;" · "&amp;M87),P87&amp;" · "&amp;M87))))</f>
        <v/>
      </c>
      <c r="T87" s="23" t="n"/>
      <c r="U87" s="22" t="inlineStr">
        <is>
          <t>Sí</t>
        </is>
      </c>
      <c r="V87" s="22" t="n"/>
      <c r="W87" s="22" t="n"/>
      <c r="X87" s="22" t="n"/>
      <c r="Y87" s="22" t="inlineStr">
        <is>
          <t>No</t>
        </is>
      </c>
      <c r="Z87" s="22" t="inlineStr">
        <is>
          <t>XS</t>
        </is>
      </c>
      <c r="AA87" s="22" t="n">
        <v>35</v>
      </c>
      <c r="AB87" s="22" t="inlineStr">
        <is>
          <t>Pagado</t>
        </is>
      </c>
      <c r="AC87" s="22" t="n"/>
      <c r="AD87" s="23">
        <f>IF(D87&lt;&gt;"","P"&amp;TEXT(ROW()-4,"0000"),"")</f>
        <v/>
      </c>
    </row>
    <row r="88" ht="14.25" customHeight="1" s="72">
      <c r="A88" s="22" t="inlineStr">
        <is>
          <t>2025-10-12 16:57:41</t>
        </is>
      </c>
      <c r="B88" s="22" t="n"/>
      <c r="C88" s="22" t="n"/>
      <c r="D88" s="22" t="inlineStr">
        <is>
          <t>Andreia</t>
        </is>
      </c>
      <c r="E88" s="22" t="inlineStr">
        <is>
          <t>Alves</t>
        </is>
      </c>
      <c r="F88" s="22" t="inlineStr">
        <is>
          <t>Moreia</t>
        </is>
      </c>
      <c r="G88" s="23">
        <f>IF(F88&lt;&gt;"",F88,IF(AND(D88="",E88=""),"",TRIM(D88&amp;" "&amp;E88)))</f>
        <v/>
      </c>
      <c r="H88" s="22" t="n"/>
      <c r="I88" s="22" t="inlineStr">
        <is>
          <t>+34 660 382 294</t>
        </is>
      </c>
      <c r="J88" s="22" t="inlineStr">
        <is>
          <t>Porto Alegre-Brasil</t>
        </is>
      </c>
      <c r="K88" s="22" t="inlineStr">
        <is>
          <t>Mestre Puma</t>
        </is>
      </c>
      <c r="L88" s="22" t="inlineStr">
        <is>
          <t>Verde</t>
        </is>
      </c>
      <c r="M88" s="22" t="inlineStr">
        <is>
          <t>Femenino</t>
        </is>
      </c>
      <c r="N88" s="29" t="n">
        <v>37567</v>
      </c>
      <c r="O88" s="23">
        <f>IF(N88="","",DATEDIF(N88,TODAY(),"Y"))</f>
        <v/>
      </c>
      <c r="P88" s="23">
        <f>IF(O88="","",IF(O88&lt;=11,"Infantil",IF(O88&lt;=17,"Juvenil",IF(O88&lt;=44,"Adulto","Baobá"))))</f>
        <v/>
      </c>
      <c r="Q88" s="23">
        <f>IF(P88&lt;&gt;"Adulto","",IF(OR(L88="Marrom",L88="Marrom/Vermelha"),"A",IF(OR(L88="Roxa",L88="Roxa/Marrom"),"B",IF(OR(L88="Verde",L88="Verde/Roxa"),"C",IF(OR(L88="Azul",L88="Azul/Verde"),"D",IF(OR(L88="Laranja",L88="Laranja/Azul"),"E",IF(Y88="Sí","E","N/A")))))))</f>
        <v/>
      </c>
      <c r="R88" s="23">
        <f>IF(P88&lt;&gt;"Baobá","",IF(OR(L88="Laranja",L88="Laranja/Azul"),"Alumnos",IF(Y88="Sí","Alumnos","Graduados+")))</f>
        <v/>
      </c>
      <c r="S88" s="23">
        <f>IF(P88="","",IF(P88="Adulto",IF(OR(Q88="",Q88="N/A"),"⚠ Corda no compite Adulto",P88&amp;"-"&amp;Q88&amp;" · "&amp;M88),IF(P88="Baobá",IF(R88="","⚠ Sin clasificar Baobá",P88&amp;"-"&amp;R88&amp;" · "&amp;M88),IF(P88="Juvenil",IF(AND(OR(L88="Crua",L88="Crua/Amarela"),Y88&lt;&gt;"Sí"),"⚠ Juvenil necesita Amarela+",P88&amp;" · "&amp;M88),P88&amp;" · "&amp;M88))))</f>
        <v/>
      </c>
      <c r="T88" s="23" t="n"/>
      <c r="U88" s="22" t="inlineStr">
        <is>
          <t>Sí</t>
        </is>
      </c>
      <c r="V88" s="22" t="n"/>
      <c r="W88" s="22" t="n"/>
      <c r="X88" s="22" t="n"/>
      <c r="Y88" s="22" t="inlineStr">
        <is>
          <t>No</t>
        </is>
      </c>
      <c r="Z88" s="22" t="inlineStr">
        <is>
          <t>S</t>
        </is>
      </c>
      <c r="AA88" s="22" t="n">
        <v>35</v>
      </c>
      <c r="AB88" s="22" t="inlineStr">
        <is>
          <t>Pagado</t>
        </is>
      </c>
      <c r="AC88" s="22" t="n"/>
      <c r="AD88" s="23">
        <f>IF(D88&lt;&gt;"","P"&amp;TEXT(ROW()-4,"0000"),"")</f>
        <v/>
      </c>
    </row>
    <row r="89" ht="14.25" customHeight="1" s="72">
      <c r="A89" s="22" t="inlineStr">
        <is>
          <t>2025-10-21 17:01:03</t>
        </is>
      </c>
      <c r="B89" s="22" t="n"/>
      <c r="C89" s="22" t="n"/>
      <c r="D89" s="22" t="inlineStr">
        <is>
          <t>Natalia</t>
        </is>
      </c>
      <c r="E89" s="22" t="inlineStr">
        <is>
          <t>Schmidt</t>
        </is>
      </c>
      <c r="F89" s="22" t="inlineStr">
        <is>
          <t>Harpia</t>
        </is>
      </c>
      <c r="G89" s="23">
        <f>IF(F89&lt;&gt;"",F89,IF(AND(D89="",E89=""),"",TRIM(D89&amp;" "&amp;E89)))</f>
        <v/>
      </c>
      <c r="H89" s="22" t="n"/>
      <c r="I89" s="22" t="inlineStr">
        <is>
          <t>+34 626 905 678</t>
        </is>
      </c>
      <c r="J89" s="22" t="inlineStr">
        <is>
          <t>Valencia-España</t>
        </is>
      </c>
      <c r="K89" s="22" t="inlineStr">
        <is>
          <t>Contra-Mestre Falcão</t>
        </is>
      </c>
      <c r="L89" s="22" t="inlineStr">
        <is>
          <t>Verde</t>
        </is>
      </c>
      <c r="M89" s="22" t="inlineStr">
        <is>
          <t>Femenino</t>
        </is>
      </c>
      <c r="N89" s="29" t="n">
        <v>31886</v>
      </c>
      <c r="O89" s="23">
        <f>IF(N89="","",DATEDIF(N89,TODAY(),"Y"))</f>
        <v/>
      </c>
      <c r="P89" s="23">
        <f>IF(O89="","",IF(O89&lt;=11,"Infantil",IF(O89&lt;=17,"Juvenil",IF(O89&lt;=44,"Adulto","Baobá"))))</f>
        <v/>
      </c>
      <c r="Q89" s="23">
        <f>IF(P89&lt;&gt;"Adulto","",IF(OR(L89="Marrom",L89="Marrom/Vermelha"),"A",IF(OR(L89="Roxa",L89="Roxa/Marrom"),"B",IF(OR(L89="Verde",L89="Verde/Roxa"),"C",IF(OR(L89="Azul",L89="Azul/Verde"),"D",IF(OR(L89="Laranja",L89="Laranja/Azul"),"E",IF(Y89="Sí","E","N/A")))))))</f>
        <v/>
      </c>
      <c r="R89" s="23">
        <f>IF(P89&lt;&gt;"Baobá","",IF(OR(L89="Laranja",L89="Laranja/Azul"),"Alumnos",IF(Y89="Sí","Alumnos","Graduados+")))</f>
        <v/>
      </c>
      <c r="S89" s="23">
        <f>IF(P89="","",IF(P89="Adulto",IF(OR(Q89="",Q89="N/A"),"⚠ Corda no compite Adulto",P89&amp;"-"&amp;Q89&amp;" · "&amp;M89),IF(P89="Baobá",IF(R89="","⚠ Sin clasificar Baobá",P89&amp;"-"&amp;R89&amp;" · "&amp;M89),IF(P89="Juvenil",IF(AND(OR(L89="Crua",L89="Crua/Amarela"),Y89&lt;&gt;"Sí"),"⚠ Juvenil necesita Amarela+",P89&amp;" · "&amp;M89),P89&amp;" · "&amp;M89))))</f>
        <v/>
      </c>
      <c r="T89" s="23" t="n"/>
      <c r="U89" s="22" t="inlineStr">
        <is>
          <t>Sí</t>
        </is>
      </c>
      <c r="V89" s="22" t="n"/>
      <c r="W89" s="22" t="n"/>
      <c r="X89" s="22" t="n"/>
      <c r="Y89" s="22" t="inlineStr">
        <is>
          <t>No</t>
        </is>
      </c>
      <c r="Z89" s="22" t="inlineStr">
        <is>
          <t>M</t>
        </is>
      </c>
      <c r="AA89" s="22" t="n">
        <v>35</v>
      </c>
      <c r="AB89" s="22" t="inlineStr">
        <is>
          <t>Pagado</t>
        </is>
      </c>
      <c r="AC89" s="22" t="n"/>
      <c r="AD89" s="23">
        <f>IF(D89&lt;&gt;"","P"&amp;TEXT(ROW()-4,"0000"),"")</f>
        <v/>
      </c>
    </row>
    <row r="90" ht="14.25" customHeight="1" s="72">
      <c r="A90" s="22" t="inlineStr">
        <is>
          <t>2025-08-27 21:14:21</t>
        </is>
      </c>
      <c r="B90" s="22" t="n"/>
      <c r="C90" s="22" t="n"/>
      <c r="D90" s="22" t="inlineStr">
        <is>
          <t>Mei</t>
        </is>
      </c>
      <c r="E90" s="22" t="inlineStr">
        <is>
          <t>Cardoso</t>
        </is>
      </c>
      <c r="F90" s="22" t="inlineStr">
        <is>
          <t>Sucuri</t>
        </is>
      </c>
      <c r="G90" s="23">
        <f>IF(F90&lt;&gt;"",F90,IF(AND(D90="",E90=""),"",TRIM(D90&amp;" "&amp;E90)))</f>
        <v/>
      </c>
      <c r="H90" s="22" t="n"/>
      <c r="I90" s="22" t="inlineStr">
        <is>
          <t>+34 686 102 383</t>
        </is>
      </c>
      <c r="J90" s="22" t="inlineStr">
        <is>
          <t>Manaus-Brasil</t>
        </is>
      </c>
      <c r="K90" s="22" t="inlineStr">
        <is>
          <t>Mestre Cobra</t>
        </is>
      </c>
      <c r="L90" s="22" t="inlineStr">
        <is>
          <t>Verde</t>
        </is>
      </c>
      <c r="M90" s="22" t="inlineStr">
        <is>
          <t>Femenino</t>
        </is>
      </c>
      <c r="N90" s="29" t="n">
        <v>31923</v>
      </c>
      <c r="O90" s="23">
        <f>IF(N90="","",DATEDIF(N90,TODAY(),"Y"))</f>
        <v/>
      </c>
      <c r="P90" s="23">
        <f>IF(O90="","",IF(O90&lt;=11,"Infantil",IF(O90&lt;=17,"Juvenil",IF(O90&lt;=44,"Adulto","Baobá"))))</f>
        <v/>
      </c>
      <c r="Q90" s="23">
        <f>IF(P90&lt;&gt;"Adulto","",IF(OR(L90="Marrom",L90="Marrom/Vermelha"),"A",IF(OR(L90="Roxa",L90="Roxa/Marrom"),"B",IF(OR(L90="Verde",L90="Verde/Roxa"),"C",IF(OR(L90="Azul",L90="Azul/Verde"),"D",IF(OR(L90="Laranja",L90="Laranja/Azul"),"E",IF(Y90="Sí","E","N/A")))))))</f>
        <v/>
      </c>
      <c r="R90" s="23">
        <f>IF(P90&lt;&gt;"Baobá","",IF(OR(L90="Laranja",L90="Laranja/Azul"),"Alumnos",IF(Y90="Sí","Alumnos","Graduados+")))</f>
        <v/>
      </c>
      <c r="S90" s="23">
        <f>IF(P90="","",IF(P90="Adulto",IF(OR(Q90="",Q90="N/A"),"⚠ Corda no compite Adulto",P90&amp;"-"&amp;Q90&amp;" · "&amp;M90),IF(P90="Baobá",IF(R90="","⚠ Sin clasificar Baobá",P90&amp;"-"&amp;R90&amp;" · "&amp;M90),IF(P90="Juvenil",IF(AND(OR(L90="Crua",L90="Crua/Amarela"),Y90&lt;&gt;"Sí"),"⚠ Juvenil necesita Amarela+",P90&amp;" · "&amp;M90),P90&amp;" · "&amp;M90))))</f>
        <v/>
      </c>
      <c r="T90" s="23" t="n"/>
      <c r="U90" s="22" t="inlineStr">
        <is>
          <t>Sí</t>
        </is>
      </c>
      <c r="V90" s="22" t="n"/>
      <c r="W90" s="22" t="n"/>
      <c r="X90" s="22" t="n"/>
      <c r="Y90" s="22" t="inlineStr">
        <is>
          <t>No</t>
        </is>
      </c>
      <c r="Z90" s="22" t="inlineStr">
        <is>
          <t>L</t>
        </is>
      </c>
      <c r="AA90" s="22" t="n">
        <v>35</v>
      </c>
      <c r="AB90" s="22" t="inlineStr">
        <is>
          <t>Pagado</t>
        </is>
      </c>
      <c r="AC90" s="22" t="n"/>
      <c r="AD90" s="23">
        <f>IF(D90&lt;&gt;"","P"&amp;TEXT(ROW()-4,"0000"),"")</f>
        <v/>
      </c>
    </row>
    <row r="91" ht="14.25" customHeight="1" s="72">
      <c r="A91" s="22" t="inlineStr">
        <is>
          <t>2025-08-04 18:55:01</t>
        </is>
      </c>
      <c r="B91" s="22" t="n"/>
      <c r="C91" s="22" t="n"/>
      <c r="D91" s="22" t="inlineStr">
        <is>
          <t>Paula</t>
        </is>
      </c>
      <c r="E91" s="22" t="inlineStr">
        <is>
          <t>Santos</t>
        </is>
      </c>
      <c r="F91" s="22" t="inlineStr">
        <is>
          <t>Búfalo</t>
        </is>
      </c>
      <c r="G91" s="23">
        <f>IF(F91&lt;&gt;"",F91,IF(AND(D91="",E91=""),"",TRIM(D91&amp;" "&amp;E91)))</f>
        <v/>
      </c>
      <c r="H91" s="22" t="n"/>
      <c r="I91" s="22" t="inlineStr">
        <is>
          <t>+34 655 908 907</t>
        </is>
      </c>
      <c r="J91" s="22" t="inlineStr">
        <is>
          <t>Lisboa-Portugal</t>
        </is>
      </c>
      <c r="K91" s="22" t="inlineStr">
        <is>
          <t>Mestre Urso</t>
        </is>
      </c>
      <c r="L91" s="22" t="inlineStr">
        <is>
          <t>Verde/Roxa</t>
        </is>
      </c>
      <c r="M91" s="22" t="inlineStr">
        <is>
          <t>Femenino</t>
        </is>
      </c>
      <c r="N91" s="29" t="n">
        <v>34340</v>
      </c>
      <c r="O91" s="23">
        <f>IF(N91="","",DATEDIF(N91,TODAY(),"Y"))</f>
        <v/>
      </c>
      <c r="P91" s="23">
        <f>IF(O91="","",IF(O91&lt;=11,"Infantil",IF(O91&lt;=17,"Juvenil",IF(O91&lt;=44,"Adulto","Baobá"))))</f>
        <v/>
      </c>
      <c r="Q91" s="23">
        <f>IF(P91&lt;&gt;"Adulto","",IF(OR(L91="Marrom",L91="Marrom/Vermelha"),"A",IF(OR(L91="Roxa",L91="Roxa/Marrom"),"B",IF(OR(L91="Verde",L91="Verde/Roxa"),"C",IF(OR(L91="Azul",L91="Azul/Verde"),"D",IF(OR(L91="Laranja",L91="Laranja/Azul"),"E",IF(Y91="Sí","E","N/A")))))))</f>
        <v/>
      </c>
      <c r="R91" s="23">
        <f>IF(P91&lt;&gt;"Baobá","",IF(OR(L91="Laranja",L91="Laranja/Azul"),"Alumnos",IF(Y91="Sí","Alumnos","Graduados+")))</f>
        <v/>
      </c>
      <c r="S91" s="23">
        <f>IF(P91="","",IF(P91="Adulto",IF(OR(Q91="",Q91="N/A"),"⚠ Corda no compite Adulto",P91&amp;"-"&amp;Q91&amp;" · "&amp;M91),IF(P91="Baobá",IF(R91="","⚠ Sin clasificar Baobá",P91&amp;"-"&amp;R91&amp;" · "&amp;M91),IF(P91="Juvenil",IF(AND(OR(L91="Crua",L91="Crua/Amarela"),Y91&lt;&gt;"Sí"),"⚠ Juvenil necesita Amarela+",P91&amp;" · "&amp;M91),P91&amp;" · "&amp;M91))))</f>
        <v/>
      </c>
      <c r="T91" s="23" t="n"/>
      <c r="U91" s="22" t="inlineStr">
        <is>
          <t>Sí</t>
        </is>
      </c>
      <c r="V91" s="22" t="n"/>
      <c r="W91" s="22" t="n"/>
      <c r="X91" s="22" t="n"/>
      <c r="Y91" s="22" t="inlineStr">
        <is>
          <t>No</t>
        </is>
      </c>
      <c r="Z91" s="22" t="inlineStr">
        <is>
          <t>XL</t>
        </is>
      </c>
      <c r="AA91" s="22" t="n">
        <v>35</v>
      </c>
      <c r="AB91" s="22" t="inlineStr">
        <is>
          <t>Pagado</t>
        </is>
      </c>
      <c r="AC91" s="22" t="n"/>
      <c r="AD91" s="23">
        <f>IF(D91&lt;&gt;"","P"&amp;TEXT(ROW()-4,"0000"),"")</f>
        <v/>
      </c>
    </row>
    <row r="92" ht="14.25" customHeight="1" s="72">
      <c r="A92" s="22" t="inlineStr">
        <is>
          <t>2025-09-02 10:47:26</t>
        </is>
      </c>
      <c r="B92" s="22" t="n"/>
      <c r="C92" s="22" t="n"/>
      <c r="D92" s="22" t="inlineStr">
        <is>
          <t>Manon</t>
        </is>
      </c>
      <c r="E92" s="22" t="inlineStr">
        <is>
          <t>Nascimento</t>
        </is>
      </c>
      <c r="F92" s="22" t="inlineStr">
        <is>
          <t>Siri</t>
        </is>
      </c>
      <c r="G92" s="23">
        <f>IF(F92&lt;&gt;"",F92,IF(AND(D92="",E92=""),"",TRIM(D92&amp;" "&amp;E92)))</f>
        <v/>
      </c>
      <c r="H92" s="22" t="n"/>
      <c r="I92" s="22" t="inlineStr">
        <is>
          <t>+34 618 587 559</t>
        </is>
      </c>
      <c r="J92" s="22" t="inlineStr">
        <is>
          <t>Hamburgo-Alemania</t>
        </is>
      </c>
      <c r="K92" s="22" t="inlineStr">
        <is>
          <t>Contra-Mestre Pomba</t>
        </is>
      </c>
      <c r="L92" s="22" t="inlineStr">
        <is>
          <t>Verde/Roxa</t>
        </is>
      </c>
      <c r="M92" s="22" t="inlineStr">
        <is>
          <t>Femenino</t>
        </is>
      </c>
      <c r="N92" s="29" t="n">
        <v>31458</v>
      </c>
      <c r="O92" s="23">
        <f>IF(N92="","",DATEDIF(N92,TODAY(),"Y"))</f>
        <v/>
      </c>
      <c r="P92" s="23">
        <f>IF(O92="","",IF(O92&lt;=11,"Infantil",IF(O92&lt;=17,"Juvenil",IF(O92&lt;=44,"Adulto","Baobá"))))</f>
        <v/>
      </c>
      <c r="Q92" s="23">
        <f>IF(P92&lt;&gt;"Adulto","",IF(OR(L92="Marrom",L92="Marrom/Vermelha"),"A",IF(OR(L92="Roxa",L92="Roxa/Marrom"),"B",IF(OR(L92="Verde",L92="Verde/Roxa"),"C",IF(OR(L92="Azul",L92="Azul/Verde"),"D",IF(OR(L92="Laranja",L92="Laranja/Azul"),"E",IF(Y92="Sí","E","N/A")))))))</f>
        <v/>
      </c>
      <c r="R92" s="23">
        <f>IF(P92&lt;&gt;"Baobá","",IF(OR(L92="Laranja",L92="Laranja/Azul"),"Alumnos",IF(Y92="Sí","Alumnos","Graduados+")))</f>
        <v/>
      </c>
      <c r="S92" s="23">
        <f>IF(P92="","",IF(P92="Adulto",IF(OR(Q92="",Q92="N/A"),"⚠ Corda no compite Adulto",P92&amp;"-"&amp;Q92&amp;" · "&amp;M92),IF(P92="Baobá",IF(R92="","⚠ Sin clasificar Baobá",P92&amp;"-"&amp;R92&amp;" · "&amp;M92),IF(P92="Juvenil",IF(AND(OR(L92="Crua",L92="Crua/Amarela"),Y92&lt;&gt;"Sí"),"⚠ Juvenil necesita Amarela+",P92&amp;" · "&amp;M92),P92&amp;" · "&amp;M92))))</f>
        <v/>
      </c>
      <c r="T92" s="23" t="n"/>
      <c r="U92" s="22" t="inlineStr">
        <is>
          <t>Sí</t>
        </is>
      </c>
      <c r="V92" s="22" t="n"/>
      <c r="W92" s="22" t="n"/>
      <c r="X92" s="22" t="n"/>
      <c r="Y92" s="22" t="inlineStr">
        <is>
          <t>No</t>
        </is>
      </c>
      <c r="Z92" s="22" t="inlineStr">
        <is>
          <t>XXL</t>
        </is>
      </c>
      <c r="AA92" s="22" t="n">
        <v>35</v>
      </c>
      <c r="AB92" s="22" t="inlineStr">
        <is>
          <t>Pagado</t>
        </is>
      </c>
      <c r="AC92" s="22" t="n"/>
      <c r="AD92" s="23">
        <f>IF(D92&lt;&gt;"","P"&amp;TEXT(ROW()-4,"0000"),"")</f>
        <v/>
      </c>
    </row>
    <row r="93" ht="14.25" customHeight="1" s="72">
      <c r="A93" s="22" t="inlineStr">
        <is>
          <t>2025-10-08 17:02:46</t>
        </is>
      </c>
      <c r="B93" s="22" t="n"/>
      <c r="C93" s="22" t="n"/>
      <c r="D93" s="22" t="inlineStr">
        <is>
          <t>Pilar</t>
        </is>
      </c>
      <c r="E93" s="22" t="inlineStr">
        <is>
          <t>Pires</t>
        </is>
      </c>
      <c r="F93" s="22" t="inlineStr">
        <is>
          <t>Borboleta</t>
        </is>
      </c>
      <c r="G93" s="23">
        <f>IF(F93&lt;&gt;"",F93,IF(AND(D93="",E93=""),"",TRIM(D93&amp;" "&amp;E93)))</f>
        <v/>
      </c>
      <c r="H93" s="22" t="n"/>
      <c r="I93" s="22" t="inlineStr">
        <is>
          <t>+34 648 569 758</t>
        </is>
      </c>
      <c r="J93" s="22" t="inlineStr">
        <is>
          <t>Rio de Janeiro-Brasil</t>
        </is>
      </c>
      <c r="K93" s="22" t="inlineStr">
        <is>
          <t>Mestre Pastinha</t>
        </is>
      </c>
      <c r="L93" s="22" t="inlineStr">
        <is>
          <t>Verde/Roxa</t>
        </is>
      </c>
      <c r="M93" s="22" t="inlineStr">
        <is>
          <t>Femenino</t>
        </is>
      </c>
      <c r="N93" s="29" t="n">
        <v>32703</v>
      </c>
      <c r="O93" s="23">
        <f>IF(N93="","",DATEDIF(N93,TODAY(),"Y"))</f>
        <v/>
      </c>
      <c r="P93" s="23">
        <f>IF(O93="","",IF(O93&lt;=11,"Infantil",IF(O93&lt;=17,"Juvenil",IF(O93&lt;=44,"Adulto","Baobá"))))</f>
        <v/>
      </c>
      <c r="Q93" s="23">
        <f>IF(P93&lt;&gt;"Adulto","",IF(OR(L93="Marrom",L93="Marrom/Vermelha"),"A",IF(OR(L93="Roxa",L93="Roxa/Marrom"),"B",IF(OR(L93="Verde",L93="Verde/Roxa"),"C",IF(OR(L93="Azul",L93="Azul/Verde"),"D",IF(OR(L93="Laranja",L93="Laranja/Azul"),"E",IF(Y93="Sí","E","N/A")))))))</f>
        <v/>
      </c>
      <c r="R93" s="23">
        <f>IF(P93&lt;&gt;"Baobá","",IF(OR(L93="Laranja",L93="Laranja/Azul"),"Alumnos",IF(Y93="Sí","Alumnos","Graduados+")))</f>
        <v/>
      </c>
      <c r="S93" s="23">
        <f>IF(P93="","",IF(P93="Adulto",IF(OR(Q93="",Q93="N/A"),"⚠ Corda no compite Adulto",P93&amp;"-"&amp;Q93&amp;" · "&amp;M93),IF(P93="Baobá",IF(R93="","⚠ Sin clasificar Baobá",P93&amp;"-"&amp;R93&amp;" · "&amp;M93),IF(P93="Juvenil",IF(AND(OR(L93="Crua",L93="Crua/Amarela"),Y93&lt;&gt;"Sí"),"⚠ Juvenil necesita Amarela+",P93&amp;" · "&amp;M93),P93&amp;" · "&amp;M93))))</f>
        <v/>
      </c>
      <c r="T93" s="23" t="n"/>
      <c r="U93" s="22" t="inlineStr">
        <is>
          <t>Sí</t>
        </is>
      </c>
      <c r="V93" s="22" t="n"/>
      <c r="W93" s="22" t="n"/>
      <c r="X93" s="22" t="n"/>
      <c r="Y93" s="22" t="inlineStr">
        <is>
          <t>No</t>
        </is>
      </c>
      <c r="Z93" s="22" t="inlineStr">
        <is>
          <t>XS</t>
        </is>
      </c>
      <c r="AA93" s="22" t="n">
        <v>35</v>
      </c>
      <c r="AB93" s="22" t="inlineStr">
        <is>
          <t>Pagado</t>
        </is>
      </c>
      <c r="AC93" s="22" t="n"/>
      <c r="AD93" s="23">
        <f>IF(D93&lt;&gt;"","P"&amp;TEXT(ROW()-4,"0000"),"")</f>
        <v/>
      </c>
    </row>
    <row r="94" ht="14.25" customHeight="1" s="72">
      <c r="A94" s="22" t="inlineStr">
        <is>
          <t>2025-10-04 15:45:58</t>
        </is>
      </c>
      <c r="B94" s="22" t="n"/>
      <c r="C94" s="22" t="n"/>
      <c r="D94" s="22" t="inlineStr">
        <is>
          <t>Nagore</t>
        </is>
      </c>
      <c r="E94" s="22" t="inlineStr">
        <is>
          <t>Lima</t>
        </is>
      </c>
      <c r="F94" s="22" t="inlineStr">
        <is>
          <t>Preguiça</t>
        </is>
      </c>
      <c r="G94" s="23">
        <f>IF(F94&lt;&gt;"",F94,IF(AND(D94="",E94=""),"",TRIM(D94&amp;" "&amp;E94)))</f>
        <v/>
      </c>
      <c r="H94" s="22" t="n"/>
      <c r="I94" s="22" t="inlineStr">
        <is>
          <t>+34 620 429 722</t>
        </is>
      </c>
      <c r="J94" s="22" t="inlineStr">
        <is>
          <t>Manaus-Brasil</t>
        </is>
      </c>
      <c r="K94" s="22" t="inlineStr">
        <is>
          <t>Contra-Mestre Falcão</t>
        </is>
      </c>
      <c r="L94" s="22" t="inlineStr">
        <is>
          <t>Verde/Roxa</t>
        </is>
      </c>
      <c r="M94" s="22" t="inlineStr">
        <is>
          <t>Femenino</t>
        </is>
      </c>
      <c r="N94" s="29" t="n">
        <v>36666</v>
      </c>
      <c r="O94" s="23">
        <f>IF(N94="","",DATEDIF(N94,TODAY(),"Y"))</f>
        <v/>
      </c>
      <c r="P94" s="23">
        <f>IF(O94="","",IF(O94&lt;=11,"Infantil",IF(O94&lt;=17,"Juvenil",IF(O94&lt;=44,"Adulto","Baobá"))))</f>
        <v/>
      </c>
      <c r="Q94" s="23">
        <f>IF(P94&lt;&gt;"Adulto","",IF(OR(L94="Marrom",L94="Marrom/Vermelha"),"A",IF(OR(L94="Roxa",L94="Roxa/Marrom"),"B",IF(OR(L94="Verde",L94="Verde/Roxa"),"C",IF(OR(L94="Azul",L94="Azul/Verde"),"D",IF(OR(L94="Laranja",L94="Laranja/Azul"),"E",IF(Y94="Sí","E","N/A")))))))</f>
        <v/>
      </c>
      <c r="R94" s="23">
        <f>IF(P94&lt;&gt;"Baobá","",IF(OR(L94="Laranja",L94="Laranja/Azul"),"Alumnos",IF(Y94="Sí","Alumnos","Graduados+")))</f>
        <v/>
      </c>
      <c r="S94" s="23">
        <f>IF(P94="","",IF(P94="Adulto",IF(OR(Q94="",Q94="N/A"),"⚠ Corda no compite Adulto",P94&amp;"-"&amp;Q94&amp;" · "&amp;M94),IF(P94="Baobá",IF(R94="","⚠ Sin clasificar Baobá",P94&amp;"-"&amp;R94&amp;" · "&amp;M94),IF(P94="Juvenil",IF(AND(OR(L94="Crua",L94="Crua/Amarela"),Y94&lt;&gt;"Sí"),"⚠ Juvenil necesita Amarela+",P94&amp;" · "&amp;M94),P94&amp;" · "&amp;M94))))</f>
        <v/>
      </c>
      <c r="T94" s="23" t="n"/>
      <c r="U94" s="22" t="inlineStr">
        <is>
          <t>Sí</t>
        </is>
      </c>
      <c r="V94" s="22" t="n"/>
      <c r="W94" s="22" t="n"/>
      <c r="X94" s="22" t="n"/>
      <c r="Y94" s="22" t="inlineStr">
        <is>
          <t>No</t>
        </is>
      </c>
      <c r="Z94" s="22" t="inlineStr">
        <is>
          <t>S</t>
        </is>
      </c>
      <c r="AA94" s="22" t="n">
        <v>35</v>
      </c>
      <c r="AB94" s="22" t="inlineStr">
        <is>
          <t>Pagado</t>
        </is>
      </c>
      <c r="AC94" s="22" t="n"/>
      <c r="AD94" s="23">
        <f>IF(D94&lt;&gt;"","P"&amp;TEXT(ROW()-4,"0000"),"")</f>
        <v/>
      </c>
    </row>
    <row r="95" ht="14.25" customHeight="1" s="72">
      <c r="A95" s="22" t="inlineStr">
        <is>
          <t>2025-10-19 16:45:20</t>
        </is>
      </c>
      <c r="B95" s="22" t="n"/>
      <c r="C95" s="22" t="n"/>
      <c r="D95" s="22" t="inlineStr">
        <is>
          <t>Raquel</t>
        </is>
      </c>
      <c r="E95" s="22" t="inlineStr">
        <is>
          <t>Monteiro</t>
        </is>
      </c>
      <c r="F95" s="22" t="inlineStr">
        <is>
          <t>Arraia</t>
        </is>
      </c>
      <c r="G95" s="23">
        <f>IF(F95&lt;&gt;"",F95,IF(AND(D95="",E95=""),"",TRIM(D95&amp;" "&amp;E95)))</f>
        <v/>
      </c>
      <c r="H95" s="22" t="n"/>
      <c r="I95" s="22" t="inlineStr">
        <is>
          <t>+34 647 564 617</t>
        </is>
      </c>
      <c r="J95" s="22" t="inlineStr">
        <is>
          <t>Florencia-Italia</t>
        </is>
      </c>
      <c r="K95" s="22" t="inlineStr">
        <is>
          <t>Professor Leão</t>
        </is>
      </c>
      <c r="L95" s="22" t="inlineStr">
        <is>
          <t>Verde</t>
        </is>
      </c>
      <c r="M95" s="22" t="inlineStr">
        <is>
          <t>Femenino</t>
        </is>
      </c>
      <c r="N95" s="29" t="n">
        <v>30010</v>
      </c>
      <c r="O95" s="23">
        <f>IF(N95="","",DATEDIF(N95,TODAY(),"Y"))</f>
        <v/>
      </c>
      <c r="P95" s="23">
        <f>IF(O95="","",IF(O95&lt;=11,"Infantil",IF(O95&lt;=17,"Juvenil",IF(O95&lt;=44,"Adulto","Baobá"))))</f>
        <v/>
      </c>
      <c r="Q95" s="23">
        <f>IF(P95&lt;&gt;"Adulto","",IF(OR(L95="Marrom",L95="Marrom/Vermelha"),"A",IF(OR(L95="Roxa",L95="Roxa/Marrom"),"B",IF(OR(L95="Verde",L95="Verde/Roxa"),"C",IF(OR(L95="Azul",L95="Azul/Verde"),"D",IF(OR(L95="Laranja",L95="Laranja/Azul"),"E",IF(Y95="Sí","E","N/A")))))))</f>
        <v/>
      </c>
      <c r="R95" s="23">
        <f>IF(P95&lt;&gt;"Baobá","",IF(OR(L95="Laranja",L95="Laranja/Azul"),"Alumnos",IF(Y95="Sí","Alumnos","Graduados+")))</f>
        <v/>
      </c>
      <c r="S95" s="23">
        <f>IF(P95="","",IF(P95="Adulto",IF(OR(Q95="",Q95="N/A"),"⚠ Corda no compite Adulto",P95&amp;"-"&amp;Q95&amp;" · "&amp;M95),IF(P95="Baobá",IF(R95="","⚠ Sin clasificar Baobá",P95&amp;"-"&amp;R95&amp;" · "&amp;M95),IF(P95="Juvenil",IF(AND(OR(L95="Crua",L95="Crua/Amarela"),Y95&lt;&gt;"Sí"),"⚠ Juvenil necesita Amarela+",P95&amp;" · "&amp;M95),P95&amp;" · "&amp;M95))))</f>
        <v/>
      </c>
      <c r="T95" s="23" t="n"/>
      <c r="U95" s="22" t="inlineStr">
        <is>
          <t>Sí</t>
        </is>
      </c>
      <c r="V95" s="22" t="n"/>
      <c r="W95" s="22" t="n"/>
      <c r="X95" s="22" t="n"/>
      <c r="Y95" s="22" t="inlineStr">
        <is>
          <t>No</t>
        </is>
      </c>
      <c r="Z95" s="22" t="inlineStr">
        <is>
          <t>M</t>
        </is>
      </c>
      <c r="AA95" s="22" t="n">
        <v>35</v>
      </c>
      <c r="AB95" s="22" t="inlineStr">
        <is>
          <t>Pagado</t>
        </is>
      </c>
      <c r="AC95" s="22" t="n"/>
      <c r="AD95" s="23">
        <f>IF(D95&lt;&gt;"","P"&amp;TEXT(ROW()-4,"0000"),"")</f>
        <v/>
      </c>
    </row>
    <row r="96" ht="14.25" customHeight="1" s="72">
      <c r="A96" s="22" t="inlineStr">
        <is>
          <t>2025-10-21 22:49:35</t>
        </is>
      </c>
      <c r="B96" s="22" t="n"/>
      <c r="C96" s="22" t="n"/>
      <c r="D96" s="22" t="inlineStr">
        <is>
          <t>Latifa</t>
        </is>
      </c>
      <c r="E96" s="22" t="inlineStr">
        <is>
          <t>Moreno</t>
        </is>
      </c>
      <c r="F96" s="22" t="inlineStr">
        <is>
          <t>Tatu</t>
        </is>
      </c>
      <c r="G96" s="23">
        <f>IF(F96&lt;&gt;"",F96,IF(AND(D96="",E96=""),"",TRIM(D96&amp;" "&amp;E96)))</f>
        <v/>
      </c>
      <c r="H96" s="22" t="n"/>
      <c r="I96" s="22" t="inlineStr">
        <is>
          <t>+34 665 562 333</t>
        </is>
      </c>
      <c r="J96" s="22" t="inlineStr">
        <is>
          <t>Milán-Italia</t>
        </is>
      </c>
      <c r="K96" s="22" t="inlineStr">
        <is>
          <t>Professor Borboleta</t>
        </is>
      </c>
      <c r="L96" s="22" t="inlineStr">
        <is>
          <t>Verde/Roxa</t>
        </is>
      </c>
      <c r="M96" s="22" t="inlineStr">
        <is>
          <t>Femenino</t>
        </is>
      </c>
      <c r="N96" s="29" t="n">
        <v>33068</v>
      </c>
      <c r="O96" s="23">
        <f>IF(N96="","",DATEDIF(N96,TODAY(),"Y"))</f>
        <v/>
      </c>
      <c r="P96" s="23">
        <f>IF(O96="","",IF(O96&lt;=11,"Infantil",IF(O96&lt;=17,"Juvenil",IF(O96&lt;=44,"Adulto","Baobá"))))</f>
        <v/>
      </c>
      <c r="Q96" s="23">
        <f>IF(P96&lt;&gt;"Adulto","",IF(OR(L96="Marrom",L96="Marrom/Vermelha"),"A",IF(OR(L96="Roxa",L96="Roxa/Marrom"),"B",IF(OR(L96="Verde",L96="Verde/Roxa"),"C",IF(OR(L96="Azul",L96="Azul/Verde"),"D",IF(OR(L96="Laranja",L96="Laranja/Azul"),"E",IF(Y96="Sí","E","N/A")))))))</f>
        <v/>
      </c>
      <c r="R96" s="23">
        <f>IF(P96&lt;&gt;"Baobá","",IF(OR(L96="Laranja",L96="Laranja/Azul"),"Alumnos",IF(Y96="Sí","Alumnos","Graduados+")))</f>
        <v/>
      </c>
      <c r="S96" s="23">
        <f>IF(P96="","",IF(P96="Adulto",IF(OR(Q96="",Q96="N/A"),"⚠ Corda no compite Adulto",P96&amp;"-"&amp;Q96&amp;" · "&amp;M96),IF(P96="Baobá",IF(R96="","⚠ Sin clasificar Baobá",P96&amp;"-"&amp;R96&amp;" · "&amp;M96),IF(P96="Juvenil",IF(AND(OR(L96="Crua",L96="Crua/Amarela"),Y96&lt;&gt;"Sí"),"⚠ Juvenil necesita Amarela+",P96&amp;" · "&amp;M96),P96&amp;" · "&amp;M96))))</f>
        <v/>
      </c>
      <c r="T96" s="23" t="n"/>
      <c r="U96" s="22" t="inlineStr">
        <is>
          <t>Sí</t>
        </is>
      </c>
      <c r="V96" s="22" t="n"/>
      <c r="W96" s="22" t="n"/>
      <c r="X96" s="22" t="n"/>
      <c r="Y96" s="22" t="inlineStr">
        <is>
          <t>No</t>
        </is>
      </c>
      <c r="Z96" s="22" t="inlineStr">
        <is>
          <t>L</t>
        </is>
      </c>
      <c r="AA96" s="22" t="n">
        <v>35</v>
      </c>
      <c r="AB96" s="22" t="inlineStr">
        <is>
          <t>Pagado</t>
        </is>
      </c>
      <c r="AC96" s="22" t="n"/>
      <c r="AD96" s="23">
        <f>IF(D96&lt;&gt;"","P"&amp;TEXT(ROW()-4,"0000"),"")</f>
        <v/>
      </c>
    </row>
    <row r="97" ht="14.25" customHeight="1" s="72">
      <c r="A97" s="22" t="inlineStr">
        <is>
          <t>2025-10-04 13:27:20</t>
        </is>
      </c>
      <c r="B97" s="22" t="n"/>
      <c r="C97" s="22" t="n"/>
      <c r="D97" s="22" t="inlineStr">
        <is>
          <t>Pilar</t>
        </is>
      </c>
      <c r="E97" s="22" t="inlineStr">
        <is>
          <t>Schneider</t>
        </is>
      </c>
      <c r="F97" s="22" t="inlineStr">
        <is>
          <t>Tigre</t>
        </is>
      </c>
      <c r="G97" s="23">
        <f>IF(F97&lt;&gt;"",F97,IF(AND(D97="",E97=""),"",TRIM(D97&amp;" "&amp;E97)))</f>
        <v/>
      </c>
      <c r="H97" s="22" t="n"/>
      <c r="I97" s="22" t="inlineStr">
        <is>
          <t>+34 657 256 803</t>
        </is>
      </c>
      <c r="J97" s="22" t="inlineStr">
        <is>
          <t>Santiago-Chile</t>
        </is>
      </c>
      <c r="K97" s="22" t="inlineStr">
        <is>
          <t>Contra-Mestre Falcão</t>
        </is>
      </c>
      <c r="L97" s="22" t="inlineStr">
        <is>
          <t>Verde/Roxa</t>
        </is>
      </c>
      <c r="M97" s="22" t="inlineStr">
        <is>
          <t>Femenino</t>
        </is>
      </c>
      <c r="N97" s="29" t="n">
        <v>37290</v>
      </c>
      <c r="O97" s="23">
        <f>IF(N97="","",DATEDIF(N97,TODAY(),"Y"))</f>
        <v/>
      </c>
      <c r="P97" s="23">
        <f>IF(O97="","",IF(O97&lt;=11,"Infantil",IF(O97&lt;=17,"Juvenil",IF(O97&lt;=44,"Adulto","Baobá"))))</f>
        <v/>
      </c>
      <c r="Q97" s="23">
        <f>IF(P97&lt;&gt;"Adulto","",IF(OR(L97="Marrom",L97="Marrom/Vermelha"),"A",IF(OR(L97="Roxa",L97="Roxa/Marrom"),"B",IF(OR(L97="Verde",L97="Verde/Roxa"),"C",IF(OR(L97="Azul",L97="Azul/Verde"),"D",IF(OR(L97="Laranja",L97="Laranja/Azul"),"E",IF(Y97="Sí","E","N/A")))))))</f>
        <v/>
      </c>
      <c r="R97" s="23">
        <f>IF(P97&lt;&gt;"Baobá","",IF(OR(L97="Laranja",L97="Laranja/Azul"),"Alumnos",IF(Y97="Sí","Alumnos","Graduados+")))</f>
        <v/>
      </c>
      <c r="S97" s="23">
        <f>IF(P97="","",IF(P97="Adulto",IF(OR(Q97="",Q97="N/A"),"⚠ Corda no compite Adulto",P97&amp;"-"&amp;Q97&amp;" · "&amp;M97),IF(P97="Baobá",IF(R97="","⚠ Sin clasificar Baobá",P97&amp;"-"&amp;R97&amp;" · "&amp;M97),IF(P97="Juvenil",IF(AND(OR(L97="Crua",L97="Crua/Amarela"),Y97&lt;&gt;"Sí"),"⚠ Juvenil necesita Amarela+",P97&amp;" · "&amp;M97),P97&amp;" · "&amp;M97))))</f>
        <v/>
      </c>
      <c r="T97" s="23" t="n"/>
      <c r="U97" s="22" t="inlineStr">
        <is>
          <t>Sí</t>
        </is>
      </c>
      <c r="V97" s="22" t="n"/>
      <c r="W97" s="22" t="n"/>
      <c r="X97" s="22" t="n"/>
      <c r="Y97" s="22" t="inlineStr">
        <is>
          <t>No</t>
        </is>
      </c>
      <c r="Z97" s="22" t="inlineStr">
        <is>
          <t>XL</t>
        </is>
      </c>
      <c r="AA97" s="22" t="n">
        <v>35</v>
      </c>
      <c r="AB97" s="22" t="inlineStr">
        <is>
          <t>Pagado</t>
        </is>
      </c>
      <c r="AC97" s="22" t="n"/>
      <c r="AD97" s="23">
        <f>IF(D97&lt;&gt;"","P"&amp;TEXT(ROW()-4,"0000"),"")</f>
        <v/>
      </c>
    </row>
    <row r="98" ht="14.25" customHeight="1" s="72">
      <c r="A98" s="22" t="inlineStr">
        <is>
          <t>2025-09-04 19:47:23</t>
        </is>
      </c>
      <c r="B98" s="22" t="n"/>
      <c r="C98" s="22" t="n"/>
      <c r="D98" s="22" t="inlineStr">
        <is>
          <t>Paula</t>
        </is>
      </c>
      <c r="E98" s="22" t="inlineStr">
        <is>
          <t>Alves</t>
        </is>
      </c>
      <c r="F98" s="22" t="inlineStr">
        <is>
          <t>Golfinho</t>
        </is>
      </c>
      <c r="G98" s="23">
        <f>IF(F98&lt;&gt;"",F98,IF(AND(D98="",E98=""),"",TRIM(D98&amp;" "&amp;E98)))</f>
        <v/>
      </c>
      <c r="H98" s="22" t="n"/>
      <c r="I98" s="22" t="inlineStr">
        <is>
          <t>+34 685 675 675</t>
        </is>
      </c>
      <c r="J98" s="22" t="inlineStr">
        <is>
          <t>Marseille-Francia</t>
        </is>
      </c>
      <c r="K98" s="22" t="inlineStr">
        <is>
          <t>Professor Leão</t>
        </is>
      </c>
      <c r="L98" s="22" t="inlineStr">
        <is>
          <t>Verde/Roxa</t>
        </is>
      </c>
      <c r="M98" s="22" t="inlineStr">
        <is>
          <t>Femenino</t>
        </is>
      </c>
      <c r="N98" s="29" t="n">
        <v>33417</v>
      </c>
      <c r="O98" s="23">
        <f>IF(N98="","",DATEDIF(N98,TODAY(),"Y"))</f>
        <v/>
      </c>
      <c r="P98" s="23">
        <f>IF(O98="","",IF(O98&lt;=11,"Infantil",IF(O98&lt;=17,"Juvenil",IF(O98&lt;=44,"Adulto","Baobá"))))</f>
        <v/>
      </c>
      <c r="Q98" s="23">
        <f>IF(P98&lt;&gt;"Adulto","",IF(OR(L98="Marrom",L98="Marrom/Vermelha"),"A",IF(OR(L98="Roxa",L98="Roxa/Marrom"),"B",IF(OR(L98="Verde",L98="Verde/Roxa"),"C",IF(OR(L98="Azul",L98="Azul/Verde"),"D",IF(OR(L98="Laranja",L98="Laranja/Azul"),"E",IF(Y98="Sí","E","N/A")))))))</f>
        <v/>
      </c>
      <c r="R98" s="23">
        <f>IF(P98&lt;&gt;"Baobá","",IF(OR(L98="Laranja",L98="Laranja/Azul"),"Alumnos",IF(Y98="Sí","Alumnos","Graduados+")))</f>
        <v/>
      </c>
      <c r="S98" s="23">
        <f>IF(P98="","",IF(P98="Adulto",IF(OR(Q98="",Q98="N/A"),"⚠ Corda no compite Adulto",P98&amp;"-"&amp;Q98&amp;" · "&amp;M98),IF(P98="Baobá",IF(R98="","⚠ Sin clasificar Baobá",P98&amp;"-"&amp;R98&amp;" · "&amp;M98),IF(P98="Juvenil",IF(AND(OR(L98="Crua",L98="Crua/Amarela"),Y98&lt;&gt;"Sí"),"⚠ Juvenil necesita Amarela+",P98&amp;" · "&amp;M98),P98&amp;" · "&amp;M98))))</f>
        <v/>
      </c>
      <c r="T98" s="23" t="n"/>
      <c r="U98" s="22" t="inlineStr">
        <is>
          <t>Sí</t>
        </is>
      </c>
      <c r="V98" s="22" t="n"/>
      <c r="W98" s="22" t="n"/>
      <c r="X98" s="22" t="n"/>
      <c r="Y98" s="22" t="inlineStr">
        <is>
          <t>No</t>
        </is>
      </c>
      <c r="Z98" s="22" t="inlineStr">
        <is>
          <t>XXL</t>
        </is>
      </c>
      <c r="AA98" s="22" t="n">
        <v>35</v>
      </c>
      <c r="AB98" s="22" t="inlineStr">
        <is>
          <t>Pagado</t>
        </is>
      </c>
      <c r="AC98" s="22" t="n"/>
      <c r="AD98" s="23">
        <f>IF(D98&lt;&gt;"","P"&amp;TEXT(ROW()-4,"0000"),"")</f>
        <v/>
      </c>
    </row>
    <row r="99" ht="14.25" customHeight="1" s="72">
      <c r="A99" s="22" t="inlineStr">
        <is>
          <t>2025-10-25 14:55:58</t>
        </is>
      </c>
      <c r="B99" s="22" t="n"/>
      <c r="C99" s="22" t="n"/>
      <c r="D99" s="22" t="inlineStr">
        <is>
          <t>Latifa</t>
        </is>
      </c>
      <c r="E99" s="22" t="inlineStr">
        <is>
          <t>Ferreira</t>
        </is>
      </c>
      <c r="F99" s="22" t="inlineStr">
        <is>
          <t>Tubarão</t>
        </is>
      </c>
      <c r="G99" s="23">
        <f>IF(F99&lt;&gt;"",F99,IF(AND(D99="",E99=""),"",TRIM(D99&amp;" "&amp;E99)))</f>
        <v/>
      </c>
      <c r="H99" s="22" t="n"/>
      <c r="I99" s="22" t="inlineStr">
        <is>
          <t>+34 646 714 419</t>
        </is>
      </c>
      <c r="J99" s="22" t="inlineStr">
        <is>
          <t>Berlín-Alemania</t>
        </is>
      </c>
      <c r="K99" s="22" t="inlineStr">
        <is>
          <t>Professor Leão</t>
        </is>
      </c>
      <c r="L99" s="22" t="inlineStr">
        <is>
          <t>Verde</t>
        </is>
      </c>
      <c r="M99" s="22" t="inlineStr">
        <is>
          <t>Femenino</t>
        </is>
      </c>
      <c r="N99" s="29" t="n">
        <v>31662</v>
      </c>
      <c r="O99" s="23">
        <f>IF(N99="","",DATEDIF(N99,TODAY(),"Y"))</f>
        <v/>
      </c>
      <c r="P99" s="23">
        <f>IF(O99="","",IF(O99&lt;=11,"Infantil",IF(O99&lt;=17,"Juvenil",IF(O99&lt;=44,"Adulto","Baobá"))))</f>
        <v/>
      </c>
      <c r="Q99" s="23">
        <f>IF(P99&lt;&gt;"Adulto","",IF(OR(L99="Marrom",L99="Marrom/Vermelha"),"A",IF(OR(L99="Roxa",L99="Roxa/Marrom"),"B",IF(OR(L99="Verde",L99="Verde/Roxa"),"C",IF(OR(L99="Azul",L99="Azul/Verde"),"D",IF(OR(L99="Laranja",L99="Laranja/Azul"),"E",IF(Y99="Sí","E","N/A")))))))</f>
        <v/>
      </c>
      <c r="R99" s="23">
        <f>IF(P99&lt;&gt;"Baobá","",IF(OR(L99="Laranja",L99="Laranja/Azul"),"Alumnos",IF(Y99="Sí","Alumnos","Graduados+")))</f>
        <v/>
      </c>
      <c r="S99" s="23">
        <f>IF(P99="","",IF(P99="Adulto",IF(OR(Q99="",Q99="N/A"),"⚠ Corda no compite Adulto",P99&amp;"-"&amp;Q99&amp;" · "&amp;M99),IF(P99="Baobá",IF(R99="","⚠ Sin clasificar Baobá",P99&amp;"-"&amp;R99&amp;" · "&amp;M99),IF(P99="Juvenil",IF(AND(OR(L99="Crua",L99="Crua/Amarela"),Y99&lt;&gt;"Sí"),"⚠ Juvenil necesita Amarela+",P99&amp;" · "&amp;M99),P99&amp;" · "&amp;M99))))</f>
        <v/>
      </c>
      <c r="T99" s="23" t="n"/>
      <c r="U99" s="22" t="inlineStr">
        <is>
          <t>Sí</t>
        </is>
      </c>
      <c r="V99" s="22" t="n"/>
      <c r="W99" s="22" t="n"/>
      <c r="X99" s="22" t="n"/>
      <c r="Y99" s="22" t="inlineStr">
        <is>
          <t>No</t>
        </is>
      </c>
      <c r="Z99" s="22" t="inlineStr">
        <is>
          <t>XS</t>
        </is>
      </c>
      <c r="AA99" s="22" t="n">
        <v>35</v>
      </c>
      <c r="AB99" s="22" t="inlineStr">
        <is>
          <t>Pagado</t>
        </is>
      </c>
      <c r="AC99" s="22" t="n"/>
      <c r="AD99" s="23">
        <f>IF(D99&lt;&gt;"","P"&amp;TEXT(ROW()-4,"0000"),"")</f>
        <v/>
      </c>
    </row>
    <row r="100" ht="14.25" customHeight="1" s="72">
      <c r="A100" s="22" t="inlineStr">
        <is>
          <t>2025-08-22 15:14:54</t>
        </is>
      </c>
      <c r="B100" s="22" t="n"/>
      <c r="C100" s="22" t="n"/>
      <c r="D100" s="22" t="inlineStr">
        <is>
          <t>Lucia</t>
        </is>
      </c>
      <c r="E100" s="22" t="inlineStr">
        <is>
          <t>Bianchi</t>
        </is>
      </c>
      <c r="F100" s="22" t="inlineStr">
        <is>
          <t>Lagosta</t>
        </is>
      </c>
      <c r="G100" s="23">
        <f>IF(F100&lt;&gt;"",F100,IF(AND(D100="",E100=""),"",TRIM(D100&amp;" "&amp;E100)))</f>
        <v/>
      </c>
      <c r="H100" s="22" t="n"/>
      <c r="I100" s="22" t="inlineStr">
        <is>
          <t>+34 681 476 217</t>
        </is>
      </c>
      <c r="J100" s="22" t="inlineStr">
        <is>
          <t>Cascais-Portugal</t>
        </is>
      </c>
      <c r="K100" s="22" t="inlineStr">
        <is>
          <t>Mestre Urso</t>
        </is>
      </c>
      <c r="L100" s="22" t="inlineStr">
        <is>
          <t>Verde/Roxa</t>
        </is>
      </c>
      <c r="M100" s="22" t="inlineStr">
        <is>
          <t>Femenino</t>
        </is>
      </c>
      <c r="N100" s="29" t="n">
        <v>35639</v>
      </c>
      <c r="O100" s="23">
        <f>IF(N100="","",DATEDIF(N100,TODAY(),"Y"))</f>
        <v/>
      </c>
      <c r="P100" s="23">
        <f>IF(O100="","",IF(O100&lt;=11,"Infantil",IF(O100&lt;=17,"Juvenil",IF(O100&lt;=44,"Adulto","Baobá"))))</f>
        <v/>
      </c>
      <c r="Q100" s="23">
        <f>IF(P100&lt;&gt;"Adulto","",IF(OR(L100="Marrom",L100="Marrom/Vermelha"),"A",IF(OR(L100="Roxa",L100="Roxa/Marrom"),"B",IF(OR(L100="Verde",L100="Verde/Roxa"),"C",IF(OR(L100="Azul",L100="Azul/Verde"),"D",IF(OR(L100="Laranja",L100="Laranja/Azul"),"E",IF(Y100="Sí","E","N/A")))))))</f>
        <v/>
      </c>
      <c r="R100" s="23">
        <f>IF(P100&lt;&gt;"Baobá","",IF(OR(L100="Laranja",L100="Laranja/Azul"),"Alumnos",IF(Y100="Sí","Alumnos","Graduados+")))</f>
        <v/>
      </c>
      <c r="S100" s="23">
        <f>IF(P100="","",IF(P100="Adulto",IF(OR(Q100="",Q100="N/A"),"⚠ Corda no compite Adulto",P100&amp;"-"&amp;Q100&amp;" · "&amp;M100),IF(P100="Baobá",IF(R100="","⚠ Sin clasificar Baobá",P100&amp;"-"&amp;R100&amp;" · "&amp;M100),IF(P100="Juvenil",IF(AND(OR(L100="Crua",L100="Crua/Amarela"),Y100&lt;&gt;"Sí"),"⚠ Juvenil necesita Amarela+",P100&amp;" · "&amp;M100),P100&amp;" · "&amp;M100))))</f>
        <v/>
      </c>
      <c r="T100" s="23" t="n"/>
      <c r="U100" s="22" t="inlineStr">
        <is>
          <t>Sí</t>
        </is>
      </c>
      <c r="V100" s="22" t="n"/>
      <c r="W100" s="22" t="n"/>
      <c r="X100" s="22" t="n"/>
      <c r="Y100" s="22" t="inlineStr">
        <is>
          <t>No</t>
        </is>
      </c>
      <c r="Z100" s="22" t="inlineStr">
        <is>
          <t>S</t>
        </is>
      </c>
      <c r="AA100" s="22" t="n">
        <v>35</v>
      </c>
      <c r="AB100" s="22" t="inlineStr">
        <is>
          <t>Pagado</t>
        </is>
      </c>
      <c r="AC100" s="22" t="n"/>
      <c r="AD100" s="23">
        <f>IF(D100&lt;&gt;"","P"&amp;TEXT(ROW()-4,"0000"),"")</f>
        <v/>
      </c>
    </row>
    <row r="101" ht="14.25" customHeight="1" s="72">
      <c r="A101" s="22" t="inlineStr">
        <is>
          <t>2025-09-22 14:31:38</t>
        </is>
      </c>
      <c r="B101" s="22" t="n"/>
      <c r="C101" s="22" t="n"/>
      <c r="D101" s="22" t="inlineStr">
        <is>
          <t>Thiago</t>
        </is>
      </c>
      <c r="E101" s="22" t="inlineStr">
        <is>
          <t>Thomas</t>
        </is>
      </c>
      <c r="F101" s="22" t="inlineStr">
        <is>
          <t>Puma-Preto</t>
        </is>
      </c>
      <c r="G101" s="23">
        <f>IF(F101&lt;&gt;"",F101,IF(AND(D101="",E101=""),"",TRIM(D101&amp;" "&amp;E101)))</f>
        <v/>
      </c>
      <c r="H101" s="22" t="n"/>
      <c r="I101" s="22" t="inlineStr">
        <is>
          <t>+34 644 320 873</t>
        </is>
      </c>
      <c r="J101" s="22" t="inlineStr">
        <is>
          <t>Porto Alegre-Brasil</t>
        </is>
      </c>
      <c r="K101" s="22" t="inlineStr">
        <is>
          <t>Contra-Mestre Jabuti</t>
        </is>
      </c>
      <c r="L101" s="22" t="inlineStr">
        <is>
          <t>Azul</t>
        </is>
      </c>
      <c r="M101" s="22" t="inlineStr">
        <is>
          <t>Masculino</t>
        </is>
      </c>
      <c r="N101" s="29" t="n">
        <v>33279</v>
      </c>
      <c r="O101" s="23">
        <f>IF(N101="","",DATEDIF(N101,TODAY(),"Y"))</f>
        <v/>
      </c>
      <c r="P101" s="23">
        <f>IF(O101="","",IF(O101&lt;=11,"Infantil",IF(O101&lt;=17,"Juvenil",IF(O101&lt;=44,"Adulto","Baobá"))))</f>
        <v/>
      </c>
      <c r="Q101" s="23">
        <f>IF(P101&lt;&gt;"Adulto","",IF(OR(L101="Marrom",L101="Marrom/Vermelha"),"A",IF(OR(L101="Roxa",L101="Roxa/Marrom"),"B",IF(OR(L101="Verde",L101="Verde/Roxa"),"C",IF(OR(L101="Azul",L101="Azul/Verde"),"D",IF(OR(L101="Laranja",L101="Laranja/Azul"),"E",IF(Y101="Sí","E","N/A")))))))</f>
        <v/>
      </c>
      <c r="R101" s="23">
        <f>IF(P101&lt;&gt;"Baobá","",IF(OR(L101="Laranja",L101="Laranja/Azul"),"Alumnos",IF(Y101="Sí","Alumnos","Graduados+")))</f>
        <v/>
      </c>
      <c r="S101" s="23">
        <f>IF(P101="","",IF(P101="Adulto",IF(OR(Q101="",Q101="N/A"),"⚠ Corda no compite Adulto",P101&amp;"-"&amp;Q101&amp;" · "&amp;M101),IF(P101="Baobá",IF(R101="","⚠ Sin clasificar Baobá",P101&amp;"-"&amp;R101&amp;" · "&amp;M101),IF(P101="Juvenil",IF(AND(OR(L101="Crua",L101="Crua/Amarela"),Y101&lt;&gt;"Sí"),"⚠ Juvenil necesita Amarela+",P101&amp;" · "&amp;M101),P101&amp;" · "&amp;M101))))</f>
        <v/>
      </c>
      <c r="T101" s="23" t="n"/>
      <c r="U101" s="22" t="inlineStr">
        <is>
          <t>Sí</t>
        </is>
      </c>
      <c r="V101" s="22" t="n"/>
      <c r="W101" s="22" t="n"/>
      <c r="X101" s="22" t="n"/>
      <c r="Y101" s="22" t="inlineStr">
        <is>
          <t>No</t>
        </is>
      </c>
      <c r="Z101" s="22" t="inlineStr">
        <is>
          <t>XS</t>
        </is>
      </c>
      <c r="AA101" s="22" t="n">
        <v>35</v>
      </c>
      <c r="AB101" s="22" t="inlineStr">
        <is>
          <t>Pagado</t>
        </is>
      </c>
      <c r="AC101" s="22" t="n"/>
      <c r="AD101" s="23">
        <f>IF(D101&lt;&gt;"","P"&amp;TEXT(ROW()-4,"0000"),"")</f>
        <v/>
      </c>
    </row>
    <row r="102" ht="14.25" customHeight="1" s="72">
      <c r="A102" s="22" t="inlineStr">
        <is>
          <t>2025-10-22 17:31:33</t>
        </is>
      </c>
      <c r="B102" s="22" t="n"/>
      <c r="C102" s="22" t="n"/>
      <c r="D102" s="22" t="inlineStr">
        <is>
          <t>Julio</t>
        </is>
      </c>
      <c r="E102" s="22" t="inlineStr">
        <is>
          <t>Richter</t>
        </is>
      </c>
      <c r="F102" s="22" t="inlineStr">
        <is>
          <t>Andorinha</t>
        </is>
      </c>
      <c r="G102" s="23">
        <f>IF(F102&lt;&gt;"",F102,IF(AND(D102="",E102=""),"",TRIM(D102&amp;" "&amp;E102)))</f>
        <v/>
      </c>
      <c r="H102" s="22" t="n"/>
      <c r="I102" s="22" t="inlineStr">
        <is>
          <t>+34 615 325 504</t>
        </is>
      </c>
      <c r="J102" s="22" t="inlineStr">
        <is>
          <t>Belo Horizonte-Brasil</t>
        </is>
      </c>
      <c r="K102" s="22" t="inlineStr">
        <is>
          <t>Mestre Bimba</t>
        </is>
      </c>
      <c r="L102" s="22" t="inlineStr">
        <is>
          <t>Azul/Verde</t>
        </is>
      </c>
      <c r="M102" s="22" t="inlineStr">
        <is>
          <t>Masculino</t>
        </is>
      </c>
      <c r="N102" s="29" t="n">
        <v>35922</v>
      </c>
      <c r="O102" s="23">
        <f>IF(N102="","",DATEDIF(N102,TODAY(),"Y"))</f>
        <v/>
      </c>
      <c r="P102" s="23">
        <f>IF(O102="","",IF(O102&lt;=11,"Infantil",IF(O102&lt;=17,"Juvenil",IF(O102&lt;=44,"Adulto","Baobá"))))</f>
        <v/>
      </c>
      <c r="Q102" s="23">
        <f>IF(P102&lt;&gt;"Adulto","",IF(OR(L102="Marrom",L102="Marrom/Vermelha"),"A",IF(OR(L102="Roxa",L102="Roxa/Marrom"),"B",IF(OR(L102="Verde",L102="Verde/Roxa"),"C",IF(OR(L102="Azul",L102="Azul/Verde"),"D",IF(OR(L102="Laranja",L102="Laranja/Azul"),"E",IF(Y102="Sí","E","N/A")))))))</f>
        <v/>
      </c>
      <c r="R102" s="23">
        <f>IF(P102&lt;&gt;"Baobá","",IF(OR(L102="Laranja",L102="Laranja/Azul"),"Alumnos",IF(Y102="Sí","Alumnos","Graduados+")))</f>
        <v/>
      </c>
      <c r="S102" s="23">
        <f>IF(P102="","",IF(P102="Adulto",IF(OR(Q102="",Q102="N/A"),"⚠ Corda no compite Adulto",P102&amp;"-"&amp;Q102&amp;" · "&amp;M102),IF(P102="Baobá",IF(R102="","⚠ Sin clasificar Baobá",P102&amp;"-"&amp;R102&amp;" · "&amp;M102),IF(P102="Juvenil",IF(AND(OR(L102="Crua",L102="Crua/Amarela"),Y102&lt;&gt;"Sí"),"⚠ Juvenil necesita Amarela+",P102&amp;" · "&amp;M102),P102&amp;" · "&amp;M102))))</f>
        <v/>
      </c>
      <c r="T102" s="23" t="n"/>
      <c r="U102" s="22" t="inlineStr">
        <is>
          <t>Sí</t>
        </is>
      </c>
      <c r="V102" s="22" t="n"/>
      <c r="W102" s="22" t="n"/>
      <c r="X102" s="22" t="n"/>
      <c r="Y102" s="22" t="inlineStr">
        <is>
          <t>No</t>
        </is>
      </c>
      <c r="Z102" s="22" t="inlineStr">
        <is>
          <t>S</t>
        </is>
      </c>
      <c r="AA102" s="22" t="n">
        <v>35</v>
      </c>
      <c r="AB102" s="22" t="inlineStr">
        <is>
          <t>Pagado</t>
        </is>
      </c>
      <c r="AC102" s="22" t="n"/>
      <c r="AD102" s="23">
        <f>IF(D102&lt;&gt;"","P"&amp;TEXT(ROW()-4,"0000"),"")</f>
        <v/>
      </c>
    </row>
    <row r="103" ht="14.25" customHeight="1" s="72">
      <c r="A103" s="22" t="inlineStr">
        <is>
          <t>2025-08-25 12:18:20</t>
        </is>
      </c>
      <c r="B103" s="22" t="n"/>
      <c r="C103" s="22" t="n"/>
      <c r="D103" s="22" t="inlineStr">
        <is>
          <t>Fábio</t>
        </is>
      </c>
      <c r="E103" s="22" t="inlineStr">
        <is>
          <t>Silva</t>
        </is>
      </c>
      <c r="F103" s="22" t="inlineStr">
        <is>
          <t>Cobra</t>
        </is>
      </c>
      <c r="G103" s="23">
        <f>IF(F103&lt;&gt;"",F103,IF(AND(D103="",E103=""),"",TRIM(D103&amp;" "&amp;E103)))</f>
        <v/>
      </c>
      <c r="H103" s="22" t="n"/>
      <c r="I103" s="22" t="inlineStr">
        <is>
          <t>+34 673 864 540</t>
        </is>
      </c>
      <c r="J103" s="22" t="inlineStr">
        <is>
          <t>Barcelona-España</t>
        </is>
      </c>
      <c r="K103" s="22" t="inlineStr">
        <is>
          <t>Mestre Cobra</t>
        </is>
      </c>
      <c r="L103" s="22" t="inlineStr">
        <is>
          <t>Azul</t>
        </is>
      </c>
      <c r="M103" s="22" t="inlineStr">
        <is>
          <t>Masculino</t>
        </is>
      </c>
      <c r="N103" s="29" t="n">
        <v>33870</v>
      </c>
      <c r="O103" s="23">
        <f>IF(N103="","",DATEDIF(N103,TODAY(),"Y"))</f>
        <v/>
      </c>
      <c r="P103" s="23">
        <f>IF(O103="","",IF(O103&lt;=11,"Infantil",IF(O103&lt;=17,"Juvenil",IF(O103&lt;=44,"Adulto","Baobá"))))</f>
        <v/>
      </c>
      <c r="Q103" s="23">
        <f>IF(P103&lt;&gt;"Adulto","",IF(OR(L103="Marrom",L103="Marrom/Vermelha"),"A",IF(OR(L103="Roxa",L103="Roxa/Marrom"),"B",IF(OR(L103="Verde",L103="Verde/Roxa"),"C",IF(OR(L103="Azul",L103="Azul/Verde"),"D",IF(OR(L103="Laranja",L103="Laranja/Azul"),"E",IF(Y103="Sí","E","N/A")))))))</f>
        <v/>
      </c>
      <c r="R103" s="23">
        <f>IF(P103&lt;&gt;"Baobá","",IF(OR(L103="Laranja",L103="Laranja/Azul"),"Alumnos",IF(Y103="Sí","Alumnos","Graduados+")))</f>
        <v/>
      </c>
      <c r="S103" s="23">
        <f>IF(P103="","",IF(P103="Adulto",IF(OR(Q103="",Q103="N/A"),"⚠ Corda no compite Adulto",P103&amp;"-"&amp;Q103&amp;" · "&amp;M103),IF(P103="Baobá",IF(R103="","⚠ Sin clasificar Baobá",P103&amp;"-"&amp;R103&amp;" · "&amp;M103),IF(P103="Juvenil",IF(AND(OR(L103="Crua",L103="Crua/Amarela"),Y103&lt;&gt;"Sí"),"⚠ Juvenil necesita Amarela+",P103&amp;" · "&amp;M103),P103&amp;" · "&amp;M103))))</f>
        <v/>
      </c>
      <c r="T103" s="23" t="n"/>
      <c r="U103" s="22" t="inlineStr">
        <is>
          <t>Sí</t>
        </is>
      </c>
      <c r="V103" s="22" t="n"/>
      <c r="W103" s="22" t="n"/>
      <c r="X103" s="22" t="n"/>
      <c r="Y103" s="22" t="inlineStr">
        <is>
          <t>No</t>
        </is>
      </c>
      <c r="Z103" s="22" t="inlineStr">
        <is>
          <t>M</t>
        </is>
      </c>
      <c r="AA103" s="22" t="n">
        <v>35</v>
      </c>
      <c r="AB103" s="22" t="inlineStr">
        <is>
          <t>Pagado</t>
        </is>
      </c>
      <c r="AC103" s="22" t="n"/>
      <c r="AD103" s="23">
        <f>IF(D103&lt;&gt;"","P"&amp;TEXT(ROW()-4,"0000"),"")</f>
        <v/>
      </c>
    </row>
    <row r="104" ht="14.25" customHeight="1" s="72">
      <c r="A104" s="22" t="inlineStr">
        <is>
          <t>2025-08-17 16:53:42</t>
        </is>
      </c>
      <c r="B104" s="22" t="n"/>
      <c r="C104" s="22" t="n"/>
      <c r="D104" s="22" t="inlineStr">
        <is>
          <t>Eduardo</t>
        </is>
      </c>
      <c r="E104" s="22" t="inlineStr">
        <is>
          <t>Lima</t>
        </is>
      </c>
      <c r="F104" s="22" t="inlineStr">
        <is>
          <t>Jacu</t>
        </is>
      </c>
      <c r="G104" s="23">
        <f>IF(F104&lt;&gt;"",F104,IF(AND(D104="",E104=""),"",TRIM(D104&amp;" "&amp;E104)))</f>
        <v/>
      </c>
      <c r="H104" s="22" t="n"/>
      <c r="I104" s="22" t="inlineStr">
        <is>
          <t>+34 660 982 859</t>
        </is>
      </c>
      <c r="J104" s="22" t="inlineStr">
        <is>
          <t>Salvador-Brasil</t>
        </is>
      </c>
      <c r="K104" s="22" t="inlineStr">
        <is>
          <t>Professor Macaco</t>
        </is>
      </c>
      <c r="L104" s="22" t="inlineStr">
        <is>
          <t>Azul</t>
        </is>
      </c>
      <c r="M104" s="22" t="inlineStr">
        <is>
          <t>Masculino</t>
        </is>
      </c>
      <c r="N104" s="29" t="n">
        <v>38202</v>
      </c>
      <c r="O104" s="23">
        <f>IF(N104="","",DATEDIF(N104,TODAY(),"Y"))</f>
        <v/>
      </c>
      <c r="P104" s="23">
        <f>IF(O104="","",IF(O104&lt;=11,"Infantil",IF(O104&lt;=17,"Juvenil",IF(O104&lt;=44,"Adulto","Baobá"))))</f>
        <v/>
      </c>
      <c r="Q104" s="23">
        <f>IF(P104&lt;&gt;"Adulto","",IF(OR(L104="Marrom",L104="Marrom/Vermelha"),"A",IF(OR(L104="Roxa",L104="Roxa/Marrom"),"B",IF(OR(L104="Verde",L104="Verde/Roxa"),"C",IF(OR(L104="Azul",L104="Azul/Verde"),"D",IF(OR(L104="Laranja",L104="Laranja/Azul"),"E",IF(Y104="Sí","E","N/A")))))))</f>
        <v/>
      </c>
      <c r="R104" s="23">
        <f>IF(P104&lt;&gt;"Baobá","",IF(OR(L104="Laranja",L104="Laranja/Azul"),"Alumnos",IF(Y104="Sí","Alumnos","Graduados+")))</f>
        <v/>
      </c>
      <c r="S104" s="23">
        <f>IF(P104="","",IF(P104="Adulto",IF(OR(Q104="",Q104="N/A"),"⚠ Corda no compite Adulto",P104&amp;"-"&amp;Q104&amp;" · "&amp;M104),IF(P104="Baobá",IF(R104="","⚠ Sin clasificar Baobá",P104&amp;"-"&amp;R104&amp;" · "&amp;M104),IF(P104="Juvenil",IF(AND(OR(L104="Crua",L104="Crua/Amarela"),Y104&lt;&gt;"Sí"),"⚠ Juvenil necesita Amarela+",P104&amp;" · "&amp;M104),P104&amp;" · "&amp;M104))))</f>
        <v/>
      </c>
      <c r="T104" s="23" t="n"/>
      <c r="U104" s="22" t="inlineStr">
        <is>
          <t>Sí</t>
        </is>
      </c>
      <c r="V104" s="22" t="n"/>
      <c r="W104" s="22" t="n"/>
      <c r="X104" s="22" t="n"/>
      <c r="Y104" s="22" t="inlineStr">
        <is>
          <t>No</t>
        </is>
      </c>
      <c r="Z104" s="22" t="inlineStr">
        <is>
          <t>L</t>
        </is>
      </c>
      <c r="AA104" s="22" t="n">
        <v>35</v>
      </c>
      <c r="AB104" s="22" t="inlineStr">
        <is>
          <t>Pagado</t>
        </is>
      </c>
      <c r="AC104" s="22" t="n"/>
      <c r="AD104" s="23">
        <f>IF(D104&lt;&gt;"","P"&amp;TEXT(ROW()-4,"0000"),"")</f>
        <v/>
      </c>
    </row>
    <row r="105" ht="14.25" customHeight="1" s="72">
      <c r="A105" s="22" t="inlineStr">
        <is>
          <t>2025-09-19 14:36:25</t>
        </is>
      </c>
      <c r="B105" s="22" t="n"/>
      <c r="C105" s="22" t="n"/>
      <c r="D105" s="22" t="inlineStr">
        <is>
          <t>Olivier</t>
        </is>
      </c>
      <c r="E105" s="22" t="inlineStr">
        <is>
          <t>Thomas</t>
        </is>
      </c>
      <c r="F105" s="22" t="inlineStr">
        <is>
          <t>Irara</t>
        </is>
      </c>
      <c r="G105" s="23">
        <f>IF(F105&lt;&gt;"",F105,IF(AND(D105="",E105=""),"",TRIM(D105&amp;" "&amp;E105)))</f>
        <v/>
      </c>
      <c r="H105" s="22" t="n"/>
      <c r="I105" s="22" t="inlineStr">
        <is>
          <t>+34 623 930 957</t>
        </is>
      </c>
      <c r="J105" s="22" t="inlineStr">
        <is>
          <t>Marseille-Francia</t>
        </is>
      </c>
      <c r="K105" s="22" t="inlineStr">
        <is>
          <t>Contra-Mestre Falcão</t>
        </is>
      </c>
      <c r="L105" s="22" t="inlineStr">
        <is>
          <t>Azul/Verde</t>
        </is>
      </c>
      <c r="M105" s="22" t="inlineStr">
        <is>
          <t>Masculino</t>
        </is>
      </c>
      <c r="N105" s="29" t="n">
        <v>32453</v>
      </c>
      <c r="O105" s="23">
        <f>IF(N105="","",DATEDIF(N105,TODAY(),"Y"))</f>
        <v/>
      </c>
      <c r="P105" s="23">
        <f>IF(O105="","",IF(O105&lt;=11,"Infantil",IF(O105&lt;=17,"Juvenil",IF(O105&lt;=44,"Adulto","Baobá"))))</f>
        <v/>
      </c>
      <c r="Q105" s="23">
        <f>IF(P105&lt;&gt;"Adulto","",IF(OR(L105="Marrom",L105="Marrom/Vermelha"),"A",IF(OR(L105="Roxa",L105="Roxa/Marrom"),"B",IF(OR(L105="Verde",L105="Verde/Roxa"),"C",IF(OR(L105="Azul",L105="Azul/Verde"),"D",IF(OR(L105="Laranja",L105="Laranja/Azul"),"E",IF(Y105="Sí","E","N/A")))))))</f>
        <v/>
      </c>
      <c r="R105" s="23">
        <f>IF(P105&lt;&gt;"Baobá","",IF(OR(L105="Laranja",L105="Laranja/Azul"),"Alumnos",IF(Y105="Sí","Alumnos","Graduados+")))</f>
        <v/>
      </c>
      <c r="S105" s="23">
        <f>IF(P105="","",IF(P105="Adulto",IF(OR(Q105="",Q105="N/A"),"⚠ Corda no compite Adulto",P105&amp;"-"&amp;Q105&amp;" · "&amp;M105),IF(P105="Baobá",IF(R105="","⚠ Sin clasificar Baobá",P105&amp;"-"&amp;R105&amp;" · "&amp;M105),IF(P105="Juvenil",IF(AND(OR(L105="Crua",L105="Crua/Amarela"),Y105&lt;&gt;"Sí"),"⚠ Juvenil necesita Amarela+",P105&amp;" · "&amp;M105),P105&amp;" · "&amp;M105))))</f>
        <v/>
      </c>
      <c r="T105" s="23" t="n"/>
      <c r="U105" s="22" t="inlineStr">
        <is>
          <t>Sí</t>
        </is>
      </c>
      <c r="V105" s="22" t="n"/>
      <c r="W105" s="22" t="n"/>
      <c r="X105" s="22" t="n"/>
      <c r="Y105" s="22" t="inlineStr">
        <is>
          <t>No</t>
        </is>
      </c>
      <c r="Z105" s="22" t="inlineStr">
        <is>
          <t>XL</t>
        </is>
      </c>
      <c r="AA105" s="22" t="n">
        <v>35</v>
      </c>
      <c r="AB105" s="22" t="inlineStr">
        <is>
          <t>Pagado</t>
        </is>
      </c>
      <c r="AC105" s="22" t="n"/>
      <c r="AD105" s="23">
        <f>IF(D105&lt;&gt;"","P"&amp;TEXT(ROW()-4,"0000"),"")</f>
        <v/>
      </c>
    </row>
    <row r="106" ht="14.25" customHeight="1" s="72">
      <c r="A106" s="22" t="inlineStr">
        <is>
          <t>2025-08-08 19:28:28</t>
        </is>
      </c>
      <c r="B106" s="22" t="n"/>
      <c r="C106" s="22" t="n"/>
      <c r="D106" s="22" t="inlineStr">
        <is>
          <t>Alberto</t>
        </is>
      </c>
      <c r="E106" s="22" t="inlineStr">
        <is>
          <t>Pires</t>
        </is>
      </c>
      <c r="F106" s="22" t="inlineStr">
        <is>
          <t>Bicho-Preguiça</t>
        </is>
      </c>
      <c r="G106" s="23">
        <f>IF(F106&lt;&gt;"",F106,IF(AND(D106="",E106=""),"",TRIM(D106&amp;" "&amp;E106)))</f>
        <v/>
      </c>
      <c r="H106" s="22" t="n"/>
      <c r="I106" s="22" t="inlineStr">
        <is>
          <t>+34 688 262 472</t>
        </is>
      </c>
      <c r="J106" s="22" t="inlineStr">
        <is>
          <t>Hamburgo-Alemania</t>
        </is>
      </c>
      <c r="K106" s="22" t="inlineStr">
        <is>
          <t>Mestre Coruja</t>
        </is>
      </c>
      <c r="L106" s="22" t="inlineStr">
        <is>
          <t>Azul/Verde</t>
        </is>
      </c>
      <c r="M106" s="22" t="inlineStr">
        <is>
          <t>Masculino</t>
        </is>
      </c>
      <c r="N106" s="29" t="n">
        <v>33810</v>
      </c>
      <c r="O106" s="23">
        <f>IF(N106="","",DATEDIF(N106,TODAY(),"Y"))</f>
        <v/>
      </c>
      <c r="P106" s="23">
        <f>IF(O106="","",IF(O106&lt;=11,"Infantil",IF(O106&lt;=17,"Juvenil",IF(O106&lt;=44,"Adulto","Baobá"))))</f>
        <v/>
      </c>
      <c r="Q106" s="23">
        <f>IF(P106&lt;&gt;"Adulto","",IF(OR(L106="Marrom",L106="Marrom/Vermelha"),"A",IF(OR(L106="Roxa",L106="Roxa/Marrom"),"B",IF(OR(L106="Verde",L106="Verde/Roxa"),"C",IF(OR(L106="Azul",L106="Azul/Verde"),"D",IF(OR(L106="Laranja",L106="Laranja/Azul"),"E",IF(Y106="Sí","E","N/A")))))))</f>
        <v/>
      </c>
      <c r="R106" s="23">
        <f>IF(P106&lt;&gt;"Baobá","",IF(OR(L106="Laranja",L106="Laranja/Azul"),"Alumnos",IF(Y106="Sí","Alumnos","Graduados+")))</f>
        <v/>
      </c>
      <c r="S106" s="23">
        <f>IF(P106="","",IF(P106="Adulto",IF(OR(Q106="",Q106="N/A"),"⚠ Corda no compite Adulto",P106&amp;"-"&amp;Q106&amp;" · "&amp;M106),IF(P106="Baobá",IF(R106="","⚠ Sin clasificar Baobá",P106&amp;"-"&amp;R106&amp;" · "&amp;M106),IF(P106="Juvenil",IF(AND(OR(L106="Crua",L106="Crua/Amarela"),Y106&lt;&gt;"Sí"),"⚠ Juvenil necesita Amarela+",P106&amp;" · "&amp;M106),P106&amp;" · "&amp;M106))))</f>
        <v/>
      </c>
      <c r="T106" s="23" t="n"/>
      <c r="U106" s="22" t="inlineStr">
        <is>
          <t>Sí</t>
        </is>
      </c>
      <c r="V106" s="22" t="n"/>
      <c r="W106" s="22" t="n"/>
      <c r="X106" s="22" t="n"/>
      <c r="Y106" s="22" t="inlineStr">
        <is>
          <t>No</t>
        </is>
      </c>
      <c r="Z106" s="22" t="inlineStr">
        <is>
          <t>XXL</t>
        </is>
      </c>
      <c r="AA106" s="22" t="n">
        <v>35</v>
      </c>
      <c r="AB106" s="22" t="inlineStr">
        <is>
          <t>Pagado</t>
        </is>
      </c>
      <c r="AC106" s="22" t="n"/>
      <c r="AD106" s="23">
        <f>IF(D106&lt;&gt;"","P"&amp;TEXT(ROW()-4,"0000"),"")</f>
        <v/>
      </c>
    </row>
    <row r="107" ht="14.25" customHeight="1" s="72">
      <c r="A107" s="22" t="inlineStr">
        <is>
          <t>2025-09-22 17:03:50</t>
        </is>
      </c>
      <c r="B107" s="22" t="n"/>
      <c r="C107" s="22" t="n"/>
      <c r="D107" s="22" t="inlineStr">
        <is>
          <t>Julián</t>
        </is>
      </c>
      <c r="E107" s="22" t="inlineStr">
        <is>
          <t>Ferrari</t>
        </is>
      </c>
      <c r="F107" s="22" t="inlineStr">
        <is>
          <t>Baleia</t>
        </is>
      </c>
      <c r="G107" s="23">
        <f>IF(F107&lt;&gt;"",F107,IF(AND(D107="",E107=""),"",TRIM(D107&amp;" "&amp;E107)))</f>
        <v/>
      </c>
      <c r="H107" s="22" t="n"/>
      <c r="I107" s="22" t="inlineStr">
        <is>
          <t>+34 618 437 196</t>
        </is>
      </c>
      <c r="J107" s="22" t="inlineStr">
        <is>
          <t>Múnich-Alemania</t>
        </is>
      </c>
      <c r="K107" s="22" t="inlineStr">
        <is>
          <t>Mestre Coruja</t>
        </is>
      </c>
      <c r="L107" s="22" t="inlineStr">
        <is>
          <t>Azul/Verde</t>
        </is>
      </c>
      <c r="M107" s="22" t="inlineStr">
        <is>
          <t>Masculino</t>
        </is>
      </c>
      <c r="N107" s="29" t="n">
        <v>35427</v>
      </c>
      <c r="O107" s="23">
        <f>IF(N107="","",DATEDIF(N107,TODAY(),"Y"))</f>
        <v/>
      </c>
      <c r="P107" s="23">
        <f>IF(O107="","",IF(O107&lt;=11,"Infantil",IF(O107&lt;=17,"Juvenil",IF(O107&lt;=44,"Adulto","Baobá"))))</f>
        <v/>
      </c>
      <c r="Q107" s="23">
        <f>IF(P107&lt;&gt;"Adulto","",IF(OR(L107="Marrom",L107="Marrom/Vermelha"),"A",IF(OR(L107="Roxa",L107="Roxa/Marrom"),"B",IF(OR(L107="Verde",L107="Verde/Roxa"),"C",IF(OR(L107="Azul",L107="Azul/Verde"),"D",IF(OR(L107="Laranja",L107="Laranja/Azul"),"E",IF(Y107="Sí","E","N/A")))))))</f>
        <v/>
      </c>
      <c r="R107" s="23">
        <f>IF(P107&lt;&gt;"Baobá","",IF(OR(L107="Laranja",L107="Laranja/Azul"),"Alumnos",IF(Y107="Sí","Alumnos","Graduados+")))</f>
        <v/>
      </c>
      <c r="S107" s="23">
        <f>IF(P107="","",IF(P107="Adulto",IF(OR(Q107="",Q107="N/A"),"⚠ Corda no compite Adulto",P107&amp;"-"&amp;Q107&amp;" · "&amp;M107),IF(P107="Baobá",IF(R107="","⚠ Sin clasificar Baobá",P107&amp;"-"&amp;R107&amp;" · "&amp;M107),IF(P107="Juvenil",IF(AND(OR(L107="Crua",L107="Crua/Amarela"),Y107&lt;&gt;"Sí"),"⚠ Juvenil necesita Amarela+",P107&amp;" · "&amp;M107),P107&amp;" · "&amp;M107))))</f>
        <v/>
      </c>
      <c r="T107" s="23" t="n"/>
      <c r="U107" s="22" t="inlineStr">
        <is>
          <t>Sí</t>
        </is>
      </c>
      <c r="V107" s="22" t="n"/>
      <c r="W107" s="22" t="n"/>
      <c r="X107" s="22" t="n"/>
      <c r="Y107" s="22" t="inlineStr">
        <is>
          <t>No</t>
        </is>
      </c>
      <c r="Z107" s="22" t="inlineStr">
        <is>
          <t>XS</t>
        </is>
      </c>
      <c r="AA107" s="22" t="n">
        <v>35</v>
      </c>
      <c r="AB107" s="22" t="inlineStr">
        <is>
          <t>Pagado</t>
        </is>
      </c>
      <c r="AC107" s="22" t="n"/>
      <c r="AD107" s="23">
        <f>IF(D107&lt;&gt;"","P"&amp;TEXT(ROW()-4,"0000"),"")</f>
        <v/>
      </c>
    </row>
    <row r="108" ht="14.25" customHeight="1" s="72">
      <c r="A108" s="22" t="inlineStr">
        <is>
          <t>2025-10-20 21:09:21</t>
        </is>
      </c>
      <c r="B108" s="22" t="n"/>
      <c r="C108" s="22" t="n"/>
      <c r="D108" s="22" t="inlineStr">
        <is>
          <t>Diego</t>
        </is>
      </c>
      <c r="E108" s="22" t="inlineStr">
        <is>
          <t>Cardoso</t>
        </is>
      </c>
      <c r="F108" s="22" t="inlineStr">
        <is>
          <t>Harpia</t>
        </is>
      </c>
      <c r="G108" s="23">
        <f>IF(F108&lt;&gt;"",F108,IF(AND(D108="",E108=""),"",TRIM(D108&amp;" "&amp;E108)))</f>
        <v/>
      </c>
      <c r="H108" s="22" t="n"/>
      <c r="I108" s="22" t="inlineStr">
        <is>
          <t>+34 654 417 771</t>
        </is>
      </c>
      <c r="J108" s="22" t="inlineStr">
        <is>
          <t>Roma-Italia</t>
        </is>
      </c>
      <c r="K108" s="22" t="inlineStr">
        <is>
          <t>Mestre Cobra</t>
        </is>
      </c>
      <c r="L108" s="22" t="inlineStr">
        <is>
          <t>Azul/Verde</t>
        </is>
      </c>
      <c r="M108" s="22" t="inlineStr">
        <is>
          <t>Masculino</t>
        </is>
      </c>
      <c r="N108" s="29" t="n">
        <v>31384</v>
      </c>
      <c r="O108" s="23">
        <f>IF(N108="","",DATEDIF(N108,TODAY(),"Y"))</f>
        <v/>
      </c>
      <c r="P108" s="23">
        <f>IF(O108="","",IF(O108&lt;=11,"Infantil",IF(O108&lt;=17,"Juvenil",IF(O108&lt;=44,"Adulto","Baobá"))))</f>
        <v/>
      </c>
      <c r="Q108" s="23">
        <f>IF(P108&lt;&gt;"Adulto","",IF(OR(L108="Marrom",L108="Marrom/Vermelha"),"A",IF(OR(L108="Roxa",L108="Roxa/Marrom"),"B",IF(OR(L108="Verde",L108="Verde/Roxa"),"C",IF(OR(L108="Azul",L108="Azul/Verde"),"D",IF(OR(L108="Laranja",L108="Laranja/Azul"),"E",IF(Y108="Sí","E","N/A")))))))</f>
        <v/>
      </c>
      <c r="R108" s="23">
        <f>IF(P108&lt;&gt;"Baobá","",IF(OR(L108="Laranja",L108="Laranja/Azul"),"Alumnos",IF(Y108="Sí","Alumnos","Graduados+")))</f>
        <v/>
      </c>
      <c r="S108" s="23">
        <f>IF(P108="","",IF(P108="Adulto",IF(OR(Q108="",Q108="N/A"),"⚠ Corda no compite Adulto",P108&amp;"-"&amp;Q108&amp;" · "&amp;M108),IF(P108="Baobá",IF(R108="","⚠ Sin clasificar Baobá",P108&amp;"-"&amp;R108&amp;" · "&amp;M108),IF(P108="Juvenil",IF(AND(OR(L108="Crua",L108="Crua/Amarela"),Y108&lt;&gt;"Sí"),"⚠ Juvenil necesita Amarela+",P108&amp;" · "&amp;M108),P108&amp;" · "&amp;M108))))</f>
        <v/>
      </c>
      <c r="T108" s="23" t="n"/>
      <c r="U108" s="22" t="inlineStr">
        <is>
          <t>Sí</t>
        </is>
      </c>
      <c r="V108" s="22" t="n"/>
      <c r="W108" s="22" t="n"/>
      <c r="X108" s="22" t="n"/>
      <c r="Y108" s="22" t="inlineStr">
        <is>
          <t>No</t>
        </is>
      </c>
      <c r="Z108" s="22" t="inlineStr">
        <is>
          <t>S</t>
        </is>
      </c>
      <c r="AA108" s="22" t="n">
        <v>35</v>
      </c>
      <c r="AB108" s="22" t="inlineStr">
        <is>
          <t>Pagado</t>
        </is>
      </c>
      <c r="AC108" s="22" t="n"/>
      <c r="AD108" s="23">
        <f>IF(D108&lt;&gt;"","P"&amp;TEXT(ROW()-4,"0000"),"")</f>
        <v/>
      </c>
    </row>
    <row r="109" ht="14.25" customHeight="1" s="72">
      <c r="A109" s="22" t="inlineStr">
        <is>
          <t>2025-09-18 14:41:50</t>
        </is>
      </c>
      <c r="B109" s="22" t="n"/>
      <c r="C109" s="22" t="n"/>
      <c r="D109" s="22" t="inlineStr">
        <is>
          <t>Gustavo</t>
        </is>
      </c>
      <c r="E109" s="22" t="inlineStr">
        <is>
          <t>Melo</t>
        </is>
      </c>
      <c r="F109" s="22" t="inlineStr">
        <is>
          <t>Coruja</t>
        </is>
      </c>
      <c r="G109" s="23">
        <f>IF(F109&lt;&gt;"",F109,IF(AND(D109="",E109=""),"",TRIM(D109&amp;" "&amp;E109)))</f>
        <v/>
      </c>
      <c r="H109" s="22" t="n"/>
      <c r="I109" s="22" t="inlineStr">
        <is>
          <t>+34 695 819 948</t>
        </is>
      </c>
      <c r="J109" s="22" t="inlineStr">
        <is>
          <t>Fortaleza-Brasil</t>
        </is>
      </c>
      <c r="K109" s="22" t="inlineStr">
        <is>
          <t>Professor Macaco</t>
        </is>
      </c>
      <c r="L109" s="22" t="inlineStr">
        <is>
          <t>Azul</t>
        </is>
      </c>
      <c r="M109" s="22" t="inlineStr">
        <is>
          <t>Masculino</t>
        </is>
      </c>
      <c r="N109" s="29" t="n">
        <v>32295</v>
      </c>
      <c r="O109" s="23">
        <f>IF(N109="","",DATEDIF(N109,TODAY(),"Y"))</f>
        <v/>
      </c>
      <c r="P109" s="23">
        <f>IF(O109="","",IF(O109&lt;=11,"Infantil",IF(O109&lt;=17,"Juvenil",IF(O109&lt;=44,"Adulto","Baobá"))))</f>
        <v/>
      </c>
      <c r="Q109" s="23">
        <f>IF(P109&lt;&gt;"Adulto","",IF(OR(L109="Marrom",L109="Marrom/Vermelha"),"A",IF(OR(L109="Roxa",L109="Roxa/Marrom"),"B",IF(OR(L109="Verde",L109="Verde/Roxa"),"C",IF(OR(L109="Azul",L109="Azul/Verde"),"D",IF(OR(L109="Laranja",L109="Laranja/Azul"),"E",IF(Y109="Sí","E","N/A")))))))</f>
        <v/>
      </c>
      <c r="R109" s="23">
        <f>IF(P109&lt;&gt;"Baobá","",IF(OR(L109="Laranja",L109="Laranja/Azul"),"Alumnos",IF(Y109="Sí","Alumnos","Graduados+")))</f>
        <v/>
      </c>
      <c r="S109" s="23">
        <f>IF(P109="","",IF(P109="Adulto",IF(OR(Q109="",Q109="N/A"),"⚠ Corda no compite Adulto",P109&amp;"-"&amp;Q109&amp;" · "&amp;M109),IF(P109="Baobá",IF(R109="","⚠ Sin clasificar Baobá",P109&amp;"-"&amp;R109&amp;" · "&amp;M109),IF(P109="Juvenil",IF(AND(OR(L109="Crua",L109="Crua/Amarela"),Y109&lt;&gt;"Sí"),"⚠ Juvenil necesita Amarela+",P109&amp;" · "&amp;M109),P109&amp;" · "&amp;M109))))</f>
        <v/>
      </c>
      <c r="T109" s="23" t="n"/>
      <c r="U109" s="22" t="inlineStr">
        <is>
          <t>Sí</t>
        </is>
      </c>
      <c r="V109" s="22" t="n"/>
      <c r="W109" s="22" t="n"/>
      <c r="X109" s="22" t="n"/>
      <c r="Y109" s="22" t="inlineStr">
        <is>
          <t>No</t>
        </is>
      </c>
      <c r="Z109" s="22" t="inlineStr">
        <is>
          <t>M</t>
        </is>
      </c>
      <c r="AA109" s="22" t="n">
        <v>35</v>
      </c>
      <c r="AB109" s="22" t="inlineStr">
        <is>
          <t>Pagado</t>
        </is>
      </c>
      <c r="AC109" s="22" t="n"/>
      <c r="AD109" s="23">
        <f>IF(D109&lt;&gt;"","P"&amp;TEXT(ROW()-4,"0000"),"")</f>
        <v/>
      </c>
    </row>
    <row r="110" ht="14.25" customHeight="1" s="72">
      <c r="A110" s="22" t="inlineStr">
        <is>
          <t>2025-09-10 10:13:21</t>
        </is>
      </c>
      <c r="B110" s="22" t="n"/>
      <c r="C110" s="22" t="n"/>
      <c r="D110" s="22" t="inlineStr">
        <is>
          <t>Marc</t>
        </is>
      </c>
      <c r="E110" s="22" t="inlineStr">
        <is>
          <t>Gonçalves</t>
        </is>
      </c>
      <c r="F110" s="22" t="inlineStr">
        <is>
          <t>Centopeia</t>
        </is>
      </c>
      <c r="G110" s="23">
        <f>IF(F110&lt;&gt;"",F110,IF(AND(D110="",E110=""),"",TRIM(D110&amp;" "&amp;E110)))</f>
        <v/>
      </c>
      <c r="H110" s="22" t="n"/>
      <c r="I110" s="22" t="inlineStr">
        <is>
          <t>+34 634 331 240</t>
        </is>
      </c>
      <c r="J110" s="22" t="inlineStr">
        <is>
          <t>Manaus-Brasil</t>
        </is>
      </c>
      <c r="K110" s="22" t="inlineStr">
        <is>
          <t>Contra-Mestre Falcão</t>
        </is>
      </c>
      <c r="L110" s="22" t="inlineStr">
        <is>
          <t>Azul</t>
        </is>
      </c>
      <c r="M110" s="22" t="inlineStr">
        <is>
          <t>Masculino</t>
        </is>
      </c>
      <c r="N110" s="29" t="n">
        <v>34747</v>
      </c>
      <c r="O110" s="23">
        <f>IF(N110="","",DATEDIF(N110,TODAY(),"Y"))</f>
        <v/>
      </c>
      <c r="P110" s="23">
        <f>IF(O110="","",IF(O110&lt;=11,"Infantil",IF(O110&lt;=17,"Juvenil",IF(O110&lt;=44,"Adulto","Baobá"))))</f>
        <v/>
      </c>
      <c r="Q110" s="23">
        <f>IF(P110&lt;&gt;"Adulto","",IF(OR(L110="Marrom",L110="Marrom/Vermelha"),"A",IF(OR(L110="Roxa",L110="Roxa/Marrom"),"B",IF(OR(L110="Verde",L110="Verde/Roxa"),"C",IF(OR(L110="Azul",L110="Azul/Verde"),"D",IF(OR(L110="Laranja",L110="Laranja/Azul"),"E",IF(Y110="Sí","E","N/A")))))))</f>
        <v/>
      </c>
      <c r="R110" s="23">
        <f>IF(P110&lt;&gt;"Baobá","",IF(OR(L110="Laranja",L110="Laranja/Azul"),"Alumnos",IF(Y110="Sí","Alumnos","Graduados+")))</f>
        <v/>
      </c>
      <c r="S110" s="23">
        <f>IF(P110="","",IF(P110="Adulto",IF(OR(Q110="",Q110="N/A"),"⚠ Corda no compite Adulto",P110&amp;"-"&amp;Q110&amp;" · "&amp;M110),IF(P110="Baobá",IF(R110="","⚠ Sin clasificar Baobá",P110&amp;"-"&amp;R110&amp;" · "&amp;M110),IF(P110="Juvenil",IF(AND(OR(L110="Crua",L110="Crua/Amarela"),Y110&lt;&gt;"Sí"),"⚠ Juvenil necesita Amarela+",P110&amp;" · "&amp;M110),P110&amp;" · "&amp;M110))))</f>
        <v/>
      </c>
      <c r="T110" s="23" t="n"/>
      <c r="U110" s="22" t="inlineStr">
        <is>
          <t>Sí</t>
        </is>
      </c>
      <c r="V110" s="22" t="n"/>
      <c r="W110" s="22" t="n"/>
      <c r="X110" s="22" t="n"/>
      <c r="Y110" s="22" t="inlineStr">
        <is>
          <t>No</t>
        </is>
      </c>
      <c r="Z110" s="22" t="inlineStr">
        <is>
          <t>L</t>
        </is>
      </c>
      <c r="AA110" s="22" t="n">
        <v>35</v>
      </c>
      <c r="AB110" s="22" t="inlineStr">
        <is>
          <t>Pagado</t>
        </is>
      </c>
      <c r="AC110" s="22" t="n"/>
      <c r="AD110" s="23">
        <f>IF(D110&lt;&gt;"","P"&amp;TEXT(ROW()-4,"0000"),"")</f>
        <v/>
      </c>
    </row>
    <row r="111" ht="14.25" customHeight="1" s="72">
      <c r="A111" s="22" t="inlineStr">
        <is>
          <t>2025-10-27 19:56:33</t>
        </is>
      </c>
      <c r="B111" s="22" t="n"/>
      <c r="C111" s="22" t="n"/>
      <c r="D111" s="22" t="inlineStr">
        <is>
          <t>Marcelo</t>
        </is>
      </c>
      <c r="E111" s="22" t="inlineStr">
        <is>
          <t>Esposito</t>
        </is>
      </c>
      <c r="F111" s="22" t="inlineStr">
        <is>
          <t>Escorpião</t>
        </is>
      </c>
      <c r="G111" s="23">
        <f>IF(F111&lt;&gt;"",F111,IF(AND(D111="",E111=""),"",TRIM(D111&amp;" "&amp;E111)))</f>
        <v/>
      </c>
      <c r="H111" s="22" t="n"/>
      <c r="I111" s="22" t="inlineStr">
        <is>
          <t>+34 689 234 711</t>
        </is>
      </c>
      <c r="J111" s="22" t="inlineStr">
        <is>
          <t>Múnich-Alemania</t>
        </is>
      </c>
      <c r="K111" s="22" t="inlineStr">
        <is>
          <t>Mestre Cobra</t>
        </is>
      </c>
      <c r="L111" s="22" t="inlineStr">
        <is>
          <t>Azul</t>
        </is>
      </c>
      <c r="M111" s="22" t="inlineStr">
        <is>
          <t>Masculino</t>
        </is>
      </c>
      <c r="N111" s="29" t="n">
        <v>36246</v>
      </c>
      <c r="O111" s="23">
        <f>IF(N111="","",DATEDIF(N111,TODAY(),"Y"))</f>
        <v/>
      </c>
      <c r="P111" s="23">
        <f>IF(O111="","",IF(O111&lt;=11,"Infantil",IF(O111&lt;=17,"Juvenil",IF(O111&lt;=44,"Adulto","Baobá"))))</f>
        <v/>
      </c>
      <c r="Q111" s="23">
        <f>IF(P111&lt;&gt;"Adulto","",IF(OR(L111="Marrom",L111="Marrom/Vermelha"),"A",IF(OR(L111="Roxa",L111="Roxa/Marrom"),"B",IF(OR(L111="Verde",L111="Verde/Roxa"),"C",IF(OR(L111="Azul",L111="Azul/Verde"),"D",IF(OR(L111="Laranja",L111="Laranja/Azul"),"E",IF(Y111="Sí","E","N/A")))))))</f>
        <v/>
      </c>
      <c r="R111" s="23">
        <f>IF(P111&lt;&gt;"Baobá","",IF(OR(L111="Laranja",L111="Laranja/Azul"),"Alumnos",IF(Y111="Sí","Alumnos","Graduados+")))</f>
        <v/>
      </c>
      <c r="S111" s="23">
        <f>IF(P111="","",IF(P111="Adulto",IF(OR(Q111="",Q111="N/A"),"⚠ Corda no compite Adulto",P111&amp;"-"&amp;Q111&amp;" · "&amp;M111),IF(P111="Baobá",IF(R111="","⚠ Sin clasificar Baobá",P111&amp;"-"&amp;R111&amp;" · "&amp;M111),IF(P111="Juvenil",IF(AND(OR(L111="Crua",L111="Crua/Amarela"),Y111&lt;&gt;"Sí"),"⚠ Juvenil necesita Amarela+",P111&amp;" · "&amp;M111),P111&amp;" · "&amp;M111))))</f>
        <v/>
      </c>
      <c r="T111" s="23" t="n"/>
      <c r="U111" s="22" t="inlineStr">
        <is>
          <t>Sí</t>
        </is>
      </c>
      <c r="V111" s="22" t="n"/>
      <c r="W111" s="22" t="n"/>
      <c r="X111" s="22" t="n"/>
      <c r="Y111" s="22" t="inlineStr">
        <is>
          <t>No</t>
        </is>
      </c>
      <c r="Z111" s="22" t="inlineStr">
        <is>
          <t>XL</t>
        </is>
      </c>
      <c r="AA111" s="22" t="n">
        <v>35</v>
      </c>
      <c r="AB111" s="22" t="inlineStr">
        <is>
          <t>Pagado</t>
        </is>
      </c>
      <c r="AC111" s="22" t="n"/>
      <c r="AD111" s="23">
        <f>IF(D111&lt;&gt;"","P"&amp;TEXT(ROW()-4,"0000"),"")</f>
        <v/>
      </c>
    </row>
    <row r="112" ht="14.25" customHeight="1" s="72">
      <c r="A112" s="22" t="inlineStr">
        <is>
          <t>2025-10-25 17:51:57</t>
        </is>
      </c>
      <c r="B112" s="22" t="n"/>
      <c r="C112" s="22" t="n"/>
      <c r="D112" s="22" t="inlineStr">
        <is>
          <t>Matheus</t>
        </is>
      </c>
      <c r="E112" s="22" t="inlineStr">
        <is>
          <t>Petit</t>
        </is>
      </c>
      <c r="F112" s="22" t="inlineStr">
        <is>
          <t>Gato-Preto</t>
        </is>
      </c>
      <c r="G112" s="23">
        <f>IF(F112&lt;&gt;"",F112,IF(AND(D112="",E112=""),"",TRIM(D112&amp;" "&amp;E112)))</f>
        <v/>
      </c>
      <c r="H112" s="22" t="n"/>
      <c r="I112" s="22" t="inlineStr">
        <is>
          <t>+34 615 520 473</t>
        </is>
      </c>
      <c r="J112" s="22" t="inlineStr">
        <is>
          <t>Lisboa-Portugal</t>
        </is>
      </c>
      <c r="K112" s="22" t="inlineStr">
        <is>
          <t>Mestre Puma</t>
        </is>
      </c>
      <c r="L112" s="22" t="inlineStr">
        <is>
          <t>Azul/Verde</t>
        </is>
      </c>
      <c r="M112" s="22" t="inlineStr">
        <is>
          <t>Masculino</t>
        </is>
      </c>
      <c r="N112" s="29" t="n">
        <v>31192</v>
      </c>
      <c r="O112" s="23">
        <f>IF(N112="","",DATEDIF(N112,TODAY(),"Y"))</f>
        <v/>
      </c>
      <c r="P112" s="23">
        <f>IF(O112="","",IF(O112&lt;=11,"Infantil",IF(O112&lt;=17,"Juvenil",IF(O112&lt;=44,"Adulto","Baobá"))))</f>
        <v/>
      </c>
      <c r="Q112" s="23">
        <f>IF(P112&lt;&gt;"Adulto","",IF(OR(L112="Marrom",L112="Marrom/Vermelha"),"A",IF(OR(L112="Roxa",L112="Roxa/Marrom"),"B",IF(OR(L112="Verde",L112="Verde/Roxa"),"C",IF(OR(L112="Azul",L112="Azul/Verde"),"D",IF(OR(L112="Laranja",L112="Laranja/Azul"),"E",IF(Y112="Sí","E","N/A")))))))</f>
        <v/>
      </c>
      <c r="R112" s="23">
        <f>IF(P112&lt;&gt;"Baobá","",IF(OR(L112="Laranja",L112="Laranja/Azul"),"Alumnos",IF(Y112="Sí","Alumnos","Graduados+")))</f>
        <v/>
      </c>
      <c r="S112" s="23">
        <f>IF(P112="","",IF(P112="Adulto",IF(OR(Q112="",Q112="N/A"),"⚠ Corda no compite Adulto",P112&amp;"-"&amp;Q112&amp;" · "&amp;M112),IF(P112="Baobá",IF(R112="","⚠ Sin clasificar Baobá",P112&amp;"-"&amp;R112&amp;" · "&amp;M112),IF(P112="Juvenil",IF(AND(OR(L112="Crua",L112="Crua/Amarela"),Y112&lt;&gt;"Sí"),"⚠ Juvenil necesita Amarela+",P112&amp;" · "&amp;M112),P112&amp;" · "&amp;M112))))</f>
        <v/>
      </c>
      <c r="T112" s="23" t="n"/>
      <c r="U112" s="22" t="inlineStr">
        <is>
          <t>Sí</t>
        </is>
      </c>
      <c r="V112" s="22" t="n"/>
      <c r="W112" s="22" t="n"/>
      <c r="X112" s="22" t="n"/>
      <c r="Y112" s="22" t="inlineStr">
        <is>
          <t>No</t>
        </is>
      </c>
      <c r="Z112" s="22" t="inlineStr">
        <is>
          <t>XXL</t>
        </is>
      </c>
      <c r="AA112" s="22" t="n">
        <v>35</v>
      </c>
      <c r="AB112" s="22" t="inlineStr">
        <is>
          <t>Pagado</t>
        </is>
      </c>
      <c r="AC112" s="22" t="n"/>
      <c r="AD112" s="23">
        <f>IF(D112&lt;&gt;"","P"&amp;TEXT(ROW()-4,"0000"),"")</f>
        <v/>
      </c>
    </row>
    <row r="113" ht="14.25" customHeight="1" s="72">
      <c r="A113" s="22" t="inlineStr">
        <is>
          <t>2025-10-26 15:14:34</t>
        </is>
      </c>
      <c r="B113" s="22" t="n"/>
      <c r="C113" s="22" t="n"/>
      <c r="D113" s="22" t="inlineStr">
        <is>
          <t>Miguel</t>
        </is>
      </c>
      <c r="E113" s="22" t="inlineStr">
        <is>
          <t>Richter</t>
        </is>
      </c>
      <c r="F113" s="22" t="inlineStr">
        <is>
          <t>Coelho</t>
        </is>
      </c>
      <c r="G113" s="23">
        <f>IF(F113&lt;&gt;"",F113,IF(AND(D113="",E113=""),"",TRIM(D113&amp;" "&amp;E113)))</f>
        <v/>
      </c>
      <c r="H113" s="22" t="n"/>
      <c r="I113" s="22" t="inlineStr">
        <is>
          <t>+34 670 955 298</t>
        </is>
      </c>
      <c r="J113" s="22" t="inlineStr">
        <is>
          <t>Hamburgo-Alemania</t>
        </is>
      </c>
      <c r="K113" s="22" t="inlineStr">
        <is>
          <t>Mestre Urso</t>
        </is>
      </c>
      <c r="L113" s="22" t="inlineStr">
        <is>
          <t>Azul</t>
        </is>
      </c>
      <c r="M113" s="22" t="inlineStr">
        <is>
          <t>Masculino</t>
        </is>
      </c>
      <c r="N113" s="29" t="n">
        <v>33110</v>
      </c>
      <c r="O113" s="23">
        <f>IF(N113="","",DATEDIF(N113,TODAY(),"Y"))</f>
        <v/>
      </c>
      <c r="P113" s="23">
        <f>IF(O113="","",IF(O113&lt;=11,"Infantil",IF(O113&lt;=17,"Juvenil",IF(O113&lt;=44,"Adulto","Baobá"))))</f>
        <v/>
      </c>
      <c r="Q113" s="23">
        <f>IF(P113&lt;&gt;"Adulto","",IF(OR(L113="Marrom",L113="Marrom/Vermelha"),"A",IF(OR(L113="Roxa",L113="Roxa/Marrom"),"B",IF(OR(L113="Verde",L113="Verde/Roxa"),"C",IF(OR(L113="Azul",L113="Azul/Verde"),"D",IF(OR(L113="Laranja",L113="Laranja/Azul"),"E",IF(Y113="Sí","E","N/A")))))))</f>
        <v/>
      </c>
      <c r="R113" s="23">
        <f>IF(P113&lt;&gt;"Baobá","",IF(OR(L113="Laranja",L113="Laranja/Azul"),"Alumnos",IF(Y113="Sí","Alumnos","Graduados+")))</f>
        <v/>
      </c>
      <c r="S113" s="23">
        <f>IF(P113="","",IF(P113="Adulto",IF(OR(Q113="",Q113="N/A"),"⚠ Corda no compite Adulto",P113&amp;"-"&amp;Q113&amp;" · "&amp;M113),IF(P113="Baobá",IF(R113="","⚠ Sin clasificar Baobá",P113&amp;"-"&amp;R113&amp;" · "&amp;M113),IF(P113="Juvenil",IF(AND(OR(L113="Crua",L113="Crua/Amarela"),Y113&lt;&gt;"Sí"),"⚠ Juvenil necesita Amarela+",P113&amp;" · "&amp;M113),P113&amp;" · "&amp;M113))))</f>
        <v/>
      </c>
      <c r="T113" s="23" t="n"/>
      <c r="U113" s="22" t="inlineStr">
        <is>
          <t>Sí</t>
        </is>
      </c>
      <c r="V113" s="22" t="n"/>
      <c r="W113" s="22" t="n"/>
      <c r="X113" s="22" t="n"/>
      <c r="Y113" s="22" t="inlineStr">
        <is>
          <t>No</t>
        </is>
      </c>
      <c r="Z113" s="22" t="inlineStr">
        <is>
          <t>XS</t>
        </is>
      </c>
      <c r="AA113" s="22" t="n">
        <v>35</v>
      </c>
      <c r="AB113" s="22" t="inlineStr">
        <is>
          <t>Pagado</t>
        </is>
      </c>
      <c r="AC113" s="22" t="n"/>
      <c r="AD113" s="23">
        <f>IF(D113&lt;&gt;"","P"&amp;TEXT(ROW()-4,"0000"),"")</f>
        <v/>
      </c>
    </row>
    <row r="114" ht="14.25" customHeight="1" s="72">
      <c r="A114" s="22" t="inlineStr">
        <is>
          <t>2025-09-25 14:32:33</t>
        </is>
      </c>
      <c r="B114" s="22" t="n"/>
      <c r="C114" s="22" t="n"/>
      <c r="D114" s="22" t="inlineStr">
        <is>
          <t>Daniel</t>
        </is>
      </c>
      <c r="E114" s="22" t="inlineStr">
        <is>
          <t>García</t>
        </is>
      </c>
      <c r="F114" s="22" t="inlineStr">
        <is>
          <t>Arara-Azul</t>
        </is>
      </c>
      <c r="G114" s="23">
        <f>IF(F114&lt;&gt;"",F114,IF(AND(D114="",E114=""),"",TRIM(D114&amp;" "&amp;E114)))</f>
        <v/>
      </c>
      <c r="H114" s="22" t="n"/>
      <c r="I114" s="22" t="inlineStr">
        <is>
          <t>+34 635 920 719</t>
        </is>
      </c>
      <c r="J114" s="22" t="inlineStr">
        <is>
          <t>Brasília-Brasil</t>
        </is>
      </c>
      <c r="K114" s="22" t="inlineStr">
        <is>
          <t>Professor Tigre</t>
        </is>
      </c>
      <c r="L114" s="22" t="inlineStr">
        <is>
          <t>Azul</t>
        </is>
      </c>
      <c r="M114" s="22" t="inlineStr">
        <is>
          <t>Masculino</t>
        </is>
      </c>
      <c r="N114" s="29" t="n">
        <v>37941</v>
      </c>
      <c r="O114" s="23">
        <f>IF(N114="","",DATEDIF(N114,TODAY(),"Y"))</f>
        <v/>
      </c>
      <c r="P114" s="23">
        <f>IF(O114="","",IF(O114&lt;=11,"Infantil",IF(O114&lt;=17,"Juvenil",IF(O114&lt;=44,"Adulto","Baobá"))))</f>
        <v/>
      </c>
      <c r="Q114" s="23">
        <f>IF(P114&lt;&gt;"Adulto","",IF(OR(L114="Marrom",L114="Marrom/Vermelha"),"A",IF(OR(L114="Roxa",L114="Roxa/Marrom"),"B",IF(OR(L114="Verde",L114="Verde/Roxa"),"C",IF(OR(L114="Azul",L114="Azul/Verde"),"D",IF(OR(L114="Laranja",L114="Laranja/Azul"),"E",IF(Y114="Sí","E","N/A")))))))</f>
        <v/>
      </c>
      <c r="R114" s="23">
        <f>IF(P114&lt;&gt;"Baobá","",IF(OR(L114="Laranja",L114="Laranja/Azul"),"Alumnos",IF(Y114="Sí","Alumnos","Graduados+")))</f>
        <v/>
      </c>
      <c r="S114" s="23">
        <f>IF(P114="","",IF(P114="Adulto",IF(OR(Q114="",Q114="N/A"),"⚠ Corda no compite Adulto",P114&amp;"-"&amp;Q114&amp;" · "&amp;M114),IF(P114="Baobá",IF(R114="","⚠ Sin clasificar Baobá",P114&amp;"-"&amp;R114&amp;" · "&amp;M114),IF(P114="Juvenil",IF(AND(OR(L114="Crua",L114="Crua/Amarela"),Y114&lt;&gt;"Sí"),"⚠ Juvenil necesita Amarela+",P114&amp;" · "&amp;M114),P114&amp;" · "&amp;M114))))</f>
        <v/>
      </c>
      <c r="T114" s="23" t="n"/>
      <c r="U114" s="22" t="inlineStr">
        <is>
          <t>Sí</t>
        </is>
      </c>
      <c r="V114" s="22" t="n"/>
      <c r="W114" s="22" t="n"/>
      <c r="X114" s="22" t="n"/>
      <c r="Y114" s="22" t="inlineStr">
        <is>
          <t>No</t>
        </is>
      </c>
      <c r="Z114" s="22" t="inlineStr">
        <is>
          <t>S</t>
        </is>
      </c>
      <c r="AA114" s="22" t="n">
        <v>35</v>
      </c>
      <c r="AB114" s="22" t="inlineStr">
        <is>
          <t>Pagado</t>
        </is>
      </c>
      <c r="AC114" s="22" t="n"/>
      <c r="AD114" s="23">
        <f>IF(D114&lt;&gt;"","P"&amp;TEXT(ROW()-4,"0000"),"")</f>
        <v/>
      </c>
    </row>
    <row r="115" ht="14.25" customHeight="1" s="72">
      <c r="A115" s="22" t="inlineStr">
        <is>
          <t>2025-09-18 22:06:45</t>
        </is>
      </c>
      <c r="B115" s="22" t="n"/>
      <c r="C115" s="22" t="n"/>
      <c r="D115" s="22" t="inlineStr">
        <is>
          <t>Alberto</t>
        </is>
      </c>
      <c r="E115" s="22" t="inlineStr">
        <is>
          <t>Araújo</t>
        </is>
      </c>
      <c r="F115" s="22" t="inlineStr">
        <is>
          <t>Vagalume</t>
        </is>
      </c>
      <c r="G115" s="23">
        <f>IF(F115&lt;&gt;"",F115,IF(AND(D115="",E115=""),"",TRIM(D115&amp;" "&amp;E115)))</f>
        <v/>
      </c>
      <c r="H115" s="22" t="n"/>
      <c r="I115" s="22" t="inlineStr">
        <is>
          <t>+34 646 185 881</t>
        </is>
      </c>
      <c r="J115" s="22" t="inlineStr">
        <is>
          <t>Madrid-España</t>
        </is>
      </c>
      <c r="K115" s="22" t="inlineStr">
        <is>
          <t>Professor Tigre</t>
        </is>
      </c>
      <c r="L115" s="22" t="inlineStr">
        <is>
          <t>Azul</t>
        </is>
      </c>
      <c r="M115" s="22" t="inlineStr">
        <is>
          <t>Masculino</t>
        </is>
      </c>
      <c r="N115" s="78" t="n">
        <v>33121</v>
      </c>
      <c r="O115" s="23">
        <f>IF(N115="","",DATEDIF(N115,TODAY(),"Y"))</f>
        <v/>
      </c>
      <c r="P115" s="23">
        <f>IF(O115="","",IF(O115&lt;=11,"Infantil",IF(O115&lt;=17,"Juvenil",IF(O115&lt;=44,"Adulto","Baobá"))))</f>
        <v/>
      </c>
      <c r="Q115" s="23">
        <f>IF(P115&lt;&gt;"Adulto","",IF(OR(L115="Marrom",L115="Marrom/Vermelha"),"A",IF(OR(L115="Roxa",L115="Roxa/Marrom"),"B",IF(OR(L115="Verde",L115="Verde/Roxa"),"C",IF(OR(L115="Azul",L115="Azul/Verde"),"D",IF(OR(L115="Laranja",L115="Laranja/Azul"),"E",IF(Y115="Sí","E","N/A")))))))</f>
        <v/>
      </c>
      <c r="R115" s="23">
        <f>IF(P115&lt;&gt;"Baobá","",IF(OR(L115="Laranja",L115="Laranja/Azul"),"Alumnos",IF(Y115="Sí","Alumnos","Graduados+")))</f>
        <v/>
      </c>
      <c r="S115" s="23">
        <f>IF(P115="","",IF(P115="Adulto",IF(OR(Q115="",Q115="N/A"),"⚠ Corda no compite Adulto",P115&amp;"-"&amp;Q115&amp;" · "&amp;M115),IF(P115="Baobá",IF(R115="","⚠ Sin clasificar Baobá",P115&amp;"-"&amp;R115&amp;" · "&amp;M115),IF(P115="Juvenil",IF(AND(OR(L115="Crua",L115="Crua/Amarela"),Y115&lt;&gt;"Sí"),"⚠ Juvenil necesita Amarela+",P115&amp;" · "&amp;M115),P115&amp;" · "&amp;M115))))</f>
        <v/>
      </c>
      <c r="T115" s="23" t="n"/>
      <c r="U115" s="22" t="inlineStr">
        <is>
          <t>Sí</t>
        </is>
      </c>
      <c r="V115" s="22" t="n"/>
      <c r="W115" s="22" t="n"/>
      <c r="X115" s="22" t="n"/>
      <c r="Y115" s="22" t="inlineStr">
        <is>
          <t>No</t>
        </is>
      </c>
      <c r="Z115" s="22" t="inlineStr">
        <is>
          <t>M</t>
        </is>
      </c>
      <c r="AA115" s="22" t="n">
        <v>35</v>
      </c>
      <c r="AB115" s="22" t="inlineStr">
        <is>
          <t>Pagado</t>
        </is>
      </c>
      <c r="AC115" s="22" t="n"/>
      <c r="AD115" s="23">
        <f>IF(D115&lt;&gt;"","P"&amp;TEXT(ROW()-4,"0000"),"")</f>
        <v/>
      </c>
    </row>
    <row r="116" ht="14.25" customHeight="1" s="72">
      <c r="A116" s="22" t="inlineStr">
        <is>
          <t>2025-09-03 22:14:52</t>
        </is>
      </c>
      <c r="B116" s="22" t="n"/>
      <c r="C116" s="22" t="n"/>
      <c r="D116" s="22" t="inlineStr">
        <is>
          <t>Thiago</t>
        </is>
      </c>
      <c r="E116" s="22" t="inlineStr">
        <is>
          <t>Bianchi</t>
        </is>
      </c>
      <c r="F116" s="22" t="inlineStr">
        <is>
          <t>Suçuarana</t>
        </is>
      </c>
      <c r="G116" s="23">
        <f>IF(F116&lt;&gt;"",F116,IF(AND(D116="",E116=""),"",TRIM(D116&amp;" "&amp;E116)))</f>
        <v/>
      </c>
      <c r="H116" s="22" t="n"/>
      <c r="I116" s="22" t="inlineStr">
        <is>
          <t>+34 613 524 154</t>
        </is>
      </c>
      <c r="J116" s="22" t="inlineStr">
        <is>
          <t>Roma-Italia</t>
        </is>
      </c>
      <c r="K116" s="22" t="inlineStr">
        <is>
          <t>Contra-Mestre Pomba</t>
        </is>
      </c>
      <c r="L116" s="22" t="inlineStr">
        <is>
          <t>Azul</t>
        </is>
      </c>
      <c r="M116" s="22" t="inlineStr">
        <is>
          <t>Masculino</t>
        </is>
      </c>
      <c r="N116" s="78" t="n">
        <v>34072</v>
      </c>
      <c r="O116" s="23">
        <f>IF(N116="","",DATEDIF(N116,TODAY(),"Y"))</f>
        <v/>
      </c>
      <c r="P116" s="23">
        <f>IF(O116="","",IF(O116&lt;=11,"Infantil",IF(O116&lt;=17,"Juvenil",IF(O116&lt;=44,"Adulto","Baobá"))))</f>
        <v/>
      </c>
      <c r="Q116" s="23">
        <f>IF(P116&lt;&gt;"Adulto","",IF(OR(L116="Marrom",L116="Marrom/Vermelha"),"A",IF(OR(L116="Roxa",L116="Roxa/Marrom"),"B",IF(OR(L116="Verde",L116="Verde/Roxa"),"C",IF(OR(L116="Azul",L116="Azul/Verde"),"D",IF(OR(L116="Laranja",L116="Laranja/Azul"),"E",IF(Y116="Sí","E","N/A")))))))</f>
        <v/>
      </c>
      <c r="R116" s="23">
        <f>IF(P116&lt;&gt;"Baobá","",IF(OR(L116="Laranja",L116="Laranja/Azul"),"Alumnos",IF(Y116="Sí","Alumnos","Graduados+")))</f>
        <v/>
      </c>
      <c r="S116" s="23">
        <f>IF(P116="","",IF(P116="Adulto",IF(OR(Q116="",Q116="N/A"),"⚠ Corda no compite Adulto",P116&amp;"-"&amp;Q116&amp;" · "&amp;M116),IF(P116="Baobá",IF(R116="","⚠ Sin clasificar Baobá",P116&amp;"-"&amp;R116&amp;" · "&amp;M116),IF(P116="Juvenil",IF(AND(OR(L116="Crua",L116="Crua/Amarela"),Y116&lt;&gt;"Sí"),"⚠ Juvenil necesita Amarela+",P116&amp;" · "&amp;M116),P116&amp;" · "&amp;M116))))</f>
        <v/>
      </c>
      <c r="T116" s="23" t="n"/>
      <c r="U116" s="22" t="inlineStr">
        <is>
          <t>Sí</t>
        </is>
      </c>
      <c r="V116" s="22" t="n"/>
      <c r="W116" s="22" t="n"/>
      <c r="X116" s="22" t="n"/>
      <c r="Y116" s="22" t="inlineStr">
        <is>
          <t>No</t>
        </is>
      </c>
      <c r="Z116" s="22" t="inlineStr">
        <is>
          <t>L</t>
        </is>
      </c>
      <c r="AA116" s="22" t="n">
        <v>35</v>
      </c>
      <c r="AB116" s="22" t="inlineStr">
        <is>
          <t>Pagado</t>
        </is>
      </c>
      <c r="AC116" s="22" t="n"/>
      <c r="AD116" s="23">
        <f>IF(D116&lt;&gt;"","P"&amp;TEXT(ROW()-4,"0000"),"")</f>
        <v/>
      </c>
    </row>
    <row r="117" ht="14.25" customHeight="1" s="72">
      <c r="A117" s="22" t="inlineStr">
        <is>
          <t>2025-08-12 11:01:20</t>
        </is>
      </c>
      <c r="B117" s="22" t="n"/>
      <c r="C117" s="22" t="n"/>
      <c r="D117" s="22" t="inlineStr">
        <is>
          <t>Lucia</t>
        </is>
      </c>
      <c r="E117" s="22" t="inlineStr">
        <is>
          <t>Ferrari</t>
        </is>
      </c>
      <c r="F117" s="22" t="inlineStr">
        <is>
          <t>Gato</t>
        </is>
      </c>
      <c r="G117" s="23">
        <f>IF(F117&lt;&gt;"",F117,IF(AND(D117="",E117=""),"",TRIM(D117&amp;" "&amp;E117)))</f>
        <v/>
      </c>
      <c r="H117" s="22" t="n"/>
      <c r="I117" s="22" t="inlineStr">
        <is>
          <t>+34 628 240 139</t>
        </is>
      </c>
      <c r="J117" s="22" t="inlineStr">
        <is>
          <t>Coimbra-Portugal</t>
        </is>
      </c>
      <c r="K117" s="22" t="inlineStr">
        <is>
          <t>Mestre Tartaruga</t>
        </is>
      </c>
      <c r="L117" s="22" t="inlineStr">
        <is>
          <t>Azul</t>
        </is>
      </c>
      <c r="M117" s="22" t="inlineStr">
        <is>
          <t>Femenino</t>
        </is>
      </c>
      <c r="N117" s="78" t="n">
        <v>30035</v>
      </c>
      <c r="O117" s="23">
        <f>IF(N117="","",DATEDIF(N117,TODAY(),"Y"))</f>
        <v/>
      </c>
      <c r="P117" s="23">
        <f>IF(O117="","",IF(O117&lt;=11,"Infantil",IF(O117&lt;=17,"Juvenil",IF(O117&lt;=44,"Adulto","Baobá"))))</f>
        <v/>
      </c>
      <c r="Q117" s="23">
        <f>IF(P117&lt;&gt;"Adulto","",IF(OR(L117="Marrom",L117="Marrom/Vermelha"),"A",IF(OR(L117="Roxa",L117="Roxa/Marrom"),"B",IF(OR(L117="Verde",L117="Verde/Roxa"),"C",IF(OR(L117="Azul",L117="Azul/Verde"),"D",IF(OR(L117="Laranja",L117="Laranja/Azul"),"E",IF(Y117="Sí","E","N/A")))))))</f>
        <v/>
      </c>
      <c r="R117" s="23">
        <f>IF(P117&lt;&gt;"Baobá","",IF(OR(L117="Laranja",L117="Laranja/Azul"),"Alumnos",IF(Y117="Sí","Alumnos","Graduados+")))</f>
        <v/>
      </c>
      <c r="S117" s="23">
        <f>IF(P117="","",IF(P117="Adulto",IF(OR(Q117="",Q117="N/A"),"⚠ Corda no compite Adulto",P117&amp;"-"&amp;Q117&amp;" · "&amp;M117),IF(P117="Baobá",IF(R117="","⚠ Sin clasificar Baobá",P117&amp;"-"&amp;R117&amp;" · "&amp;M117),IF(P117="Juvenil",IF(AND(OR(L117="Crua",L117="Crua/Amarela"),Y117&lt;&gt;"Sí"),"⚠ Juvenil necesita Amarela+",P117&amp;" · "&amp;M117),P117&amp;" · "&amp;M117))))</f>
        <v/>
      </c>
      <c r="T117" s="23" t="n"/>
      <c r="U117" s="22" t="inlineStr">
        <is>
          <t>Sí</t>
        </is>
      </c>
      <c r="V117" s="22" t="n"/>
      <c r="W117" s="22" t="n"/>
      <c r="X117" s="22" t="n"/>
      <c r="Y117" s="22" t="inlineStr">
        <is>
          <t>No</t>
        </is>
      </c>
      <c r="Z117" s="22" t="inlineStr">
        <is>
          <t>XL</t>
        </is>
      </c>
      <c r="AA117" s="22" t="n">
        <v>35</v>
      </c>
      <c r="AB117" s="22" t="inlineStr">
        <is>
          <t>Pagado</t>
        </is>
      </c>
      <c r="AC117" s="22" t="n"/>
      <c r="AD117" s="23">
        <f>IF(D117&lt;&gt;"","P"&amp;TEXT(ROW()-4,"0000"),"")</f>
        <v/>
      </c>
    </row>
    <row r="118" ht="14.25" customHeight="1" s="72">
      <c r="A118" s="22" t="inlineStr">
        <is>
          <t>2025-10-16 15:39:00</t>
        </is>
      </c>
      <c r="B118" s="22" t="n"/>
      <c r="C118" s="22" t="n"/>
      <c r="D118" s="22" t="inlineStr">
        <is>
          <t>Julia</t>
        </is>
      </c>
      <c r="E118" s="22" t="inlineStr">
        <is>
          <t>Oliveira</t>
        </is>
      </c>
      <c r="F118" s="22" t="inlineStr">
        <is>
          <t>Araçari</t>
        </is>
      </c>
      <c r="G118" s="23">
        <f>IF(F118&lt;&gt;"",F118,IF(AND(D118="",E118=""),"",TRIM(D118&amp;" "&amp;E118)))</f>
        <v/>
      </c>
      <c r="H118" s="22" t="n"/>
      <c r="I118" s="22" t="inlineStr">
        <is>
          <t>+34 642 320 955</t>
        </is>
      </c>
      <c r="J118" s="22" t="inlineStr">
        <is>
          <t>Manaus-Brasil</t>
        </is>
      </c>
      <c r="K118" s="22" t="inlineStr">
        <is>
          <t>Professor Tatu</t>
        </is>
      </c>
      <c r="L118" s="22" t="inlineStr">
        <is>
          <t>Azul/Verde</t>
        </is>
      </c>
      <c r="M118" s="22" t="inlineStr">
        <is>
          <t>Femenino</t>
        </is>
      </c>
      <c r="N118" s="78" t="n">
        <v>31304</v>
      </c>
      <c r="O118" s="23">
        <f>IF(N118="","",DATEDIF(N118,TODAY(),"Y"))</f>
        <v/>
      </c>
      <c r="P118" s="23">
        <f>IF(O118="","",IF(O118&lt;=11,"Infantil",IF(O118&lt;=17,"Juvenil",IF(O118&lt;=44,"Adulto","Baobá"))))</f>
        <v/>
      </c>
      <c r="Q118" s="23">
        <f>IF(P118&lt;&gt;"Adulto","",IF(OR(L118="Marrom",L118="Marrom/Vermelha"),"A",IF(OR(L118="Roxa",L118="Roxa/Marrom"),"B",IF(OR(L118="Verde",L118="Verde/Roxa"),"C",IF(OR(L118="Azul",L118="Azul/Verde"),"D",IF(OR(L118="Laranja",L118="Laranja/Azul"),"E",IF(Y118="Sí","E","N/A")))))))</f>
        <v/>
      </c>
      <c r="R118" s="23">
        <f>IF(P118&lt;&gt;"Baobá","",IF(OR(L118="Laranja",L118="Laranja/Azul"),"Alumnos",IF(Y118="Sí","Alumnos","Graduados+")))</f>
        <v/>
      </c>
      <c r="S118" s="23">
        <f>IF(P118="","",IF(P118="Adulto",IF(OR(Q118="",Q118="N/A"),"⚠ Corda no compite Adulto",P118&amp;"-"&amp;Q118&amp;" · "&amp;M118),IF(P118="Baobá",IF(R118="","⚠ Sin clasificar Baobá",P118&amp;"-"&amp;R118&amp;" · "&amp;M118),IF(P118="Juvenil",IF(AND(OR(L118="Crua",L118="Crua/Amarela"),Y118&lt;&gt;"Sí"),"⚠ Juvenil necesita Amarela+",P118&amp;" · "&amp;M118),P118&amp;" · "&amp;M118))))</f>
        <v/>
      </c>
      <c r="T118" s="23" t="n"/>
      <c r="U118" s="22" t="inlineStr">
        <is>
          <t>Sí</t>
        </is>
      </c>
      <c r="V118" s="22" t="n"/>
      <c r="W118" s="22" t="n"/>
      <c r="X118" s="22" t="n"/>
      <c r="Y118" s="22" t="inlineStr">
        <is>
          <t>No</t>
        </is>
      </c>
      <c r="Z118" s="22" t="inlineStr">
        <is>
          <t>XXL</t>
        </is>
      </c>
      <c r="AA118" s="22" t="n">
        <v>35</v>
      </c>
      <c r="AB118" s="22" t="inlineStr">
        <is>
          <t>Pagado</t>
        </is>
      </c>
      <c r="AC118" s="22" t="n"/>
      <c r="AD118" s="23">
        <f>IF(D118&lt;&gt;"","P"&amp;TEXT(ROW()-4,"0000"),"")</f>
        <v/>
      </c>
    </row>
    <row r="119" ht="14.25" customHeight="1" s="72">
      <c r="A119" s="22" t="inlineStr">
        <is>
          <t>2025-08-25 12:15:19</t>
        </is>
      </c>
      <c r="B119" s="22" t="n"/>
      <c r="C119" s="22" t="n"/>
      <c r="D119" s="22" t="inlineStr">
        <is>
          <t>Mariana</t>
        </is>
      </c>
      <c r="E119" s="22" t="inlineStr">
        <is>
          <t>Ferreira</t>
        </is>
      </c>
      <c r="F119" s="22" t="inlineStr">
        <is>
          <t>Boto</t>
        </is>
      </c>
      <c r="G119" s="23">
        <f>IF(F119&lt;&gt;"",F119,IF(AND(D119="",E119=""),"",TRIM(D119&amp;" "&amp;E119)))</f>
        <v/>
      </c>
      <c r="H119" s="22" t="n"/>
      <c r="I119" s="22" t="inlineStr">
        <is>
          <t>+34 640 529 754</t>
        </is>
      </c>
      <c r="J119" s="22" t="inlineStr">
        <is>
          <t>Montevideo-Uruguay</t>
        </is>
      </c>
      <c r="K119" s="22" t="inlineStr">
        <is>
          <t>Contra-Mestre Falcão</t>
        </is>
      </c>
      <c r="L119" s="22" t="inlineStr">
        <is>
          <t>Azul/Verde</t>
        </is>
      </c>
      <c r="M119" s="22" t="inlineStr">
        <is>
          <t>Femenino</t>
        </is>
      </c>
      <c r="N119" s="78" t="n">
        <v>37123</v>
      </c>
      <c r="O119" s="23">
        <f>IF(N119="","",DATEDIF(N119,TODAY(),"Y"))</f>
        <v/>
      </c>
      <c r="P119" s="23">
        <f>IF(O119="","",IF(O119&lt;=11,"Infantil",IF(O119&lt;=17,"Juvenil",IF(O119&lt;=44,"Adulto","Baobá"))))</f>
        <v/>
      </c>
      <c r="Q119" s="23">
        <f>IF(P119&lt;&gt;"Adulto","",IF(OR(L119="Marrom",L119="Marrom/Vermelha"),"A",IF(OR(L119="Roxa",L119="Roxa/Marrom"),"B",IF(OR(L119="Verde",L119="Verde/Roxa"),"C",IF(OR(L119="Azul",L119="Azul/Verde"),"D",IF(OR(L119="Laranja",L119="Laranja/Azul"),"E",IF(Y119="Sí","E","N/A")))))))</f>
        <v/>
      </c>
      <c r="R119" s="23">
        <f>IF(P119&lt;&gt;"Baobá","",IF(OR(L119="Laranja",L119="Laranja/Azul"),"Alumnos",IF(Y119="Sí","Alumnos","Graduados+")))</f>
        <v/>
      </c>
      <c r="S119" s="23">
        <f>IF(P119="","",IF(P119="Adulto",IF(OR(Q119="",Q119="N/A"),"⚠ Corda no compite Adulto",P119&amp;"-"&amp;Q119&amp;" · "&amp;M119),IF(P119="Baobá",IF(R119="","⚠ Sin clasificar Baobá",P119&amp;"-"&amp;R119&amp;" · "&amp;M119),IF(P119="Juvenil",IF(AND(OR(L119="Crua",L119="Crua/Amarela"),Y119&lt;&gt;"Sí"),"⚠ Juvenil necesita Amarela+",P119&amp;" · "&amp;M119),P119&amp;" · "&amp;M119))))</f>
        <v/>
      </c>
      <c r="T119" s="23" t="n"/>
      <c r="U119" s="22" t="inlineStr">
        <is>
          <t>Sí</t>
        </is>
      </c>
      <c r="V119" s="22" t="n"/>
      <c r="W119" s="22" t="n"/>
      <c r="X119" s="22" t="n"/>
      <c r="Y119" s="22" t="inlineStr">
        <is>
          <t>No</t>
        </is>
      </c>
      <c r="Z119" s="22" t="inlineStr">
        <is>
          <t>XS</t>
        </is>
      </c>
      <c r="AA119" s="22" t="n">
        <v>35</v>
      </c>
      <c r="AB119" s="22" t="inlineStr">
        <is>
          <t>Pagado</t>
        </is>
      </c>
      <c r="AC119" s="22" t="n"/>
      <c r="AD119" s="23">
        <f>IF(D119&lt;&gt;"","P"&amp;TEXT(ROW()-4,"0000"),"")</f>
        <v/>
      </c>
    </row>
    <row r="120" ht="14.25" customHeight="1" s="72">
      <c r="A120" s="22" t="inlineStr">
        <is>
          <t>2025-10-01 18:32:36</t>
        </is>
      </c>
      <c r="B120" s="22" t="n"/>
      <c r="C120" s="22" t="n"/>
      <c r="D120" s="22" t="inlineStr">
        <is>
          <t>María</t>
        </is>
      </c>
      <c r="E120" s="22" t="inlineStr">
        <is>
          <t>Cardoso</t>
        </is>
      </c>
      <c r="F120" s="22" t="inlineStr">
        <is>
          <t>Onça</t>
        </is>
      </c>
      <c r="G120" s="23">
        <f>IF(F120&lt;&gt;"",F120,IF(AND(D120="",E120=""),"",TRIM(D120&amp;" "&amp;E120)))</f>
        <v/>
      </c>
      <c r="H120" s="22" t="n"/>
      <c r="I120" s="22" t="inlineStr">
        <is>
          <t>+34 647 539 101</t>
        </is>
      </c>
      <c r="J120" s="22" t="inlineStr">
        <is>
          <t>Berlín-Alemania</t>
        </is>
      </c>
      <c r="K120" s="22" t="inlineStr">
        <is>
          <t>Mestre Onça</t>
        </is>
      </c>
      <c r="L120" s="22" t="inlineStr">
        <is>
          <t>Azul/Verde</t>
        </is>
      </c>
      <c r="M120" s="22" t="inlineStr">
        <is>
          <t>Femenino</t>
        </is>
      </c>
      <c r="N120" s="78" t="n">
        <v>31599</v>
      </c>
      <c r="O120" s="23">
        <f>IF(N120="","",DATEDIF(N120,TODAY(),"Y"))</f>
        <v/>
      </c>
      <c r="P120" s="23">
        <f>IF(O120="","",IF(O120&lt;=11,"Infantil",IF(O120&lt;=17,"Juvenil",IF(O120&lt;=44,"Adulto","Baobá"))))</f>
        <v/>
      </c>
      <c r="Q120" s="23">
        <f>IF(P120&lt;&gt;"Adulto","",IF(OR(L120="Marrom",L120="Marrom/Vermelha"),"A",IF(OR(L120="Roxa",L120="Roxa/Marrom"),"B",IF(OR(L120="Verde",L120="Verde/Roxa"),"C",IF(OR(L120="Azul",L120="Azul/Verde"),"D",IF(OR(L120="Laranja",L120="Laranja/Azul"),"E",IF(Y120="Sí","E","N/A")))))))</f>
        <v/>
      </c>
      <c r="R120" s="23">
        <f>IF(P120&lt;&gt;"Baobá","",IF(OR(L120="Laranja",L120="Laranja/Azul"),"Alumnos",IF(Y120="Sí","Alumnos","Graduados+")))</f>
        <v/>
      </c>
      <c r="S120" s="23">
        <f>IF(P120="","",IF(P120="Adulto",IF(OR(Q120="",Q120="N/A"),"⚠ Corda no compite Adulto",P120&amp;"-"&amp;Q120&amp;" · "&amp;M120),IF(P120="Baobá",IF(R120="","⚠ Sin clasificar Baobá",P120&amp;"-"&amp;R120&amp;" · "&amp;M120),IF(P120="Juvenil",IF(AND(OR(L120="Crua",L120="Crua/Amarela"),Y120&lt;&gt;"Sí"),"⚠ Juvenil necesita Amarela+",P120&amp;" · "&amp;M120),P120&amp;" · "&amp;M120))))</f>
        <v/>
      </c>
      <c r="T120" s="23" t="n"/>
      <c r="U120" s="22" t="inlineStr">
        <is>
          <t>Sí</t>
        </is>
      </c>
      <c r="V120" s="22" t="n"/>
      <c r="W120" s="22" t="n"/>
      <c r="X120" s="22" t="n"/>
      <c r="Y120" s="22" t="inlineStr">
        <is>
          <t>No</t>
        </is>
      </c>
      <c r="Z120" s="22" t="inlineStr">
        <is>
          <t>S</t>
        </is>
      </c>
      <c r="AA120" s="22" t="n">
        <v>35</v>
      </c>
      <c r="AB120" s="22" t="inlineStr">
        <is>
          <t>Pagado</t>
        </is>
      </c>
      <c r="AC120" s="22" t="n"/>
      <c r="AD120" s="23">
        <f>IF(D120&lt;&gt;"","P"&amp;TEXT(ROW()-4,"0000"),"")</f>
        <v/>
      </c>
    </row>
    <row r="121" ht="14.25" customHeight="1" s="72">
      <c r="A121" s="22" t="inlineStr">
        <is>
          <t>2025-10-22 09:33:23</t>
        </is>
      </c>
      <c r="B121" s="22" t="n"/>
      <c r="C121" s="22" t="n"/>
      <c r="D121" s="22" t="inlineStr">
        <is>
          <t>Fernanda</t>
        </is>
      </c>
      <c r="E121" s="22" t="inlineStr">
        <is>
          <t>Monteiro</t>
        </is>
      </c>
      <c r="F121" s="22" t="inlineStr">
        <is>
          <t>Papagaio</t>
        </is>
      </c>
      <c r="G121" s="23">
        <f>IF(F121&lt;&gt;"",F121,IF(AND(D121="",E121=""),"",TRIM(D121&amp;" "&amp;E121)))</f>
        <v/>
      </c>
      <c r="H121" s="22" t="n"/>
      <c r="I121" s="22" t="inlineStr">
        <is>
          <t>+34 679 619 905</t>
        </is>
      </c>
      <c r="J121" s="22" t="inlineStr">
        <is>
          <t>Rio de Janeiro-Brasil</t>
        </is>
      </c>
      <c r="K121" s="22" t="inlineStr">
        <is>
          <t>Mestre Sucuri</t>
        </is>
      </c>
      <c r="L121" s="22" t="inlineStr">
        <is>
          <t>Azul/Verde</t>
        </is>
      </c>
      <c r="M121" s="22" t="inlineStr">
        <is>
          <t>Femenino</t>
        </is>
      </c>
      <c r="N121" s="78" t="n">
        <v>32529</v>
      </c>
      <c r="O121" s="23">
        <f>IF(N121="","",DATEDIF(N121,TODAY(),"Y"))</f>
        <v/>
      </c>
      <c r="P121" s="23">
        <f>IF(O121="","",IF(O121&lt;=11,"Infantil",IF(O121&lt;=17,"Juvenil",IF(O121&lt;=44,"Adulto","Baobá"))))</f>
        <v/>
      </c>
      <c r="Q121" s="23">
        <f>IF(P121&lt;&gt;"Adulto","",IF(OR(L121="Marrom",L121="Marrom/Vermelha"),"A",IF(OR(L121="Roxa",L121="Roxa/Marrom"),"B",IF(OR(L121="Verde",L121="Verde/Roxa"),"C",IF(OR(L121="Azul",L121="Azul/Verde"),"D",IF(OR(L121="Laranja",L121="Laranja/Azul"),"E",IF(Y121="Sí","E","N/A")))))))</f>
        <v/>
      </c>
      <c r="R121" s="23">
        <f>IF(P121&lt;&gt;"Baobá","",IF(OR(L121="Laranja",L121="Laranja/Azul"),"Alumnos",IF(Y121="Sí","Alumnos","Graduados+")))</f>
        <v/>
      </c>
      <c r="S121" s="23">
        <f>IF(P121="","",IF(P121="Adulto",IF(OR(Q121="",Q121="N/A"),"⚠ Corda no compite Adulto",P121&amp;"-"&amp;Q121&amp;" · "&amp;M121),IF(P121="Baobá",IF(R121="","⚠ Sin clasificar Baobá",P121&amp;"-"&amp;R121&amp;" · "&amp;M121),IF(P121="Juvenil",IF(AND(OR(L121="Crua",L121="Crua/Amarela"),Y121&lt;&gt;"Sí"),"⚠ Juvenil necesita Amarela+",P121&amp;" · "&amp;M121),P121&amp;" · "&amp;M121))))</f>
        <v/>
      </c>
      <c r="T121" s="23" t="n"/>
      <c r="U121" s="22" t="inlineStr">
        <is>
          <t>Sí</t>
        </is>
      </c>
      <c r="V121" s="22" t="n"/>
      <c r="W121" s="22" t="n"/>
      <c r="X121" s="22" t="n"/>
      <c r="Y121" s="22" t="inlineStr">
        <is>
          <t>No</t>
        </is>
      </c>
      <c r="Z121" s="22" t="inlineStr">
        <is>
          <t>M</t>
        </is>
      </c>
      <c r="AA121" s="22" t="n">
        <v>35</v>
      </c>
      <c r="AB121" s="22" t="inlineStr">
        <is>
          <t>Pagado</t>
        </is>
      </c>
      <c r="AC121" s="22" t="n"/>
      <c r="AD121" s="23">
        <f>IF(D121&lt;&gt;"","P"&amp;TEXT(ROW()-4,"0000"),"")</f>
        <v/>
      </c>
    </row>
    <row r="122" ht="14.25" customHeight="1" s="72">
      <c r="A122" s="22" t="inlineStr">
        <is>
          <t>2025-09-12 12:47:01</t>
        </is>
      </c>
      <c r="B122" s="22" t="n"/>
      <c r="C122" s="22" t="n"/>
      <c r="D122" s="22" t="inlineStr">
        <is>
          <t>Andreia</t>
        </is>
      </c>
      <c r="E122" s="22" t="inlineStr">
        <is>
          <t>Ribeiro</t>
        </is>
      </c>
      <c r="F122" s="22" t="inlineStr">
        <is>
          <t>Iguana</t>
        </is>
      </c>
      <c r="G122" s="23">
        <f>IF(F122&lt;&gt;"",F122,IF(AND(D122="",E122=""),"",TRIM(D122&amp;" "&amp;E122)))</f>
        <v/>
      </c>
      <c r="H122" s="22" t="n"/>
      <c r="I122" s="22" t="inlineStr">
        <is>
          <t>+34 654 346 850</t>
        </is>
      </c>
      <c r="J122" s="22" t="inlineStr">
        <is>
          <t>Curitiba-Brasil</t>
        </is>
      </c>
      <c r="K122" s="22" t="inlineStr">
        <is>
          <t>Mestre Urso</t>
        </is>
      </c>
      <c r="L122" s="22" t="inlineStr">
        <is>
          <t>Azul</t>
        </is>
      </c>
      <c r="M122" s="22" t="inlineStr">
        <is>
          <t>Femenino</t>
        </is>
      </c>
      <c r="N122" s="78" t="n">
        <v>34395</v>
      </c>
      <c r="O122" s="23">
        <f>IF(N122="","",DATEDIF(N122,TODAY(),"Y"))</f>
        <v/>
      </c>
      <c r="P122" s="23">
        <f>IF(O122="","",IF(O122&lt;=11,"Infantil",IF(O122&lt;=17,"Juvenil",IF(O122&lt;=44,"Adulto","Baobá"))))</f>
        <v/>
      </c>
      <c r="Q122" s="23">
        <f>IF(P122&lt;&gt;"Adulto","",IF(OR(L122="Marrom",L122="Marrom/Vermelha"),"A",IF(OR(L122="Roxa",L122="Roxa/Marrom"),"B",IF(OR(L122="Verde",L122="Verde/Roxa"),"C",IF(OR(L122="Azul",L122="Azul/Verde"),"D",IF(OR(L122="Laranja",L122="Laranja/Azul"),"E",IF(Y122="Sí","E","N/A")))))))</f>
        <v/>
      </c>
      <c r="R122" s="23">
        <f>IF(P122&lt;&gt;"Baobá","",IF(OR(L122="Laranja",L122="Laranja/Azul"),"Alumnos",IF(Y122="Sí","Alumnos","Graduados+")))</f>
        <v/>
      </c>
      <c r="S122" s="23">
        <f>IF(P122="","",IF(P122="Adulto",IF(OR(Q122="",Q122="N/A"),"⚠ Corda no compite Adulto",P122&amp;"-"&amp;Q122&amp;" · "&amp;M122),IF(P122="Baobá",IF(R122="","⚠ Sin clasificar Baobá",P122&amp;"-"&amp;R122&amp;" · "&amp;M122),IF(P122="Juvenil",IF(AND(OR(L122="Crua",L122="Crua/Amarela"),Y122&lt;&gt;"Sí"),"⚠ Juvenil necesita Amarela+",P122&amp;" · "&amp;M122),P122&amp;" · "&amp;M122))))</f>
        <v/>
      </c>
      <c r="T122" s="23" t="n"/>
      <c r="U122" s="22" t="inlineStr">
        <is>
          <t>Sí</t>
        </is>
      </c>
      <c r="V122" s="22" t="n"/>
      <c r="W122" s="22" t="n"/>
      <c r="X122" s="22" t="n"/>
      <c r="Y122" s="22" t="inlineStr">
        <is>
          <t>No</t>
        </is>
      </c>
      <c r="Z122" s="22" t="inlineStr">
        <is>
          <t>L</t>
        </is>
      </c>
      <c r="AA122" s="22" t="n">
        <v>35</v>
      </c>
      <c r="AB122" s="22" t="inlineStr">
        <is>
          <t>Pagado</t>
        </is>
      </c>
      <c r="AC122" s="22" t="n"/>
      <c r="AD122" s="23">
        <f>IF(D122&lt;&gt;"","P"&amp;TEXT(ROW()-4,"0000"),"")</f>
        <v/>
      </c>
    </row>
    <row r="123" ht="14.25" customHeight="1" s="72">
      <c r="A123" s="22" t="inlineStr">
        <is>
          <t>2025-09-18 13:52:41</t>
        </is>
      </c>
      <c r="B123" s="22" t="n"/>
      <c r="C123" s="22" t="n"/>
      <c r="D123" s="22" t="inlineStr">
        <is>
          <t>Daniela</t>
        </is>
      </c>
      <c r="E123" s="22" t="inlineStr">
        <is>
          <t>Moreau</t>
        </is>
      </c>
      <c r="F123" s="22" t="inlineStr">
        <is>
          <t>Peixe-Espada</t>
        </is>
      </c>
      <c r="G123" s="23">
        <f>IF(F123&lt;&gt;"",F123,IF(AND(D123="",E123=""),"",TRIM(D123&amp;" "&amp;E123)))</f>
        <v/>
      </c>
      <c r="H123" s="22" t="n"/>
      <c r="I123" s="22" t="inlineStr">
        <is>
          <t>+34 699 590 746</t>
        </is>
      </c>
      <c r="J123" s="22" t="inlineStr">
        <is>
          <t>Barcelona-España</t>
        </is>
      </c>
      <c r="K123" s="22" t="inlineStr">
        <is>
          <t>Mestre Cobra</t>
        </is>
      </c>
      <c r="L123" s="22" t="inlineStr">
        <is>
          <t>Azul/Verde</t>
        </is>
      </c>
      <c r="M123" s="22" t="inlineStr">
        <is>
          <t>Femenino</t>
        </is>
      </c>
      <c r="N123" s="78" t="n">
        <v>37615</v>
      </c>
      <c r="O123" s="23">
        <f>IF(N123="","",DATEDIF(N123,TODAY(),"Y"))</f>
        <v/>
      </c>
      <c r="P123" s="23">
        <f>IF(O123="","",IF(O123&lt;=11,"Infantil",IF(O123&lt;=17,"Juvenil",IF(O123&lt;=44,"Adulto","Baobá"))))</f>
        <v/>
      </c>
      <c r="Q123" s="23">
        <f>IF(P123&lt;&gt;"Adulto","",IF(OR(L123="Marrom",L123="Marrom/Vermelha"),"A",IF(OR(L123="Roxa",L123="Roxa/Marrom"),"B",IF(OR(L123="Verde",L123="Verde/Roxa"),"C",IF(OR(L123="Azul",L123="Azul/Verde"),"D",IF(OR(L123="Laranja",L123="Laranja/Azul"),"E",IF(Y123="Sí","E","N/A")))))))</f>
        <v/>
      </c>
      <c r="R123" s="23">
        <f>IF(P123&lt;&gt;"Baobá","",IF(OR(L123="Laranja",L123="Laranja/Azul"),"Alumnos",IF(Y123="Sí","Alumnos","Graduados+")))</f>
        <v/>
      </c>
      <c r="S123" s="23">
        <f>IF(P123="","",IF(P123="Adulto",IF(OR(Q123="",Q123="N/A"),"⚠ Corda no compite Adulto",P123&amp;"-"&amp;Q123&amp;" · "&amp;M123),IF(P123="Baobá",IF(R123="","⚠ Sin clasificar Baobá",P123&amp;"-"&amp;R123&amp;" · "&amp;M123),IF(P123="Juvenil",IF(AND(OR(L123="Crua",L123="Crua/Amarela"),Y123&lt;&gt;"Sí"),"⚠ Juvenil necesita Amarela+",P123&amp;" · "&amp;M123),P123&amp;" · "&amp;M123))))</f>
        <v/>
      </c>
      <c r="T123" s="23" t="n"/>
      <c r="U123" s="22" t="inlineStr">
        <is>
          <t>Sí</t>
        </is>
      </c>
      <c r="V123" s="22" t="n"/>
      <c r="W123" s="22" t="n"/>
      <c r="X123" s="22" t="n"/>
      <c r="Y123" s="22" t="inlineStr">
        <is>
          <t>No</t>
        </is>
      </c>
      <c r="Z123" s="22" t="inlineStr">
        <is>
          <t>XL</t>
        </is>
      </c>
      <c r="AA123" s="22" t="n">
        <v>35</v>
      </c>
      <c r="AB123" s="22" t="inlineStr">
        <is>
          <t>Pagado</t>
        </is>
      </c>
      <c r="AC123" s="22" t="n"/>
      <c r="AD123" s="23">
        <f>IF(D123&lt;&gt;"","P"&amp;TEXT(ROW()-4,"0000"),"")</f>
        <v/>
      </c>
    </row>
    <row r="124" ht="14.25" customHeight="1" s="72">
      <c r="A124" s="22" t="inlineStr">
        <is>
          <t>2025-09-02 12:12:02</t>
        </is>
      </c>
      <c r="B124" s="22" t="n"/>
      <c r="C124" s="22" t="n"/>
      <c r="D124" s="22" t="inlineStr">
        <is>
          <t>Laura</t>
        </is>
      </c>
      <c r="E124" s="22" t="inlineStr">
        <is>
          <t>Costa</t>
        </is>
      </c>
      <c r="F124" s="22" t="inlineStr">
        <is>
          <t>Quati</t>
        </is>
      </c>
      <c r="G124" s="23">
        <f>IF(F124&lt;&gt;"",F124,IF(AND(D124="",E124=""),"",TRIM(D124&amp;" "&amp;E124)))</f>
        <v/>
      </c>
      <c r="H124" s="22" t="n"/>
      <c r="I124" s="22" t="inlineStr">
        <is>
          <t>+34 650 417 627</t>
        </is>
      </c>
      <c r="J124" s="22" t="inlineStr">
        <is>
          <t>Roma-Italia</t>
        </is>
      </c>
      <c r="K124" s="22" t="inlineStr">
        <is>
          <t>Professor Tatu</t>
        </is>
      </c>
      <c r="L124" s="22" t="inlineStr">
        <is>
          <t>Azul/Verde</t>
        </is>
      </c>
      <c r="M124" s="22" t="inlineStr">
        <is>
          <t>Femenino</t>
        </is>
      </c>
      <c r="N124" s="78" t="n">
        <v>32630</v>
      </c>
      <c r="O124" s="23">
        <f>IF(N124="","",DATEDIF(N124,TODAY(),"Y"))</f>
        <v/>
      </c>
      <c r="P124" s="23">
        <f>IF(O124="","",IF(O124&lt;=11,"Infantil",IF(O124&lt;=17,"Juvenil",IF(O124&lt;=44,"Adulto","Baobá"))))</f>
        <v/>
      </c>
      <c r="Q124" s="23">
        <f>IF(P124&lt;&gt;"Adulto","",IF(OR(L124="Marrom",L124="Marrom/Vermelha"),"A",IF(OR(L124="Roxa",L124="Roxa/Marrom"),"B",IF(OR(L124="Verde",L124="Verde/Roxa"),"C",IF(OR(L124="Azul",L124="Azul/Verde"),"D",IF(OR(L124="Laranja",L124="Laranja/Azul"),"E",IF(Y124="Sí","E","N/A")))))))</f>
        <v/>
      </c>
      <c r="R124" s="23">
        <f>IF(P124&lt;&gt;"Baobá","",IF(OR(L124="Laranja",L124="Laranja/Azul"),"Alumnos",IF(Y124="Sí","Alumnos","Graduados+")))</f>
        <v/>
      </c>
      <c r="S124" s="23">
        <f>IF(P124="","",IF(P124="Adulto",IF(OR(Q124="",Q124="N/A"),"⚠ Corda no compite Adulto",P124&amp;"-"&amp;Q124&amp;" · "&amp;M124),IF(P124="Baobá",IF(R124="","⚠ Sin clasificar Baobá",P124&amp;"-"&amp;R124&amp;" · "&amp;M124),IF(P124="Juvenil",IF(AND(OR(L124="Crua",L124="Crua/Amarela"),Y124&lt;&gt;"Sí"),"⚠ Juvenil necesita Amarela+",P124&amp;" · "&amp;M124),P124&amp;" · "&amp;M124))))</f>
        <v/>
      </c>
      <c r="T124" s="23" t="n"/>
      <c r="U124" s="22" t="inlineStr">
        <is>
          <t>Sí</t>
        </is>
      </c>
      <c r="V124" s="22" t="n"/>
      <c r="W124" s="22" t="n"/>
      <c r="X124" s="22" t="n"/>
      <c r="Y124" s="22" t="inlineStr">
        <is>
          <t>No</t>
        </is>
      </c>
      <c r="Z124" s="22" t="inlineStr">
        <is>
          <t>XXL</t>
        </is>
      </c>
      <c r="AA124" s="22" t="n">
        <v>35</v>
      </c>
      <c r="AB124" s="22" t="inlineStr">
        <is>
          <t>Pagado</t>
        </is>
      </c>
      <c r="AC124" s="22" t="n"/>
      <c r="AD124" s="23">
        <f>IF(D124&lt;&gt;"","P"&amp;TEXT(ROW()-4,"0000"),"")</f>
        <v/>
      </c>
    </row>
    <row r="125" ht="14.25" customHeight="1" s="72">
      <c r="A125" s="22" t="inlineStr">
        <is>
          <t>2025-10-07 12:22:55</t>
        </is>
      </c>
      <c r="B125" s="22" t="n"/>
      <c r="C125" s="22" t="n"/>
      <c r="D125" s="22" t="inlineStr">
        <is>
          <t>Mei</t>
        </is>
      </c>
      <c r="E125" s="22" t="inlineStr">
        <is>
          <t>Ferreira</t>
        </is>
      </c>
      <c r="F125" s="22" t="inlineStr">
        <is>
          <t>Lontra</t>
        </is>
      </c>
      <c r="G125" s="23">
        <f>IF(F125&lt;&gt;"",F125,IF(AND(D125="",E125=""),"",TRIM(D125&amp;" "&amp;E125)))</f>
        <v/>
      </c>
      <c r="H125" s="22" t="n"/>
      <c r="I125" s="22" t="inlineStr">
        <is>
          <t>+34 693 439 379</t>
        </is>
      </c>
      <c r="J125" s="22" t="inlineStr">
        <is>
          <t>Porto Alegre-Brasil</t>
        </is>
      </c>
      <c r="K125" s="22" t="inlineStr">
        <is>
          <t>Contra-Mestre Jabuti</t>
        </is>
      </c>
      <c r="L125" s="22" t="inlineStr">
        <is>
          <t>Azul/Verde</t>
        </is>
      </c>
      <c r="M125" s="22" t="inlineStr">
        <is>
          <t>Femenino</t>
        </is>
      </c>
      <c r="N125" s="78" t="n">
        <v>33443</v>
      </c>
      <c r="O125" s="23">
        <f>IF(N125="","",DATEDIF(N125,TODAY(),"Y"))</f>
        <v/>
      </c>
      <c r="P125" s="23">
        <f>IF(O125="","",IF(O125&lt;=11,"Infantil",IF(O125&lt;=17,"Juvenil",IF(O125&lt;=44,"Adulto","Baobá"))))</f>
        <v/>
      </c>
      <c r="Q125" s="23">
        <f>IF(P125&lt;&gt;"Adulto","",IF(OR(L125="Marrom",L125="Marrom/Vermelha"),"A",IF(OR(L125="Roxa",L125="Roxa/Marrom"),"B",IF(OR(L125="Verde",L125="Verde/Roxa"),"C",IF(OR(L125="Azul",L125="Azul/Verde"),"D",IF(OR(L125="Laranja",L125="Laranja/Azul"),"E",IF(Y125="Sí","E","N/A")))))))</f>
        <v/>
      </c>
      <c r="R125" s="23">
        <f>IF(P125&lt;&gt;"Baobá","",IF(OR(L125="Laranja",L125="Laranja/Azul"),"Alumnos",IF(Y125="Sí","Alumnos","Graduados+")))</f>
        <v/>
      </c>
      <c r="S125" s="23">
        <f>IF(P125="","",IF(P125="Adulto",IF(OR(Q125="",Q125="N/A"),"⚠ Corda no compite Adulto",P125&amp;"-"&amp;Q125&amp;" · "&amp;M125),IF(P125="Baobá",IF(R125="","⚠ Sin clasificar Baobá",P125&amp;"-"&amp;R125&amp;" · "&amp;M125),IF(P125="Juvenil",IF(AND(OR(L125="Crua",L125="Crua/Amarela"),Y125&lt;&gt;"Sí"),"⚠ Juvenil necesita Amarela+",P125&amp;" · "&amp;M125),P125&amp;" · "&amp;M125))))</f>
        <v/>
      </c>
      <c r="T125" s="23" t="n"/>
      <c r="U125" s="22" t="inlineStr">
        <is>
          <t>Sí</t>
        </is>
      </c>
      <c r="V125" s="22" t="n"/>
      <c r="W125" s="22" t="n"/>
      <c r="X125" s="22" t="n"/>
      <c r="Y125" s="22" t="inlineStr">
        <is>
          <t>No</t>
        </is>
      </c>
      <c r="Z125" s="22" t="inlineStr">
        <is>
          <t>XS</t>
        </is>
      </c>
      <c r="AA125" s="22" t="n">
        <v>35</v>
      </c>
      <c r="AB125" s="22" t="inlineStr">
        <is>
          <t>Pagado</t>
        </is>
      </c>
      <c r="AC125" s="22" t="n"/>
      <c r="AD125" s="23">
        <f>IF(D125&lt;&gt;"","P"&amp;TEXT(ROW()-4,"0000"),"")</f>
        <v/>
      </c>
    </row>
    <row r="126" ht="14.25" customHeight="1" s="72">
      <c r="A126" s="22" t="inlineStr">
        <is>
          <t>2025-09-13 13:11:31</t>
        </is>
      </c>
      <c r="B126" s="22" t="n"/>
      <c r="C126" s="22" t="n"/>
      <c r="D126" s="22" t="inlineStr">
        <is>
          <t>Aisha</t>
        </is>
      </c>
      <c r="E126" s="22" t="inlineStr">
        <is>
          <t>Sousa</t>
        </is>
      </c>
      <c r="F126" s="22" t="inlineStr">
        <is>
          <t>Raia</t>
        </is>
      </c>
      <c r="G126" s="23">
        <f>IF(F126&lt;&gt;"",F126,IF(AND(D126="",E126=""),"",TRIM(D126&amp;" "&amp;E126)))</f>
        <v/>
      </c>
      <c r="H126" s="22" t="n"/>
      <c r="I126" s="22" t="inlineStr">
        <is>
          <t>+34 657 916 631</t>
        </is>
      </c>
      <c r="J126" s="22" t="inlineStr">
        <is>
          <t>Cascais-Portugal</t>
        </is>
      </c>
      <c r="K126" s="22" t="inlineStr">
        <is>
          <t>Contra-Mestre Falcão</t>
        </is>
      </c>
      <c r="L126" s="22" t="inlineStr">
        <is>
          <t>Azul</t>
        </is>
      </c>
      <c r="M126" s="22" t="inlineStr">
        <is>
          <t>Femenino</t>
        </is>
      </c>
      <c r="N126" s="78" t="n">
        <v>33283</v>
      </c>
      <c r="O126" s="23">
        <f>IF(N126="","",DATEDIF(N126,TODAY(),"Y"))</f>
        <v/>
      </c>
      <c r="P126" s="23">
        <f>IF(O126="","",IF(O126&lt;=11,"Infantil",IF(O126&lt;=17,"Juvenil",IF(O126&lt;=44,"Adulto","Baobá"))))</f>
        <v/>
      </c>
      <c r="Q126" s="23">
        <f>IF(P126&lt;&gt;"Adulto","",IF(OR(L126="Marrom",L126="Marrom/Vermelha"),"A",IF(OR(L126="Roxa",L126="Roxa/Marrom"),"B",IF(OR(L126="Verde",L126="Verde/Roxa"),"C",IF(OR(L126="Azul",L126="Azul/Verde"),"D",IF(OR(L126="Laranja",L126="Laranja/Azul"),"E",IF(Y126="Sí","E","N/A")))))))</f>
        <v/>
      </c>
      <c r="R126" s="23">
        <f>IF(P126&lt;&gt;"Baobá","",IF(OR(L126="Laranja",L126="Laranja/Azul"),"Alumnos",IF(Y126="Sí","Alumnos","Graduados+")))</f>
        <v/>
      </c>
      <c r="S126" s="23">
        <f>IF(P126="","",IF(P126="Adulto",IF(OR(Q126="",Q126="N/A"),"⚠ Corda no compite Adulto",P126&amp;"-"&amp;Q126&amp;" · "&amp;M126),IF(P126="Baobá",IF(R126="","⚠ Sin clasificar Baobá",P126&amp;"-"&amp;R126&amp;" · "&amp;M126),IF(P126="Juvenil",IF(AND(OR(L126="Crua",L126="Crua/Amarela"),Y126&lt;&gt;"Sí"),"⚠ Juvenil necesita Amarela+",P126&amp;" · "&amp;M126),P126&amp;" · "&amp;M126))))</f>
        <v/>
      </c>
      <c r="T126" s="23" t="n"/>
      <c r="U126" s="22" t="inlineStr">
        <is>
          <t>Sí</t>
        </is>
      </c>
      <c r="V126" s="22" t="n"/>
      <c r="W126" s="22" t="n"/>
      <c r="X126" s="22" t="n"/>
      <c r="Y126" s="22" t="inlineStr">
        <is>
          <t>No</t>
        </is>
      </c>
      <c r="Z126" s="22" t="inlineStr">
        <is>
          <t>S</t>
        </is>
      </c>
      <c r="AA126" s="22" t="n">
        <v>35</v>
      </c>
      <c r="AB126" s="22" t="inlineStr">
        <is>
          <t>Pagado</t>
        </is>
      </c>
      <c r="AC126" s="22" t="n"/>
      <c r="AD126" s="23">
        <f>IF(D126&lt;&gt;"","P"&amp;TEXT(ROW()-4,"0000"),"")</f>
        <v/>
      </c>
    </row>
    <row r="127" ht="14.25" customHeight="1" s="72">
      <c r="A127" s="22" t="inlineStr">
        <is>
          <t>2025-10-27 10:34:18</t>
        </is>
      </c>
      <c r="B127" s="22" t="n"/>
      <c r="C127" s="22" t="n"/>
      <c r="D127" s="22" t="inlineStr">
        <is>
          <t>Elisa</t>
        </is>
      </c>
      <c r="E127" s="22" t="inlineStr">
        <is>
          <t>Gomes</t>
        </is>
      </c>
      <c r="F127" s="22" t="inlineStr">
        <is>
          <t>Gavião</t>
        </is>
      </c>
      <c r="G127" s="23">
        <f>IF(F127&lt;&gt;"",F127,IF(AND(D127="",E127=""),"",TRIM(D127&amp;" "&amp;E127)))</f>
        <v/>
      </c>
      <c r="H127" s="22" t="n"/>
      <c r="I127" s="22" t="inlineStr">
        <is>
          <t>+34 620 435 776</t>
        </is>
      </c>
      <c r="J127" s="22" t="inlineStr">
        <is>
          <t>Coimbra-Portugal</t>
        </is>
      </c>
      <c r="K127" s="22" t="inlineStr">
        <is>
          <t>Mestre Coruja</t>
        </is>
      </c>
      <c r="L127" s="22" t="inlineStr">
        <is>
          <t>Azul</t>
        </is>
      </c>
      <c r="M127" s="22" t="inlineStr">
        <is>
          <t>Femenino</t>
        </is>
      </c>
      <c r="N127" s="78" t="n">
        <v>33169</v>
      </c>
      <c r="O127" s="23">
        <f>IF(N127="","",DATEDIF(N127,TODAY(),"Y"))</f>
        <v/>
      </c>
      <c r="P127" s="23">
        <f>IF(O127="","",IF(O127&lt;=11,"Infantil",IF(O127&lt;=17,"Juvenil",IF(O127&lt;=44,"Adulto","Baobá"))))</f>
        <v/>
      </c>
      <c r="Q127" s="23">
        <f>IF(P127&lt;&gt;"Adulto","",IF(OR(L127="Marrom",L127="Marrom/Vermelha"),"A",IF(OR(L127="Roxa",L127="Roxa/Marrom"),"B",IF(OR(L127="Verde",L127="Verde/Roxa"),"C",IF(OR(L127="Azul",L127="Azul/Verde"),"D",IF(OR(L127="Laranja",L127="Laranja/Azul"),"E",IF(Y127="Sí","E","N/A")))))))</f>
        <v/>
      </c>
      <c r="R127" s="23">
        <f>IF(P127&lt;&gt;"Baobá","",IF(OR(L127="Laranja",L127="Laranja/Azul"),"Alumnos",IF(Y127="Sí","Alumnos","Graduados+")))</f>
        <v/>
      </c>
      <c r="S127" s="23">
        <f>IF(P127="","",IF(P127="Adulto",IF(OR(Q127="",Q127="N/A"),"⚠ Corda no compite Adulto",P127&amp;"-"&amp;Q127&amp;" · "&amp;M127),IF(P127="Baobá",IF(R127="","⚠ Sin clasificar Baobá",P127&amp;"-"&amp;R127&amp;" · "&amp;M127),IF(P127="Juvenil",IF(AND(OR(L127="Crua",L127="Crua/Amarela"),Y127&lt;&gt;"Sí"),"⚠ Juvenil necesita Amarela+",P127&amp;" · "&amp;M127),P127&amp;" · "&amp;M127))))</f>
        <v/>
      </c>
      <c r="T127" s="23" t="n"/>
      <c r="U127" s="22" t="inlineStr">
        <is>
          <t>Sí</t>
        </is>
      </c>
      <c r="V127" s="22" t="n"/>
      <c r="W127" s="22" t="n"/>
      <c r="X127" s="22" t="n"/>
      <c r="Y127" s="22" t="inlineStr">
        <is>
          <t>No</t>
        </is>
      </c>
      <c r="Z127" s="22" t="inlineStr">
        <is>
          <t>M</t>
        </is>
      </c>
      <c r="AA127" s="22" t="n">
        <v>35</v>
      </c>
      <c r="AB127" s="22" t="inlineStr">
        <is>
          <t>Pagado</t>
        </is>
      </c>
      <c r="AC127" s="22" t="n"/>
      <c r="AD127" s="23">
        <f>IF(D127&lt;&gt;"","P"&amp;TEXT(ROW()-4,"0000"),"")</f>
        <v/>
      </c>
    </row>
    <row r="128" ht="14.25" customHeight="1" s="72">
      <c r="A128" s="22" t="inlineStr">
        <is>
          <t>2025-09-06 19:28:22</t>
        </is>
      </c>
      <c r="B128" s="22" t="n"/>
      <c r="C128" s="22" t="n"/>
      <c r="D128" s="22" t="inlineStr">
        <is>
          <t>Nagore</t>
        </is>
      </c>
      <c r="E128" s="22" t="inlineStr">
        <is>
          <t>Costa</t>
        </is>
      </c>
      <c r="F128" s="22" t="inlineStr">
        <is>
          <t>Macaco</t>
        </is>
      </c>
      <c r="G128" s="23">
        <f>IF(F128&lt;&gt;"",F128,IF(AND(D128="",E128=""),"",TRIM(D128&amp;" "&amp;E128)))</f>
        <v/>
      </c>
      <c r="H128" s="22" t="n"/>
      <c r="I128" s="22" t="inlineStr">
        <is>
          <t>+34 655 729 545</t>
        </is>
      </c>
      <c r="J128" s="22" t="inlineStr">
        <is>
          <t>Cascais-Portugal</t>
        </is>
      </c>
      <c r="K128" s="22" t="inlineStr">
        <is>
          <t>Mestre Pastinha</t>
        </is>
      </c>
      <c r="L128" s="22" t="inlineStr">
        <is>
          <t>Azul</t>
        </is>
      </c>
      <c r="M128" s="22" t="inlineStr">
        <is>
          <t>Femenino</t>
        </is>
      </c>
      <c r="N128" s="78" t="n">
        <v>37581</v>
      </c>
      <c r="O128" s="23">
        <f>IF(N128="","",DATEDIF(N128,TODAY(),"Y"))</f>
        <v/>
      </c>
      <c r="P128" s="23">
        <f>IF(O128="","",IF(O128&lt;=11,"Infantil",IF(O128&lt;=17,"Juvenil",IF(O128&lt;=44,"Adulto","Baobá"))))</f>
        <v/>
      </c>
      <c r="Q128" s="23">
        <f>IF(P128&lt;&gt;"Adulto","",IF(OR(L128="Marrom",L128="Marrom/Vermelha"),"A",IF(OR(L128="Roxa",L128="Roxa/Marrom"),"B",IF(OR(L128="Verde",L128="Verde/Roxa"),"C",IF(OR(L128="Azul",L128="Azul/Verde"),"D",IF(OR(L128="Laranja",L128="Laranja/Azul"),"E",IF(Y128="Sí","E","N/A")))))))</f>
        <v/>
      </c>
      <c r="R128" s="23">
        <f>IF(P128&lt;&gt;"Baobá","",IF(OR(L128="Laranja",L128="Laranja/Azul"),"Alumnos",IF(Y128="Sí","Alumnos","Graduados+")))</f>
        <v/>
      </c>
      <c r="S128" s="23">
        <f>IF(P128="","",IF(P128="Adulto",IF(OR(Q128="",Q128="N/A"),"⚠ Corda no compite Adulto",P128&amp;"-"&amp;Q128&amp;" · "&amp;M128),IF(P128="Baobá",IF(R128="","⚠ Sin clasificar Baobá",P128&amp;"-"&amp;R128&amp;" · "&amp;M128),IF(P128="Juvenil",IF(AND(OR(L128="Crua",L128="Crua/Amarela"),Y128&lt;&gt;"Sí"),"⚠ Juvenil necesita Amarela+",P128&amp;" · "&amp;M128),P128&amp;" · "&amp;M128))))</f>
        <v/>
      </c>
      <c r="T128" s="23" t="n"/>
      <c r="U128" s="22" t="inlineStr">
        <is>
          <t>Sí</t>
        </is>
      </c>
      <c r="V128" s="22" t="n"/>
      <c r="W128" s="22" t="n"/>
      <c r="X128" s="22" t="n"/>
      <c r="Y128" s="22" t="inlineStr">
        <is>
          <t>No</t>
        </is>
      </c>
      <c r="Z128" s="22" t="inlineStr">
        <is>
          <t>L</t>
        </is>
      </c>
      <c r="AA128" s="22" t="n">
        <v>35</v>
      </c>
      <c r="AB128" s="22" t="inlineStr">
        <is>
          <t>Pagado</t>
        </is>
      </c>
      <c r="AC128" s="22" t="n"/>
      <c r="AD128" s="23">
        <f>IF(D128&lt;&gt;"","P"&amp;TEXT(ROW()-4,"0000"),"")</f>
        <v/>
      </c>
    </row>
    <row r="129" ht="14.25" customHeight="1" s="72">
      <c r="A129" s="22" t="inlineStr">
        <is>
          <t>2025-09-12 16:51:47</t>
        </is>
      </c>
      <c r="B129" s="22" t="n"/>
      <c r="C129" s="22" t="n"/>
      <c r="D129" s="22" t="inlineStr">
        <is>
          <t>Claudia</t>
        </is>
      </c>
      <c r="E129" s="22" t="inlineStr">
        <is>
          <t>García</t>
        </is>
      </c>
      <c r="F129" s="22" t="inlineStr">
        <is>
          <t>Teiú</t>
        </is>
      </c>
      <c r="G129" s="23">
        <f>IF(F129&lt;&gt;"",F129,IF(AND(D129="",E129=""),"",TRIM(D129&amp;" "&amp;E129)))</f>
        <v/>
      </c>
      <c r="H129" s="22" t="n"/>
      <c r="I129" s="22" t="inlineStr">
        <is>
          <t>+34 613 246 969</t>
        </is>
      </c>
      <c r="J129" s="22" t="inlineStr">
        <is>
          <t>Buenos Aires-Argentina</t>
        </is>
      </c>
      <c r="K129" s="22" t="inlineStr">
        <is>
          <t>Mestre Pastinha</t>
        </is>
      </c>
      <c r="L129" s="22" t="inlineStr">
        <is>
          <t>Azul</t>
        </is>
      </c>
      <c r="M129" s="22" t="inlineStr">
        <is>
          <t>Femenino</t>
        </is>
      </c>
      <c r="N129" s="78" t="n">
        <v>36564</v>
      </c>
      <c r="O129" s="23">
        <f>IF(N129="","",DATEDIF(N129,TODAY(),"Y"))</f>
        <v/>
      </c>
      <c r="P129" s="23">
        <f>IF(O129="","",IF(O129&lt;=11,"Infantil",IF(O129&lt;=17,"Juvenil",IF(O129&lt;=44,"Adulto","Baobá"))))</f>
        <v/>
      </c>
      <c r="Q129" s="23">
        <f>IF(P129&lt;&gt;"Adulto","",IF(OR(L129="Marrom",L129="Marrom/Vermelha"),"A",IF(OR(L129="Roxa",L129="Roxa/Marrom"),"B",IF(OR(L129="Verde",L129="Verde/Roxa"),"C",IF(OR(L129="Azul",L129="Azul/Verde"),"D",IF(OR(L129="Laranja",L129="Laranja/Azul"),"E",IF(Y129="Sí","E","N/A")))))))</f>
        <v/>
      </c>
      <c r="R129" s="23">
        <f>IF(P129&lt;&gt;"Baobá","",IF(OR(L129="Laranja",L129="Laranja/Azul"),"Alumnos",IF(Y129="Sí","Alumnos","Graduados+")))</f>
        <v/>
      </c>
      <c r="S129" s="23">
        <f>IF(P129="","",IF(P129="Adulto",IF(OR(Q129="",Q129="N/A"),"⚠ Corda no compite Adulto",P129&amp;"-"&amp;Q129&amp;" · "&amp;M129),IF(P129="Baobá",IF(R129="","⚠ Sin clasificar Baobá",P129&amp;"-"&amp;R129&amp;" · "&amp;M129),IF(P129="Juvenil",IF(AND(OR(L129="Crua",L129="Crua/Amarela"),Y129&lt;&gt;"Sí"),"⚠ Juvenil necesita Amarela+",P129&amp;" · "&amp;M129),P129&amp;" · "&amp;M129))))</f>
        <v/>
      </c>
      <c r="T129" s="23" t="n"/>
      <c r="U129" s="22" t="inlineStr">
        <is>
          <t>Sí</t>
        </is>
      </c>
      <c r="V129" s="22" t="n"/>
      <c r="W129" s="22" t="n"/>
      <c r="X129" s="22" t="n"/>
      <c r="Y129" s="22" t="inlineStr">
        <is>
          <t>No</t>
        </is>
      </c>
      <c r="Z129" s="22" t="inlineStr">
        <is>
          <t>XL</t>
        </is>
      </c>
      <c r="AA129" s="22" t="n">
        <v>35</v>
      </c>
      <c r="AB129" s="22" t="inlineStr">
        <is>
          <t>Pagado</t>
        </is>
      </c>
      <c r="AC129" s="22" t="n"/>
      <c r="AD129" s="23">
        <f>IF(D129&lt;&gt;"","P"&amp;TEXT(ROW()-4,"0000"),"")</f>
        <v/>
      </c>
    </row>
    <row r="130" ht="14.25" customHeight="1" s="72">
      <c r="A130" s="22" t="inlineStr">
        <is>
          <t>2025-10-12 13:24:36</t>
        </is>
      </c>
      <c r="B130" s="22" t="n"/>
      <c r="C130" s="22" t="n"/>
      <c r="D130" s="22" t="inlineStr">
        <is>
          <t>Beatriz</t>
        </is>
      </c>
      <c r="E130" s="22" t="inlineStr">
        <is>
          <t>Machado</t>
        </is>
      </c>
      <c r="F130" s="22" t="inlineStr">
        <is>
          <t>Arraia</t>
        </is>
      </c>
      <c r="G130" s="23">
        <f>IF(F130&lt;&gt;"",F130,IF(AND(D130="",E130=""),"",TRIM(D130&amp;" "&amp;E130)))</f>
        <v/>
      </c>
      <c r="H130" s="22" t="n"/>
      <c r="I130" s="22" t="inlineStr">
        <is>
          <t>+34 696 560 479</t>
        </is>
      </c>
      <c r="J130" s="22" t="inlineStr">
        <is>
          <t>Hamburgo-Alemania</t>
        </is>
      </c>
      <c r="K130" s="22" t="inlineStr">
        <is>
          <t>Mestre Puma</t>
        </is>
      </c>
      <c r="L130" s="22" t="inlineStr">
        <is>
          <t>Azul</t>
        </is>
      </c>
      <c r="M130" s="22" t="inlineStr">
        <is>
          <t>Femenino</t>
        </is>
      </c>
      <c r="N130" s="78" t="n">
        <v>37534</v>
      </c>
      <c r="O130" s="23">
        <f>IF(N130="","",DATEDIF(N130,TODAY(),"Y"))</f>
        <v/>
      </c>
      <c r="P130" s="23">
        <f>IF(O130="","",IF(O130&lt;=11,"Infantil",IF(O130&lt;=17,"Juvenil",IF(O130&lt;=44,"Adulto","Baobá"))))</f>
        <v/>
      </c>
      <c r="Q130" s="23">
        <f>IF(P130&lt;&gt;"Adulto","",IF(OR(L130="Marrom",L130="Marrom/Vermelha"),"A",IF(OR(L130="Roxa",L130="Roxa/Marrom"),"B",IF(OR(L130="Verde",L130="Verde/Roxa"),"C",IF(OR(L130="Azul",L130="Azul/Verde"),"D",IF(OR(L130="Laranja",L130="Laranja/Azul"),"E",IF(Y130="Sí","E","N/A")))))))</f>
        <v/>
      </c>
      <c r="R130" s="23">
        <f>IF(P130&lt;&gt;"Baobá","",IF(OR(L130="Laranja",L130="Laranja/Azul"),"Alumnos",IF(Y130="Sí","Alumnos","Graduados+")))</f>
        <v/>
      </c>
      <c r="S130" s="23">
        <f>IF(P130="","",IF(P130="Adulto",IF(OR(Q130="",Q130="N/A"),"⚠ Corda no compite Adulto",P130&amp;"-"&amp;Q130&amp;" · "&amp;M130),IF(P130="Baobá",IF(R130="","⚠ Sin clasificar Baobá",P130&amp;"-"&amp;R130&amp;" · "&amp;M130),IF(P130="Juvenil",IF(AND(OR(L130="Crua",L130="Crua/Amarela"),Y130&lt;&gt;"Sí"),"⚠ Juvenil necesita Amarela+",P130&amp;" · "&amp;M130),P130&amp;" · "&amp;M130))))</f>
        <v/>
      </c>
      <c r="T130" s="23" t="n"/>
      <c r="U130" s="22" t="inlineStr">
        <is>
          <t>Sí</t>
        </is>
      </c>
      <c r="V130" s="22" t="n"/>
      <c r="W130" s="22" t="n"/>
      <c r="X130" s="22" t="n"/>
      <c r="Y130" s="22" t="inlineStr">
        <is>
          <t>No</t>
        </is>
      </c>
      <c r="Z130" s="22" t="inlineStr">
        <is>
          <t>XXL</t>
        </is>
      </c>
      <c r="AA130" s="22" t="n">
        <v>35</v>
      </c>
      <c r="AB130" s="22" t="inlineStr">
        <is>
          <t>Pagado</t>
        </is>
      </c>
      <c r="AC130" s="22" t="n"/>
      <c r="AD130" s="23">
        <f>IF(D130&lt;&gt;"","P"&amp;TEXT(ROW()-4,"0000"),"")</f>
        <v/>
      </c>
    </row>
    <row r="131" ht="14.25" customHeight="1" s="72">
      <c r="A131" s="22" t="inlineStr">
        <is>
          <t>2025-10-12 14:20:41</t>
        </is>
      </c>
      <c r="B131" s="22" t="n"/>
      <c r="C131" s="22" t="n"/>
      <c r="D131" s="22" t="inlineStr">
        <is>
          <t>Sara</t>
        </is>
      </c>
      <c r="E131" s="22" t="inlineStr">
        <is>
          <t>Schmidt</t>
        </is>
      </c>
      <c r="F131" s="22" t="inlineStr">
        <is>
          <t>Puma-Preto</t>
        </is>
      </c>
      <c r="G131" s="23">
        <f>IF(F131&lt;&gt;"",F131,IF(AND(D131="",E131=""),"",TRIM(D131&amp;" "&amp;E131)))</f>
        <v/>
      </c>
      <c r="H131" s="22" t="n"/>
      <c r="I131" s="22" t="inlineStr">
        <is>
          <t>+34 624 126 853</t>
        </is>
      </c>
      <c r="J131" s="22" t="inlineStr">
        <is>
          <t>Barcelona-España</t>
        </is>
      </c>
      <c r="K131" s="22" t="inlineStr">
        <is>
          <t>Mestre Tartaruga</t>
        </is>
      </c>
      <c r="L131" s="22" t="inlineStr">
        <is>
          <t>Azul</t>
        </is>
      </c>
      <c r="M131" s="22" t="inlineStr">
        <is>
          <t>Femenino</t>
        </is>
      </c>
      <c r="N131" s="78" t="n">
        <v>32342</v>
      </c>
      <c r="O131" s="23">
        <f>IF(N131="","",DATEDIF(N131,TODAY(),"Y"))</f>
        <v/>
      </c>
      <c r="P131" s="23">
        <f>IF(O131="","",IF(O131&lt;=11,"Infantil",IF(O131&lt;=17,"Juvenil",IF(O131&lt;=44,"Adulto","Baobá"))))</f>
        <v/>
      </c>
      <c r="Q131" s="23">
        <f>IF(P131&lt;&gt;"Adulto","",IF(OR(L131="Marrom",L131="Marrom/Vermelha"),"A",IF(OR(L131="Roxa",L131="Roxa/Marrom"),"B",IF(OR(L131="Verde",L131="Verde/Roxa"),"C",IF(OR(L131="Azul",L131="Azul/Verde"),"D",IF(OR(L131="Laranja",L131="Laranja/Azul"),"E",IF(Y131="Sí","E","N/A")))))))</f>
        <v/>
      </c>
      <c r="R131" s="23">
        <f>IF(P131&lt;&gt;"Baobá","",IF(OR(L131="Laranja",L131="Laranja/Azul"),"Alumnos",IF(Y131="Sí","Alumnos","Graduados+")))</f>
        <v/>
      </c>
      <c r="S131" s="23">
        <f>IF(P131="","",IF(P131="Adulto",IF(OR(Q131="",Q131="N/A"),"⚠ Corda no compite Adulto",P131&amp;"-"&amp;Q131&amp;" · "&amp;M131),IF(P131="Baobá",IF(R131="","⚠ Sin clasificar Baobá",P131&amp;"-"&amp;R131&amp;" · "&amp;M131),IF(P131="Juvenil",IF(AND(OR(L131="Crua",L131="Crua/Amarela"),Y131&lt;&gt;"Sí"),"⚠ Juvenil necesita Amarela+",P131&amp;" · "&amp;M131),P131&amp;" · "&amp;M131))))</f>
        <v/>
      </c>
      <c r="T131" s="23" t="n"/>
      <c r="U131" s="22" t="inlineStr">
        <is>
          <t>Sí</t>
        </is>
      </c>
      <c r="V131" s="22" t="n"/>
      <c r="W131" s="22" t="n"/>
      <c r="X131" s="22" t="n"/>
      <c r="Y131" s="22" t="inlineStr">
        <is>
          <t>No</t>
        </is>
      </c>
      <c r="Z131" s="22" t="inlineStr">
        <is>
          <t>XS</t>
        </is>
      </c>
      <c r="AA131" s="22" t="n">
        <v>35</v>
      </c>
      <c r="AB131" s="22" t="inlineStr">
        <is>
          <t>Pagado</t>
        </is>
      </c>
      <c r="AC131" s="22" t="n"/>
      <c r="AD131" s="23">
        <f>IF(D131&lt;&gt;"","P"&amp;TEXT(ROW()-4,"0000"),"")</f>
        <v/>
      </c>
    </row>
    <row r="132" ht="14.25" customHeight="1" s="72">
      <c r="A132" s="22" t="inlineStr">
        <is>
          <t>2025-08-09 20:16:45</t>
        </is>
      </c>
      <c r="B132" s="22" t="n"/>
      <c r="C132" s="22" t="n"/>
      <c r="D132" s="22" t="inlineStr">
        <is>
          <t>Nagore</t>
        </is>
      </c>
      <c r="E132" s="22" t="inlineStr">
        <is>
          <t>Moreno</t>
        </is>
      </c>
      <c r="F132" s="22" t="inlineStr">
        <is>
          <t>Pantera</t>
        </is>
      </c>
      <c r="G132" s="23">
        <f>IF(F132&lt;&gt;"",F132,IF(AND(D132="",E132=""),"",TRIM(D132&amp;" "&amp;E132)))</f>
        <v/>
      </c>
      <c r="H132" s="22" t="n"/>
      <c r="I132" s="22" t="inlineStr">
        <is>
          <t>+34 688 392 810</t>
        </is>
      </c>
      <c r="J132" s="22" t="inlineStr">
        <is>
          <t>Bogotá-Colombia</t>
        </is>
      </c>
      <c r="K132" s="22" t="inlineStr">
        <is>
          <t>Contra-Mestre Arara</t>
        </is>
      </c>
      <c r="L132" s="22" t="inlineStr">
        <is>
          <t>Azul/Verde</t>
        </is>
      </c>
      <c r="M132" s="22" t="inlineStr">
        <is>
          <t>Femenino</t>
        </is>
      </c>
      <c r="N132" s="78" t="n">
        <v>36978</v>
      </c>
      <c r="O132" s="23">
        <f>IF(N132="","",DATEDIF(N132,TODAY(),"Y"))</f>
        <v/>
      </c>
      <c r="P132" s="23">
        <f>IF(O132="","",IF(O132&lt;=11,"Infantil",IF(O132&lt;=17,"Juvenil",IF(O132&lt;=44,"Adulto","Baobá"))))</f>
        <v/>
      </c>
      <c r="Q132" s="23">
        <f>IF(P132&lt;&gt;"Adulto","",IF(OR(L132="Marrom",L132="Marrom/Vermelha"),"A",IF(OR(L132="Roxa",L132="Roxa/Marrom"),"B",IF(OR(L132="Verde",L132="Verde/Roxa"),"C",IF(OR(L132="Azul",L132="Azul/Verde"),"D",IF(OR(L132="Laranja",L132="Laranja/Azul"),"E",IF(Y132="Sí","E","N/A")))))))</f>
        <v/>
      </c>
      <c r="R132" s="23">
        <f>IF(P132&lt;&gt;"Baobá","",IF(OR(L132="Laranja",L132="Laranja/Azul"),"Alumnos",IF(Y132="Sí","Alumnos","Graduados+")))</f>
        <v/>
      </c>
      <c r="S132" s="23">
        <f>IF(P132="","",IF(P132="Adulto",IF(OR(Q132="",Q132="N/A"),"⚠ Corda no compite Adulto",P132&amp;"-"&amp;Q132&amp;" · "&amp;M132),IF(P132="Baobá",IF(R132="","⚠ Sin clasificar Baobá",P132&amp;"-"&amp;R132&amp;" · "&amp;M132),IF(P132="Juvenil",IF(AND(OR(L132="Crua",L132="Crua/Amarela"),Y132&lt;&gt;"Sí"),"⚠ Juvenil necesita Amarela+",P132&amp;" · "&amp;M132),P132&amp;" · "&amp;M132))))</f>
        <v/>
      </c>
      <c r="T132" s="23" t="n"/>
      <c r="U132" s="22" t="inlineStr">
        <is>
          <t>Sí</t>
        </is>
      </c>
      <c r="V132" s="22" t="n"/>
      <c r="W132" s="22" t="n"/>
      <c r="X132" s="22" t="n"/>
      <c r="Y132" s="22" t="inlineStr">
        <is>
          <t>No</t>
        </is>
      </c>
      <c r="Z132" s="22" t="inlineStr">
        <is>
          <t>S</t>
        </is>
      </c>
      <c r="AA132" s="22" t="n">
        <v>35</v>
      </c>
      <c r="AB132" s="22" t="inlineStr">
        <is>
          <t>Pagado</t>
        </is>
      </c>
      <c r="AC132" s="22" t="n"/>
      <c r="AD132" s="23">
        <f>IF(D132&lt;&gt;"","P"&amp;TEXT(ROW()-4,"0000"),"")</f>
        <v/>
      </c>
    </row>
    <row r="133" ht="14.25" customHeight="1" s="72">
      <c r="A133" s="22" t="inlineStr">
        <is>
          <t>2025-08-11 18:04:28</t>
        </is>
      </c>
      <c r="B133" s="22" t="n"/>
      <c r="C133" s="22" t="n"/>
      <c r="D133" s="22" t="inlineStr">
        <is>
          <t>Caio</t>
        </is>
      </c>
      <c r="E133" s="22" t="inlineStr">
        <is>
          <t>Pires</t>
        </is>
      </c>
      <c r="F133" s="22" t="inlineStr">
        <is>
          <t>Lobo-Branco</t>
        </is>
      </c>
      <c r="G133" s="23">
        <f>IF(F133&lt;&gt;"",F133,IF(AND(D133="",E133=""),"",TRIM(D133&amp;" "&amp;E133)))</f>
        <v/>
      </c>
      <c r="H133" s="22" t="n"/>
      <c r="I133" s="22" t="inlineStr">
        <is>
          <t>+34 654 231 999</t>
        </is>
      </c>
      <c r="J133" s="22" t="inlineStr">
        <is>
          <t>Barcelona-España</t>
        </is>
      </c>
      <c r="K133" s="22" t="inlineStr">
        <is>
          <t>Mestre Cobra</t>
        </is>
      </c>
      <c r="L133" s="22" t="inlineStr">
        <is>
          <t>Laranja</t>
        </is>
      </c>
      <c r="M133" s="22" t="inlineStr">
        <is>
          <t>Masculino</t>
        </is>
      </c>
      <c r="N133" s="78" t="n">
        <v>33509</v>
      </c>
      <c r="O133" s="23">
        <f>IF(N133="","",DATEDIF(N133,TODAY(),"Y"))</f>
        <v/>
      </c>
      <c r="P133" s="23">
        <f>IF(O133="","",IF(O133&lt;=11,"Infantil",IF(O133&lt;=17,"Juvenil",IF(O133&lt;=44,"Adulto","Baobá"))))</f>
        <v/>
      </c>
      <c r="Q133" s="23">
        <f>IF(P133&lt;&gt;"Adulto","",IF(OR(L133="Marrom",L133="Marrom/Vermelha"),"A",IF(OR(L133="Roxa",L133="Roxa/Marrom"),"B",IF(OR(L133="Verde",L133="Verde/Roxa"),"C",IF(OR(L133="Azul",L133="Azul/Verde"),"D",IF(OR(L133="Laranja",L133="Laranja/Azul"),"E",IF(Y133="Sí","E","N/A")))))))</f>
        <v/>
      </c>
      <c r="R133" s="23">
        <f>IF(P133&lt;&gt;"Baobá","",IF(OR(L133="Laranja",L133="Laranja/Azul"),"Alumnos",IF(Y133="Sí","Alumnos","Graduados+")))</f>
        <v/>
      </c>
      <c r="S133" s="23">
        <f>IF(P133="","",IF(P133="Adulto",IF(OR(Q133="",Q133="N/A"),"⚠ Corda no compite Adulto",P133&amp;"-"&amp;Q133&amp;" · "&amp;M133),IF(P133="Baobá",IF(R133="","⚠ Sin clasificar Baobá",P133&amp;"-"&amp;R133&amp;" · "&amp;M133),IF(P133="Juvenil",IF(AND(OR(L133="Crua",L133="Crua/Amarela"),Y133&lt;&gt;"Sí"),"⚠ Juvenil necesita Amarela+",P133&amp;" · "&amp;M133),P133&amp;" · "&amp;M133))))</f>
        <v/>
      </c>
      <c r="T133" s="23" t="n"/>
      <c r="U133" s="22" t="inlineStr">
        <is>
          <t>Sí</t>
        </is>
      </c>
      <c r="V133" s="22" t="n"/>
      <c r="W133" s="22" t="n"/>
      <c r="X133" s="22" t="n"/>
      <c r="Y133" s="22" t="inlineStr">
        <is>
          <t>No</t>
        </is>
      </c>
      <c r="Z133" s="22" t="inlineStr">
        <is>
          <t>XS</t>
        </is>
      </c>
      <c r="AA133" s="22" t="n">
        <v>35</v>
      </c>
      <c r="AB133" s="22" t="inlineStr">
        <is>
          <t>Pagado</t>
        </is>
      </c>
      <c r="AC133" s="22" t="n"/>
      <c r="AD133" s="23">
        <f>IF(D133&lt;&gt;"","P"&amp;TEXT(ROW()-4,"0000"),"")</f>
        <v/>
      </c>
    </row>
    <row r="134" ht="14.25" customHeight="1" s="72">
      <c r="A134" s="22" t="inlineStr">
        <is>
          <t>2025-08-27 09:33:09</t>
        </is>
      </c>
      <c r="B134" s="22" t="n"/>
      <c r="C134" s="22" t="n"/>
      <c r="D134" s="22" t="inlineStr">
        <is>
          <t>Felipe</t>
        </is>
      </c>
      <c r="E134" s="22" t="inlineStr">
        <is>
          <t>López</t>
        </is>
      </c>
      <c r="F134" s="22" t="inlineStr">
        <is>
          <t>Joaninha</t>
        </is>
      </c>
      <c r="G134" s="23">
        <f>IF(F134&lt;&gt;"",F134,IF(AND(D134="",E134=""),"",TRIM(D134&amp;" "&amp;E134)))</f>
        <v/>
      </c>
      <c r="H134" s="22" t="n"/>
      <c r="I134" s="22" t="inlineStr">
        <is>
          <t>+34 630 430 826</t>
        </is>
      </c>
      <c r="J134" s="22" t="inlineStr">
        <is>
          <t>Sevilla-España</t>
        </is>
      </c>
      <c r="K134" s="22" t="inlineStr">
        <is>
          <t>Contra-Mestre Jabuti</t>
        </is>
      </c>
      <c r="L134" s="22" t="inlineStr">
        <is>
          <t>Laranja/Azul</t>
        </is>
      </c>
      <c r="M134" s="22" t="inlineStr">
        <is>
          <t>Masculino</t>
        </is>
      </c>
      <c r="N134" s="78" t="n">
        <v>32291</v>
      </c>
      <c r="O134" s="23">
        <f>IF(N134="","",DATEDIF(N134,TODAY(),"Y"))</f>
        <v/>
      </c>
      <c r="P134" s="23">
        <f>IF(O134="","",IF(O134&lt;=11,"Infantil",IF(O134&lt;=17,"Juvenil",IF(O134&lt;=44,"Adulto","Baobá"))))</f>
        <v/>
      </c>
      <c r="Q134" s="23">
        <f>IF(P134&lt;&gt;"Adulto","",IF(OR(L134="Marrom",L134="Marrom/Vermelha"),"A",IF(OR(L134="Roxa",L134="Roxa/Marrom"),"B",IF(OR(L134="Verde",L134="Verde/Roxa"),"C",IF(OR(L134="Azul",L134="Azul/Verde"),"D",IF(OR(L134="Laranja",L134="Laranja/Azul"),"E",IF(Y134="Sí","E","N/A")))))))</f>
        <v/>
      </c>
      <c r="R134" s="23">
        <f>IF(P134&lt;&gt;"Baobá","",IF(OR(L134="Laranja",L134="Laranja/Azul"),"Alumnos",IF(Y134="Sí","Alumnos","Graduados+")))</f>
        <v/>
      </c>
      <c r="S134" s="23">
        <f>IF(P134="","",IF(P134="Adulto",IF(OR(Q134="",Q134="N/A"),"⚠ Corda no compite Adulto",P134&amp;"-"&amp;Q134&amp;" · "&amp;M134),IF(P134="Baobá",IF(R134="","⚠ Sin clasificar Baobá",P134&amp;"-"&amp;R134&amp;" · "&amp;M134),IF(P134="Juvenil",IF(AND(OR(L134="Crua",L134="Crua/Amarela"),Y134&lt;&gt;"Sí"),"⚠ Juvenil necesita Amarela+",P134&amp;" · "&amp;M134),P134&amp;" · "&amp;M134))))</f>
        <v/>
      </c>
      <c r="T134" s="23" t="n"/>
      <c r="U134" s="22" t="inlineStr">
        <is>
          <t>Sí</t>
        </is>
      </c>
      <c r="V134" s="22" t="n"/>
      <c r="W134" s="22" t="n"/>
      <c r="X134" s="22" t="n"/>
      <c r="Y134" s="22" t="inlineStr">
        <is>
          <t>No</t>
        </is>
      </c>
      <c r="Z134" s="22" t="inlineStr">
        <is>
          <t>S</t>
        </is>
      </c>
      <c r="AA134" s="22" t="n">
        <v>35</v>
      </c>
      <c r="AB134" s="22" t="inlineStr">
        <is>
          <t>Pagado</t>
        </is>
      </c>
      <c r="AC134" s="22" t="n"/>
      <c r="AD134" s="23">
        <f>IF(D134&lt;&gt;"","P"&amp;TEXT(ROW()-4,"0000"),"")</f>
        <v/>
      </c>
    </row>
    <row r="135" ht="14.25" customHeight="1" s="72">
      <c r="A135" s="22" t="inlineStr">
        <is>
          <t>2025-08-09 11:40:35</t>
        </is>
      </c>
      <c r="B135" s="22" t="n"/>
      <c r="C135" s="22" t="n"/>
      <c r="D135" s="22" t="inlineStr">
        <is>
          <t>Alejandro</t>
        </is>
      </c>
      <c r="E135" s="22" t="inlineStr">
        <is>
          <t>Melo</t>
        </is>
      </c>
      <c r="F135" s="22" t="inlineStr">
        <is>
          <t>Morcego</t>
        </is>
      </c>
      <c r="G135" s="23">
        <f>IF(F135&lt;&gt;"",F135,IF(AND(D135="",E135=""),"",TRIM(D135&amp;" "&amp;E135)))</f>
        <v/>
      </c>
      <c r="H135" s="22" t="n"/>
      <c r="I135" s="22" t="inlineStr">
        <is>
          <t>+34 690 410 729</t>
        </is>
      </c>
      <c r="J135" s="22" t="inlineStr">
        <is>
          <t>Fortaleza-Brasil</t>
        </is>
      </c>
      <c r="K135" s="22" t="inlineStr">
        <is>
          <t>Contra-Mestre Pomba</t>
        </is>
      </c>
      <c r="L135" s="22" t="inlineStr">
        <is>
          <t>Laranja</t>
        </is>
      </c>
      <c r="M135" s="22" t="inlineStr">
        <is>
          <t>Masculino</t>
        </is>
      </c>
      <c r="N135" s="78" t="n">
        <v>30760</v>
      </c>
      <c r="O135" s="23">
        <f>IF(N135="","",DATEDIF(N135,TODAY(),"Y"))</f>
        <v/>
      </c>
      <c r="P135" s="23">
        <f>IF(O135="","",IF(O135&lt;=11,"Infantil",IF(O135&lt;=17,"Juvenil",IF(O135&lt;=44,"Adulto","Baobá"))))</f>
        <v/>
      </c>
      <c r="Q135" s="23">
        <f>IF(P135&lt;&gt;"Adulto","",IF(OR(L135="Marrom",L135="Marrom/Vermelha"),"A",IF(OR(L135="Roxa",L135="Roxa/Marrom"),"B",IF(OR(L135="Verde",L135="Verde/Roxa"),"C",IF(OR(L135="Azul",L135="Azul/Verde"),"D",IF(OR(L135="Laranja",L135="Laranja/Azul"),"E",IF(Y135="Sí","E","N/A")))))))</f>
        <v/>
      </c>
      <c r="R135" s="23">
        <f>IF(P135&lt;&gt;"Baobá","",IF(OR(L135="Laranja",L135="Laranja/Azul"),"Alumnos",IF(Y135="Sí","Alumnos","Graduados+")))</f>
        <v/>
      </c>
      <c r="S135" s="23">
        <f>IF(P135="","",IF(P135="Adulto",IF(OR(Q135="",Q135="N/A"),"⚠ Corda no compite Adulto",P135&amp;"-"&amp;Q135&amp;" · "&amp;M135),IF(P135="Baobá",IF(R135="","⚠ Sin clasificar Baobá",P135&amp;"-"&amp;R135&amp;" · "&amp;M135),IF(P135="Juvenil",IF(AND(OR(L135="Crua",L135="Crua/Amarela"),Y135&lt;&gt;"Sí"),"⚠ Juvenil necesita Amarela+",P135&amp;" · "&amp;M135),P135&amp;" · "&amp;M135))))</f>
        <v/>
      </c>
      <c r="T135" s="23" t="n"/>
      <c r="U135" s="22" t="inlineStr">
        <is>
          <t>Sí</t>
        </is>
      </c>
      <c r="V135" s="22" t="n"/>
      <c r="W135" s="22" t="n"/>
      <c r="X135" s="22" t="n"/>
      <c r="Y135" s="22" t="inlineStr">
        <is>
          <t>No</t>
        </is>
      </c>
      <c r="Z135" s="22" t="inlineStr">
        <is>
          <t>M</t>
        </is>
      </c>
      <c r="AA135" s="22" t="n">
        <v>35</v>
      </c>
      <c r="AB135" s="22" t="inlineStr">
        <is>
          <t>Pagado</t>
        </is>
      </c>
      <c r="AC135" s="22" t="n"/>
      <c r="AD135" s="23">
        <f>IF(D135&lt;&gt;"","P"&amp;TEXT(ROW()-4,"0000"),"")</f>
        <v/>
      </c>
    </row>
    <row r="136" ht="14.25" customHeight="1" s="72">
      <c r="A136" s="22" t="inlineStr">
        <is>
          <t>2025-10-05 10:42:39</t>
        </is>
      </c>
      <c r="B136" s="22" t="n"/>
      <c r="C136" s="22" t="n"/>
      <c r="D136" s="22" t="inlineStr">
        <is>
          <t>Matteo</t>
        </is>
      </c>
      <c r="E136" s="22" t="inlineStr">
        <is>
          <t>Esposito</t>
        </is>
      </c>
      <c r="F136" s="22" t="inlineStr">
        <is>
          <t>Cachorro-do-Mato</t>
        </is>
      </c>
      <c r="G136" s="23">
        <f>IF(F136&lt;&gt;"",F136,IF(AND(D136="",E136=""),"",TRIM(D136&amp;" "&amp;E136)))</f>
        <v/>
      </c>
      <c r="H136" s="22" t="n"/>
      <c r="I136" s="22" t="inlineStr">
        <is>
          <t>+34 682 142 945</t>
        </is>
      </c>
      <c r="J136" s="22" t="inlineStr">
        <is>
          <t>Rio de Janeiro-Brasil</t>
        </is>
      </c>
      <c r="K136" s="22" t="inlineStr">
        <is>
          <t>Contra-Mestre Falcão</t>
        </is>
      </c>
      <c r="L136" s="22" t="inlineStr">
        <is>
          <t>Laranja/Azul</t>
        </is>
      </c>
      <c r="M136" s="22" t="inlineStr">
        <is>
          <t>Masculino</t>
        </is>
      </c>
      <c r="N136" s="78" t="n">
        <v>37950</v>
      </c>
      <c r="O136" s="23">
        <f>IF(N136="","",DATEDIF(N136,TODAY(),"Y"))</f>
        <v/>
      </c>
      <c r="P136" s="23">
        <f>IF(O136="","",IF(O136&lt;=11,"Infantil",IF(O136&lt;=17,"Juvenil",IF(O136&lt;=44,"Adulto","Baobá"))))</f>
        <v/>
      </c>
      <c r="Q136" s="23">
        <f>IF(P136&lt;&gt;"Adulto","",IF(OR(L136="Marrom",L136="Marrom/Vermelha"),"A",IF(OR(L136="Roxa",L136="Roxa/Marrom"),"B",IF(OR(L136="Verde",L136="Verde/Roxa"),"C",IF(OR(L136="Azul",L136="Azul/Verde"),"D",IF(OR(L136="Laranja",L136="Laranja/Azul"),"E",IF(Y136="Sí","E","N/A")))))))</f>
        <v/>
      </c>
      <c r="R136" s="23">
        <f>IF(P136&lt;&gt;"Baobá","",IF(OR(L136="Laranja",L136="Laranja/Azul"),"Alumnos",IF(Y136="Sí","Alumnos","Graduados+")))</f>
        <v/>
      </c>
      <c r="S136" s="23">
        <f>IF(P136="","",IF(P136="Adulto",IF(OR(Q136="",Q136="N/A"),"⚠ Corda no compite Adulto",P136&amp;"-"&amp;Q136&amp;" · "&amp;M136),IF(P136="Baobá",IF(R136="","⚠ Sin clasificar Baobá",P136&amp;"-"&amp;R136&amp;" · "&amp;M136),IF(P136="Juvenil",IF(AND(OR(L136="Crua",L136="Crua/Amarela"),Y136&lt;&gt;"Sí"),"⚠ Juvenil necesita Amarela+",P136&amp;" · "&amp;M136),P136&amp;" · "&amp;M136))))</f>
        <v/>
      </c>
      <c r="T136" s="23" t="n"/>
      <c r="U136" s="22" t="inlineStr">
        <is>
          <t>Sí</t>
        </is>
      </c>
      <c r="V136" s="22" t="n"/>
      <c r="W136" s="22" t="n"/>
      <c r="X136" s="22" t="n"/>
      <c r="Y136" s="22" t="inlineStr">
        <is>
          <t>No</t>
        </is>
      </c>
      <c r="Z136" s="22" t="inlineStr">
        <is>
          <t>L</t>
        </is>
      </c>
      <c r="AA136" s="22" t="n">
        <v>35</v>
      </c>
      <c r="AB136" s="22" t="inlineStr">
        <is>
          <t>Pagado</t>
        </is>
      </c>
      <c r="AC136" s="22" t="n"/>
      <c r="AD136" s="23">
        <f>IF(D136&lt;&gt;"","P"&amp;TEXT(ROW()-4,"0000"),"")</f>
        <v/>
      </c>
    </row>
    <row r="137" ht="14.25" customHeight="1" s="72">
      <c r="A137" s="22" t="inlineStr">
        <is>
          <t>2025-10-09 18:13:49</t>
        </is>
      </c>
      <c r="B137" s="22" t="n"/>
      <c r="C137" s="22" t="n"/>
      <c r="D137" s="22" t="inlineStr">
        <is>
          <t>Fernando</t>
        </is>
      </c>
      <c r="E137" s="22" t="inlineStr">
        <is>
          <t>Thomas</t>
        </is>
      </c>
      <c r="F137" s="22" t="inlineStr">
        <is>
          <t>Formiga</t>
        </is>
      </c>
      <c r="G137" s="23">
        <f>IF(F137&lt;&gt;"",F137,IF(AND(D137="",E137=""),"",TRIM(D137&amp;" "&amp;E137)))</f>
        <v/>
      </c>
      <c r="H137" s="22" t="n"/>
      <c r="I137" s="22" t="inlineStr">
        <is>
          <t>+34 689 754 131</t>
        </is>
      </c>
      <c r="J137" s="22" t="inlineStr">
        <is>
          <t>Bogotá-Colombia</t>
        </is>
      </c>
      <c r="K137" s="22" t="inlineStr">
        <is>
          <t>Professor Tatu</t>
        </is>
      </c>
      <c r="L137" s="22" t="inlineStr">
        <is>
          <t>Laranja</t>
        </is>
      </c>
      <c r="M137" s="22" t="inlineStr">
        <is>
          <t>Masculino</t>
        </is>
      </c>
      <c r="N137" s="78" t="n">
        <v>35013</v>
      </c>
      <c r="O137" s="23">
        <f>IF(N137="","",DATEDIF(N137,TODAY(),"Y"))</f>
        <v/>
      </c>
      <c r="P137" s="23">
        <f>IF(O137="","",IF(O137&lt;=11,"Infantil",IF(O137&lt;=17,"Juvenil",IF(O137&lt;=44,"Adulto","Baobá"))))</f>
        <v/>
      </c>
      <c r="Q137" s="23">
        <f>IF(P137&lt;&gt;"Adulto","",IF(OR(L137="Marrom",L137="Marrom/Vermelha"),"A",IF(OR(L137="Roxa",L137="Roxa/Marrom"),"B",IF(OR(L137="Verde",L137="Verde/Roxa"),"C",IF(OR(L137="Azul",L137="Azul/Verde"),"D",IF(OR(L137="Laranja",L137="Laranja/Azul"),"E",IF(Y137="Sí","E","N/A")))))))</f>
        <v/>
      </c>
      <c r="R137" s="23">
        <f>IF(P137&lt;&gt;"Baobá","",IF(OR(L137="Laranja",L137="Laranja/Azul"),"Alumnos",IF(Y137="Sí","Alumnos","Graduados+")))</f>
        <v/>
      </c>
      <c r="S137" s="23">
        <f>IF(P137="","",IF(P137="Adulto",IF(OR(Q137="",Q137="N/A"),"⚠ Corda no compite Adulto",P137&amp;"-"&amp;Q137&amp;" · "&amp;M137),IF(P137="Baobá",IF(R137="","⚠ Sin clasificar Baobá",P137&amp;"-"&amp;R137&amp;" · "&amp;M137),IF(P137="Juvenil",IF(AND(OR(L137="Crua",L137="Crua/Amarela"),Y137&lt;&gt;"Sí"),"⚠ Juvenil necesita Amarela+",P137&amp;" · "&amp;M137),P137&amp;" · "&amp;M137))))</f>
        <v/>
      </c>
      <c r="T137" s="23" t="n"/>
      <c r="U137" s="22" t="inlineStr">
        <is>
          <t>Sí</t>
        </is>
      </c>
      <c r="V137" s="22" t="n"/>
      <c r="W137" s="22" t="n"/>
      <c r="X137" s="22" t="n"/>
      <c r="Y137" s="22" t="inlineStr">
        <is>
          <t>No</t>
        </is>
      </c>
      <c r="Z137" s="22" t="inlineStr">
        <is>
          <t>XL</t>
        </is>
      </c>
      <c r="AA137" s="22" t="n">
        <v>35</v>
      </c>
      <c r="AB137" s="22" t="inlineStr">
        <is>
          <t>Pagado</t>
        </is>
      </c>
      <c r="AC137" s="22" t="n"/>
      <c r="AD137" s="23">
        <f>IF(D137&lt;&gt;"","P"&amp;TEXT(ROW()-4,"0000"),"")</f>
        <v/>
      </c>
    </row>
    <row r="138" ht="14.25" customHeight="1" s="72">
      <c r="A138" s="22" t="inlineStr">
        <is>
          <t>2025-09-08 20:51:43</t>
        </is>
      </c>
      <c r="B138" s="22" t="n"/>
      <c r="C138" s="22" t="n"/>
      <c r="D138" s="22" t="inlineStr">
        <is>
          <t>Cristian</t>
        </is>
      </c>
      <c r="E138" s="22" t="inlineStr">
        <is>
          <t>Hoffmann</t>
        </is>
      </c>
      <c r="F138" s="22" t="inlineStr">
        <is>
          <t>Onça-Pintada</t>
        </is>
      </c>
      <c r="G138" s="23">
        <f>IF(F138&lt;&gt;"",F138,IF(AND(D138="",E138=""),"",TRIM(D138&amp;" "&amp;E138)))</f>
        <v/>
      </c>
      <c r="H138" s="22" t="n"/>
      <c r="I138" s="22" t="inlineStr">
        <is>
          <t>+34 668 174 805</t>
        </is>
      </c>
      <c r="J138" s="22" t="inlineStr">
        <is>
          <t>Belo Horizonte-Brasil</t>
        </is>
      </c>
      <c r="K138" s="22" t="inlineStr">
        <is>
          <t>Professor Gavião</t>
        </is>
      </c>
      <c r="L138" s="22" t="inlineStr">
        <is>
          <t>Laranja/Azul</t>
        </is>
      </c>
      <c r="M138" s="22" t="inlineStr">
        <is>
          <t>Masculino</t>
        </is>
      </c>
      <c r="N138" s="78" t="n">
        <v>33070</v>
      </c>
      <c r="O138" s="23">
        <f>IF(N138="","",DATEDIF(N138,TODAY(),"Y"))</f>
        <v/>
      </c>
      <c r="P138" s="23">
        <f>IF(O138="","",IF(O138&lt;=11,"Infantil",IF(O138&lt;=17,"Juvenil",IF(O138&lt;=44,"Adulto","Baobá"))))</f>
        <v/>
      </c>
      <c r="Q138" s="23">
        <f>IF(P138&lt;&gt;"Adulto","",IF(OR(L138="Marrom",L138="Marrom/Vermelha"),"A",IF(OR(L138="Roxa",L138="Roxa/Marrom"),"B",IF(OR(L138="Verde",L138="Verde/Roxa"),"C",IF(OR(L138="Azul",L138="Azul/Verde"),"D",IF(OR(L138="Laranja",L138="Laranja/Azul"),"E",IF(Y138="Sí","E","N/A")))))))</f>
        <v/>
      </c>
      <c r="R138" s="23">
        <f>IF(P138&lt;&gt;"Baobá","",IF(OR(L138="Laranja",L138="Laranja/Azul"),"Alumnos",IF(Y138="Sí","Alumnos","Graduados+")))</f>
        <v/>
      </c>
      <c r="S138" s="23">
        <f>IF(P138="","",IF(P138="Adulto",IF(OR(Q138="",Q138="N/A"),"⚠ Corda no compite Adulto",P138&amp;"-"&amp;Q138&amp;" · "&amp;M138),IF(P138="Baobá",IF(R138="","⚠ Sin clasificar Baobá",P138&amp;"-"&amp;R138&amp;" · "&amp;M138),IF(P138="Juvenil",IF(AND(OR(L138="Crua",L138="Crua/Amarela"),Y138&lt;&gt;"Sí"),"⚠ Juvenil necesita Amarela+",P138&amp;" · "&amp;M138),P138&amp;" · "&amp;M138))))</f>
        <v/>
      </c>
      <c r="T138" s="23" t="n"/>
      <c r="U138" s="22" t="inlineStr">
        <is>
          <t>Sí</t>
        </is>
      </c>
      <c r="V138" s="22" t="n"/>
      <c r="W138" s="22" t="n"/>
      <c r="X138" s="22" t="n"/>
      <c r="Y138" s="22" t="inlineStr">
        <is>
          <t>No</t>
        </is>
      </c>
      <c r="Z138" s="22" t="inlineStr">
        <is>
          <t>XXL</t>
        </is>
      </c>
      <c r="AA138" s="22" t="n">
        <v>35</v>
      </c>
      <c r="AB138" s="22" t="inlineStr">
        <is>
          <t>Pagado</t>
        </is>
      </c>
      <c r="AC138" s="22" t="n"/>
      <c r="AD138" s="23">
        <f>IF(D138&lt;&gt;"","P"&amp;TEXT(ROW()-4,"0000"),"")</f>
        <v/>
      </c>
    </row>
    <row r="139" ht="14.25" customHeight="1" s="72">
      <c r="A139" s="22" t="inlineStr">
        <is>
          <t>2025-09-07 13:38:09</t>
        </is>
      </c>
      <c r="B139" s="22" t="n"/>
      <c r="C139" s="22" t="n"/>
      <c r="D139" s="22" t="inlineStr">
        <is>
          <t>Renato</t>
        </is>
      </c>
      <c r="E139" s="22" t="inlineStr">
        <is>
          <t>Rossi</t>
        </is>
      </c>
      <c r="F139" s="22" t="inlineStr">
        <is>
          <t>Mangangá</t>
        </is>
      </c>
      <c r="G139" s="23">
        <f>IF(F139&lt;&gt;"",F139,IF(AND(D139="",E139=""),"",TRIM(D139&amp;" "&amp;E139)))</f>
        <v/>
      </c>
      <c r="H139" s="22" t="n"/>
      <c r="I139" s="22" t="inlineStr">
        <is>
          <t>+34 654 508 233</t>
        </is>
      </c>
      <c r="J139" s="22" t="inlineStr">
        <is>
          <t>Hamburgo-Alemania</t>
        </is>
      </c>
      <c r="K139" s="22" t="inlineStr">
        <is>
          <t>Contra-Mestre Pomba</t>
        </is>
      </c>
      <c r="L139" s="22" t="inlineStr">
        <is>
          <t>Laranja/Azul</t>
        </is>
      </c>
      <c r="M139" s="22" t="inlineStr">
        <is>
          <t>Masculino</t>
        </is>
      </c>
      <c r="N139" s="78" t="n">
        <v>31819</v>
      </c>
      <c r="O139" s="23">
        <f>IF(N139="","",DATEDIF(N139,TODAY(),"Y"))</f>
        <v/>
      </c>
      <c r="P139" s="23">
        <f>IF(O139="","",IF(O139&lt;=11,"Infantil",IF(O139&lt;=17,"Juvenil",IF(O139&lt;=44,"Adulto","Baobá"))))</f>
        <v/>
      </c>
      <c r="Q139" s="23">
        <f>IF(P139&lt;&gt;"Adulto","",IF(OR(L139="Marrom",L139="Marrom/Vermelha"),"A",IF(OR(L139="Roxa",L139="Roxa/Marrom"),"B",IF(OR(L139="Verde",L139="Verde/Roxa"),"C",IF(OR(L139="Azul",L139="Azul/Verde"),"D",IF(OR(L139="Laranja",L139="Laranja/Azul"),"E",IF(Y139="Sí","E","N/A")))))))</f>
        <v/>
      </c>
      <c r="R139" s="23">
        <f>IF(P139&lt;&gt;"Baobá","",IF(OR(L139="Laranja",L139="Laranja/Azul"),"Alumnos",IF(Y139="Sí","Alumnos","Graduados+")))</f>
        <v/>
      </c>
      <c r="S139" s="23">
        <f>IF(P139="","",IF(P139="Adulto",IF(OR(Q139="",Q139="N/A"),"⚠ Corda no compite Adulto",P139&amp;"-"&amp;Q139&amp;" · "&amp;M139),IF(P139="Baobá",IF(R139="","⚠ Sin clasificar Baobá",P139&amp;"-"&amp;R139&amp;" · "&amp;M139),IF(P139="Juvenil",IF(AND(OR(L139="Crua",L139="Crua/Amarela"),Y139&lt;&gt;"Sí"),"⚠ Juvenil necesita Amarela+",P139&amp;" · "&amp;M139),P139&amp;" · "&amp;M139))))</f>
        <v/>
      </c>
      <c r="T139" s="23" t="n"/>
      <c r="U139" s="22" t="inlineStr">
        <is>
          <t>Sí</t>
        </is>
      </c>
      <c r="V139" s="22" t="n"/>
      <c r="W139" s="22" t="n"/>
      <c r="X139" s="22" t="n"/>
      <c r="Y139" s="22" t="inlineStr">
        <is>
          <t>No</t>
        </is>
      </c>
      <c r="Z139" s="22" t="inlineStr">
        <is>
          <t>XS</t>
        </is>
      </c>
      <c r="AA139" s="22" t="n">
        <v>35</v>
      </c>
      <c r="AB139" s="22" t="inlineStr">
        <is>
          <t>Pagado</t>
        </is>
      </c>
      <c r="AC139" s="22" t="n"/>
      <c r="AD139" s="23">
        <f>IF(D139&lt;&gt;"","P"&amp;TEXT(ROW()-4,"0000"),"")</f>
        <v/>
      </c>
    </row>
    <row r="140" ht="14.25" customHeight="1" s="72">
      <c r="A140" s="22" t="inlineStr">
        <is>
          <t>2025-08-15 09:17:28</t>
        </is>
      </c>
      <c r="B140" s="22" t="n"/>
      <c r="C140" s="22" t="n"/>
      <c r="D140" s="22" t="inlineStr">
        <is>
          <t>Miguel</t>
        </is>
      </c>
      <c r="E140" s="22" t="inlineStr">
        <is>
          <t>Cardoso</t>
        </is>
      </c>
      <c r="F140" s="22" t="inlineStr">
        <is>
          <t>Leão</t>
        </is>
      </c>
      <c r="G140" s="23">
        <f>IF(F140&lt;&gt;"",F140,IF(AND(D140="",E140=""),"",TRIM(D140&amp;" "&amp;E140)))</f>
        <v/>
      </c>
      <c r="H140" s="22" t="n"/>
      <c r="I140" s="22" t="inlineStr">
        <is>
          <t>+34 622 151 397</t>
        </is>
      </c>
      <c r="J140" s="22" t="inlineStr">
        <is>
          <t>Múnich-Alemania</t>
        </is>
      </c>
      <c r="K140" s="22" t="inlineStr">
        <is>
          <t>Professor Lobo</t>
        </is>
      </c>
      <c r="L140" s="22" t="inlineStr">
        <is>
          <t>Laranja</t>
        </is>
      </c>
      <c r="M140" s="22" t="inlineStr">
        <is>
          <t>Masculino</t>
        </is>
      </c>
      <c r="N140" s="78" t="n">
        <v>33356</v>
      </c>
      <c r="O140" s="23">
        <f>IF(N140="","",DATEDIF(N140,TODAY(),"Y"))</f>
        <v/>
      </c>
      <c r="P140" s="23">
        <f>IF(O140="","",IF(O140&lt;=11,"Infantil",IF(O140&lt;=17,"Juvenil",IF(O140&lt;=44,"Adulto","Baobá"))))</f>
        <v/>
      </c>
      <c r="Q140" s="23">
        <f>IF(P140&lt;&gt;"Adulto","",IF(OR(L140="Marrom",L140="Marrom/Vermelha"),"A",IF(OR(L140="Roxa",L140="Roxa/Marrom"),"B",IF(OR(L140="Verde",L140="Verde/Roxa"),"C",IF(OR(L140="Azul",L140="Azul/Verde"),"D",IF(OR(L140="Laranja",L140="Laranja/Azul"),"E",IF(Y140="Sí","E","N/A")))))))</f>
        <v/>
      </c>
      <c r="R140" s="23">
        <f>IF(P140&lt;&gt;"Baobá","",IF(OR(L140="Laranja",L140="Laranja/Azul"),"Alumnos",IF(Y140="Sí","Alumnos","Graduados+")))</f>
        <v/>
      </c>
      <c r="S140" s="23">
        <f>IF(P140="","",IF(P140="Adulto",IF(OR(Q140="",Q140="N/A"),"⚠ Corda no compite Adulto",P140&amp;"-"&amp;Q140&amp;" · "&amp;M140),IF(P140="Baobá",IF(R140="","⚠ Sin clasificar Baobá",P140&amp;"-"&amp;R140&amp;" · "&amp;M140),IF(P140="Juvenil",IF(AND(OR(L140="Crua",L140="Crua/Amarela"),Y140&lt;&gt;"Sí"),"⚠ Juvenil necesita Amarela+",P140&amp;" · "&amp;M140),P140&amp;" · "&amp;M140))))</f>
        <v/>
      </c>
      <c r="T140" s="23" t="n"/>
      <c r="U140" s="22" t="inlineStr">
        <is>
          <t>Sí</t>
        </is>
      </c>
      <c r="V140" s="22" t="n"/>
      <c r="W140" s="22" t="n"/>
      <c r="X140" s="22" t="n"/>
      <c r="Y140" s="22" t="inlineStr">
        <is>
          <t>No</t>
        </is>
      </c>
      <c r="Z140" s="22" t="inlineStr">
        <is>
          <t>S</t>
        </is>
      </c>
      <c r="AA140" s="22" t="n">
        <v>35</v>
      </c>
      <c r="AB140" s="22" t="inlineStr">
        <is>
          <t>Pagado</t>
        </is>
      </c>
      <c r="AC140" s="22" t="n"/>
      <c r="AD140" s="23">
        <f>IF(D140&lt;&gt;"","P"&amp;TEXT(ROW()-4,"0000"),"")</f>
        <v/>
      </c>
    </row>
    <row r="141" ht="14.25" customHeight="1" s="72">
      <c r="A141" s="22" t="inlineStr">
        <is>
          <t>2025-08-27 13:59:36</t>
        </is>
      </c>
      <c r="B141" s="22" t="n"/>
      <c r="C141" s="22" t="n"/>
      <c r="D141" s="22" t="inlineStr">
        <is>
          <t>Matteo</t>
        </is>
      </c>
      <c r="E141" s="22" t="inlineStr">
        <is>
          <t>Rossi</t>
        </is>
      </c>
      <c r="F141" s="22" t="inlineStr">
        <is>
          <t>Raposa</t>
        </is>
      </c>
      <c r="G141" s="23">
        <f>IF(F141&lt;&gt;"",F141,IF(AND(D141="",E141=""),"",TRIM(D141&amp;" "&amp;E141)))</f>
        <v/>
      </c>
      <c r="H141" s="22" t="n"/>
      <c r="I141" s="22" t="inlineStr">
        <is>
          <t>+34 634 881 263</t>
        </is>
      </c>
      <c r="J141" s="22" t="inlineStr">
        <is>
          <t>Bogotá-Colombia</t>
        </is>
      </c>
      <c r="K141" s="22" t="inlineStr">
        <is>
          <t>Contra-Mestre Pomba</t>
        </is>
      </c>
      <c r="L141" s="22" t="inlineStr">
        <is>
          <t>Laranja/Azul</t>
        </is>
      </c>
      <c r="M141" s="22" t="inlineStr">
        <is>
          <t>Masculino</t>
        </is>
      </c>
      <c r="N141" s="78" t="n">
        <v>33095</v>
      </c>
      <c r="O141" s="23">
        <f>IF(N141="","",DATEDIF(N141,TODAY(),"Y"))</f>
        <v/>
      </c>
      <c r="P141" s="23">
        <f>IF(O141="","",IF(O141&lt;=11,"Infantil",IF(O141&lt;=17,"Juvenil",IF(O141&lt;=44,"Adulto","Baobá"))))</f>
        <v/>
      </c>
      <c r="Q141" s="23">
        <f>IF(P141&lt;&gt;"Adulto","",IF(OR(L141="Marrom",L141="Marrom/Vermelha"),"A",IF(OR(L141="Roxa",L141="Roxa/Marrom"),"B",IF(OR(L141="Verde",L141="Verde/Roxa"),"C",IF(OR(L141="Azul",L141="Azul/Verde"),"D",IF(OR(L141="Laranja",L141="Laranja/Azul"),"E",IF(Y141="Sí","E","N/A")))))))</f>
        <v/>
      </c>
      <c r="R141" s="23">
        <f>IF(P141&lt;&gt;"Baobá","",IF(OR(L141="Laranja",L141="Laranja/Azul"),"Alumnos",IF(Y141="Sí","Alumnos","Graduados+")))</f>
        <v/>
      </c>
      <c r="S141" s="23">
        <f>IF(P141="","",IF(P141="Adulto",IF(OR(Q141="",Q141="N/A"),"⚠ Corda no compite Adulto",P141&amp;"-"&amp;Q141&amp;" · "&amp;M141),IF(P141="Baobá",IF(R141="","⚠ Sin clasificar Baobá",P141&amp;"-"&amp;R141&amp;" · "&amp;M141),IF(P141="Juvenil",IF(AND(OR(L141="Crua",L141="Crua/Amarela"),Y141&lt;&gt;"Sí"),"⚠ Juvenil necesita Amarela+",P141&amp;" · "&amp;M141),P141&amp;" · "&amp;M141))))</f>
        <v/>
      </c>
      <c r="T141" s="23" t="n"/>
      <c r="U141" s="22" t="inlineStr">
        <is>
          <t>Sí</t>
        </is>
      </c>
      <c r="V141" s="22" t="n"/>
      <c r="W141" s="22" t="n"/>
      <c r="X141" s="22" t="n"/>
      <c r="Y141" s="22" t="inlineStr">
        <is>
          <t>No</t>
        </is>
      </c>
      <c r="Z141" s="22" t="inlineStr">
        <is>
          <t>M</t>
        </is>
      </c>
      <c r="AA141" s="22" t="n">
        <v>35</v>
      </c>
      <c r="AB141" s="22" t="inlineStr">
        <is>
          <t>Pagado</t>
        </is>
      </c>
      <c r="AC141" s="22" t="n"/>
      <c r="AD141" s="23">
        <f>IF(D141&lt;&gt;"","P"&amp;TEXT(ROW()-4,"0000"),"")</f>
        <v/>
      </c>
    </row>
    <row r="142" ht="14.25" customHeight="1" s="72">
      <c r="A142" s="22" t="inlineStr">
        <is>
          <t>2025-09-01 09:25:32</t>
        </is>
      </c>
      <c r="B142" s="22" t="n"/>
      <c r="C142" s="22" t="n"/>
      <c r="D142" s="22" t="inlineStr">
        <is>
          <t>Caio</t>
        </is>
      </c>
      <c r="E142" s="22" t="inlineStr">
        <is>
          <t>Müller</t>
        </is>
      </c>
      <c r="F142" s="22" t="inlineStr">
        <is>
          <t>Tigre</t>
        </is>
      </c>
      <c r="G142" s="23">
        <f>IF(F142&lt;&gt;"",F142,IF(AND(D142="",E142=""),"",TRIM(D142&amp;" "&amp;E142)))</f>
        <v/>
      </c>
      <c r="H142" s="22" t="n"/>
      <c r="I142" s="22" t="inlineStr">
        <is>
          <t>+34 637 697 461</t>
        </is>
      </c>
      <c r="J142" s="22" t="inlineStr">
        <is>
          <t>Belo Horizonte-Brasil</t>
        </is>
      </c>
      <c r="K142" s="22" t="inlineStr">
        <is>
          <t>Mestre Pastinha</t>
        </is>
      </c>
      <c r="L142" s="22" t="inlineStr">
        <is>
          <t>Laranja/Azul</t>
        </is>
      </c>
      <c r="M142" s="22" t="inlineStr">
        <is>
          <t>Masculino</t>
        </is>
      </c>
      <c r="N142" s="78" t="n">
        <v>34931</v>
      </c>
      <c r="O142" s="23">
        <f>IF(N142="","",DATEDIF(N142,TODAY(),"Y"))</f>
        <v/>
      </c>
      <c r="P142" s="23">
        <f>IF(O142="","",IF(O142&lt;=11,"Infantil",IF(O142&lt;=17,"Juvenil",IF(O142&lt;=44,"Adulto","Baobá"))))</f>
        <v/>
      </c>
      <c r="Q142" s="23">
        <f>IF(P142&lt;&gt;"Adulto","",IF(OR(L142="Marrom",L142="Marrom/Vermelha"),"A",IF(OR(L142="Roxa",L142="Roxa/Marrom"),"B",IF(OR(L142="Verde",L142="Verde/Roxa"),"C",IF(OR(L142="Azul",L142="Azul/Verde"),"D",IF(OR(L142="Laranja",L142="Laranja/Azul"),"E",IF(Y142="Sí","E","N/A")))))))</f>
        <v/>
      </c>
      <c r="R142" s="23">
        <f>IF(P142&lt;&gt;"Baobá","",IF(OR(L142="Laranja",L142="Laranja/Azul"),"Alumnos",IF(Y142="Sí","Alumnos","Graduados+")))</f>
        <v/>
      </c>
      <c r="S142" s="23">
        <f>IF(P142="","",IF(P142="Adulto",IF(OR(Q142="",Q142="N/A"),"⚠ Corda no compite Adulto",P142&amp;"-"&amp;Q142&amp;" · "&amp;M142),IF(P142="Baobá",IF(R142="","⚠ Sin clasificar Baobá",P142&amp;"-"&amp;R142&amp;" · "&amp;M142),IF(P142="Juvenil",IF(AND(OR(L142="Crua",L142="Crua/Amarela"),Y142&lt;&gt;"Sí"),"⚠ Juvenil necesita Amarela+",P142&amp;" · "&amp;M142),P142&amp;" · "&amp;M142))))</f>
        <v/>
      </c>
      <c r="T142" s="23" t="n"/>
      <c r="U142" s="22" t="inlineStr">
        <is>
          <t>Sí</t>
        </is>
      </c>
      <c r="V142" s="22" t="n"/>
      <c r="W142" s="22" t="n"/>
      <c r="X142" s="22" t="n"/>
      <c r="Y142" s="22" t="inlineStr">
        <is>
          <t>No</t>
        </is>
      </c>
      <c r="Z142" s="22" t="inlineStr">
        <is>
          <t>L</t>
        </is>
      </c>
      <c r="AA142" s="22" t="n">
        <v>35</v>
      </c>
      <c r="AB142" s="22" t="inlineStr">
        <is>
          <t>Pagado</t>
        </is>
      </c>
      <c r="AC142" s="22" t="n"/>
      <c r="AD142" s="23">
        <f>IF(D142&lt;&gt;"","P"&amp;TEXT(ROW()-4,"0000"),"")</f>
        <v/>
      </c>
    </row>
    <row r="143" ht="14.25" customHeight="1" s="72">
      <c r="A143" s="22" t="inlineStr">
        <is>
          <t>2025-10-22 15:18:34</t>
        </is>
      </c>
      <c r="B143" s="22" t="n"/>
      <c r="C143" s="22" t="n"/>
      <c r="D143" s="22" t="inlineStr">
        <is>
          <t>Carlos</t>
        </is>
      </c>
      <c r="E143" s="22" t="inlineStr">
        <is>
          <t>Gomes</t>
        </is>
      </c>
      <c r="F143" s="22" t="inlineStr">
        <is>
          <t>Periquito</t>
        </is>
      </c>
      <c r="G143" s="23">
        <f>IF(F143&lt;&gt;"",F143,IF(AND(D143="",E143=""),"",TRIM(D143&amp;" "&amp;E143)))</f>
        <v/>
      </c>
      <c r="H143" s="22" t="n"/>
      <c r="I143" s="22" t="inlineStr">
        <is>
          <t>+34 665 237 370</t>
        </is>
      </c>
      <c r="J143" s="22" t="inlineStr">
        <is>
          <t>Hamburgo-Alemania</t>
        </is>
      </c>
      <c r="K143" s="22" t="inlineStr">
        <is>
          <t>Mestre Sucuri</t>
        </is>
      </c>
      <c r="L143" s="22" t="inlineStr">
        <is>
          <t>Laranja</t>
        </is>
      </c>
      <c r="M143" s="22" t="inlineStr">
        <is>
          <t>Masculino</t>
        </is>
      </c>
      <c r="N143" s="78" t="n">
        <v>33982</v>
      </c>
      <c r="O143" s="23">
        <f>IF(N143="","",DATEDIF(N143,TODAY(),"Y"))</f>
        <v/>
      </c>
      <c r="P143" s="23">
        <f>IF(O143="","",IF(O143&lt;=11,"Infantil",IF(O143&lt;=17,"Juvenil",IF(O143&lt;=44,"Adulto","Baobá"))))</f>
        <v/>
      </c>
      <c r="Q143" s="23">
        <f>IF(P143&lt;&gt;"Adulto","",IF(OR(L143="Marrom",L143="Marrom/Vermelha"),"A",IF(OR(L143="Roxa",L143="Roxa/Marrom"),"B",IF(OR(L143="Verde",L143="Verde/Roxa"),"C",IF(OR(L143="Azul",L143="Azul/Verde"),"D",IF(OR(L143="Laranja",L143="Laranja/Azul"),"E",IF(Y143="Sí","E","N/A")))))))</f>
        <v/>
      </c>
      <c r="R143" s="23">
        <f>IF(P143&lt;&gt;"Baobá","",IF(OR(L143="Laranja",L143="Laranja/Azul"),"Alumnos",IF(Y143="Sí","Alumnos","Graduados+")))</f>
        <v/>
      </c>
      <c r="S143" s="23">
        <f>IF(P143="","",IF(P143="Adulto",IF(OR(Q143="",Q143="N/A"),"⚠ Corda no compite Adulto",P143&amp;"-"&amp;Q143&amp;" · "&amp;M143),IF(P143="Baobá",IF(R143="","⚠ Sin clasificar Baobá",P143&amp;"-"&amp;R143&amp;" · "&amp;M143),IF(P143="Juvenil",IF(AND(OR(L143="Crua",L143="Crua/Amarela"),Y143&lt;&gt;"Sí"),"⚠ Juvenil necesita Amarela+",P143&amp;" · "&amp;M143),P143&amp;" · "&amp;M143))))</f>
        <v/>
      </c>
      <c r="T143" s="23" t="n"/>
      <c r="U143" s="22" t="inlineStr">
        <is>
          <t>Sí</t>
        </is>
      </c>
      <c r="V143" s="22" t="n"/>
      <c r="W143" s="22" t="n"/>
      <c r="X143" s="22" t="n"/>
      <c r="Y143" s="22" t="inlineStr">
        <is>
          <t>No</t>
        </is>
      </c>
      <c r="Z143" s="22" t="inlineStr">
        <is>
          <t>XL</t>
        </is>
      </c>
      <c r="AA143" s="22" t="n">
        <v>35</v>
      </c>
      <c r="AB143" s="22" t="inlineStr">
        <is>
          <t>Pagado</t>
        </is>
      </c>
      <c r="AC143" s="22" t="n"/>
      <c r="AD143" s="23">
        <f>IF(D143&lt;&gt;"","P"&amp;TEXT(ROW()-4,"0000"),"")</f>
        <v/>
      </c>
    </row>
    <row r="144" ht="14.25" customHeight="1" s="72">
      <c r="A144" s="22" t="inlineStr">
        <is>
          <t>2025-08-19 16:12:23</t>
        </is>
      </c>
      <c r="B144" s="22" t="n"/>
      <c r="C144" s="22" t="n"/>
      <c r="D144" s="22" t="inlineStr">
        <is>
          <t>Sergio</t>
        </is>
      </c>
      <c r="E144" s="22" t="inlineStr">
        <is>
          <t>Wagner</t>
        </is>
      </c>
      <c r="F144" s="22" t="inlineStr">
        <is>
          <t>Peixe</t>
        </is>
      </c>
      <c r="G144" s="23">
        <f>IF(F144&lt;&gt;"",F144,IF(AND(D144="",E144=""),"",TRIM(D144&amp;" "&amp;E144)))</f>
        <v/>
      </c>
      <c r="H144" s="22" t="n"/>
      <c r="I144" s="22" t="inlineStr">
        <is>
          <t>+34 619 495 616</t>
        </is>
      </c>
      <c r="J144" s="22" t="inlineStr">
        <is>
          <t>Buenos Aires-Argentina</t>
        </is>
      </c>
      <c r="K144" s="22" t="inlineStr">
        <is>
          <t>Professor Tatu</t>
        </is>
      </c>
      <c r="L144" s="22" t="inlineStr">
        <is>
          <t>Laranja</t>
        </is>
      </c>
      <c r="M144" s="22" t="inlineStr">
        <is>
          <t>Masculino</t>
        </is>
      </c>
      <c r="N144" s="78" t="n">
        <v>35360</v>
      </c>
      <c r="O144" s="23">
        <f>IF(N144="","",DATEDIF(N144,TODAY(),"Y"))</f>
        <v/>
      </c>
      <c r="P144" s="23">
        <f>IF(O144="","",IF(O144&lt;=11,"Infantil",IF(O144&lt;=17,"Juvenil",IF(O144&lt;=44,"Adulto","Baobá"))))</f>
        <v/>
      </c>
      <c r="Q144" s="23">
        <f>IF(P144&lt;&gt;"Adulto","",IF(OR(L144="Marrom",L144="Marrom/Vermelha"),"A",IF(OR(L144="Roxa",L144="Roxa/Marrom"),"B",IF(OR(L144="Verde",L144="Verde/Roxa"),"C",IF(OR(L144="Azul",L144="Azul/Verde"),"D",IF(OR(L144="Laranja",L144="Laranja/Azul"),"E",IF(Y144="Sí","E","N/A")))))))</f>
        <v/>
      </c>
      <c r="R144" s="23">
        <f>IF(P144&lt;&gt;"Baobá","",IF(OR(L144="Laranja",L144="Laranja/Azul"),"Alumnos",IF(Y144="Sí","Alumnos","Graduados+")))</f>
        <v/>
      </c>
      <c r="S144" s="23">
        <f>IF(P144="","",IF(P144="Adulto",IF(OR(Q144="",Q144="N/A"),"⚠ Corda no compite Adulto",P144&amp;"-"&amp;Q144&amp;" · "&amp;M144),IF(P144="Baobá",IF(R144="","⚠ Sin clasificar Baobá",P144&amp;"-"&amp;R144&amp;" · "&amp;M144),IF(P144="Juvenil",IF(AND(OR(L144="Crua",L144="Crua/Amarela"),Y144&lt;&gt;"Sí"),"⚠ Juvenil necesita Amarela+",P144&amp;" · "&amp;M144),P144&amp;" · "&amp;M144))))</f>
        <v/>
      </c>
      <c r="T144" s="23" t="n"/>
      <c r="U144" s="22" t="inlineStr">
        <is>
          <t>Sí</t>
        </is>
      </c>
      <c r="V144" s="22" t="n"/>
      <c r="W144" s="22" t="n"/>
      <c r="X144" s="22" t="n"/>
      <c r="Y144" s="22" t="inlineStr">
        <is>
          <t>No</t>
        </is>
      </c>
      <c r="Z144" s="22" t="inlineStr">
        <is>
          <t>XXL</t>
        </is>
      </c>
      <c r="AA144" s="22" t="n">
        <v>35</v>
      </c>
      <c r="AB144" s="22" t="inlineStr">
        <is>
          <t>Pagado</t>
        </is>
      </c>
      <c r="AC144" s="22" t="n"/>
      <c r="AD144" s="23">
        <f>IF(D144&lt;&gt;"","P"&amp;TEXT(ROW()-4,"0000"),"")</f>
        <v/>
      </c>
    </row>
    <row r="145" ht="14.25" customHeight="1" s="72">
      <c r="A145" s="22" t="inlineStr">
        <is>
          <t>2025-10-04 10:06:25</t>
        </is>
      </c>
      <c r="B145" s="22" t="n"/>
      <c r="C145" s="22" t="n"/>
      <c r="D145" s="22" t="inlineStr">
        <is>
          <t>Leandro</t>
        </is>
      </c>
      <c r="E145" s="22" t="inlineStr">
        <is>
          <t>Esposito</t>
        </is>
      </c>
      <c r="F145" s="22" t="inlineStr">
        <is>
          <t>Golfinho</t>
        </is>
      </c>
      <c r="G145" s="23">
        <f>IF(F145&lt;&gt;"",F145,IF(AND(D145="",E145=""),"",TRIM(D145&amp;" "&amp;E145)))</f>
        <v/>
      </c>
      <c r="H145" s="22" t="n"/>
      <c r="I145" s="22" t="inlineStr">
        <is>
          <t>+34 681 474 873</t>
        </is>
      </c>
      <c r="J145" s="22" t="inlineStr">
        <is>
          <t>Manaus-Brasil</t>
        </is>
      </c>
      <c r="K145" s="22" t="inlineStr">
        <is>
          <t>Contra-Mestre Arara</t>
        </is>
      </c>
      <c r="L145" s="22" t="inlineStr">
        <is>
          <t>Laranja/Azul</t>
        </is>
      </c>
      <c r="M145" s="22" t="inlineStr">
        <is>
          <t>Masculino</t>
        </is>
      </c>
      <c r="N145" s="78" t="n">
        <v>31303</v>
      </c>
      <c r="O145" s="23">
        <f>IF(N145="","",DATEDIF(N145,TODAY(),"Y"))</f>
        <v/>
      </c>
      <c r="P145" s="23">
        <f>IF(O145="","",IF(O145&lt;=11,"Infantil",IF(O145&lt;=17,"Juvenil",IF(O145&lt;=44,"Adulto","Baobá"))))</f>
        <v/>
      </c>
      <c r="Q145" s="23">
        <f>IF(P145&lt;&gt;"Adulto","",IF(OR(L145="Marrom",L145="Marrom/Vermelha"),"A",IF(OR(L145="Roxa",L145="Roxa/Marrom"),"B",IF(OR(L145="Verde",L145="Verde/Roxa"),"C",IF(OR(L145="Azul",L145="Azul/Verde"),"D",IF(OR(L145="Laranja",L145="Laranja/Azul"),"E",IF(Y145="Sí","E","N/A")))))))</f>
        <v/>
      </c>
      <c r="R145" s="23">
        <f>IF(P145&lt;&gt;"Baobá","",IF(OR(L145="Laranja",L145="Laranja/Azul"),"Alumnos",IF(Y145="Sí","Alumnos","Graduados+")))</f>
        <v/>
      </c>
      <c r="S145" s="23">
        <f>IF(P145="","",IF(P145="Adulto",IF(OR(Q145="",Q145="N/A"),"⚠ Corda no compite Adulto",P145&amp;"-"&amp;Q145&amp;" · "&amp;M145),IF(P145="Baobá",IF(R145="","⚠ Sin clasificar Baobá",P145&amp;"-"&amp;R145&amp;" · "&amp;M145),IF(P145="Juvenil",IF(AND(OR(L145="Crua",L145="Crua/Amarela"),Y145&lt;&gt;"Sí"),"⚠ Juvenil necesita Amarela+",P145&amp;" · "&amp;M145),P145&amp;" · "&amp;M145))))</f>
        <v/>
      </c>
      <c r="T145" s="23" t="n"/>
      <c r="U145" s="22" t="inlineStr">
        <is>
          <t>Sí</t>
        </is>
      </c>
      <c r="V145" s="22" t="n"/>
      <c r="W145" s="22" t="n"/>
      <c r="X145" s="22" t="n"/>
      <c r="Y145" s="22" t="inlineStr">
        <is>
          <t>No</t>
        </is>
      </c>
      <c r="Z145" s="22" t="inlineStr">
        <is>
          <t>XS</t>
        </is>
      </c>
      <c r="AA145" s="22" t="n">
        <v>35</v>
      </c>
      <c r="AB145" s="22" t="inlineStr">
        <is>
          <t>Pagado</t>
        </is>
      </c>
      <c r="AC145" s="22" t="n"/>
      <c r="AD145" s="23">
        <f>IF(D145&lt;&gt;"","P"&amp;TEXT(ROW()-4,"0000"),"")</f>
        <v/>
      </c>
    </row>
    <row r="146" ht="14.25" customHeight="1" s="72">
      <c r="A146" s="22" t="inlineStr">
        <is>
          <t>2025-10-02 08:02:08</t>
        </is>
      </c>
      <c r="B146" s="22" t="n"/>
      <c r="C146" s="22" t="n"/>
      <c r="D146" s="22" t="inlineStr">
        <is>
          <t>Olivier</t>
        </is>
      </c>
      <c r="E146" s="22" t="inlineStr">
        <is>
          <t>Ferrari</t>
        </is>
      </c>
      <c r="F146" s="22" t="inlineStr">
        <is>
          <t>Moreia</t>
        </is>
      </c>
      <c r="G146" s="23">
        <f>IF(F146&lt;&gt;"",F146,IF(AND(D146="",E146=""),"",TRIM(D146&amp;" "&amp;E146)))</f>
        <v/>
      </c>
      <c r="H146" s="22" t="n"/>
      <c r="I146" s="22" t="inlineStr">
        <is>
          <t>+34 670 631 567</t>
        </is>
      </c>
      <c r="J146" s="22" t="inlineStr">
        <is>
          <t>Manaus-Brasil</t>
        </is>
      </c>
      <c r="K146" s="22" t="inlineStr">
        <is>
          <t>Professor Lobo</t>
        </is>
      </c>
      <c r="L146" s="22" t="inlineStr">
        <is>
          <t>Laranja</t>
        </is>
      </c>
      <c r="M146" s="22" t="inlineStr">
        <is>
          <t>Masculino</t>
        </is>
      </c>
      <c r="N146" s="78" t="n">
        <v>32213</v>
      </c>
      <c r="O146" s="23">
        <f>IF(N146="","",DATEDIF(N146,TODAY(),"Y"))</f>
        <v/>
      </c>
      <c r="P146" s="23">
        <f>IF(O146="","",IF(O146&lt;=11,"Infantil",IF(O146&lt;=17,"Juvenil",IF(O146&lt;=44,"Adulto","Baobá"))))</f>
        <v/>
      </c>
      <c r="Q146" s="23">
        <f>IF(P146&lt;&gt;"Adulto","",IF(OR(L146="Marrom",L146="Marrom/Vermelha"),"A",IF(OR(L146="Roxa",L146="Roxa/Marrom"),"B",IF(OR(L146="Verde",L146="Verde/Roxa"),"C",IF(OR(L146="Azul",L146="Azul/Verde"),"D",IF(OR(L146="Laranja",L146="Laranja/Azul"),"E",IF(Y146="Sí","E","N/A")))))))</f>
        <v/>
      </c>
      <c r="R146" s="23">
        <f>IF(P146&lt;&gt;"Baobá","",IF(OR(L146="Laranja",L146="Laranja/Azul"),"Alumnos",IF(Y146="Sí","Alumnos","Graduados+")))</f>
        <v/>
      </c>
      <c r="S146" s="23">
        <f>IF(P146="","",IF(P146="Adulto",IF(OR(Q146="",Q146="N/A"),"⚠ Corda no compite Adulto",P146&amp;"-"&amp;Q146&amp;" · "&amp;M146),IF(P146="Baobá",IF(R146="","⚠ Sin clasificar Baobá",P146&amp;"-"&amp;R146&amp;" · "&amp;M146),IF(P146="Juvenil",IF(AND(OR(L146="Crua",L146="Crua/Amarela"),Y146&lt;&gt;"Sí"),"⚠ Juvenil necesita Amarela+",P146&amp;" · "&amp;M146),P146&amp;" · "&amp;M146))))</f>
        <v/>
      </c>
      <c r="T146" s="23" t="n"/>
      <c r="U146" s="22" t="inlineStr">
        <is>
          <t>Sí</t>
        </is>
      </c>
      <c r="V146" s="22" t="n"/>
      <c r="W146" s="22" t="n"/>
      <c r="X146" s="22" t="n"/>
      <c r="Y146" s="22" t="inlineStr">
        <is>
          <t>No</t>
        </is>
      </c>
      <c r="Z146" s="22" t="inlineStr">
        <is>
          <t>S</t>
        </is>
      </c>
      <c r="AA146" s="22" t="n">
        <v>35</v>
      </c>
      <c r="AB146" s="22" t="inlineStr">
        <is>
          <t>Pagado</t>
        </is>
      </c>
      <c r="AC146" s="22" t="n"/>
      <c r="AD146" s="23">
        <f>IF(D146&lt;&gt;"","P"&amp;TEXT(ROW()-4,"0000"),"")</f>
        <v/>
      </c>
    </row>
    <row r="147" ht="14.25" customHeight="1" s="72">
      <c r="A147" s="22" t="inlineStr">
        <is>
          <t>2025-10-11 10:25:39</t>
        </is>
      </c>
      <c r="B147" s="22" t="n"/>
      <c r="C147" s="22" t="n"/>
      <c r="D147" s="22" t="inlineStr">
        <is>
          <t>Luca</t>
        </is>
      </c>
      <c r="E147" s="22" t="inlineStr">
        <is>
          <t>Hoffmann</t>
        </is>
      </c>
      <c r="F147" s="22" t="inlineStr">
        <is>
          <t>Sucuri</t>
        </is>
      </c>
      <c r="G147" s="23">
        <f>IF(F147&lt;&gt;"",F147,IF(AND(D147="",E147=""),"",TRIM(D147&amp;" "&amp;E147)))</f>
        <v/>
      </c>
      <c r="H147" s="22" t="n"/>
      <c r="I147" s="22" t="inlineStr">
        <is>
          <t>+34 685 444 619</t>
        </is>
      </c>
      <c r="J147" s="22" t="inlineStr">
        <is>
          <t>Bogotá-Colombia</t>
        </is>
      </c>
      <c r="K147" s="22" t="inlineStr">
        <is>
          <t>Mestre Urso</t>
        </is>
      </c>
      <c r="L147" s="22" t="inlineStr">
        <is>
          <t>Laranja</t>
        </is>
      </c>
      <c r="M147" s="22" t="inlineStr">
        <is>
          <t>Masculino</t>
        </is>
      </c>
      <c r="N147" s="78" t="n">
        <v>34938</v>
      </c>
      <c r="O147" s="23">
        <f>IF(N147="","",DATEDIF(N147,TODAY(),"Y"))</f>
        <v/>
      </c>
      <c r="P147" s="23">
        <f>IF(O147="","",IF(O147&lt;=11,"Infantil",IF(O147&lt;=17,"Juvenil",IF(O147&lt;=44,"Adulto","Baobá"))))</f>
        <v/>
      </c>
      <c r="Q147" s="23">
        <f>IF(P147&lt;&gt;"Adulto","",IF(OR(L147="Marrom",L147="Marrom/Vermelha"),"A",IF(OR(L147="Roxa",L147="Roxa/Marrom"),"B",IF(OR(L147="Verde",L147="Verde/Roxa"),"C",IF(OR(L147="Azul",L147="Azul/Verde"),"D",IF(OR(L147="Laranja",L147="Laranja/Azul"),"E",IF(Y147="Sí","E","N/A")))))))</f>
        <v/>
      </c>
      <c r="R147" s="23">
        <f>IF(P147&lt;&gt;"Baobá","",IF(OR(L147="Laranja",L147="Laranja/Azul"),"Alumnos",IF(Y147="Sí","Alumnos","Graduados+")))</f>
        <v/>
      </c>
      <c r="S147" s="23">
        <f>IF(P147="","",IF(P147="Adulto",IF(OR(Q147="",Q147="N/A"),"⚠ Corda no compite Adulto",P147&amp;"-"&amp;Q147&amp;" · "&amp;M147),IF(P147="Baobá",IF(R147="","⚠ Sin clasificar Baobá",P147&amp;"-"&amp;R147&amp;" · "&amp;M147),IF(P147="Juvenil",IF(AND(OR(L147="Crua",L147="Crua/Amarela"),Y147&lt;&gt;"Sí"),"⚠ Juvenil necesita Amarela+",P147&amp;" · "&amp;M147),P147&amp;" · "&amp;M147))))</f>
        <v/>
      </c>
      <c r="T147" s="23" t="n"/>
      <c r="U147" s="22" t="inlineStr">
        <is>
          <t>Sí</t>
        </is>
      </c>
      <c r="V147" s="22" t="n"/>
      <c r="W147" s="22" t="n"/>
      <c r="X147" s="22" t="n"/>
      <c r="Y147" s="22" t="inlineStr">
        <is>
          <t>No</t>
        </is>
      </c>
      <c r="Z147" s="22" t="inlineStr">
        <is>
          <t>M</t>
        </is>
      </c>
      <c r="AA147" s="22" t="n">
        <v>35</v>
      </c>
      <c r="AB147" s="22" t="inlineStr">
        <is>
          <t>Pagado</t>
        </is>
      </c>
      <c r="AC147" s="22" t="n"/>
      <c r="AD147" s="23">
        <f>IF(D147&lt;&gt;"","P"&amp;TEXT(ROW()-4,"0000"),"")</f>
        <v/>
      </c>
    </row>
    <row r="148" ht="14.25" customHeight="1" s="72">
      <c r="A148" s="22" t="inlineStr">
        <is>
          <t>2025-08-12 13:43:07</t>
        </is>
      </c>
      <c r="B148" s="22" t="n"/>
      <c r="C148" s="22" t="n"/>
      <c r="D148" s="22" t="inlineStr">
        <is>
          <t>Daniel</t>
        </is>
      </c>
      <c r="E148" s="22" t="inlineStr">
        <is>
          <t>Richter</t>
        </is>
      </c>
      <c r="F148" s="22" t="inlineStr">
        <is>
          <t>Sabiá</t>
        </is>
      </c>
      <c r="G148" s="23">
        <f>IF(F148&lt;&gt;"",F148,IF(AND(D148="",E148=""),"",TRIM(D148&amp;" "&amp;E148)))</f>
        <v/>
      </c>
      <c r="H148" s="22" t="n"/>
      <c r="I148" s="22" t="inlineStr">
        <is>
          <t>+34 698 744 127</t>
        </is>
      </c>
      <c r="J148" s="22" t="inlineStr">
        <is>
          <t>Santiago-Chile</t>
        </is>
      </c>
      <c r="K148" s="22" t="inlineStr">
        <is>
          <t>Professor Tigre</t>
        </is>
      </c>
      <c r="L148" s="22" t="inlineStr">
        <is>
          <t>Laranja</t>
        </is>
      </c>
      <c r="M148" s="22" t="inlineStr">
        <is>
          <t>Masculino</t>
        </is>
      </c>
      <c r="N148" s="78" t="n">
        <v>30974</v>
      </c>
      <c r="O148" s="23">
        <f>IF(N148="","",DATEDIF(N148,TODAY(),"Y"))</f>
        <v/>
      </c>
      <c r="P148" s="23">
        <f>IF(O148="","",IF(O148&lt;=11,"Infantil",IF(O148&lt;=17,"Juvenil",IF(O148&lt;=44,"Adulto","Baobá"))))</f>
        <v/>
      </c>
      <c r="Q148" s="23">
        <f>IF(P148&lt;&gt;"Adulto","",IF(OR(L148="Marrom",L148="Marrom/Vermelha"),"A",IF(OR(L148="Roxa",L148="Roxa/Marrom"),"B",IF(OR(L148="Verde",L148="Verde/Roxa"),"C",IF(OR(L148="Azul",L148="Azul/Verde"),"D",IF(OR(L148="Laranja",L148="Laranja/Azul"),"E",IF(Y148="Sí","E","N/A")))))))</f>
        <v/>
      </c>
      <c r="R148" s="23">
        <f>IF(P148&lt;&gt;"Baobá","",IF(OR(L148="Laranja",L148="Laranja/Azul"),"Alumnos",IF(Y148="Sí","Alumnos","Graduados+")))</f>
        <v/>
      </c>
      <c r="S148" s="23">
        <f>IF(P148="","",IF(P148="Adulto",IF(OR(Q148="",Q148="N/A"),"⚠ Corda no compite Adulto",P148&amp;"-"&amp;Q148&amp;" · "&amp;M148),IF(P148="Baobá",IF(R148="","⚠ Sin clasificar Baobá",P148&amp;"-"&amp;R148&amp;" · "&amp;M148),IF(P148="Juvenil",IF(AND(OR(L148="Crua",L148="Crua/Amarela"),Y148&lt;&gt;"Sí"),"⚠ Juvenil necesita Amarela+",P148&amp;" · "&amp;M148),P148&amp;" · "&amp;M148))))</f>
        <v/>
      </c>
      <c r="T148" s="23" t="n"/>
      <c r="U148" s="22" t="inlineStr">
        <is>
          <t>Sí</t>
        </is>
      </c>
      <c r="V148" s="22" t="n"/>
      <c r="W148" s="22" t="n"/>
      <c r="X148" s="22" t="n"/>
      <c r="Y148" s="22" t="inlineStr">
        <is>
          <t>No</t>
        </is>
      </c>
      <c r="Z148" s="22" t="inlineStr">
        <is>
          <t>L</t>
        </is>
      </c>
      <c r="AA148" s="22" t="n">
        <v>35</v>
      </c>
      <c r="AB148" s="22" t="inlineStr">
        <is>
          <t>Pagado</t>
        </is>
      </c>
      <c r="AC148" s="22" t="n"/>
      <c r="AD148" s="23">
        <f>IF(D148&lt;&gt;"","P"&amp;TEXT(ROW()-4,"0000"),"")</f>
        <v/>
      </c>
    </row>
    <row r="149" ht="14.25" customHeight="1" s="72">
      <c r="A149" s="22" t="inlineStr">
        <is>
          <t>2025-08-24 08:37:30</t>
        </is>
      </c>
      <c r="B149" s="22" t="n"/>
      <c r="C149" s="22" t="n"/>
      <c r="D149" s="22" t="inlineStr">
        <is>
          <t>Valentina</t>
        </is>
      </c>
      <c r="E149" s="22" t="inlineStr">
        <is>
          <t>Monteiro</t>
        </is>
      </c>
      <c r="F149" s="22" t="inlineStr">
        <is>
          <t>Peixe-Lua</t>
        </is>
      </c>
      <c r="G149" s="23">
        <f>IF(F149&lt;&gt;"",F149,IF(AND(D149="",E149=""),"",TRIM(D149&amp;" "&amp;E149)))</f>
        <v/>
      </c>
      <c r="H149" s="22" t="n"/>
      <c r="I149" s="22" t="inlineStr">
        <is>
          <t>+34 690 838 734</t>
        </is>
      </c>
      <c r="J149" s="22" t="inlineStr">
        <is>
          <t>Múnich-Alemania</t>
        </is>
      </c>
      <c r="K149" s="22" t="inlineStr">
        <is>
          <t>Mestre Cobra</t>
        </is>
      </c>
      <c r="L149" s="22" t="inlineStr">
        <is>
          <t>Laranja</t>
        </is>
      </c>
      <c r="M149" s="22" t="inlineStr">
        <is>
          <t>Femenino</t>
        </is>
      </c>
      <c r="N149" s="78" t="n">
        <v>30408</v>
      </c>
      <c r="O149" s="23">
        <f>IF(N149="","",DATEDIF(N149,TODAY(),"Y"))</f>
        <v/>
      </c>
      <c r="P149" s="23">
        <f>IF(O149="","",IF(O149&lt;=11,"Infantil",IF(O149&lt;=17,"Juvenil",IF(O149&lt;=44,"Adulto","Baobá"))))</f>
        <v/>
      </c>
      <c r="Q149" s="23">
        <f>IF(P149&lt;&gt;"Adulto","",IF(OR(L149="Marrom",L149="Marrom/Vermelha"),"A",IF(OR(L149="Roxa",L149="Roxa/Marrom"),"B",IF(OR(L149="Verde",L149="Verde/Roxa"),"C",IF(OR(L149="Azul",L149="Azul/Verde"),"D",IF(OR(L149="Laranja",L149="Laranja/Azul"),"E",IF(Y149="Sí","E","N/A")))))))</f>
        <v/>
      </c>
      <c r="R149" s="23">
        <f>IF(P149&lt;&gt;"Baobá","",IF(OR(L149="Laranja",L149="Laranja/Azul"),"Alumnos",IF(Y149="Sí","Alumnos","Graduados+")))</f>
        <v/>
      </c>
      <c r="S149" s="23">
        <f>IF(P149="","",IF(P149="Adulto",IF(OR(Q149="",Q149="N/A"),"⚠ Corda no compite Adulto",P149&amp;"-"&amp;Q149&amp;" · "&amp;M149),IF(P149="Baobá",IF(R149="","⚠ Sin clasificar Baobá",P149&amp;"-"&amp;R149&amp;" · "&amp;M149),IF(P149="Juvenil",IF(AND(OR(L149="Crua",L149="Crua/Amarela"),Y149&lt;&gt;"Sí"),"⚠ Juvenil necesita Amarela+",P149&amp;" · "&amp;M149),P149&amp;" · "&amp;M149))))</f>
        <v/>
      </c>
      <c r="T149" s="23" t="n"/>
      <c r="U149" s="22" t="inlineStr">
        <is>
          <t>Sí</t>
        </is>
      </c>
      <c r="V149" s="22" t="n"/>
      <c r="W149" s="22" t="n"/>
      <c r="X149" s="22" t="n"/>
      <c r="Y149" s="22" t="inlineStr">
        <is>
          <t>No</t>
        </is>
      </c>
      <c r="Z149" s="22" t="inlineStr">
        <is>
          <t>XL</t>
        </is>
      </c>
      <c r="AA149" s="22" t="n">
        <v>35</v>
      </c>
      <c r="AB149" s="22" t="inlineStr">
        <is>
          <t>Pagado</t>
        </is>
      </c>
      <c r="AC149" s="22" t="n"/>
      <c r="AD149" s="23">
        <f>IF(D149&lt;&gt;"","P"&amp;TEXT(ROW()-4,"0000"),"")</f>
        <v/>
      </c>
    </row>
    <row r="150" ht="14.25" customHeight="1" s="72">
      <c r="A150" s="22" t="inlineStr">
        <is>
          <t>2025-10-23 09:12:01</t>
        </is>
      </c>
      <c r="B150" s="22" t="n"/>
      <c r="C150" s="22" t="n"/>
      <c r="D150" s="22" t="inlineStr">
        <is>
          <t>Nagore</t>
        </is>
      </c>
      <c r="E150" s="22" t="inlineStr">
        <is>
          <t>Rossi</t>
        </is>
      </c>
      <c r="F150" s="22" t="inlineStr">
        <is>
          <t>Golfinho-Rosa</t>
        </is>
      </c>
      <c r="G150" s="23">
        <f>IF(F150&lt;&gt;"",F150,IF(AND(D150="",E150=""),"",TRIM(D150&amp;" "&amp;E150)))</f>
        <v/>
      </c>
      <c r="H150" s="22" t="n"/>
      <c r="I150" s="22" t="inlineStr">
        <is>
          <t>+34 663 255 522</t>
        </is>
      </c>
      <c r="J150" s="22" t="inlineStr">
        <is>
          <t>Valencia-España</t>
        </is>
      </c>
      <c r="K150" s="22" t="inlineStr">
        <is>
          <t>Professor Macaco</t>
        </is>
      </c>
      <c r="L150" s="22" t="inlineStr">
        <is>
          <t>Laranja</t>
        </is>
      </c>
      <c r="M150" s="22" t="inlineStr">
        <is>
          <t>Femenino</t>
        </is>
      </c>
      <c r="N150" s="78" t="n">
        <v>32432</v>
      </c>
      <c r="O150" s="23">
        <f>IF(N150="","",DATEDIF(N150,TODAY(),"Y"))</f>
        <v/>
      </c>
      <c r="P150" s="23">
        <f>IF(O150="","",IF(O150&lt;=11,"Infantil",IF(O150&lt;=17,"Juvenil",IF(O150&lt;=44,"Adulto","Baobá"))))</f>
        <v/>
      </c>
      <c r="Q150" s="23">
        <f>IF(P150&lt;&gt;"Adulto","",IF(OR(L150="Marrom",L150="Marrom/Vermelha"),"A",IF(OR(L150="Roxa",L150="Roxa/Marrom"),"B",IF(OR(L150="Verde",L150="Verde/Roxa"),"C",IF(OR(L150="Azul",L150="Azul/Verde"),"D",IF(OR(L150="Laranja",L150="Laranja/Azul"),"E",IF(Y150="Sí","E","N/A")))))))</f>
        <v/>
      </c>
      <c r="R150" s="23">
        <f>IF(P150&lt;&gt;"Baobá","",IF(OR(L150="Laranja",L150="Laranja/Azul"),"Alumnos",IF(Y150="Sí","Alumnos","Graduados+")))</f>
        <v/>
      </c>
      <c r="S150" s="23">
        <f>IF(P150="","",IF(P150="Adulto",IF(OR(Q150="",Q150="N/A"),"⚠ Corda no compite Adulto",P150&amp;"-"&amp;Q150&amp;" · "&amp;M150),IF(P150="Baobá",IF(R150="","⚠ Sin clasificar Baobá",P150&amp;"-"&amp;R150&amp;" · "&amp;M150),IF(P150="Juvenil",IF(AND(OR(L150="Crua",L150="Crua/Amarela"),Y150&lt;&gt;"Sí"),"⚠ Juvenil necesita Amarela+",P150&amp;" · "&amp;M150),P150&amp;" · "&amp;M150))))</f>
        <v/>
      </c>
      <c r="T150" s="23" t="n"/>
      <c r="U150" s="22" t="inlineStr">
        <is>
          <t>Sí</t>
        </is>
      </c>
      <c r="V150" s="22" t="n"/>
      <c r="W150" s="22" t="n"/>
      <c r="X150" s="22" t="n"/>
      <c r="Y150" s="22" t="inlineStr">
        <is>
          <t>No</t>
        </is>
      </c>
      <c r="Z150" s="22" t="inlineStr">
        <is>
          <t>XXL</t>
        </is>
      </c>
      <c r="AA150" s="22" t="n">
        <v>35</v>
      </c>
      <c r="AB150" s="22" t="inlineStr">
        <is>
          <t>Pagado</t>
        </is>
      </c>
      <c r="AC150" s="22" t="n"/>
      <c r="AD150" s="23">
        <f>IF(D150&lt;&gt;"","P"&amp;TEXT(ROW()-4,"0000"),"")</f>
        <v/>
      </c>
    </row>
    <row r="151" ht="14.25" customHeight="1" s="72">
      <c r="A151" s="22" t="inlineStr">
        <is>
          <t>2025-10-24 08:45:08</t>
        </is>
      </c>
      <c r="B151" s="22" t="n"/>
      <c r="C151" s="22" t="n"/>
      <c r="D151" s="22" t="inlineStr">
        <is>
          <t>Manon</t>
        </is>
      </c>
      <c r="E151" s="22" t="inlineStr">
        <is>
          <t>Díaz</t>
        </is>
      </c>
      <c r="F151" s="22" t="inlineStr">
        <is>
          <t>Jacu</t>
        </is>
      </c>
      <c r="G151" s="23">
        <f>IF(F151&lt;&gt;"",F151,IF(AND(D151="",E151=""),"",TRIM(D151&amp;" "&amp;E151)))</f>
        <v/>
      </c>
      <c r="H151" s="22" t="n"/>
      <c r="I151" s="22" t="inlineStr">
        <is>
          <t>+34 681 432 778</t>
        </is>
      </c>
      <c r="J151" s="22" t="inlineStr">
        <is>
          <t>Santiago-Chile</t>
        </is>
      </c>
      <c r="K151" s="22" t="inlineStr">
        <is>
          <t>Contra-Mestre Pomba</t>
        </is>
      </c>
      <c r="L151" s="22" t="inlineStr">
        <is>
          <t>Laranja/Azul</t>
        </is>
      </c>
      <c r="M151" s="22" t="inlineStr">
        <is>
          <t>Femenino</t>
        </is>
      </c>
      <c r="N151" s="78" t="n">
        <v>33761</v>
      </c>
      <c r="O151" s="23">
        <f>IF(N151="","",DATEDIF(N151,TODAY(),"Y"))</f>
        <v/>
      </c>
      <c r="P151" s="23">
        <f>IF(O151="","",IF(O151&lt;=11,"Infantil",IF(O151&lt;=17,"Juvenil",IF(O151&lt;=44,"Adulto","Baobá"))))</f>
        <v/>
      </c>
      <c r="Q151" s="23">
        <f>IF(P151&lt;&gt;"Adulto","",IF(OR(L151="Marrom",L151="Marrom/Vermelha"),"A",IF(OR(L151="Roxa",L151="Roxa/Marrom"),"B",IF(OR(L151="Verde",L151="Verde/Roxa"),"C",IF(OR(L151="Azul",L151="Azul/Verde"),"D",IF(OR(L151="Laranja",L151="Laranja/Azul"),"E",IF(Y151="Sí","E","N/A")))))))</f>
        <v/>
      </c>
      <c r="R151" s="23">
        <f>IF(P151&lt;&gt;"Baobá","",IF(OR(L151="Laranja",L151="Laranja/Azul"),"Alumnos",IF(Y151="Sí","Alumnos","Graduados+")))</f>
        <v/>
      </c>
      <c r="S151" s="23">
        <f>IF(P151="","",IF(P151="Adulto",IF(OR(Q151="",Q151="N/A"),"⚠ Corda no compite Adulto",P151&amp;"-"&amp;Q151&amp;" · "&amp;M151),IF(P151="Baobá",IF(R151="","⚠ Sin clasificar Baobá",P151&amp;"-"&amp;R151&amp;" · "&amp;M151),IF(P151="Juvenil",IF(AND(OR(L151="Crua",L151="Crua/Amarela"),Y151&lt;&gt;"Sí"),"⚠ Juvenil necesita Amarela+",P151&amp;" · "&amp;M151),P151&amp;" · "&amp;M151))))</f>
        <v/>
      </c>
      <c r="T151" s="23" t="n"/>
      <c r="U151" s="22" t="inlineStr">
        <is>
          <t>Sí</t>
        </is>
      </c>
      <c r="V151" s="22" t="n"/>
      <c r="W151" s="22" t="n"/>
      <c r="X151" s="22" t="n"/>
      <c r="Y151" s="22" t="inlineStr">
        <is>
          <t>No</t>
        </is>
      </c>
      <c r="Z151" s="22" t="inlineStr">
        <is>
          <t>XS</t>
        </is>
      </c>
      <c r="AA151" s="22" t="n">
        <v>35</v>
      </c>
      <c r="AB151" s="22" t="inlineStr">
        <is>
          <t>Pagado</t>
        </is>
      </c>
      <c r="AC151" s="22" t="n"/>
      <c r="AD151" s="23">
        <f>IF(D151&lt;&gt;"","P"&amp;TEXT(ROW()-4,"0000"),"")</f>
        <v/>
      </c>
    </row>
    <row r="152" ht="14.25" customHeight="1" s="72">
      <c r="A152" s="22" t="inlineStr">
        <is>
          <t>2025-09-18 13:34:22</t>
        </is>
      </c>
      <c r="B152" s="22" t="n"/>
      <c r="C152" s="22" t="n"/>
      <c r="D152" s="22" t="inlineStr">
        <is>
          <t>Claudia</t>
        </is>
      </c>
      <c r="E152" s="22" t="inlineStr">
        <is>
          <t>Fischer</t>
        </is>
      </c>
      <c r="F152" s="22" t="inlineStr">
        <is>
          <t>Gavião-Real</t>
        </is>
      </c>
      <c r="G152" s="23">
        <f>IF(F152&lt;&gt;"",F152,IF(AND(D152="",E152=""),"",TRIM(D152&amp;" "&amp;E152)))</f>
        <v/>
      </c>
      <c r="H152" s="22" t="n"/>
      <c r="I152" s="22" t="inlineStr">
        <is>
          <t>+34 688 595 296</t>
        </is>
      </c>
      <c r="J152" s="22" t="inlineStr">
        <is>
          <t>Lisboa-Portugal</t>
        </is>
      </c>
      <c r="K152" s="22" t="inlineStr">
        <is>
          <t>Professor Tigre</t>
        </is>
      </c>
      <c r="L152" s="22" t="inlineStr">
        <is>
          <t>Laranja</t>
        </is>
      </c>
      <c r="M152" s="22" t="inlineStr">
        <is>
          <t>Femenino</t>
        </is>
      </c>
      <c r="N152" s="78" t="n">
        <v>31905</v>
      </c>
      <c r="O152" s="23">
        <f>IF(N152="","",DATEDIF(N152,TODAY(),"Y"))</f>
        <v/>
      </c>
      <c r="P152" s="23">
        <f>IF(O152="","",IF(O152&lt;=11,"Infantil",IF(O152&lt;=17,"Juvenil",IF(O152&lt;=44,"Adulto","Baobá"))))</f>
        <v/>
      </c>
      <c r="Q152" s="23">
        <f>IF(P152&lt;&gt;"Adulto","",IF(OR(L152="Marrom",L152="Marrom/Vermelha"),"A",IF(OR(L152="Roxa",L152="Roxa/Marrom"),"B",IF(OR(L152="Verde",L152="Verde/Roxa"),"C",IF(OR(L152="Azul",L152="Azul/Verde"),"D",IF(OR(L152="Laranja",L152="Laranja/Azul"),"E",IF(Y152="Sí","E","N/A")))))))</f>
        <v/>
      </c>
      <c r="R152" s="23">
        <f>IF(P152&lt;&gt;"Baobá","",IF(OR(L152="Laranja",L152="Laranja/Azul"),"Alumnos",IF(Y152="Sí","Alumnos","Graduados+")))</f>
        <v/>
      </c>
      <c r="S152" s="23">
        <f>IF(P152="","",IF(P152="Adulto",IF(OR(Q152="",Q152="N/A"),"⚠ Corda no compite Adulto",P152&amp;"-"&amp;Q152&amp;" · "&amp;M152),IF(P152="Baobá",IF(R152="","⚠ Sin clasificar Baobá",P152&amp;"-"&amp;R152&amp;" · "&amp;M152),IF(P152="Juvenil",IF(AND(OR(L152="Crua",L152="Crua/Amarela"),Y152&lt;&gt;"Sí"),"⚠ Juvenil necesita Amarela+",P152&amp;" · "&amp;M152),P152&amp;" · "&amp;M152))))</f>
        <v/>
      </c>
      <c r="T152" s="23" t="n"/>
      <c r="U152" s="22" t="inlineStr">
        <is>
          <t>Sí</t>
        </is>
      </c>
      <c r="V152" s="22" t="n"/>
      <c r="W152" s="22" t="n"/>
      <c r="X152" s="22" t="n"/>
      <c r="Y152" s="22" t="inlineStr">
        <is>
          <t>No</t>
        </is>
      </c>
      <c r="Z152" s="22" t="inlineStr">
        <is>
          <t>S</t>
        </is>
      </c>
      <c r="AA152" s="22" t="n">
        <v>35</v>
      </c>
      <c r="AB152" s="22" t="inlineStr">
        <is>
          <t>Pagado</t>
        </is>
      </c>
      <c r="AC152" s="22" t="n"/>
      <c r="AD152" s="23">
        <f>IF(D152&lt;&gt;"","P"&amp;TEXT(ROW()-4,"0000"),"")</f>
        <v/>
      </c>
    </row>
    <row r="153" ht="14.25" customHeight="1" s="72">
      <c r="A153" s="22" t="inlineStr">
        <is>
          <t>2025-09-25 12:45:13</t>
        </is>
      </c>
      <c r="B153" s="22" t="n"/>
      <c r="C153" s="22" t="n"/>
      <c r="D153" s="22" t="inlineStr">
        <is>
          <t>Aisha</t>
        </is>
      </c>
      <c r="E153" s="22" t="inlineStr">
        <is>
          <t>Gonçalves</t>
        </is>
      </c>
      <c r="F153" s="22" t="inlineStr">
        <is>
          <t>Siriema</t>
        </is>
      </c>
      <c r="G153" s="23">
        <f>IF(F153&lt;&gt;"",F153,IF(AND(D153="",E153=""),"",TRIM(D153&amp;" "&amp;E153)))</f>
        <v/>
      </c>
      <c r="H153" s="22" t="n"/>
      <c r="I153" s="22" t="inlineStr">
        <is>
          <t>+34 650 591 457</t>
        </is>
      </c>
      <c r="J153" s="22" t="inlineStr">
        <is>
          <t>Cascais-Portugal</t>
        </is>
      </c>
      <c r="K153" s="22" t="inlineStr">
        <is>
          <t>Mestre Coruja</t>
        </is>
      </c>
      <c r="L153" s="22" t="inlineStr">
        <is>
          <t>Laranja/Azul</t>
        </is>
      </c>
      <c r="M153" s="22" t="inlineStr">
        <is>
          <t>Femenino</t>
        </is>
      </c>
      <c r="N153" s="78" t="n">
        <v>37186</v>
      </c>
      <c r="O153" s="23">
        <f>IF(N153="","",DATEDIF(N153,TODAY(),"Y"))</f>
        <v/>
      </c>
      <c r="P153" s="23">
        <f>IF(O153="","",IF(O153&lt;=11,"Infantil",IF(O153&lt;=17,"Juvenil",IF(O153&lt;=44,"Adulto","Baobá"))))</f>
        <v/>
      </c>
      <c r="Q153" s="23">
        <f>IF(P153&lt;&gt;"Adulto","",IF(OR(L153="Marrom",L153="Marrom/Vermelha"),"A",IF(OR(L153="Roxa",L153="Roxa/Marrom"),"B",IF(OR(L153="Verde",L153="Verde/Roxa"),"C",IF(OR(L153="Azul",L153="Azul/Verde"),"D",IF(OR(L153="Laranja",L153="Laranja/Azul"),"E",IF(Y153="Sí","E","N/A")))))))</f>
        <v/>
      </c>
      <c r="R153" s="23">
        <f>IF(P153&lt;&gt;"Baobá","",IF(OR(L153="Laranja",L153="Laranja/Azul"),"Alumnos",IF(Y153="Sí","Alumnos","Graduados+")))</f>
        <v/>
      </c>
      <c r="S153" s="23">
        <f>IF(P153="","",IF(P153="Adulto",IF(OR(Q153="",Q153="N/A"),"⚠ Corda no compite Adulto",P153&amp;"-"&amp;Q153&amp;" · "&amp;M153),IF(P153="Baobá",IF(R153="","⚠ Sin clasificar Baobá",P153&amp;"-"&amp;R153&amp;" · "&amp;M153),IF(P153="Juvenil",IF(AND(OR(L153="Crua",L153="Crua/Amarela"),Y153&lt;&gt;"Sí"),"⚠ Juvenil necesita Amarela+",P153&amp;" · "&amp;M153),P153&amp;" · "&amp;M153))))</f>
        <v/>
      </c>
      <c r="T153" s="23" t="n"/>
      <c r="U153" s="22" t="inlineStr">
        <is>
          <t>Sí</t>
        </is>
      </c>
      <c r="V153" s="22" t="n"/>
      <c r="W153" s="22" t="n"/>
      <c r="X153" s="22" t="n"/>
      <c r="Y153" s="22" t="inlineStr">
        <is>
          <t>No</t>
        </is>
      </c>
      <c r="Z153" s="22" t="inlineStr">
        <is>
          <t>M</t>
        </is>
      </c>
      <c r="AA153" s="22" t="n">
        <v>35</v>
      </c>
      <c r="AB153" s="22" t="inlineStr">
        <is>
          <t>Pagado</t>
        </is>
      </c>
      <c r="AC153" s="22" t="n"/>
      <c r="AD153" s="23">
        <f>IF(D153&lt;&gt;"","P"&amp;TEXT(ROW()-4,"0000"),"")</f>
        <v/>
      </c>
    </row>
    <row r="154" ht="14.25" customHeight="1" s="72">
      <c r="A154" s="22" t="inlineStr">
        <is>
          <t>2025-10-13 22:25:52</t>
        </is>
      </c>
      <c r="B154" s="22" t="n"/>
      <c r="C154" s="22" t="n"/>
      <c r="D154" s="22" t="inlineStr">
        <is>
          <t>Andreia</t>
        </is>
      </c>
      <c r="E154" s="22" t="inlineStr">
        <is>
          <t>Cardoso</t>
        </is>
      </c>
      <c r="F154" s="22" t="inlineStr">
        <is>
          <t>Piranha</t>
        </is>
      </c>
      <c r="G154" s="23">
        <f>IF(F154&lt;&gt;"",F154,IF(AND(D154="",E154=""),"",TRIM(D154&amp;" "&amp;E154)))</f>
        <v/>
      </c>
      <c r="H154" s="22" t="n"/>
      <c r="I154" s="22" t="inlineStr">
        <is>
          <t>+34 647 143 394</t>
        </is>
      </c>
      <c r="J154" s="22" t="inlineStr">
        <is>
          <t>Fortaleza-Brasil</t>
        </is>
      </c>
      <c r="K154" s="22" t="inlineStr">
        <is>
          <t>Contra-Mestre Jabuti</t>
        </is>
      </c>
      <c r="L154" s="22" t="inlineStr">
        <is>
          <t>Laranja/Azul</t>
        </is>
      </c>
      <c r="M154" s="22" t="inlineStr">
        <is>
          <t>Femenino</t>
        </is>
      </c>
      <c r="N154" s="78" t="n">
        <v>33186</v>
      </c>
      <c r="O154" s="23">
        <f>IF(N154="","",DATEDIF(N154,TODAY(),"Y"))</f>
        <v/>
      </c>
      <c r="P154" s="23">
        <f>IF(O154="","",IF(O154&lt;=11,"Infantil",IF(O154&lt;=17,"Juvenil",IF(O154&lt;=44,"Adulto","Baobá"))))</f>
        <v/>
      </c>
      <c r="Q154" s="23">
        <f>IF(P154&lt;&gt;"Adulto","",IF(OR(L154="Marrom",L154="Marrom/Vermelha"),"A",IF(OR(L154="Roxa",L154="Roxa/Marrom"),"B",IF(OR(L154="Verde",L154="Verde/Roxa"),"C",IF(OR(L154="Azul",L154="Azul/Verde"),"D",IF(OR(L154="Laranja",L154="Laranja/Azul"),"E",IF(Y154="Sí","E","N/A")))))))</f>
        <v/>
      </c>
      <c r="R154" s="23">
        <f>IF(P154&lt;&gt;"Baobá","",IF(OR(L154="Laranja",L154="Laranja/Azul"),"Alumnos",IF(Y154="Sí","Alumnos","Graduados+")))</f>
        <v/>
      </c>
      <c r="S154" s="23">
        <f>IF(P154="","",IF(P154="Adulto",IF(OR(Q154="",Q154="N/A"),"⚠ Corda no compite Adulto",P154&amp;"-"&amp;Q154&amp;" · "&amp;M154),IF(P154="Baobá",IF(R154="","⚠ Sin clasificar Baobá",P154&amp;"-"&amp;R154&amp;" · "&amp;M154),IF(P154="Juvenil",IF(AND(OR(L154="Crua",L154="Crua/Amarela"),Y154&lt;&gt;"Sí"),"⚠ Juvenil necesita Amarela+",P154&amp;" · "&amp;M154),P154&amp;" · "&amp;M154))))</f>
        <v/>
      </c>
      <c r="T154" s="23" t="n"/>
      <c r="U154" s="22" t="inlineStr">
        <is>
          <t>Sí</t>
        </is>
      </c>
      <c r="V154" s="22" t="n"/>
      <c r="W154" s="22" t="n"/>
      <c r="X154" s="22" t="n"/>
      <c r="Y154" s="22" t="inlineStr">
        <is>
          <t>No</t>
        </is>
      </c>
      <c r="Z154" s="22" t="inlineStr">
        <is>
          <t>L</t>
        </is>
      </c>
      <c r="AA154" s="22" t="n">
        <v>35</v>
      </c>
      <c r="AB154" s="22" t="inlineStr">
        <is>
          <t>Pagado</t>
        </is>
      </c>
      <c r="AC154" s="22" t="n"/>
      <c r="AD154" s="23">
        <f>IF(D154&lt;&gt;"","P"&amp;TEXT(ROW()-4,"0000"),"")</f>
        <v/>
      </c>
    </row>
    <row r="155" ht="14.25" customHeight="1" s="72">
      <c r="A155" s="22" t="inlineStr">
        <is>
          <t>2025-10-16 11:12:52</t>
        </is>
      </c>
      <c r="B155" s="22" t="n"/>
      <c r="C155" s="22" t="n"/>
      <c r="D155" s="22" t="inlineStr">
        <is>
          <t>Noémie</t>
        </is>
      </c>
      <c r="E155" s="22" t="inlineStr">
        <is>
          <t>Weber</t>
        </is>
      </c>
      <c r="F155" s="22" t="inlineStr">
        <is>
          <t>Búfalo</t>
        </is>
      </c>
      <c r="G155" s="23">
        <f>IF(F155&lt;&gt;"",F155,IF(AND(D155="",E155=""),"",TRIM(D155&amp;" "&amp;E155)))</f>
        <v/>
      </c>
      <c r="H155" s="22" t="n"/>
      <c r="I155" s="22" t="inlineStr">
        <is>
          <t>+34 681 812 378</t>
        </is>
      </c>
      <c r="J155" s="22" t="inlineStr">
        <is>
          <t>Brasília-Brasil</t>
        </is>
      </c>
      <c r="K155" s="22" t="inlineStr">
        <is>
          <t>Professor Leão</t>
        </is>
      </c>
      <c r="L155" s="22" t="inlineStr">
        <is>
          <t>Laranja/Azul</t>
        </is>
      </c>
      <c r="M155" s="22" t="inlineStr">
        <is>
          <t>Femenino</t>
        </is>
      </c>
      <c r="N155" s="78" t="n">
        <v>31400</v>
      </c>
      <c r="O155" s="23">
        <f>IF(N155="","",DATEDIF(N155,TODAY(),"Y"))</f>
        <v/>
      </c>
      <c r="P155" s="23">
        <f>IF(O155="","",IF(O155&lt;=11,"Infantil",IF(O155&lt;=17,"Juvenil",IF(O155&lt;=44,"Adulto","Baobá"))))</f>
        <v/>
      </c>
      <c r="Q155" s="23">
        <f>IF(P155&lt;&gt;"Adulto","",IF(OR(L155="Marrom",L155="Marrom/Vermelha"),"A",IF(OR(L155="Roxa",L155="Roxa/Marrom"),"B",IF(OR(L155="Verde",L155="Verde/Roxa"),"C",IF(OR(L155="Azul",L155="Azul/Verde"),"D",IF(OR(L155="Laranja",L155="Laranja/Azul"),"E",IF(Y155="Sí","E","N/A")))))))</f>
        <v/>
      </c>
      <c r="R155" s="23">
        <f>IF(P155&lt;&gt;"Baobá","",IF(OR(L155="Laranja",L155="Laranja/Azul"),"Alumnos",IF(Y155="Sí","Alumnos","Graduados+")))</f>
        <v/>
      </c>
      <c r="S155" s="23">
        <f>IF(P155="","",IF(P155="Adulto",IF(OR(Q155="",Q155="N/A"),"⚠ Corda no compite Adulto",P155&amp;"-"&amp;Q155&amp;" · "&amp;M155),IF(P155="Baobá",IF(R155="","⚠ Sin clasificar Baobá",P155&amp;"-"&amp;R155&amp;" · "&amp;M155),IF(P155="Juvenil",IF(AND(OR(L155="Crua",L155="Crua/Amarela"),Y155&lt;&gt;"Sí"),"⚠ Juvenil necesita Amarela+",P155&amp;" · "&amp;M155),P155&amp;" · "&amp;M155))))</f>
        <v/>
      </c>
      <c r="T155" s="23" t="n"/>
      <c r="U155" s="22" t="inlineStr">
        <is>
          <t>Sí</t>
        </is>
      </c>
      <c r="V155" s="22" t="n"/>
      <c r="W155" s="22" t="n"/>
      <c r="X155" s="22" t="n"/>
      <c r="Y155" s="22" t="inlineStr">
        <is>
          <t>No</t>
        </is>
      </c>
      <c r="Z155" s="22" t="inlineStr">
        <is>
          <t>XL</t>
        </is>
      </c>
      <c r="AA155" s="22" t="n">
        <v>35</v>
      </c>
      <c r="AB155" s="22" t="inlineStr">
        <is>
          <t>Pagado</t>
        </is>
      </c>
      <c r="AC155" s="22" t="n"/>
      <c r="AD155" s="23">
        <f>IF(D155&lt;&gt;"","P"&amp;TEXT(ROW()-4,"0000"),"")</f>
        <v/>
      </c>
    </row>
    <row r="156" ht="14.25" customHeight="1" s="72">
      <c r="A156" s="22" t="inlineStr">
        <is>
          <t>2025-08-08 08:42:57</t>
        </is>
      </c>
      <c r="B156" s="22" t="n"/>
      <c r="C156" s="22" t="n"/>
      <c r="D156" s="22" t="inlineStr">
        <is>
          <t>Manon</t>
        </is>
      </c>
      <c r="E156" s="22" t="inlineStr">
        <is>
          <t>Jiménez</t>
        </is>
      </c>
      <c r="F156" s="22" t="inlineStr">
        <is>
          <t>Abelha</t>
        </is>
      </c>
      <c r="G156" s="23">
        <f>IF(F156&lt;&gt;"",F156,IF(AND(D156="",E156=""),"",TRIM(D156&amp;" "&amp;E156)))</f>
        <v/>
      </c>
      <c r="H156" s="22" t="n"/>
      <c r="I156" s="22" t="inlineStr">
        <is>
          <t>+34 691 338 153</t>
        </is>
      </c>
      <c r="J156" s="22" t="inlineStr">
        <is>
          <t>Curitiba-Brasil</t>
        </is>
      </c>
      <c r="K156" s="22" t="inlineStr">
        <is>
          <t>Professor Macaco</t>
        </is>
      </c>
      <c r="L156" s="22" t="inlineStr">
        <is>
          <t>Laranja</t>
        </is>
      </c>
      <c r="M156" s="22" t="inlineStr">
        <is>
          <t>Femenino</t>
        </is>
      </c>
      <c r="N156" s="78" t="n">
        <v>34684</v>
      </c>
      <c r="O156" s="23">
        <f>IF(N156="","",DATEDIF(N156,TODAY(),"Y"))</f>
        <v/>
      </c>
      <c r="P156" s="23">
        <f>IF(O156="","",IF(O156&lt;=11,"Infantil",IF(O156&lt;=17,"Juvenil",IF(O156&lt;=44,"Adulto","Baobá"))))</f>
        <v/>
      </c>
      <c r="Q156" s="23">
        <f>IF(P156&lt;&gt;"Adulto","",IF(OR(L156="Marrom",L156="Marrom/Vermelha"),"A",IF(OR(L156="Roxa",L156="Roxa/Marrom"),"B",IF(OR(L156="Verde",L156="Verde/Roxa"),"C",IF(OR(L156="Azul",L156="Azul/Verde"),"D",IF(OR(L156="Laranja",L156="Laranja/Azul"),"E",IF(Y156="Sí","E","N/A")))))))</f>
        <v/>
      </c>
      <c r="R156" s="23">
        <f>IF(P156&lt;&gt;"Baobá","",IF(OR(L156="Laranja",L156="Laranja/Azul"),"Alumnos",IF(Y156="Sí","Alumnos","Graduados+")))</f>
        <v/>
      </c>
      <c r="S156" s="23">
        <f>IF(P156="","",IF(P156="Adulto",IF(OR(Q156="",Q156="N/A"),"⚠ Corda no compite Adulto",P156&amp;"-"&amp;Q156&amp;" · "&amp;M156),IF(P156="Baobá",IF(R156="","⚠ Sin clasificar Baobá",P156&amp;"-"&amp;R156&amp;" · "&amp;M156),IF(P156="Juvenil",IF(AND(OR(L156="Crua",L156="Crua/Amarela"),Y156&lt;&gt;"Sí"),"⚠ Juvenil necesita Amarela+",P156&amp;" · "&amp;M156),P156&amp;" · "&amp;M156))))</f>
        <v/>
      </c>
      <c r="T156" s="23" t="n"/>
      <c r="U156" s="22" t="inlineStr">
        <is>
          <t>Sí</t>
        </is>
      </c>
      <c r="V156" s="22" t="n"/>
      <c r="W156" s="22" t="n"/>
      <c r="X156" s="22" t="n"/>
      <c r="Y156" s="22" t="inlineStr">
        <is>
          <t>No</t>
        </is>
      </c>
      <c r="Z156" s="22" t="inlineStr">
        <is>
          <t>XXL</t>
        </is>
      </c>
      <c r="AA156" s="22" t="n">
        <v>35</v>
      </c>
      <c r="AB156" s="22" t="inlineStr">
        <is>
          <t>Pagado</t>
        </is>
      </c>
      <c r="AC156" s="22" t="n"/>
      <c r="AD156" s="23">
        <f>IF(D156&lt;&gt;"","P"&amp;TEXT(ROW()-4,"0000"),"")</f>
        <v/>
      </c>
    </row>
    <row r="157" ht="14.25" customHeight="1" s="72">
      <c r="A157" s="22" t="inlineStr">
        <is>
          <t>2025-08-22 20:08:00</t>
        </is>
      </c>
      <c r="B157" s="22" t="n"/>
      <c r="C157" s="22" t="n"/>
      <c r="D157" s="22" t="inlineStr">
        <is>
          <t>Luisa</t>
        </is>
      </c>
      <c r="E157" s="22" t="inlineStr">
        <is>
          <t>García</t>
        </is>
      </c>
      <c r="F157" s="22" t="inlineStr">
        <is>
          <t>Caranguejo</t>
        </is>
      </c>
      <c r="G157" s="23">
        <f>IF(F157&lt;&gt;"",F157,IF(AND(D157="",E157=""),"",TRIM(D157&amp;" "&amp;E157)))</f>
        <v/>
      </c>
      <c r="H157" s="22" t="n"/>
      <c r="I157" s="22" t="inlineStr">
        <is>
          <t>+34 662 768 999</t>
        </is>
      </c>
      <c r="J157" s="22" t="inlineStr">
        <is>
          <t>Santiago-Chile</t>
        </is>
      </c>
      <c r="K157" s="22" t="inlineStr">
        <is>
          <t>Mestre Tartaruga</t>
        </is>
      </c>
      <c r="L157" s="22" t="inlineStr">
        <is>
          <t>Laranja</t>
        </is>
      </c>
      <c r="M157" s="22" t="inlineStr">
        <is>
          <t>Femenino</t>
        </is>
      </c>
      <c r="N157" s="78" t="n">
        <v>30797</v>
      </c>
      <c r="O157" s="23">
        <f>IF(N157="","",DATEDIF(N157,TODAY(),"Y"))</f>
        <v/>
      </c>
      <c r="P157" s="23">
        <f>IF(O157="","",IF(O157&lt;=11,"Infantil",IF(O157&lt;=17,"Juvenil",IF(O157&lt;=44,"Adulto","Baobá"))))</f>
        <v/>
      </c>
      <c r="Q157" s="23">
        <f>IF(P157&lt;&gt;"Adulto","",IF(OR(L157="Marrom",L157="Marrom/Vermelha"),"A",IF(OR(L157="Roxa",L157="Roxa/Marrom"),"B",IF(OR(L157="Verde",L157="Verde/Roxa"),"C",IF(OR(L157="Azul",L157="Azul/Verde"),"D",IF(OR(L157="Laranja",L157="Laranja/Azul"),"E",IF(Y157="Sí","E","N/A")))))))</f>
        <v/>
      </c>
      <c r="R157" s="23">
        <f>IF(P157&lt;&gt;"Baobá","",IF(OR(L157="Laranja",L157="Laranja/Azul"),"Alumnos",IF(Y157="Sí","Alumnos","Graduados+")))</f>
        <v/>
      </c>
      <c r="S157" s="23">
        <f>IF(P157="","",IF(P157="Adulto",IF(OR(Q157="",Q157="N/A"),"⚠ Corda no compite Adulto",P157&amp;"-"&amp;Q157&amp;" · "&amp;M157),IF(P157="Baobá",IF(R157="","⚠ Sin clasificar Baobá",P157&amp;"-"&amp;R157&amp;" · "&amp;M157),IF(P157="Juvenil",IF(AND(OR(L157="Crua",L157="Crua/Amarela"),Y157&lt;&gt;"Sí"),"⚠ Juvenil necesita Amarela+",P157&amp;" · "&amp;M157),P157&amp;" · "&amp;M157))))</f>
        <v/>
      </c>
      <c r="T157" s="23" t="n"/>
      <c r="U157" s="22" t="inlineStr">
        <is>
          <t>Sí</t>
        </is>
      </c>
      <c r="V157" s="22" t="n"/>
      <c r="W157" s="22" t="n"/>
      <c r="X157" s="22" t="n"/>
      <c r="Y157" s="22" t="inlineStr">
        <is>
          <t>No</t>
        </is>
      </c>
      <c r="Z157" s="22" t="inlineStr">
        <is>
          <t>XS</t>
        </is>
      </c>
      <c r="AA157" s="22" t="n">
        <v>35</v>
      </c>
      <c r="AB157" s="22" t="inlineStr">
        <is>
          <t>Pagado</t>
        </is>
      </c>
      <c r="AC157" s="22" t="n"/>
      <c r="AD157" s="23">
        <f>IF(D157&lt;&gt;"","P"&amp;TEXT(ROW()-4,"0000"),"")</f>
        <v/>
      </c>
    </row>
    <row r="158" ht="14.25" customHeight="1" s="72">
      <c r="A158" s="22" t="inlineStr">
        <is>
          <t>2025-09-11 12:41:03</t>
        </is>
      </c>
      <c r="B158" s="22" t="n"/>
      <c r="C158" s="22" t="n"/>
      <c r="D158" s="22" t="inlineStr">
        <is>
          <t>Mei</t>
        </is>
      </c>
      <c r="E158" s="22" t="inlineStr">
        <is>
          <t>Martins</t>
        </is>
      </c>
      <c r="F158" s="22" t="inlineStr">
        <is>
          <t>Tucano</t>
        </is>
      </c>
      <c r="G158" s="23">
        <f>IF(F158&lt;&gt;"",F158,IF(AND(D158="",E158=""),"",TRIM(D158&amp;" "&amp;E158)))</f>
        <v/>
      </c>
      <c r="H158" s="22" t="n"/>
      <c r="I158" s="22" t="inlineStr">
        <is>
          <t>+34 693 687 337</t>
        </is>
      </c>
      <c r="J158" s="22" t="inlineStr">
        <is>
          <t>Salvador-Brasil</t>
        </is>
      </c>
      <c r="K158" s="22" t="inlineStr">
        <is>
          <t>Professor Gavião</t>
        </is>
      </c>
      <c r="L158" s="22" t="inlineStr">
        <is>
          <t>Laranja</t>
        </is>
      </c>
      <c r="M158" s="22" t="inlineStr">
        <is>
          <t>Femenino</t>
        </is>
      </c>
      <c r="N158" s="78" t="n">
        <v>33299</v>
      </c>
      <c r="O158" s="23">
        <f>IF(N158="","",DATEDIF(N158,TODAY(),"Y"))</f>
        <v/>
      </c>
      <c r="P158" s="23">
        <f>IF(O158="","",IF(O158&lt;=11,"Infantil",IF(O158&lt;=17,"Juvenil",IF(O158&lt;=44,"Adulto","Baobá"))))</f>
        <v/>
      </c>
      <c r="Q158" s="23">
        <f>IF(P158&lt;&gt;"Adulto","",IF(OR(L158="Marrom",L158="Marrom/Vermelha"),"A",IF(OR(L158="Roxa",L158="Roxa/Marrom"),"B",IF(OR(L158="Verde",L158="Verde/Roxa"),"C",IF(OR(L158="Azul",L158="Azul/Verde"),"D",IF(OR(L158="Laranja",L158="Laranja/Azul"),"E",IF(Y158="Sí","E","N/A")))))))</f>
        <v/>
      </c>
      <c r="R158" s="23">
        <f>IF(P158&lt;&gt;"Baobá","",IF(OR(L158="Laranja",L158="Laranja/Azul"),"Alumnos",IF(Y158="Sí","Alumnos","Graduados+")))</f>
        <v/>
      </c>
      <c r="S158" s="23">
        <f>IF(P158="","",IF(P158="Adulto",IF(OR(Q158="",Q158="N/A"),"⚠ Corda no compite Adulto",P158&amp;"-"&amp;Q158&amp;" · "&amp;M158),IF(P158="Baobá",IF(R158="","⚠ Sin clasificar Baobá",P158&amp;"-"&amp;R158&amp;" · "&amp;M158),IF(P158="Juvenil",IF(AND(OR(L158="Crua",L158="Crua/Amarela"),Y158&lt;&gt;"Sí"),"⚠ Juvenil necesita Amarela+",P158&amp;" · "&amp;M158),P158&amp;" · "&amp;M158))))</f>
        <v/>
      </c>
      <c r="T158" s="23" t="n"/>
      <c r="U158" s="22" t="inlineStr">
        <is>
          <t>Sí</t>
        </is>
      </c>
      <c r="V158" s="22" t="n"/>
      <c r="W158" s="22" t="n"/>
      <c r="X158" s="22" t="n"/>
      <c r="Y158" s="22" t="inlineStr">
        <is>
          <t>No</t>
        </is>
      </c>
      <c r="Z158" s="22" t="inlineStr">
        <is>
          <t>S</t>
        </is>
      </c>
      <c r="AA158" s="22" t="n">
        <v>35</v>
      </c>
      <c r="AB158" s="22" t="inlineStr">
        <is>
          <t>Pagado</t>
        </is>
      </c>
      <c r="AC158" s="22" t="n"/>
      <c r="AD158" s="23">
        <f>IF(D158&lt;&gt;"","P"&amp;TEXT(ROW()-4,"0000"),"")</f>
        <v/>
      </c>
    </row>
    <row r="159" ht="14.25" customHeight="1" s="72">
      <c r="A159" s="22" t="inlineStr">
        <is>
          <t>2025-09-26 15:11:59</t>
        </is>
      </c>
      <c r="B159" s="22" t="n"/>
      <c r="C159" s="22" t="n"/>
      <c r="D159" s="22" t="inlineStr">
        <is>
          <t>Aiko</t>
        </is>
      </c>
      <c r="E159" s="22" t="inlineStr">
        <is>
          <t>Schulz</t>
        </is>
      </c>
      <c r="F159" s="22" t="inlineStr">
        <is>
          <t>Veado</t>
        </is>
      </c>
      <c r="G159" s="23">
        <f>IF(F159&lt;&gt;"",F159,IF(AND(D159="",E159=""),"",TRIM(D159&amp;" "&amp;E159)))</f>
        <v/>
      </c>
      <c r="H159" s="22" t="n"/>
      <c r="I159" s="22" t="inlineStr">
        <is>
          <t>+34 614 109 405</t>
        </is>
      </c>
      <c r="J159" s="22" t="inlineStr">
        <is>
          <t>Curitiba-Brasil</t>
        </is>
      </c>
      <c r="K159" s="22" t="inlineStr">
        <is>
          <t>Professor Borboleta</t>
        </is>
      </c>
      <c r="L159" s="22" t="inlineStr">
        <is>
          <t>Laranja/Azul</t>
        </is>
      </c>
      <c r="M159" s="22" t="inlineStr">
        <is>
          <t>Femenino</t>
        </is>
      </c>
      <c r="N159" s="78" t="n">
        <v>34932</v>
      </c>
      <c r="O159" s="23">
        <f>IF(N159="","",DATEDIF(N159,TODAY(),"Y"))</f>
        <v/>
      </c>
      <c r="P159" s="23">
        <f>IF(O159="","",IF(O159&lt;=11,"Infantil",IF(O159&lt;=17,"Juvenil",IF(O159&lt;=44,"Adulto","Baobá"))))</f>
        <v/>
      </c>
      <c r="Q159" s="23">
        <f>IF(P159&lt;&gt;"Adulto","",IF(OR(L159="Marrom",L159="Marrom/Vermelha"),"A",IF(OR(L159="Roxa",L159="Roxa/Marrom"),"B",IF(OR(L159="Verde",L159="Verde/Roxa"),"C",IF(OR(L159="Azul",L159="Azul/Verde"),"D",IF(OR(L159="Laranja",L159="Laranja/Azul"),"E",IF(Y159="Sí","E","N/A")))))))</f>
        <v/>
      </c>
      <c r="R159" s="23">
        <f>IF(P159&lt;&gt;"Baobá","",IF(OR(L159="Laranja",L159="Laranja/Azul"),"Alumnos",IF(Y159="Sí","Alumnos","Graduados+")))</f>
        <v/>
      </c>
      <c r="S159" s="23">
        <f>IF(P159="","",IF(P159="Adulto",IF(OR(Q159="",Q159="N/A"),"⚠ Corda no compite Adulto",P159&amp;"-"&amp;Q159&amp;" · "&amp;M159),IF(P159="Baobá",IF(R159="","⚠ Sin clasificar Baobá",P159&amp;"-"&amp;R159&amp;" · "&amp;M159),IF(P159="Juvenil",IF(AND(OR(L159="Crua",L159="Crua/Amarela"),Y159&lt;&gt;"Sí"),"⚠ Juvenil necesita Amarela+",P159&amp;" · "&amp;M159),P159&amp;" · "&amp;M159))))</f>
        <v/>
      </c>
      <c r="T159" s="23" t="n"/>
      <c r="U159" s="22" t="inlineStr">
        <is>
          <t>Sí</t>
        </is>
      </c>
      <c r="V159" s="22" t="n"/>
      <c r="W159" s="22" t="n"/>
      <c r="X159" s="22" t="n"/>
      <c r="Y159" s="22" t="inlineStr">
        <is>
          <t>No</t>
        </is>
      </c>
      <c r="Z159" s="22" t="inlineStr">
        <is>
          <t>M</t>
        </is>
      </c>
      <c r="AA159" s="22" t="n">
        <v>35</v>
      </c>
      <c r="AB159" s="22" t="inlineStr">
        <is>
          <t>Pagado</t>
        </is>
      </c>
      <c r="AC159" s="22" t="n"/>
      <c r="AD159" s="23">
        <f>IF(D159&lt;&gt;"","P"&amp;TEXT(ROW()-4,"0000"),"")</f>
        <v/>
      </c>
    </row>
    <row r="160" ht="14.25" customHeight="1" s="72">
      <c r="A160" s="22" t="inlineStr">
        <is>
          <t>2025-10-17 15:56:08</t>
        </is>
      </c>
      <c r="B160" s="22" t="n"/>
      <c r="C160" s="22" t="n"/>
      <c r="D160" s="22" t="inlineStr">
        <is>
          <t>Alice</t>
        </is>
      </c>
      <c r="E160" s="22" t="inlineStr">
        <is>
          <t>Moreau</t>
        </is>
      </c>
      <c r="F160" s="22" t="inlineStr">
        <is>
          <t>Lagosta</t>
        </is>
      </c>
      <c r="G160" s="23">
        <f>IF(F160&lt;&gt;"",F160,IF(AND(D160="",E160=""),"",TRIM(D160&amp;" "&amp;E160)))</f>
        <v/>
      </c>
      <c r="H160" s="22" t="n"/>
      <c r="I160" s="22" t="inlineStr">
        <is>
          <t>+34 644 297 928</t>
        </is>
      </c>
      <c r="J160" s="22" t="inlineStr">
        <is>
          <t>Porto Alegre-Brasil</t>
        </is>
      </c>
      <c r="K160" s="22" t="inlineStr">
        <is>
          <t>Professor Borboleta</t>
        </is>
      </c>
      <c r="L160" s="22" t="inlineStr">
        <is>
          <t>Laranja/Azul</t>
        </is>
      </c>
      <c r="M160" s="22" t="inlineStr">
        <is>
          <t>Femenino</t>
        </is>
      </c>
      <c r="N160" s="78" t="n">
        <v>36509</v>
      </c>
      <c r="O160" s="23">
        <f>IF(N160="","",DATEDIF(N160,TODAY(),"Y"))</f>
        <v/>
      </c>
      <c r="P160" s="23">
        <f>IF(O160="","",IF(O160&lt;=11,"Infantil",IF(O160&lt;=17,"Juvenil",IF(O160&lt;=44,"Adulto","Baobá"))))</f>
        <v/>
      </c>
      <c r="Q160" s="23">
        <f>IF(P160&lt;&gt;"Adulto","",IF(OR(L160="Marrom",L160="Marrom/Vermelha"),"A",IF(OR(L160="Roxa",L160="Roxa/Marrom"),"B",IF(OR(L160="Verde",L160="Verde/Roxa"),"C",IF(OR(L160="Azul",L160="Azul/Verde"),"D",IF(OR(L160="Laranja",L160="Laranja/Azul"),"E",IF(Y160="Sí","E","N/A")))))))</f>
        <v/>
      </c>
      <c r="R160" s="23">
        <f>IF(P160&lt;&gt;"Baobá","",IF(OR(L160="Laranja",L160="Laranja/Azul"),"Alumnos",IF(Y160="Sí","Alumnos","Graduados+")))</f>
        <v/>
      </c>
      <c r="S160" s="23">
        <f>IF(P160="","",IF(P160="Adulto",IF(OR(Q160="",Q160="N/A"),"⚠ Corda no compite Adulto",P160&amp;"-"&amp;Q160&amp;" · "&amp;M160),IF(P160="Baobá",IF(R160="","⚠ Sin clasificar Baobá",P160&amp;"-"&amp;R160&amp;" · "&amp;M160),IF(P160="Juvenil",IF(AND(OR(L160="Crua",L160="Crua/Amarela"),Y160&lt;&gt;"Sí"),"⚠ Juvenil necesita Amarela+",P160&amp;" · "&amp;M160),P160&amp;" · "&amp;M160))))</f>
        <v/>
      </c>
      <c r="T160" s="23" t="n"/>
      <c r="U160" s="22" t="inlineStr">
        <is>
          <t>Sí</t>
        </is>
      </c>
      <c r="V160" s="22" t="n"/>
      <c r="W160" s="22" t="n"/>
      <c r="X160" s="22" t="n"/>
      <c r="Y160" s="22" t="inlineStr">
        <is>
          <t>No</t>
        </is>
      </c>
      <c r="Z160" s="22" t="inlineStr">
        <is>
          <t>L</t>
        </is>
      </c>
      <c r="AA160" s="22" t="n">
        <v>35</v>
      </c>
      <c r="AB160" s="22" t="inlineStr">
        <is>
          <t>Pagado</t>
        </is>
      </c>
      <c r="AC160" s="22" t="n"/>
      <c r="AD160" s="23">
        <f>IF(D160&lt;&gt;"","P"&amp;TEXT(ROW()-4,"0000"),"")</f>
        <v/>
      </c>
    </row>
    <row r="161" ht="14.25" customHeight="1" s="72">
      <c r="A161" s="22" t="inlineStr">
        <is>
          <t>2025-10-09 19:11:00</t>
        </is>
      </c>
      <c r="B161" s="22" t="n"/>
      <c r="C161" s="22" t="n"/>
      <c r="D161" s="22" t="inlineStr">
        <is>
          <t>Aiko</t>
        </is>
      </c>
      <c r="E161" s="22" t="inlineStr">
        <is>
          <t>Esposito</t>
        </is>
      </c>
      <c r="F161" s="22" t="inlineStr">
        <is>
          <t>Tamanduá</t>
        </is>
      </c>
      <c r="G161" s="23">
        <f>IF(F161&lt;&gt;"",F161,IF(AND(D161="",E161=""),"",TRIM(D161&amp;" "&amp;E161)))</f>
        <v/>
      </c>
      <c r="H161" s="22" t="n"/>
      <c r="I161" s="22" t="inlineStr">
        <is>
          <t>+34 647 681 790</t>
        </is>
      </c>
      <c r="J161" s="22" t="inlineStr">
        <is>
          <t>Bilbao-España</t>
        </is>
      </c>
      <c r="K161" s="22" t="inlineStr">
        <is>
          <t>Professor Gavião</t>
        </is>
      </c>
      <c r="L161" s="22" t="inlineStr">
        <is>
          <t>Laranja/Azul</t>
        </is>
      </c>
      <c r="M161" s="22" t="inlineStr">
        <is>
          <t>Femenino</t>
        </is>
      </c>
      <c r="N161" s="78" t="n">
        <v>31364</v>
      </c>
      <c r="O161" s="23">
        <f>IF(N161="","",DATEDIF(N161,TODAY(),"Y"))</f>
        <v/>
      </c>
      <c r="P161" s="23">
        <f>IF(O161="","",IF(O161&lt;=11,"Infantil",IF(O161&lt;=17,"Juvenil",IF(O161&lt;=44,"Adulto","Baobá"))))</f>
        <v/>
      </c>
      <c r="Q161" s="23">
        <f>IF(P161&lt;&gt;"Adulto","",IF(OR(L161="Marrom",L161="Marrom/Vermelha"),"A",IF(OR(L161="Roxa",L161="Roxa/Marrom"),"B",IF(OR(L161="Verde",L161="Verde/Roxa"),"C",IF(OR(L161="Azul",L161="Azul/Verde"),"D",IF(OR(L161="Laranja",L161="Laranja/Azul"),"E",IF(Y161="Sí","E","N/A")))))))</f>
        <v/>
      </c>
      <c r="R161" s="23">
        <f>IF(P161&lt;&gt;"Baobá","",IF(OR(L161="Laranja",L161="Laranja/Azul"),"Alumnos",IF(Y161="Sí","Alumnos","Graduados+")))</f>
        <v/>
      </c>
      <c r="S161" s="23">
        <f>IF(P161="","",IF(P161="Adulto",IF(OR(Q161="",Q161="N/A"),"⚠ Corda no compite Adulto",P161&amp;"-"&amp;Q161&amp;" · "&amp;M161),IF(P161="Baobá",IF(R161="","⚠ Sin clasificar Baobá",P161&amp;"-"&amp;R161&amp;" · "&amp;M161),IF(P161="Juvenil",IF(AND(OR(L161="Crua",L161="Crua/Amarela"),Y161&lt;&gt;"Sí"),"⚠ Juvenil necesita Amarela+",P161&amp;" · "&amp;M161),P161&amp;" · "&amp;M161))))</f>
        <v/>
      </c>
      <c r="T161" s="23" t="n"/>
      <c r="U161" s="22" t="inlineStr">
        <is>
          <t>Sí</t>
        </is>
      </c>
      <c r="V161" s="22" t="n"/>
      <c r="W161" s="22" t="n"/>
      <c r="X161" s="22" t="n"/>
      <c r="Y161" s="22" t="inlineStr">
        <is>
          <t>No</t>
        </is>
      </c>
      <c r="Z161" s="22" t="inlineStr">
        <is>
          <t>XL</t>
        </is>
      </c>
      <c r="AA161" s="22" t="n">
        <v>35</v>
      </c>
      <c r="AB161" s="22" t="inlineStr">
        <is>
          <t>Pagado</t>
        </is>
      </c>
      <c r="AC161" s="22" t="n"/>
      <c r="AD161" s="23">
        <f>IF(D161&lt;&gt;"","P"&amp;TEXT(ROW()-4,"0000"),"")</f>
        <v/>
      </c>
    </row>
    <row r="162" ht="14.25" customHeight="1" s="72">
      <c r="A162" s="22" t="inlineStr">
        <is>
          <t>2025-09-17 13:05:25</t>
        </is>
      </c>
      <c r="B162" s="22" t="n"/>
      <c r="C162" s="22" t="n"/>
      <c r="D162" s="22" t="inlineStr">
        <is>
          <t>Pilar</t>
        </is>
      </c>
      <c r="E162" s="22" t="inlineStr">
        <is>
          <t>Carvalho</t>
        </is>
      </c>
      <c r="F162" s="22" t="inlineStr">
        <is>
          <t>Puma</t>
        </is>
      </c>
      <c r="G162" s="23">
        <f>IF(F162&lt;&gt;"",F162,IF(AND(D162="",E162=""),"",TRIM(D162&amp;" "&amp;E162)))</f>
        <v/>
      </c>
      <c r="H162" s="22" t="n"/>
      <c r="I162" s="22" t="inlineStr">
        <is>
          <t>+34 633 243 588</t>
        </is>
      </c>
      <c r="J162" s="22" t="inlineStr">
        <is>
          <t>Lyon-Francia</t>
        </is>
      </c>
      <c r="K162" s="22" t="inlineStr">
        <is>
          <t>Mestre Onça</t>
        </is>
      </c>
      <c r="L162" s="22" t="inlineStr">
        <is>
          <t>Laranja/Azul</t>
        </is>
      </c>
      <c r="M162" s="22" t="inlineStr">
        <is>
          <t>Femenino</t>
        </is>
      </c>
      <c r="N162" s="78" t="n">
        <v>38120</v>
      </c>
      <c r="O162" s="23">
        <f>IF(N162="","",DATEDIF(N162,TODAY(),"Y"))</f>
        <v/>
      </c>
      <c r="P162" s="23">
        <f>IF(O162="","",IF(O162&lt;=11,"Infantil",IF(O162&lt;=17,"Juvenil",IF(O162&lt;=44,"Adulto","Baobá"))))</f>
        <v/>
      </c>
      <c r="Q162" s="23">
        <f>IF(P162&lt;&gt;"Adulto","",IF(OR(L162="Marrom",L162="Marrom/Vermelha"),"A",IF(OR(L162="Roxa",L162="Roxa/Marrom"),"B",IF(OR(L162="Verde",L162="Verde/Roxa"),"C",IF(OR(L162="Azul",L162="Azul/Verde"),"D",IF(OR(L162="Laranja",L162="Laranja/Azul"),"E",IF(Y162="Sí","E","N/A")))))))</f>
        <v/>
      </c>
      <c r="R162" s="23">
        <f>IF(P162&lt;&gt;"Baobá","",IF(OR(L162="Laranja",L162="Laranja/Azul"),"Alumnos",IF(Y162="Sí","Alumnos","Graduados+")))</f>
        <v/>
      </c>
      <c r="S162" s="23">
        <f>IF(P162="","",IF(P162="Adulto",IF(OR(Q162="",Q162="N/A"),"⚠ Corda no compite Adulto",P162&amp;"-"&amp;Q162&amp;" · "&amp;M162),IF(P162="Baobá",IF(R162="","⚠ Sin clasificar Baobá",P162&amp;"-"&amp;R162&amp;" · "&amp;M162),IF(P162="Juvenil",IF(AND(OR(L162="Crua",L162="Crua/Amarela"),Y162&lt;&gt;"Sí"),"⚠ Juvenil necesita Amarela+",P162&amp;" · "&amp;M162),P162&amp;" · "&amp;M162))))</f>
        <v/>
      </c>
      <c r="T162" s="23" t="n"/>
      <c r="U162" s="22" t="inlineStr">
        <is>
          <t>Sí</t>
        </is>
      </c>
      <c r="V162" s="22" t="n"/>
      <c r="W162" s="22" t="n"/>
      <c r="X162" s="22" t="n"/>
      <c r="Y162" s="22" t="inlineStr">
        <is>
          <t>No</t>
        </is>
      </c>
      <c r="Z162" s="22" t="inlineStr">
        <is>
          <t>XXL</t>
        </is>
      </c>
      <c r="AA162" s="22" t="n">
        <v>35</v>
      </c>
      <c r="AB162" s="22" t="inlineStr">
        <is>
          <t>Pagado</t>
        </is>
      </c>
      <c r="AC162" s="22" t="n"/>
      <c r="AD162" s="23">
        <f>IF(D162&lt;&gt;"","P"&amp;TEXT(ROW()-4,"0000"),"")</f>
        <v/>
      </c>
    </row>
    <row r="163" ht="14.25" customHeight="1" s="72">
      <c r="A163" s="22" t="inlineStr">
        <is>
          <t>2025-08-15 20:17:21</t>
        </is>
      </c>
      <c r="B163" s="22" t="n"/>
      <c r="C163" s="22" t="n"/>
      <c r="D163" s="22" t="inlineStr">
        <is>
          <t>Viviane</t>
        </is>
      </c>
      <c r="E163" s="22" t="inlineStr">
        <is>
          <t>Santos</t>
        </is>
      </c>
      <c r="F163" s="22" t="inlineStr">
        <is>
          <t>Ganso</t>
        </is>
      </c>
      <c r="G163" s="23">
        <f>IF(F163&lt;&gt;"",F163,IF(AND(D163="",E163=""),"",TRIM(D163&amp;" "&amp;E163)))</f>
        <v/>
      </c>
      <c r="H163" s="22" t="n"/>
      <c r="I163" s="22" t="inlineStr">
        <is>
          <t>+34 643 769 468</t>
        </is>
      </c>
      <c r="J163" s="22" t="inlineStr">
        <is>
          <t>Lisboa-Portugal</t>
        </is>
      </c>
      <c r="K163" s="22" t="inlineStr">
        <is>
          <t>Mestre Pastinha</t>
        </is>
      </c>
      <c r="L163" s="22" t="inlineStr">
        <is>
          <t>Laranja/Azul</t>
        </is>
      </c>
      <c r="M163" s="22" t="inlineStr">
        <is>
          <t>Femenino</t>
        </is>
      </c>
      <c r="N163" s="78" t="n">
        <v>30362</v>
      </c>
      <c r="O163" s="23">
        <f>IF(N163="","",DATEDIF(N163,TODAY(),"Y"))</f>
        <v/>
      </c>
      <c r="P163" s="23">
        <f>IF(O163="","",IF(O163&lt;=11,"Infantil",IF(O163&lt;=17,"Juvenil",IF(O163&lt;=44,"Adulto","Baobá"))))</f>
        <v/>
      </c>
      <c r="Q163" s="23">
        <f>IF(P163&lt;&gt;"Adulto","",IF(OR(L163="Marrom",L163="Marrom/Vermelha"),"A",IF(OR(L163="Roxa",L163="Roxa/Marrom"),"B",IF(OR(L163="Verde",L163="Verde/Roxa"),"C",IF(OR(L163="Azul",L163="Azul/Verde"),"D",IF(OR(L163="Laranja",L163="Laranja/Azul"),"E",IF(Y163="Sí","E","N/A")))))))</f>
        <v/>
      </c>
      <c r="R163" s="23">
        <f>IF(P163&lt;&gt;"Baobá","",IF(OR(L163="Laranja",L163="Laranja/Azul"),"Alumnos",IF(Y163="Sí","Alumnos","Graduados+")))</f>
        <v/>
      </c>
      <c r="S163" s="23">
        <f>IF(P163="","",IF(P163="Adulto",IF(OR(Q163="",Q163="N/A"),"⚠ Corda no compite Adulto",P163&amp;"-"&amp;Q163&amp;" · "&amp;M163),IF(P163="Baobá",IF(R163="","⚠ Sin clasificar Baobá",P163&amp;"-"&amp;R163&amp;" · "&amp;M163),IF(P163="Juvenil",IF(AND(OR(L163="Crua",L163="Crua/Amarela"),Y163&lt;&gt;"Sí"),"⚠ Juvenil necesita Amarela+",P163&amp;" · "&amp;M163),P163&amp;" · "&amp;M163))))</f>
        <v/>
      </c>
      <c r="T163" s="23" t="n"/>
      <c r="U163" s="22" t="inlineStr">
        <is>
          <t>Sí</t>
        </is>
      </c>
      <c r="V163" s="22" t="n"/>
      <c r="W163" s="22" t="n"/>
      <c r="X163" s="22" t="n"/>
      <c r="Y163" s="22" t="inlineStr">
        <is>
          <t>No</t>
        </is>
      </c>
      <c r="Z163" s="22" t="inlineStr">
        <is>
          <t>XS</t>
        </is>
      </c>
      <c r="AA163" s="22" t="n">
        <v>35</v>
      </c>
      <c r="AB163" s="22" t="inlineStr">
        <is>
          <t>Pagado</t>
        </is>
      </c>
      <c r="AC163" s="22" t="n"/>
      <c r="AD163" s="23">
        <f>IF(D163&lt;&gt;"","P"&amp;TEXT(ROW()-4,"0000"),"")</f>
        <v/>
      </c>
    </row>
    <row r="164" ht="14.25" customHeight="1" s="72">
      <c r="A164" s="22" t="inlineStr">
        <is>
          <t>2025-09-06 14:43:32</t>
        </is>
      </c>
      <c r="B164" s="22" t="n"/>
      <c r="C164" s="22" t="n"/>
      <c r="D164" s="22" t="inlineStr">
        <is>
          <t>Fátima</t>
        </is>
      </c>
      <c r="E164" s="22" t="inlineStr">
        <is>
          <t>Richter</t>
        </is>
      </c>
      <c r="F164" s="22" t="inlineStr">
        <is>
          <t>Congro</t>
        </is>
      </c>
      <c r="G164" s="23">
        <f>IF(F164&lt;&gt;"",F164,IF(AND(D164="",E164=""),"",TRIM(D164&amp;" "&amp;E164)))</f>
        <v/>
      </c>
      <c r="H164" s="22" t="n"/>
      <c r="I164" s="22" t="inlineStr">
        <is>
          <t>+34 698 220 754</t>
        </is>
      </c>
      <c r="J164" s="22" t="inlineStr">
        <is>
          <t>Coimbra-Portugal</t>
        </is>
      </c>
      <c r="K164" s="22" t="inlineStr">
        <is>
          <t>Contra-Mestre Jabuti</t>
        </is>
      </c>
      <c r="L164" s="22" t="inlineStr">
        <is>
          <t>Laranja</t>
        </is>
      </c>
      <c r="M164" s="22" t="inlineStr">
        <is>
          <t>Femenino</t>
        </is>
      </c>
      <c r="N164" s="78" t="n">
        <v>31145</v>
      </c>
      <c r="O164" s="23">
        <f>IF(N164="","",DATEDIF(N164,TODAY(),"Y"))</f>
        <v/>
      </c>
      <c r="P164" s="23">
        <f>IF(O164="","",IF(O164&lt;=11,"Infantil",IF(O164&lt;=17,"Juvenil",IF(O164&lt;=44,"Adulto","Baobá"))))</f>
        <v/>
      </c>
      <c r="Q164" s="23">
        <f>IF(P164&lt;&gt;"Adulto","",IF(OR(L164="Marrom",L164="Marrom/Vermelha"),"A",IF(OR(L164="Roxa",L164="Roxa/Marrom"),"B",IF(OR(L164="Verde",L164="Verde/Roxa"),"C",IF(OR(L164="Azul",L164="Azul/Verde"),"D",IF(OR(L164="Laranja",L164="Laranja/Azul"),"E",IF(Y164="Sí","E","N/A")))))))</f>
        <v/>
      </c>
      <c r="R164" s="23">
        <f>IF(P164&lt;&gt;"Baobá","",IF(OR(L164="Laranja",L164="Laranja/Azul"),"Alumnos",IF(Y164="Sí","Alumnos","Graduados+")))</f>
        <v/>
      </c>
      <c r="S164" s="23">
        <f>IF(P164="","",IF(P164="Adulto",IF(OR(Q164="",Q164="N/A"),"⚠ Corda no compite Adulto",P164&amp;"-"&amp;Q164&amp;" · "&amp;M164),IF(P164="Baobá",IF(R164="","⚠ Sin clasificar Baobá",P164&amp;"-"&amp;R164&amp;" · "&amp;M164),IF(P164="Juvenil",IF(AND(OR(L164="Crua",L164="Crua/Amarela"),Y164&lt;&gt;"Sí"),"⚠ Juvenil necesita Amarela+",P164&amp;" · "&amp;M164),P164&amp;" · "&amp;M164))))</f>
        <v/>
      </c>
      <c r="T164" s="23" t="n"/>
      <c r="U164" s="22" t="inlineStr">
        <is>
          <t>Sí</t>
        </is>
      </c>
      <c r="V164" s="22" t="n"/>
      <c r="W164" s="22" t="n"/>
      <c r="X164" s="22" t="n"/>
      <c r="Y164" s="22" t="inlineStr">
        <is>
          <t>No</t>
        </is>
      </c>
      <c r="Z164" s="22" t="inlineStr">
        <is>
          <t>S</t>
        </is>
      </c>
      <c r="AA164" s="22" t="n">
        <v>35</v>
      </c>
      <c r="AB164" s="22" t="inlineStr">
        <is>
          <t>Pagado</t>
        </is>
      </c>
      <c r="AC164" s="22" t="n"/>
      <c r="AD164" s="23">
        <f>IF(D164&lt;&gt;"","P"&amp;TEXT(ROW()-4,"0000"),"")</f>
        <v/>
      </c>
    </row>
    <row r="165" ht="14.25" customHeight="1" s="72">
      <c r="A165" s="22" t="inlineStr">
        <is>
          <t>2025-10-26 12:46:01</t>
        </is>
      </c>
      <c r="B165" s="22" t="n"/>
      <c r="C165" s="22" t="n"/>
      <c r="D165" s="22" t="inlineStr">
        <is>
          <t>Cristian</t>
        </is>
      </c>
      <c r="E165" s="22" t="inlineStr">
        <is>
          <t>Schneider</t>
        </is>
      </c>
      <c r="F165" s="22" t="inlineStr">
        <is>
          <t>Preguiça</t>
        </is>
      </c>
      <c r="G165" s="23">
        <f>IF(F165&lt;&gt;"",F165,IF(AND(D165="",E165=""),"",TRIM(D165&amp;" "&amp;E165)))</f>
        <v/>
      </c>
      <c r="H165" s="22" t="n"/>
      <c r="I165" s="22" t="inlineStr">
        <is>
          <t>+34 610 863 323</t>
        </is>
      </c>
      <c r="J165" s="22" t="inlineStr">
        <is>
          <t>Recife-Brasil</t>
        </is>
      </c>
      <c r="K165" s="22" t="inlineStr">
        <is>
          <t>Mestre Pastinha</t>
        </is>
      </c>
      <c r="L165" s="22" t="inlineStr">
        <is>
          <t>Laranja</t>
        </is>
      </c>
      <c r="M165" s="22" t="inlineStr">
        <is>
          <t>Masculino</t>
        </is>
      </c>
      <c r="N165" s="78" t="n">
        <v>25012</v>
      </c>
      <c r="O165" s="23">
        <f>IF(N165="","",DATEDIF(N165,TODAY(),"Y"))</f>
        <v/>
      </c>
      <c r="P165" s="23">
        <f>IF(O165="","",IF(O165&lt;=11,"Infantil",IF(O165&lt;=17,"Juvenil",IF(O165&lt;=44,"Adulto","Baobá"))))</f>
        <v/>
      </c>
      <c r="Q165" s="23">
        <f>IF(P165&lt;&gt;"Adulto","",IF(OR(L165="Marrom",L165="Marrom/Vermelha"),"A",IF(OR(L165="Roxa",L165="Roxa/Marrom"),"B",IF(OR(L165="Verde",L165="Verde/Roxa"),"C",IF(OR(L165="Azul",L165="Azul/Verde"),"D",IF(OR(L165="Laranja",L165="Laranja/Azul"),"E",IF(Y165="Sí","E","N/A")))))))</f>
        <v/>
      </c>
      <c r="R165" s="23">
        <f>IF(P165&lt;&gt;"Baobá","",IF(OR(L165="Laranja",L165="Laranja/Azul"),"Alumnos",IF(Y165="Sí","Alumnos","Graduados+")))</f>
        <v/>
      </c>
      <c r="S165" s="23">
        <f>IF(P165="","",IF(P165="Adulto",IF(OR(Q165="",Q165="N/A"),"⚠ Corda no compite Adulto",P165&amp;"-"&amp;Q165&amp;" · "&amp;M165),IF(P165="Baobá",IF(R165="","⚠ Sin clasificar Baobá",P165&amp;"-"&amp;R165&amp;" · "&amp;M165),IF(P165="Juvenil",IF(AND(OR(L165="Crua",L165="Crua/Amarela"),Y165&lt;&gt;"Sí"),"⚠ Juvenil necesita Amarela+",P165&amp;" · "&amp;M165),P165&amp;" · "&amp;M165))))</f>
        <v/>
      </c>
      <c r="T165" s="23" t="n"/>
      <c r="U165" s="22" t="inlineStr">
        <is>
          <t>Sí</t>
        </is>
      </c>
      <c r="V165" s="22" t="n"/>
      <c r="W165" s="22" t="n"/>
      <c r="X165" s="22" t="n"/>
      <c r="Y165" s="22" t="inlineStr">
        <is>
          <t>No</t>
        </is>
      </c>
      <c r="Z165" s="22" t="inlineStr">
        <is>
          <t>XS</t>
        </is>
      </c>
      <c r="AA165" s="22" t="n">
        <v>35</v>
      </c>
      <c r="AB165" s="22" t="inlineStr">
        <is>
          <t>Pagado</t>
        </is>
      </c>
      <c r="AC165" s="22" t="n"/>
      <c r="AD165" s="23">
        <f>IF(D165&lt;&gt;"","P"&amp;TEXT(ROW()-4,"0000"),"")</f>
        <v/>
      </c>
    </row>
    <row r="166" ht="14.25" customHeight="1" s="72">
      <c r="A166" s="22" t="inlineStr">
        <is>
          <t>2025-08-18 08:59:57</t>
        </is>
      </c>
      <c r="B166" s="22" t="n"/>
      <c r="C166" s="22" t="n"/>
      <c r="D166" s="22" t="inlineStr">
        <is>
          <t>André</t>
        </is>
      </c>
      <c r="E166" s="22" t="inlineStr">
        <is>
          <t>Fernandes</t>
        </is>
      </c>
      <c r="F166" s="22" t="inlineStr">
        <is>
          <t>Capivara</t>
        </is>
      </c>
      <c r="G166" s="23">
        <f>IF(F166&lt;&gt;"",F166,IF(AND(D166="",E166=""),"",TRIM(D166&amp;" "&amp;E166)))</f>
        <v/>
      </c>
      <c r="H166" s="22" t="n"/>
      <c r="I166" s="22" t="inlineStr">
        <is>
          <t>+34 614 393 518</t>
        </is>
      </c>
      <c r="J166" s="22" t="inlineStr">
        <is>
          <t>Barcelona-España</t>
        </is>
      </c>
      <c r="K166" s="22" t="inlineStr">
        <is>
          <t>Mestre Cobra</t>
        </is>
      </c>
      <c r="L166" s="22" t="inlineStr">
        <is>
          <t>Laranja/Azul</t>
        </is>
      </c>
      <c r="M166" s="22" t="inlineStr">
        <is>
          <t>Masculino</t>
        </is>
      </c>
      <c r="N166" s="78" t="n">
        <v>22636</v>
      </c>
      <c r="O166" s="23">
        <f>IF(N166="","",DATEDIF(N166,TODAY(),"Y"))</f>
        <v/>
      </c>
      <c r="P166" s="23">
        <f>IF(O166="","",IF(O166&lt;=11,"Infantil",IF(O166&lt;=17,"Juvenil",IF(O166&lt;=44,"Adulto","Baobá"))))</f>
        <v/>
      </c>
      <c r="Q166" s="23">
        <f>IF(P166&lt;&gt;"Adulto","",IF(OR(L166="Marrom",L166="Marrom/Vermelha"),"A",IF(OR(L166="Roxa",L166="Roxa/Marrom"),"B",IF(OR(L166="Verde",L166="Verde/Roxa"),"C",IF(OR(L166="Azul",L166="Azul/Verde"),"D",IF(OR(L166="Laranja",L166="Laranja/Azul"),"E",IF(Y166="Sí","E","N/A")))))))</f>
        <v/>
      </c>
      <c r="R166" s="23">
        <f>IF(P166&lt;&gt;"Baobá","",IF(OR(L166="Laranja",L166="Laranja/Azul"),"Alumnos",IF(Y166="Sí","Alumnos","Graduados+")))</f>
        <v/>
      </c>
      <c r="S166" s="23">
        <f>IF(P166="","",IF(P166="Adulto",IF(OR(Q166="",Q166="N/A"),"⚠ Corda no compite Adulto",P166&amp;"-"&amp;Q166&amp;" · "&amp;M166),IF(P166="Baobá",IF(R166="","⚠ Sin clasificar Baobá",P166&amp;"-"&amp;R166&amp;" · "&amp;M166),IF(P166="Juvenil",IF(AND(OR(L166="Crua",L166="Crua/Amarela"),Y166&lt;&gt;"Sí"),"⚠ Juvenil necesita Amarela+",P166&amp;" · "&amp;M166),P166&amp;" · "&amp;M166))))</f>
        <v/>
      </c>
      <c r="T166" s="23" t="n"/>
      <c r="U166" s="22" t="inlineStr">
        <is>
          <t>Sí</t>
        </is>
      </c>
      <c r="V166" s="22" t="n"/>
      <c r="W166" s="22" t="n"/>
      <c r="X166" s="22" t="n"/>
      <c r="Y166" s="22" t="inlineStr">
        <is>
          <t>No</t>
        </is>
      </c>
      <c r="Z166" s="22" t="inlineStr">
        <is>
          <t>S</t>
        </is>
      </c>
      <c r="AA166" s="22" t="n">
        <v>35</v>
      </c>
      <c r="AB166" s="22" t="inlineStr">
        <is>
          <t>Pagado</t>
        </is>
      </c>
      <c r="AC166" s="22" t="n"/>
      <c r="AD166" s="23">
        <f>IF(D166&lt;&gt;"","P"&amp;TEXT(ROW()-4,"0000"),"")</f>
        <v/>
      </c>
    </row>
    <row r="167" ht="14.25" customHeight="1" s="72">
      <c r="A167" s="22" t="inlineStr">
        <is>
          <t>2025-09-12 22:24:28</t>
        </is>
      </c>
      <c r="B167" s="22" t="n"/>
      <c r="C167" s="22" t="n"/>
      <c r="D167" s="22" t="inlineStr">
        <is>
          <t>Marco</t>
        </is>
      </c>
      <c r="E167" s="22" t="inlineStr">
        <is>
          <t>Marino</t>
        </is>
      </c>
      <c r="F167" s="22" t="inlineStr">
        <is>
          <t>Mariposa</t>
        </is>
      </c>
      <c r="G167" s="23">
        <f>IF(F167&lt;&gt;"",F167,IF(AND(D167="",E167=""),"",TRIM(D167&amp;" "&amp;E167)))</f>
        <v/>
      </c>
      <c r="H167" s="22" t="n"/>
      <c r="I167" s="22" t="inlineStr">
        <is>
          <t>+34 620 799 777</t>
        </is>
      </c>
      <c r="J167" s="22" t="inlineStr">
        <is>
          <t>Brasília-Brasil</t>
        </is>
      </c>
      <c r="K167" s="22" t="inlineStr">
        <is>
          <t>Contra-Mestre Jabuti</t>
        </is>
      </c>
      <c r="L167" s="22" t="inlineStr">
        <is>
          <t>Laranja</t>
        </is>
      </c>
      <c r="M167" s="22" t="inlineStr">
        <is>
          <t>Masculino</t>
        </is>
      </c>
      <c r="N167" s="78" t="n">
        <v>28567</v>
      </c>
      <c r="O167" s="23">
        <f>IF(N167="","",DATEDIF(N167,TODAY(),"Y"))</f>
        <v/>
      </c>
      <c r="P167" s="23">
        <f>IF(O167="","",IF(O167&lt;=11,"Infantil",IF(O167&lt;=17,"Juvenil",IF(O167&lt;=44,"Adulto","Baobá"))))</f>
        <v/>
      </c>
      <c r="Q167" s="23">
        <f>IF(P167&lt;&gt;"Adulto","",IF(OR(L167="Marrom",L167="Marrom/Vermelha"),"A",IF(OR(L167="Roxa",L167="Roxa/Marrom"),"B",IF(OR(L167="Verde",L167="Verde/Roxa"),"C",IF(OR(L167="Azul",L167="Azul/Verde"),"D",IF(OR(L167="Laranja",L167="Laranja/Azul"),"E",IF(Y167="Sí","E","N/A")))))))</f>
        <v/>
      </c>
      <c r="R167" s="23">
        <f>IF(P167&lt;&gt;"Baobá","",IF(OR(L167="Laranja",L167="Laranja/Azul"),"Alumnos",IF(Y167="Sí","Alumnos","Graduados+")))</f>
        <v/>
      </c>
      <c r="S167" s="23">
        <f>IF(P167="","",IF(P167="Adulto",IF(OR(Q167="",Q167="N/A"),"⚠ Corda no compite Adulto",P167&amp;"-"&amp;Q167&amp;" · "&amp;M167),IF(P167="Baobá",IF(R167="","⚠ Sin clasificar Baobá",P167&amp;"-"&amp;R167&amp;" · "&amp;M167),IF(P167="Juvenil",IF(AND(OR(L167="Crua",L167="Crua/Amarela"),Y167&lt;&gt;"Sí"),"⚠ Juvenil necesita Amarela+",P167&amp;" · "&amp;M167),P167&amp;" · "&amp;M167))))</f>
        <v/>
      </c>
      <c r="T167" s="23" t="n"/>
      <c r="U167" s="22" t="inlineStr">
        <is>
          <t>Sí</t>
        </is>
      </c>
      <c r="V167" s="22" t="n"/>
      <c r="W167" s="22" t="n"/>
      <c r="X167" s="22" t="n"/>
      <c r="Y167" s="22" t="inlineStr">
        <is>
          <t>No</t>
        </is>
      </c>
      <c r="Z167" s="22" t="inlineStr">
        <is>
          <t>M</t>
        </is>
      </c>
      <c r="AA167" s="22" t="n">
        <v>35</v>
      </c>
      <c r="AB167" s="22" t="inlineStr">
        <is>
          <t>Pagado</t>
        </is>
      </c>
      <c r="AC167" s="22" t="n"/>
      <c r="AD167" s="23">
        <f>IF(D167&lt;&gt;"","P"&amp;TEXT(ROW()-4,"0000"),"")</f>
        <v/>
      </c>
    </row>
    <row r="168" ht="14.25" customHeight="1" s="72">
      <c r="A168" s="22" t="inlineStr">
        <is>
          <t>2025-09-17 10:46:14</t>
        </is>
      </c>
      <c r="B168" s="22" t="n"/>
      <c r="C168" s="22" t="n"/>
      <c r="D168" s="22" t="inlineStr">
        <is>
          <t>Carlos</t>
        </is>
      </c>
      <c r="E168" s="22" t="inlineStr">
        <is>
          <t>Oliveira</t>
        </is>
      </c>
      <c r="F168" s="22" t="inlineStr">
        <is>
          <t>Rã</t>
        </is>
      </c>
      <c r="G168" s="23">
        <f>IF(F168&lt;&gt;"",F168,IF(AND(D168="",E168=""),"",TRIM(D168&amp;" "&amp;E168)))</f>
        <v/>
      </c>
      <c r="H168" s="22" t="n"/>
      <c r="I168" s="22" t="inlineStr">
        <is>
          <t>+34 648 574 789</t>
        </is>
      </c>
      <c r="J168" s="22" t="inlineStr">
        <is>
          <t>Florencia-Italia</t>
        </is>
      </c>
      <c r="K168" s="22" t="inlineStr">
        <is>
          <t>Professor Tatu</t>
        </is>
      </c>
      <c r="L168" s="22" t="inlineStr">
        <is>
          <t>Laranja/Azul</t>
        </is>
      </c>
      <c r="M168" s="22" t="inlineStr">
        <is>
          <t>Masculino</t>
        </is>
      </c>
      <c r="N168" s="78" t="n">
        <v>25301</v>
      </c>
      <c r="O168" s="23">
        <f>IF(N168="","",DATEDIF(N168,TODAY(),"Y"))</f>
        <v/>
      </c>
      <c r="P168" s="23">
        <f>IF(O168="","",IF(O168&lt;=11,"Infantil",IF(O168&lt;=17,"Juvenil",IF(O168&lt;=44,"Adulto","Baobá"))))</f>
        <v/>
      </c>
      <c r="Q168" s="23">
        <f>IF(P168&lt;&gt;"Adulto","",IF(OR(L168="Marrom",L168="Marrom/Vermelha"),"A",IF(OR(L168="Roxa",L168="Roxa/Marrom"),"B",IF(OR(L168="Verde",L168="Verde/Roxa"),"C",IF(OR(L168="Azul",L168="Azul/Verde"),"D",IF(OR(L168="Laranja",L168="Laranja/Azul"),"E",IF(Y168="Sí","E","N/A")))))))</f>
        <v/>
      </c>
      <c r="R168" s="23">
        <f>IF(P168&lt;&gt;"Baobá","",IF(OR(L168="Laranja",L168="Laranja/Azul"),"Alumnos",IF(Y168="Sí","Alumnos","Graduados+")))</f>
        <v/>
      </c>
      <c r="S168" s="23">
        <f>IF(P168="","",IF(P168="Adulto",IF(OR(Q168="",Q168="N/A"),"⚠ Corda no compite Adulto",P168&amp;"-"&amp;Q168&amp;" · "&amp;M168),IF(P168="Baobá",IF(R168="","⚠ Sin clasificar Baobá",P168&amp;"-"&amp;R168&amp;" · "&amp;M168),IF(P168="Juvenil",IF(AND(OR(L168="Crua",L168="Crua/Amarela"),Y168&lt;&gt;"Sí"),"⚠ Juvenil necesita Amarela+",P168&amp;" · "&amp;M168),P168&amp;" · "&amp;M168))))</f>
        <v/>
      </c>
      <c r="T168" s="23" t="n"/>
      <c r="U168" s="22" t="inlineStr">
        <is>
          <t>Sí</t>
        </is>
      </c>
      <c r="V168" s="22" t="n"/>
      <c r="W168" s="22" t="n"/>
      <c r="X168" s="22" t="n"/>
      <c r="Y168" s="22" t="inlineStr">
        <is>
          <t>No</t>
        </is>
      </c>
      <c r="Z168" s="22" t="inlineStr">
        <is>
          <t>L</t>
        </is>
      </c>
      <c r="AA168" s="22" t="n">
        <v>35</v>
      </c>
      <c r="AB168" s="22" t="inlineStr">
        <is>
          <t>Pagado</t>
        </is>
      </c>
      <c r="AC168" s="22" t="n"/>
      <c r="AD168" s="23">
        <f>IF(D168&lt;&gt;"","P"&amp;TEXT(ROW()-4,"0000"),"")</f>
        <v/>
      </c>
    </row>
    <row r="169" ht="14.25" customHeight="1" s="72">
      <c r="A169" s="22" t="inlineStr">
        <is>
          <t>2025-09-12 10:17:12</t>
        </is>
      </c>
      <c r="B169" s="22" t="n"/>
      <c r="C169" s="22" t="n"/>
      <c r="D169" s="22" t="inlineStr">
        <is>
          <t>Matteo</t>
        </is>
      </c>
      <c r="E169" s="22" t="inlineStr">
        <is>
          <t>Nascimento</t>
        </is>
      </c>
      <c r="F169" s="22" t="inlineStr">
        <is>
          <t>Siri</t>
        </is>
      </c>
      <c r="G169" s="23">
        <f>IF(F169&lt;&gt;"",F169,IF(AND(D169="",E169=""),"",TRIM(D169&amp;" "&amp;E169)))</f>
        <v/>
      </c>
      <c r="H169" s="22" t="n"/>
      <c r="I169" s="22" t="inlineStr">
        <is>
          <t>+34 614 928 776</t>
        </is>
      </c>
      <c r="J169" s="22" t="inlineStr">
        <is>
          <t>Milán-Italia</t>
        </is>
      </c>
      <c r="K169" s="22" t="inlineStr">
        <is>
          <t>Professor Lobo</t>
        </is>
      </c>
      <c r="L169" s="22" t="inlineStr">
        <is>
          <t>Laranja/Azul</t>
        </is>
      </c>
      <c r="M169" s="22" t="inlineStr">
        <is>
          <t>Masculino</t>
        </is>
      </c>
      <c r="N169" s="78" t="n">
        <v>29683</v>
      </c>
      <c r="O169" s="23">
        <f>IF(N169="","",DATEDIF(N169,TODAY(),"Y"))</f>
        <v/>
      </c>
      <c r="P169" s="23">
        <f>IF(O169="","",IF(O169&lt;=11,"Infantil",IF(O169&lt;=17,"Juvenil",IF(O169&lt;=44,"Adulto","Baobá"))))</f>
        <v/>
      </c>
      <c r="Q169" s="23">
        <f>IF(P169&lt;&gt;"Adulto","",IF(OR(L169="Marrom",L169="Marrom/Vermelha"),"A",IF(OR(L169="Roxa",L169="Roxa/Marrom"),"B",IF(OR(L169="Verde",L169="Verde/Roxa"),"C",IF(OR(L169="Azul",L169="Azul/Verde"),"D",IF(OR(L169="Laranja",L169="Laranja/Azul"),"E",IF(Y169="Sí","E","N/A")))))))</f>
        <v/>
      </c>
      <c r="R169" s="23">
        <f>IF(P169&lt;&gt;"Baobá","",IF(OR(L169="Laranja",L169="Laranja/Azul"),"Alumnos",IF(Y169="Sí","Alumnos","Graduados+")))</f>
        <v/>
      </c>
      <c r="S169" s="23">
        <f>IF(P169="","",IF(P169="Adulto",IF(OR(Q169="",Q169="N/A"),"⚠ Corda no compite Adulto",P169&amp;"-"&amp;Q169&amp;" · "&amp;M169),IF(P169="Baobá",IF(R169="","⚠ Sin clasificar Baobá",P169&amp;"-"&amp;R169&amp;" · "&amp;M169),IF(P169="Juvenil",IF(AND(OR(L169="Crua",L169="Crua/Amarela"),Y169&lt;&gt;"Sí"),"⚠ Juvenil necesita Amarela+",P169&amp;" · "&amp;M169),P169&amp;" · "&amp;M169))))</f>
        <v/>
      </c>
      <c r="T169" s="23" t="n"/>
      <c r="U169" s="22" t="inlineStr">
        <is>
          <t>Sí</t>
        </is>
      </c>
      <c r="V169" s="22" t="n"/>
      <c r="W169" s="22" t="n"/>
      <c r="X169" s="22" t="n"/>
      <c r="Y169" s="22" t="inlineStr">
        <is>
          <t>No</t>
        </is>
      </c>
      <c r="Z169" s="22" t="inlineStr">
        <is>
          <t>XL</t>
        </is>
      </c>
      <c r="AA169" s="22" t="n">
        <v>35</v>
      </c>
      <c r="AB169" s="22" t="inlineStr">
        <is>
          <t>Pagado</t>
        </is>
      </c>
      <c r="AC169" s="22" t="n"/>
      <c r="AD169" s="23">
        <f>IF(D169&lt;&gt;"","P"&amp;TEXT(ROW()-4,"0000"),"")</f>
        <v/>
      </c>
    </row>
    <row r="170" ht="14.25" customHeight="1" s="72">
      <c r="A170" s="22" t="inlineStr">
        <is>
          <t>2025-08-04 17:02:28</t>
        </is>
      </c>
      <c r="B170" s="22" t="n"/>
      <c r="C170" s="22" t="n"/>
      <c r="D170" s="22" t="inlineStr">
        <is>
          <t>Nicolas</t>
        </is>
      </c>
      <c r="E170" s="22" t="inlineStr">
        <is>
          <t>Ferreira</t>
        </is>
      </c>
      <c r="F170" s="22" t="inlineStr">
        <is>
          <t>Lobo</t>
        </is>
      </c>
      <c r="G170" s="23">
        <f>IF(F170&lt;&gt;"",F170,IF(AND(D170="",E170=""),"",TRIM(D170&amp;" "&amp;E170)))</f>
        <v/>
      </c>
      <c r="H170" s="22" t="n"/>
      <c r="I170" s="22" t="inlineStr">
        <is>
          <t>+34 641 858 145</t>
        </is>
      </c>
      <c r="J170" s="22" t="inlineStr">
        <is>
          <t>Roma-Italia</t>
        </is>
      </c>
      <c r="K170" s="22" t="inlineStr">
        <is>
          <t>Mestre Puma</t>
        </is>
      </c>
      <c r="L170" s="22" t="inlineStr">
        <is>
          <t>Laranja/Azul</t>
        </is>
      </c>
      <c r="M170" s="22" t="inlineStr">
        <is>
          <t>Masculino</t>
        </is>
      </c>
      <c r="N170" s="78" t="n">
        <v>27279</v>
      </c>
      <c r="O170" s="23">
        <f>IF(N170="","",DATEDIF(N170,TODAY(),"Y"))</f>
        <v/>
      </c>
      <c r="P170" s="23">
        <f>IF(O170="","",IF(O170&lt;=11,"Infantil",IF(O170&lt;=17,"Juvenil",IF(O170&lt;=44,"Adulto","Baobá"))))</f>
        <v/>
      </c>
      <c r="Q170" s="23">
        <f>IF(P170&lt;&gt;"Adulto","",IF(OR(L170="Marrom",L170="Marrom/Vermelha"),"A",IF(OR(L170="Roxa",L170="Roxa/Marrom"),"B",IF(OR(L170="Verde",L170="Verde/Roxa"),"C",IF(OR(L170="Azul",L170="Azul/Verde"),"D",IF(OR(L170="Laranja",L170="Laranja/Azul"),"E",IF(Y170="Sí","E","N/A")))))))</f>
        <v/>
      </c>
      <c r="R170" s="23">
        <f>IF(P170&lt;&gt;"Baobá","",IF(OR(L170="Laranja",L170="Laranja/Azul"),"Alumnos",IF(Y170="Sí","Alumnos","Graduados+")))</f>
        <v/>
      </c>
      <c r="S170" s="23">
        <f>IF(P170="","",IF(P170="Adulto",IF(OR(Q170="",Q170="N/A"),"⚠ Corda no compite Adulto",P170&amp;"-"&amp;Q170&amp;" · "&amp;M170),IF(P170="Baobá",IF(R170="","⚠ Sin clasificar Baobá",P170&amp;"-"&amp;R170&amp;" · "&amp;M170),IF(P170="Juvenil",IF(AND(OR(L170="Crua",L170="Crua/Amarela"),Y170&lt;&gt;"Sí"),"⚠ Juvenil necesita Amarela+",P170&amp;" · "&amp;M170),P170&amp;" · "&amp;M170))))</f>
        <v/>
      </c>
      <c r="T170" s="23" t="n"/>
      <c r="U170" s="22" t="inlineStr">
        <is>
          <t>Sí</t>
        </is>
      </c>
      <c r="V170" s="22" t="n"/>
      <c r="W170" s="22" t="n"/>
      <c r="X170" s="22" t="n"/>
      <c r="Y170" s="22" t="inlineStr">
        <is>
          <t>No</t>
        </is>
      </c>
      <c r="Z170" s="22" t="inlineStr">
        <is>
          <t>XXL</t>
        </is>
      </c>
      <c r="AA170" s="22" t="n">
        <v>35</v>
      </c>
      <c r="AB170" s="22" t="inlineStr">
        <is>
          <t>Pagado</t>
        </is>
      </c>
      <c r="AC170" s="22" t="n"/>
      <c r="AD170" s="23">
        <f>IF(D170&lt;&gt;"","P"&amp;TEXT(ROW()-4,"0000"),"")</f>
        <v/>
      </c>
    </row>
    <row r="171" ht="14.25" customHeight="1" s="72">
      <c r="A171" s="22" t="inlineStr">
        <is>
          <t>2025-08-05 16:18:14</t>
        </is>
      </c>
      <c r="B171" s="22" t="n"/>
      <c r="C171" s="22" t="n"/>
      <c r="D171" s="22" t="inlineStr">
        <is>
          <t>Matteo</t>
        </is>
      </c>
      <c r="E171" s="22" t="inlineStr">
        <is>
          <t>Rossi</t>
        </is>
      </c>
      <c r="F171" s="22" t="inlineStr">
        <is>
          <t>Lagarto</t>
        </is>
      </c>
      <c r="G171" s="23">
        <f>IF(F171&lt;&gt;"",F171,IF(AND(D171="",E171=""),"",TRIM(D171&amp;" "&amp;E171)))</f>
        <v/>
      </c>
      <c r="H171" s="22" t="n"/>
      <c r="I171" s="22" t="inlineStr">
        <is>
          <t>+34 683 712 891</t>
        </is>
      </c>
      <c r="J171" s="22" t="inlineStr">
        <is>
          <t>Lyon-Francia</t>
        </is>
      </c>
      <c r="K171" s="22" t="inlineStr">
        <is>
          <t>Mestre Onça</t>
        </is>
      </c>
      <c r="L171" s="22" t="inlineStr">
        <is>
          <t>Laranja/Azul</t>
        </is>
      </c>
      <c r="M171" s="22" t="inlineStr">
        <is>
          <t>Masculino</t>
        </is>
      </c>
      <c r="N171" s="78" t="n">
        <v>26380</v>
      </c>
      <c r="O171" s="23">
        <f>IF(N171="","",DATEDIF(N171,TODAY(),"Y"))</f>
        <v/>
      </c>
      <c r="P171" s="23">
        <f>IF(O171="","",IF(O171&lt;=11,"Infantil",IF(O171&lt;=17,"Juvenil",IF(O171&lt;=44,"Adulto","Baobá"))))</f>
        <v/>
      </c>
      <c r="Q171" s="23">
        <f>IF(P171&lt;&gt;"Adulto","",IF(OR(L171="Marrom",L171="Marrom/Vermelha"),"A",IF(OR(L171="Roxa",L171="Roxa/Marrom"),"B",IF(OR(L171="Verde",L171="Verde/Roxa"),"C",IF(OR(L171="Azul",L171="Azul/Verde"),"D",IF(OR(L171="Laranja",L171="Laranja/Azul"),"E",IF(Y171="Sí","E","N/A")))))))</f>
        <v/>
      </c>
      <c r="R171" s="23">
        <f>IF(P171&lt;&gt;"Baobá","",IF(OR(L171="Laranja",L171="Laranja/Azul"),"Alumnos",IF(Y171="Sí","Alumnos","Graduados+")))</f>
        <v/>
      </c>
      <c r="S171" s="23">
        <f>IF(P171="","",IF(P171="Adulto",IF(OR(Q171="",Q171="N/A"),"⚠ Corda no compite Adulto",P171&amp;"-"&amp;Q171&amp;" · "&amp;M171),IF(P171="Baobá",IF(R171="","⚠ Sin clasificar Baobá",P171&amp;"-"&amp;R171&amp;" · "&amp;M171),IF(P171="Juvenil",IF(AND(OR(L171="Crua",L171="Crua/Amarela"),Y171&lt;&gt;"Sí"),"⚠ Juvenil necesita Amarela+",P171&amp;" · "&amp;M171),P171&amp;" · "&amp;M171))))</f>
        <v/>
      </c>
      <c r="T171" s="23" t="n"/>
      <c r="U171" s="22" t="inlineStr">
        <is>
          <t>Sí</t>
        </is>
      </c>
      <c r="V171" s="22" t="n"/>
      <c r="W171" s="22" t="n"/>
      <c r="X171" s="22" t="n"/>
      <c r="Y171" s="22" t="inlineStr">
        <is>
          <t>No</t>
        </is>
      </c>
      <c r="Z171" s="22" t="inlineStr">
        <is>
          <t>XS</t>
        </is>
      </c>
      <c r="AA171" s="22" t="n">
        <v>35</v>
      </c>
      <c r="AB171" s="22" t="inlineStr">
        <is>
          <t>Pagado</t>
        </is>
      </c>
      <c r="AC171" s="22" t="n"/>
      <c r="AD171" s="23">
        <f>IF(D171&lt;&gt;"","P"&amp;TEXT(ROW()-4,"0000"),"")</f>
        <v/>
      </c>
    </row>
    <row r="172" ht="14.25" customHeight="1" s="72">
      <c r="A172" s="22" t="inlineStr">
        <is>
          <t>2025-10-08 14:19:17</t>
        </is>
      </c>
      <c r="B172" s="22" t="n"/>
      <c r="C172" s="22" t="n"/>
      <c r="D172" s="22" t="inlineStr">
        <is>
          <t>Pedro</t>
        </is>
      </c>
      <c r="E172" s="22" t="inlineStr">
        <is>
          <t>Martínez</t>
        </is>
      </c>
      <c r="F172" s="22" t="inlineStr">
        <is>
          <t>Tatuzinho</t>
        </is>
      </c>
      <c r="G172" s="23">
        <f>IF(F172&lt;&gt;"",F172,IF(AND(D172="",E172=""),"",TRIM(D172&amp;" "&amp;E172)))</f>
        <v/>
      </c>
      <c r="H172" s="22" t="n"/>
      <c r="I172" s="22" t="inlineStr">
        <is>
          <t>+34 690 795 537</t>
        </is>
      </c>
      <c r="J172" s="22" t="inlineStr">
        <is>
          <t>Bogotá-Colombia</t>
        </is>
      </c>
      <c r="K172" s="22" t="inlineStr">
        <is>
          <t>Mestre Pastinha</t>
        </is>
      </c>
      <c r="L172" s="22" t="inlineStr">
        <is>
          <t>Laranja</t>
        </is>
      </c>
      <c r="M172" s="22" t="inlineStr">
        <is>
          <t>Masculino</t>
        </is>
      </c>
      <c r="N172" s="78" t="n">
        <v>25894</v>
      </c>
      <c r="O172" s="23">
        <f>IF(N172="","",DATEDIF(N172,TODAY(),"Y"))</f>
        <v/>
      </c>
      <c r="P172" s="23">
        <f>IF(O172="","",IF(O172&lt;=11,"Infantil",IF(O172&lt;=17,"Juvenil",IF(O172&lt;=44,"Adulto","Baobá"))))</f>
        <v/>
      </c>
      <c r="Q172" s="23">
        <f>IF(P172&lt;&gt;"Adulto","",IF(OR(L172="Marrom",L172="Marrom/Vermelha"),"A",IF(OR(L172="Roxa",L172="Roxa/Marrom"),"B",IF(OR(L172="Verde",L172="Verde/Roxa"),"C",IF(OR(L172="Azul",L172="Azul/Verde"),"D",IF(OR(L172="Laranja",L172="Laranja/Azul"),"E",IF(Y172="Sí","E","N/A")))))))</f>
        <v/>
      </c>
      <c r="R172" s="23">
        <f>IF(P172&lt;&gt;"Baobá","",IF(OR(L172="Laranja",L172="Laranja/Azul"),"Alumnos",IF(Y172="Sí","Alumnos","Graduados+")))</f>
        <v/>
      </c>
      <c r="S172" s="23">
        <f>IF(P172="","",IF(P172="Adulto",IF(OR(Q172="",Q172="N/A"),"⚠ Corda no compite Adulto",P172&amp;"-"&amp;Q172&amp;" · "&amp;M172),IF(P172="Baobá",IF(R172="","⚠ Sin clasificar Baobá",P172&amp;"-"&amp;R172&amp;" · "&amp;M172),IF(P172="Juvenil",IF(AND(OR(L172="Crua",L172="Crua/Amarela"),Y172&lt;&gt;"Sí"),"⚠ Juvenil necesita Amarela+",P172&amp;" · "&amp;M172),P172&amp;" · "&amp;M172))))</f>
        <v/>
      </c>
      <c r="T172" s="23" t="n"/>
      <c r="U172" s="22" t="inlineStr">
        <is>
          <t>Sí</t>
        </is>
      </c>
      <c r="V172" s="22" t="n"/>
      <c r="W172" s="22" t="n"/>
      <c r="X172" s="22" t="n"/>
      <c r="Y172" s="22" t="inlineStr">
        <is>
          <t>No</t>
        </is>
      </c>
      <c r="Z172" s="22" t="inlineStr">
        <is>
          <t>S</t>
        </is>
      </c>
      <c r="AA172" s="22" t="n">
        <v>35</v>
      </c>
      <c r="AB172" s="22" t="inlineStr">
        <is>
          <t>Pagado</t>
        </is>
      </c>
      <c r="AC172" s="22" t="n"/>
      <c r="AD172" s="23">
        <f>IF(D172&lt;&gt;"","P"&amp;TEXT(ROW()-4,"0000"),"")</f>
        <v/>
      </c>
    </row>
    <row r="173" ht="14.25" customHeight="1" s="72">
      <c r="A173" s="22" t="inlineStr">
        <is>
          <t>2025-09-26 16:20:44</t>
        </is>
      </c>
      <c r="B173" s="22" t="n"/>
      <c r="C173" s="22" t="n"/>
      <c r="D173" s="22" t="inlineStr">
        <is>
          <t>Daniel</t>
        </is>
      </c>
      <c r="E173" s="22" t="inlineStr">
        <is>
          <t>Bernard</t>
        </is>
      </c>
      <c r="F173" s="22" t="inlineStr">
        <is>
          <t>Urubu</t>
        </is>
      </c>
      <c r="G173" s="23">
        <f>IF(F173&lt;&gt;"",F173,IF(AND(D173="",E173=""),"",TRIM(D173&amp;" "&amp;E173)))</f>
        <v/>
      </c>
      <c r="H173" s="22" t="n"/>
      <c r="I173" s="22" t="inlineStr">
        <is>
          <t>+34 629 407 485</t>
        </is>
      </c>
      <c r="J173" s="22" t="inlineStr">
        <is>
          <t>Barcelona-España</t>
        </is>
      </c>
      <c r="K173" s="22" t="inlineStr">
        <is>
          <t>Professor Tatu</t>
        </is>
      </c>
      <c r="L173" s="22" t="inlineStr">
        <is>
          <t>Azul</t>
        </is>
      </c>
      <c r="M173" s="22" t="inlineStr">
        <is>
          <t>Masculino</t>
        </is>
      </c>
      <c r="N173" s="78" t="n">
        <v>24225</v>
      </c>
      <c r="O173" s="23">
        <f>IF(N173="","",DATEDIF(N173,TODAY(),"Y"))</f>
        <v/>
      </c>
      <c r="P173" s="23">
        <f>IF(O173="","",IF(O173&lt;=11,"Infantil",IF(O173&lt;=17,"Juvenil",IF(O173&lt;=44,"Adulto","Baobá"))))</f>
        <v/>
      </c>
      <c r="Q173" s="23">
        <f>IF(P173&lt;&gt;"Adulto","",IF(OR(L173="Marrom",L173="Marrom/Vermelha"),"A",IF(OR(L173="Roxa",L173="Roxa/Marrom"),"B",IF(OR(L173="Verde",L173="Verde/Roxa"),"C",IF(OR(L173="Azul",L173="Azul/Verde"),"D",IF(OR(L173="Laranja",L173="Laranja/Azul"),"E",IF(Y173="Sí","E","N/A")))))))</f>
        <v/>
      </c>
      <c r="R173" s="23">
        <f>IF(P173&lt;&gt;"Baobá","",IF(OR(L173="Laranja",L173="Laranja/Azul"),"Alumnos",IF(Y173="Sí","Alumnos","Graduados+")))</f>
        <v/>
      </c>
      <c r="S173" s="23">
        <f>IF(P173="","",IF(P173="Adulto",IF(OR(Q173="",Q173="N/A"),"⚠ Corda no compite Adulto",P173&amp;"-"&amp;Q173&amp;" · "&amp;M173),IF(P173="Baobá",IF(R173="","⚠ Sin clasificar Baobá",P173&amp;"-"&amp;R173&amp;" · "&amp;M173),IF(P173="Juvenil",IF(AND(OR(L173="Crua",L173="Crua/Amarela"),Y173&lt;&gt;"Sí"),"⚠ Juvenil necesita Amarela+",P173&amp;" · "&amp;M173),P173&amp;" · "&amp;M173))))</f>
        <v/>
      </c>
      <c r="T173" s="23" t="n"/>
      <c r="U173" s="22" t="inlineStr">
        <is>
          <t>Sí</t>
        </is>
      </c>
      <c r="V173" s="22" t="n"/>
      <c r="W173" s="22" t="n"/>
      <c r="X173" s="22" t="n"/>
      <c r="Y173" s="22" t="inlineStr">
        <is>
          <t>No</t>
        </is>
      </c>
      <c r="Z173" s="22" t="inlineStr">
        <is>
          <t>M</t>
        </is>
      </c>
      <c r="AA173" s="22" t="n">
        <v>35</v>
      </c>
      <c r="AB173" s="22" t="inlineStr">
        <is>
          <t>Pagado</t>
        </is>
      </c>
      <c r="AC173" s="22" t="n"/>
      <c r="AD173" s="23">
        <f>IF(D173&lt;&gt;"","P"&amp;TEXT(ROW()-4,"0000"),"")</f>
        <v/>
      </c>
    </row>
    <row r="174" ht="14.25" customHeight="1" s="72">
      <c r="A174" s="22" t="inlineStr">
        <is>
          <t>2025-08-10 21:45:09</t>
        </is>
      </c>
      <c r="B174" s="22" t="n"/>
      <c r="C174" s="22" t="n"/>
      <c r="D174" s="22" t="inlineStr">
        <is>
          <t>Caio</t>
        </is>
      </c>
      <c r="E174" s="22" t="inlineStr">
        <is>
          <t>Alves</t>
        </is>
      </c>
      <c r="F174" s="22" t="inlineStr">
        <is>
          <t>Mutum</t>
        </is>
      </c>
      <c r="G174" s="23">
        <f>IF(F174&lt;&gt;"",F174,IF(AND(D174="",E174=""),"",TRIM(D174&amp;" "&amp;E174)))</f>
        <v/>
      </c>
      <c r="H174" s="22" t="n"/>
      <c r="I174" s="22" t="inlineStr">
        <is>
          <t>+34 681 522 526</t>
        </is>
      </c>
      <c r="J174" s="22" t="inlineStr">
        <is>
          <t>Brasília-Brasil</t>
        </is>
      </c>
      <c r="K174" s="22" t="inlineStr">
        <is>
          <t>Mestre Sucuri</t>
        </is>
      </c>
      <c r="L174" s="22" t="inlineStr">
        <is>
          <t>Verde</t>
        </is>
      </c>
      <c r="M174" s="22" t="inlineStr">
        <is>
          <t>Masculino</t>
        </is>
      </c>
      <c r="N174" s="78" t="n">
        <v>27156</v>
      </c>
      <c r="O174" s="23">
        <f>IF(N174="","",DATEDIF(N174,TODAY(),"Y"))</f>
        <v/>
      </c>
      <c r="P174" s="23">
        <f>IF(O174="","",IF(O174&lt;=11,"Infantil",IF(O174&lt;=17,"Juvenil",IF(O174&lt;=44,"Adulto","Baobá"))))</f>
        <v/>
      </c>
      <c r="Q174" s="23">
        <f>IF(P174&lt;&gt;"Adulto","",IF(OR(L174="Marrom",L174="Marrom/Vermelha"),"A",IF(OR(L174="Roxa",L174="Roxa/Marrom"),"B",IF(OR(L174="Verde",L174="Verde/Roxa"),"C",IF(OR(L174="Azul",L174="Azul/Verde"),"D",IF(OR(L174="Laranja",L174="Laranja/Azul"),"E",IF(Y174="Sí","E","N/A")))))))</f>
        <v/>
      </c>
      <c r="R174" s="23">
        <f>IF(P174&lt;&gt;"Baobá","",IF(OR(L174="Laranja",L174="Laranja/Azul"),"Alumnos",IF(Y174="Sí","Alumnos","Graduados+")))</f>
        <v/>
      </c>
      <c r="S174" s="23">
        <f>IF(P174="","",IF(P174="Adulto",IF(OR(Q174="",Q174="N/A"),"⚠ Corda no compite Adulto",P174&amp;"-"&amp;Q174&amp;" · "&amp;M174),IF(P174="Baobá",IF(R174="","⚠ Sin clasificar Baobá",P174&amp;"-"&amp;R174&amp;" · "&amp;M174),IF(P174="Juvenil",IF(AND(OR(L174="Crua",L174="Crua/Amarela"),Y174&lt;&gt;"Sí"),"⚠ Juvenil necesita Amarela+",P174&amp;" · "&amp;M174),P174&amp;" · "&amp;M174))))</f>
        <v/>
      </c>
      <c r="T174" s="23" t="n"/>
      <c r="U174" s="22" t="inlineStr">
        <is>
          <t>Sí</t>
        </is>
      </c>
      <c r="V174" s="22" t="n"/>
      <c r="W174" s="22" t="n"/>
      <c r="X174" s="22" t="n"/>
      <c r="Y174" s="22" t="inlineStr">
        <is>
          <t>No</t>
        </is>
      </c>
      <c r="Z174" s="22" t="inlineStr">
        <is>
          <t>L</t>
        </is>
      </c>
      <c r="AA174" s="22" t="n">
        <v>35</v>
      </c>
      <c r="AB174" s="22" t="inlineStr">
        <is>
          <t>Pagado</t>
        </is>
      </c>
      <c r="AC174" s="22" t="n"/>
      <c r="AD174" s="23">
        <f>IF(D174&lt;&gt;"","P"&amp;TEXT(ROW()-4,"0000"),"")</f>
        <v/>
      </c>
    </row>
    <row r="175" ht="14.25" customHeight="1" s="72">
      <c r="A175" s="22" t="inlineStr">
        <is>
          <t>2025-09-21 09:59:28</t>
        </is>
      </c>
      <c r="B175" s="22" t="n"/>
      <c r="C175" s="22" t="n"/>
      <c r="D175" s="22" t="inlineStr">
        <is>
          <t>Leandro</t>
        </is>
      </c>
      <c r="E175" s="22" t="inlineStr">
        <is>
          <t>Martins</t>
        </is>
      </c>
      <c r="F175" s="22" t="inlineStr">
        <is>
          <t>Gato-Maracajá</t>
        </is>
      </c>
      <c r="G175" s="23">
        <f>IF(F175&lt;&gt;"",F175,IF(AND(D175="",E175=""),"",TRIM(D175&amp;" "&amp;E175)))</f>
        <v/>
      </c>
      <c r="H175" s="22" t="n"/>
      <c r="I175" s="22" t="inlineStr">
        <is>
          <t>+34 678 841 949</t>
        </is>
      </c>
      <c r="J175" s="22" t="inlineStr">
        <is>
          <t>Bilbao-España</t>
        </is>
      </c>
      <c r="K175" s="22" t="inlineStr">
        <is>
          <t>Mestre Pastinha</t>
        </is>
      </c>
      <c r="L175" s="22" t="inlineStr">
        <is>
          <t>Marrom</t>
        </is>
      </c>
      <c r="M175" s="22" t="inlineStr">
        <is>
          <t>Masculino</t>
        </is>
      </c>
      <c r="N175" s="78" t="n">
        <v>26867</v>
      </c>
      <c r="O175" s="23">
        <f>IF(N175="","",DATEDIF(N175,TODAY(),"Y"))</f>
        <v/>
      </c>
      <c r="P175" s="23">
        <f>IF(O175="","",IF(O175&lt;=11,"Infantil",IF(O175&lt;=17,"Juvenil",IF(O175&lt;=44,"Adulto","Baobá"))))</f>
        <v/>
      </c>
      <c r="Q175" s="23">
        <f>IF(P175&lt;&gt;"Adulto","",IF(OR(L175="Marrom",L175="Marrom/Vermelha"),"A",IF(OR(L175="Roxa",L175="Roxa/Marrom"),"B",IF(OR(L175="Verde",L175="Verde/Roxa"),"C",IF(OR(L175="Azul",L175="Azul/Verde"),"D",IF(OR(L175="Laranja",L175="Laranja/Azul"),"E",IF(Y175="Sí","E","N/A")))))))</f>
        <v/>
      </c>
      <c r="R175" s="23">
        <f>IF(P175&lt;&gt;"Baobá","",IF(OR(L175="Laranja",L175="Laranja/Azul"),"Alumnos",IF(Y175="Sí","Alumnos","Graduados+")))</f>
        <v/>
      </c>
      <c r="S175" s="23">
        <f>IF(P175="","",IF(P175="Adulto",IF(OR(Q175="",Q175="N/A"),"⚠ Corda no compite Adulto",P175&amp;"-"&amp;Q175&amp;" · "&amp;M175),IF(P175="Baobá",IF(R175="","⚠ Sin clasificar Baobá",P175&amp;"-"&amp;R175&amp;" · "&amp;M175),IF(P175="Juvenil",IF(AND(OR(L175="Crua",L175="Crua/Amarela"),Y175&lt;&gt;"Sí"),"⚠ Juvenil necesita Amarela+",P175&amp;" · "&amp;M175),P175&amp;" · "&amp;M175))))</f>
        <v/>
      </c>
      <c r="T175" s="23" t="n"/>
      <c r="U175" s="22" t="inlineStr">
        <is>
          <t>Sí</t>
        </is>
      </c>
      <c r="V175" s="22" t="n"/>
      <c r="W175" s="22" t="n"/>
      <c r="X175" s="22" t="n"/>
      <c r="Y175" s="22" t="inlineStr">
        <is>
          <t>No</t>
        </is>
      </c>
      <c r="Z175" s="22" t="inlineStr">
        <is>
          <t>XL</t>
        </is>
      </c>
      <c r="AA175" s="22" t="n">
        <v>35</v>
      </c>
      <c r="AB175" s="22" t="inlineStr">
        <is>
          <t>Pagado</t>
        </is>
      </c>
      <c r="AC175" s="22" t="n"/>
      <c r="AD175" s="23">
        <f>IF(D175&lt;&gt;"","P"&amp;TEXT(ROW()-4,"0000"),"")</f>
        <v/>
      </c>
    </row>
    <row r="176" ht="14.25" customHeight="1" s="72">
      <c r="A176" s="22" t="inlineStr">
        <is>
          <t>2025-10-20 08:55:04</t>
        </is>
      </c>
      <c r="B176" s="22" t="n"/>
      <c r="C176" s="22" t="n"/>
      <c r="D176" s="22" t="inlineStr">
        <is>
          <t>Andres</t>
        </is>
      </c>
      <c r="E176" s="22" t="inlineStr">
        <is>
          <t>Moreno</t>
        </is>
      </c>
      <c r="F176" s="22" t="inlineStr">
        <is>
          <t>Jacaré</t>
        </is>
      </c>
      <c r="G176" s="23">
        <f>IF(F176&lt;&gt;"",F176,IF(AND(D176="",E176=""),"",TRIM(D176&amp;" "&amp;E176)))</f>
        <v/>
      </c>
      <c r="H176" s="22" t="n"/>
      <c r="I176" s="22" t="inlineStr">
        <is>
          <t>+34 671 313 990</t>
        </is>
      </c>
      <c r="J176" s="22" t="inlineStr">
        <is>
          <t>Marseille-Francia</t>
        </is>
      </c>
      <c r="K176" s="22" t="inlineStr">
        <is>
          <t>Mestre Coruja</t>
        </is>
      </c>
      <c r="L176" s="22" t="inlineStr">
        <is>
          <t>Roxa</t>
        </is>
      </c>
      <c r="M176" s="22" t="inlineStr">
        <is>
          <t>Masculino</t>
        </is>
      </c>
      <c r="N176" s="78" t="n">
        <v>29683</v>
      </c>
      <c r="O176" s="23">
        <f>IF(N176="","",DATEDIF(N176,TODAY(),"Y"))</f>
        <v/>
      </c>
      <c r="P176" s="23">
        <f>IF(O176="","",IF(O176&lt;=11,"Infantil",IF(O176&lt;=17,"Juvenil",IF(O176&lt;=44,"Adulto","Baobá"))))</f>
        <v/>
      </c>
      <c r="Q176" s="23">
        <f>IF(P176&lt;&gt;"Adulto","",IF(OR(L176="Marrom",L176="Marrom/Vermelha"),"A",IF(OR(L176="Roxa",L176="Roxa/Marrom"),"B",IF(OR(L176="Verde",L176="Verde/Roxa"),"C",IF(OR(L176="Azul",L176="Azul/Verde"),"D",IF(OR(L176="Laranja",L176="Laranja/Azul"),"E",IF(Y176="Sí","E","N/A")))))))</f>
        <v/>
      </c>
      <c r="R176" s="23">
        <f>IF(P176&lt;&gt;"Baobá","",IF(OR(L176="Laranja",L176="Laranja/Azul"),"Alumnos",IF(Y176="Sí","Alumnos","Graduados+")))</f>
        <v/>
      </c>
      <c r="S176" s="23">
        <f>IF(P176="","",IF(P176="Adulto",IF(OR(Q176="",Q176="N/A"),"⚠ Corda no compite Adulto",P176&amp;"-"&amp;Q176&amp;" · "&amp;M176),IF(P176="Baobá",IF(R176="","⚠ Sin clasificar Baobá",P176&amp;"-"&amp;R176&amp;" · "&amp;M176),IF(P176="Juvenil",IF(AND(OR(L176="Crua",L176="Crua/Amarela"),Y176&lt;&gt;"Sí"),"⚠ Juvenil necesita Amarela+",P176&amp;" · "&amp;M176),P176&amp;" · "&amp;M176))))</f>
        <v/>
      </c>
      <c r="T176" s="23" t="n"/>
      <c r="U176" s="22" t="inlineStr">
        <is>
          <t>Sí</t>
        </is>
      </c>
      <c r="V176" s="22" t="n"/>
      <c r="W176" s="22" t="n"/>
      <c r="X176" s="22" t="n"/>
      <c r="Y176" s="22" t="inlineStr">
        <is>
          <t>No</t>
        </is>
      </c>
      <c r="Z176" s="22" t="inlineStr">
        <is>
          <t>XXL</t>
        </is>
      </c>
      <c r="AA176" s="22" t="n">
        <v>35</v>
      </c>
      <c r="AB176" s="22" t="inlineStr">
        <is>
          <t>Pagado</t>
        </is>
      </c>
      <c r="AC176" s="22" t="n"/>
      <c r="AD176" s="23">
        <f>IF(D176&lt;&gt;"","P"&amp;TEXT(ROW()-4,"0000"),"")</f>
        <v/>
      </c>
    </row>
    <row r="177" ht="14.25" customHeight="1" s="72">
      <c r="A177" s="22" t="inlineStr">
        <is>
          <t>2025-10-04 19:48:30</t>
        </is>
      </c>
      <c r="B177" s="22" t="n"/>
      <c r="C177" s="22" t="n"/>
      <c r="D177" s="22" t="inlineStr">
        <is>
          <t>Miguel</t>
        </is>
      </c>
      <c r="E177" s="22" t="inlineStr">
        <is>
          <t>Díaz</t>
        </is>
      </c>
      <c r="F177" s="22" t="inlineStr">
        <is>
          <t>Cobra</t>
        </is>
      </c>
      <c r="G177" s="23">
        <f>IF(F177&lt;&gt;"",F177,IF(AND(D177="",E177=""),"",TRIM(D177&amp;" "&amp;E177)))</f>
        <v/>
      </c>
      <c r="H177" s="22" t="n"/>
      <c r="I177" s="22" t="inlineStr">
        <is>
          <t>+34 660 345 665</t>
        </is>
      </c>
      <c r="J177" s="22" t="inlineStr">
        <is>
          <t>Lyon-Francia</t>
        </is>
      </c>
      <c r="K177" s="22" t="inlineStr">
        <is>
          <t>Mestre Coruja</t>
        </is>
      </c>
      <c r="L177" s="22" t="inlineStr">
        <is>
          <t>Verde</t>
        </is>
      </c>
      <c r="M177" s="22" t="inlineStr">
        <is>
          <t>Masculino</t>
        </is>
      </c>
      <c r="N177" s="78" t="n">
        <v>25433</v>
      </c>
      <c r="O177" s="23">
        <f>IF(N177="","",DATEDIF(N177,TODAY(),"Y"))</f>
        <v/>
      </c>
      <c r="P177" s="23">
        <f>IF(O177="","",IF(O177&lt;=11,"Infantil",IF(O177&lt;=17,"Juvenil",IF(O177&lt;=44,"Adulto","Baobá"))))</f>
        <v/>
      </c>
      <c r="Q177" s="23">
        <f>IF(P177&lt;&gt;"Adulto","",IF(OR(L177="Marrom",L177="Marrom/Vermelha"),"A",IF(OR(L177="Roxa",L177="Roxa/Marrom"),"B",IF(OR(L177="Verde",L177="Verde/Roxa"),"C",IF(OR(L177="Azul",L177="Azul/Verde"),"D",IF(OR(L177="Laranja",L177="Laranja/Azul"),"E",IF(Y177="Sí","E","N/A")))))))</f>
        <v/>
      </c>
      <c r="R177" s="23">
        <f>IF(P177&lt;&gt;"Baobá","",IF(OR(L177="Laranja",L177="Laranja/Azul"),"Alumnos",IF(Y177="Sí","Alumnos","Graduados+")))</f>
        <v/>
      </c>
      <c r="S177" s="23">
        <f>IF(P177="","",IF(P177="Adulto",IF(OR(Q177="",Q177="N/A"),"⚠ Corda no compite Adulto",P177&amp;"-"&amp;Q177&amp;" · "&amp;M177),IF(P177="Baobá",IF(R177="","⚠ Sin clasificar Baobá",P177&amp;"-"&amp;R177&amp;" · "&amp;M177),IF(P177="Juvenil",IF(AND(OR(L177="Crua",L177="Crua/Amarela"),Y177&lt;&gt;"Sí"),"⚠ Juvenil necesita Amarela+",P177&amp;" · "&amp;M177),P177&amp;" · "&amp;M177))))</f>
        <v/>
      </c>
      <c r="T177" s="23" t="n"/>
      <c r="U177" s="22" t="inlineStr">
        <is>
          <t>Sí</t>
        </is>
      </c>
      <c r="V177" s="22" t="n"/>
      <c r="W177" s="22" t="n"/>
      <c r="X177" s="22" t="n"/>
      <c r="Y177" s="22" t="inlineStr">
        <is>
          <t>No</t>
        </is>
      </c>
      <c r="Z177" s="22" t="inlineStr">
        <is>
          <t>XS</t>
        </is>
      </c>
      <c r="AA177" s="22" t="n">
        <v>35</v>
      </c>
      <c r="AB177" s="22" t="inlineStr">
        <is>
          <t>Pagado</t>
        </is>
      </c>
      <c r="AC177" s="22" t="n"/>
      <c r="AD177" s="23">
        <f>IF(D177&lt;&gt;"","P"&amp;TEXT(ROW()-4,"0000"),"")</f>
        <v/>
      </c>
    </row>
    <row r="178" ht="14.25" customHeight="1" s="72">
      <c r="A178" s="22" t="inlineStr">
        <is>
          <t>2025-10-12 12:16:23</t>
        </is>
      </c>
      <c r="B178" s="22" t="n"/>
      <c r="C178" s="22" t="n"/>
      <c r="D178" s="22" t="inlineStr">
        <is>
          <t>Jorge</t>
        </is>
      </c>
      <c r="E178" s="22" t="inlineStr">
        <is>
          <t>Sousa</t>
        </is>
      </c>
      <c r="F178" s="22" t="inlineStr">
        <is>
          <t>Jabuti</t>
        </is>
      </c>
      <c r="G178" s="23">
        <f>IF(F178&lt;&gt;"",F178,IF(AND(D178="",E178=""),"",TRIM(D178&amp;" "&amp;E178)))</f>
        <v/>
      </c>
      <c r="H178" s="22" t="n"/>
      <c r="I178" s="22" t="inlineStr">
        <is>
          <t>+34 669 200 922</t>
        </is>
      </c>
      <c r="J178" s="22" t="inlineStr">
        <is>
          <t>Santiago-Chile</t>
        </is>
      </c>
      <c r="K178" s="22" t="inlineStr">
        <is>
          <t>Professor Borboleta</t>
        </is>
      </c>
      <c r="L178" s="22" t="inlineStr">
        <is>
          <t>Verde</t>
        </is>
      </c>
      <c r="M178" s="22" t="inlineStr">
        <is>
          <t>Masculino</t>
        </is>
      </c>
      <c r="N178" s="78" t="n">
        <v>27556</v>
      </c>
      <c r="O178" s="23">
        <f>IF(N178="","",DATEDIF(N178,TODAY(),"Y"))</f>
        <v/>
      </c>
      <c r="P178" s="23">
        <f>IF(O178="","",IF(O178&lt;=11,"Infantil",IF(O178&lt;=17,"Juvenil",IF(O178&lt;=44,"Adulto","Baobá"))))</f>
        <v/>
      </c>
      <c r="Q178" s="23">
        <f>IF(P178&lt;&gt;"Adulto","",IF(OR(L178="Marrom",L178="Marrom/Vermelha"),"A",IF(OR(L178="Roxa",L178="Roxa/Marrom"),"B",IF(OR(L178="Verde",L178="Verde/Roxa"),"C",IF(OR(L178="Azul",L178="Azul/Verde"),"D",IF(OR(L178="Laranja",L178="Laranja/Azul"),"E",IF(Y178="Sí","E","N/A")))))))</f>
        <v/>
      </c>
      <c r="R178" s="23">
        <f>IF(P178&lt;&gt;"Baobá","",IF(OR(L178="Laranja",L178="Laranja/Azul"),"Alumnos",IF(Y178="Sí","Alumnos","Graduados+")))</f>
        <v/>
      </c>
      <c r="S178" s="23">
        <f>IF(P178="","",IF(P178="Adulto",IF(OR(Q178="",Q178="N/A"),"⚠ Corda no compite Adulto",P178&amp;"-"&amp;Q178&amp;" · "&amp;M178),IF(P178="Baobá",IF(R178="","⚠ Sin clasificar Baobá",P178&amp;"-"&amp;R178&amp;" · "&amp;M178),IF(P178="Juvenil",IF(AND(OR(L178="Crua",L178="Crua/Amarela"),Y178&lt;&gt;"Sí"),"⚠ Juvenil necesita Amarela+",P178&amp;" · "&amp;M178),P178&amp;" · "&amp;M178))))</f>
        <v/>
      </c>
      <c r="T178" s="23" t="n"/>
      <c r="U178" s="22" t="inlineStr">
        <is>
          <t>Sí</t>
        </is>
      </c>
      <c r="V178" s="22" t="n"/>
      <c r="W178" s="22" t="n"/>
      <c r="X178" s="22" t="n"/>
      <c r="Y178" s="22" t="inlineStr">
        <is>
          <t>No</t>
        </is>
      </c>
      <c r="Z178" s="22" t="inlineStr">
        <is>
          <t>S</t>
        </is>
      </c>
      <c r="AA178" s="22" t="n">
        <v>35</v>
      </c>
      <c r="AB178" s="22" t="inlineStr">
        <is>
          <t>Pagado</t>
        </is>
      </c>
      <c r="AC178" s="22" t="n"/>
      <c r="AD178" s="23">
        <f>IF(D178&lt;&gt;"","P"&amp;TEXT(ROW()-4,"0000"),"")</f>
        <v/>
      </c>
    </row>
    <row r="179" ht="14.25" customHeight="1" s="72">
      <c r="A179" s="22" t="inlineStr">
        <is>
          <t>2025-09-02 17:55:14</t>
        </is>
      </c>
      <c r="B179" s="22" t="n"/>
      <c r="C179" s="22" t="n"/>
      <c r="D179" s="22" t="inlineStr">
        <is>
          <t>Luca</t>
        </is>
      </c>
      <c r="E179" s="22" t="inlineStr">
        <is>
          <t>Cardoso</t>
        </is>
      </c>
      <c r="F179" s="22" t="inlineStr">
        <is>
          <t>Salamandra</t>
        </is>
      </c>
      <c r="G179" s="23">
        <f>IF(F179&lt;&gt;"",F179,IF(AND(D179="",E179=""),"",TRIM(D179&amp;" "&amp;E179)))</f>
        <v/>
      </c>
      <c r="H179" s="22" t="n"/>
      <c r="I179" s="22" t="inlineStr">
        <is>
          <t>+34 612 367 666</t>
        </is>
      </c>
      <c r="J179" s="22" t="inlineStr">
        <is>
          <t>Milán-Italia</t>
        </is>
      </c>
      <c r="K179" s="22" t="inlineStr">
        <is>
          <t>Mestre Coruja</t>
        </is>
      </c>
      <c r="L179" s="22" t="inlineStr">
        <is>
          <t>Verde</t>
        </is>
      </c>
      <c r="M179" s="22" t="inlineStr">
        <is>
          <t>Masculino</t>
        </is>
      </c>
      <c r="N179" s="78" t="n">
        <v>28226</v>
      </c>
      <c r="O179" s="23">
        <f>IF(N179="","",DATEDIF(N179,TODAY(),"Y"))</f>
        <v/>
      </c>
      <c r="P179" s="23">
        <f>IF(O179="","",IF(O179&lt;=11,"Infantil",IF(O179&lt;=17,"Juvenil",IF(O179&lt;=44,"Adulto","Baobá"))))</f>
        <v/>
      </c>
      <c r="Q179" s="23">
        <f>IF(P179&lt;&gt;"Adulto","",IF(OR(L179="Marrom",L179="Marrom/Vermelha"),"A",IF(OR(L179="Roxa",L179="Roxa/Marrom"),"B",IF(OR(L179="Verde",L179="Verde/Roxa"),"C",IF(OR(L179="Azul",L179="Azul/Verde"),"D",IF(OR(L179="Laranja",L179="Laranja/Azul"),"E",IF(Y179="Sí","E","N/A")))))))</f>
        <v/>
      </c>
      <c r="R179" s="23">
        <f>IF(P179&lt;&gt;"Baobá","",IF(OR(L179="Laranja",L179="Laranja/Azul"),"Alumnos",IF(Y179="Sí","Alumnos","Graduados+")))</f>
        <v/>
      </c>
      <c r="S179" s="23">
        <f>IF(P179="","",IF(P179="Adulto",IF(OR(Q179="",Q179="N/A"),"⚠ Corda no compite Adulto",P179&amp;"-"&amp;Q179&amp;" · "&amp;M179),IF(P179="Baobá",IF(R179="","⚠ Sin clasificar Baobá",P179&amp;"-"&amp;R179&amp;" · "&amp;M179),IF(P179="Juvenil",IF(AND(OR(L179="Crua",L179="Crua/Amarela"),Y179&lt;&gt;"Sí"),"⚠ Juvenil necesita Amarela+",P179&amp;" · "&amp;M179),P179&amp;" · "&amp;M179))))</f>
        <v/>
      </c>
      <c r="T179" s="23" t="n"/>
      <c r="U179" s="22" t="inlineStr">
        <is>
          <t>Sí</t>
        </is>
      </c>
      <c r="V179" s="22" t="n"/>
      <c r="W179" s="22" t="n"/>
      <c r="X179" s="22" t="n"/>
      <c r="Y179" s="22" t="inlineStr">
        <is>
          <t>No</t>
        </is>
      </c>
      <c r="Z179" s="22" t="inlineStr">
        <is>
          <t>M</t>
        </is>
      </c>
      <c r="AA179" s="22" t="n">
        <v>35</v>
      </c>
      <c r="AB179" s="22" t="inlineStr">
        <is>
          <t>Pagado</t>
        </is>
      </c>
      <c r="AC179" s="22" t="n"/>
      <c r="AD179" s="23">
        <f>IF(D179&lt;&gt;"","P"&amp;TEXT(ROW()-4,"0000"),"")</f>
        <v/>
      </c>
    </row>
    <row r="180" ht="14.25" customHeight="1" s="72">
      <c r="A180" s="22" t="inlineStr">
        <is>
          <t>2025-08-13 17:53:15</t>
        </is>
      </c>
      <c r="B180" s="22" t="n"/>
      <c r="C180" s="22" t="n"/>
      <c r="D180" s="22" t="inlineStr">
        <is>
          <t>Paulo</t>
        </is>
      </c>
      <c r="E180" s="22" t="inlineStr">
        <is>
          <t>Esposito</t>
        </is>
      </c>
      <c r="F180" s="22" t="inlineStr">
        <is>
          <t>Tubarão</t>
        </is>
      </c>
      <c r="G180" s="23">
        <f>IF(F180&lt;&gt;"",F180,IF(AND(D180="",E180=""),"",TRIM(D180&amp;" "&amp;E180)))</f>
        <v/>
      </c>
      <c r="H180" s="22" t="n"/>
      <c r="I180" s="22" t="inlineStr">
        <is>
          <t>+34 642 881 941</t>
        </is>
      </c>
      <c r="J180" s="22" t="inlineStr">
        <is>
          <t>Bogotá-Colombia</t>
        </is>
      </c>
      <c r="K180" s="22" t="inlineStr">
        <is>
          <t>Mestre Tartaruga</t>
        </is>
      </c>
      <c r="L180" s="22" t="inlineStr">
        <is>
          <t>Azul</t>
        </is>
      </c>
      <c r="M180" s="22" t="inlineStr">
        <is>
          <t>Masculino</t>
        </is>
      </c>
      <c r="N180" s="78" t="n">
        <v>24555</v>
      </c>
      <c r="O180" s="23">
        <f>IF(N180="","",DATEDIF(N180,TODAY(),"Y"))</f>
        <v/>
      </c>
      <c r="P180" s="23">
        <f>IF(O180="","",IF(O180&lt;=11,"Infantil",IF(O180&lt;=17,"Juvenil",IF(O180&lt;=44,"Adulto","Baobá"))))</f>
        <v/>
      </c>
      <c r="Q180" s="23">
        <f>IF(P180&lt;&gt;"Adulto","",IF(OR(L180="Marrom",L180="Marrom/Vermelha"),"A",IF(OR(L180="Roxa",L180="Roxa/Marrom"),"B",IF(OR(L180="Verde",L180="Verde/Roxa"),"C",IF(OR(L180="Azul",L180="Azul/Verde"),"D",IF(OR(L180="Laranja",L180="Laranja/Azul"),"E",IF(Y180="Sí","E","N/A")))))))</f>
        <v/>
      </c>
      <c r="R180" s="23">
        <f>IF(P180&lt;&gt;"Baobá","",IF(OR(L180="Laranja",L180="Laranja/Azul"),"Alumnos",IF(Y180="Sí","Alumnos","Graduados+")))</f>
        <v/>
      </c>
      <c r="S180" s="23">
        <f>IF(P180="","",IF(P180="Adulto",IF(OR(Q180="",Q180="N/A"),"⚠ Corda no compite Adulto",P180&amp;"-"&amp;Q180&amp;" · "&amp;M180),IF(P180="Baobá",IF(R180="","⚠ Sin clasificar Baobá",P180&amp;"-"&amp;R180&amp;" · "&amp;M180),IF(P180="Juvenil",IF(AND(OR(L180="Crua",L180="Crua/Amarela"),Y180&lt;&gt;"Sí"),"⚠ Juvenil necesita Amarela+",P180&amp;" · "&amp;M180),P180&amp;" · "&amp;M180))))</f>
        <v/>
      </c>
      <c r="T180" s="23" t="n"/>
      <c r="U180" s="22" t="inlineStr">
        <is>
          <t>Sí</t>
        </is>
      </c>
      <c r="V180" s="22" t="n"/>
      <c r="W180" s="22" t="n"/>
      <c r="X180" s="22" t="n"/>
      <c r="Y180" s="22" t="inlineStr">
        <is>
          <t>No</t>
        </is>
      </c>
      <c r="Z180" s="22" t="inlineStr">
        <is>
          <t>L</t>
        </is>
      </c>
      <c r="AA180" s="22" t="n">
        <v>35</v>
      </c>
      <c r="AB180" s="22" t="inlineStr">
        <is>
          <t>Pagado</t>
        </is>
      </c>
      <c r="AC180" s="22" t="n"/>
      <c r="AD180" s="23">
        <f>IF(D180&lt;&gt;"","P"&amp;TEXT(ROW()-4,"0000"),"")</f>
        <v/>
      </c>
    </row>
    <row r="181" ht="14.25" customHeight="1" s="72">
      <c r="A181" s="22" t="inlineStr">
        <is>
          <t>2025-09-06 10:46:34</t>
        </is>
      </c>
      <c r="B181" s="22" t="n"/>
      <c r="C181" s="22" t="n"/>
      <c r="D181" s="22" t="inlineStr">
        <is>
          <t>Céline</t>
        </is>
      </c>
      <c r="E181" s="22" t="inlineStr">
        <is>
          <t>Sánchez</t>
        </is>
      </c>
      <c r="F181" s="22" t="inlineStr">
        <is>
          <t>Grilo</t>
        </is>
      </c>
      <c r="G181" s="23">
        <f>IF(F181&lt;&gt;"",F181,IF(AND(D181="",E181=""),"",TRIM(D181&amp;" "&amp;E181)))</f>
        <v/>
      </c>
      <c r="H181" s="22" t="n"/>
      <c r="I181" s="22" t="inlineStr">
        <is>
          <t>+34 679 757 160</t>
        </is>
      </c>
      <c r="J181" s="22" t="inlineStr">
        <is>
          <t>Salvador-Brasil</t>
        </is>
      </c>
      <c r="K181" s="22" t="inlineStr">
        <is>
          <t>Contra-Mestre Falcão</t>
        </is>
      </c>
      <c r="L181" s="22" t="inlineStr">
        <is>
          <t>Laranja</t>
        </is>
      </c>
      <c r="M181" s="22" t="inlineStr">
        <is>
          <t>Femenino</t>
        </is>
      </c>
      <c r="N181" s="78" t="n">
        <v>29234</v>
      </c>
      <c r="O181" s="23">
        <f>IF(N181="","",DATEDIF(N181,TODAY(),"Y"))</f>
        <v/>
      </c>
      <c r="P181" s="23">
        <f>IF(O181="","",IF(O181&lt;=11,"Infantil",IF(O181&lt;=17,"Juvenil",IF(O181&lt;=44,"Adulto","Baobá"))))</f>
        <v/>
      </c>
      <c r="Q181" s="23">
        <f>IF(P181&lt;&gt;"Adulto","",IF(OR(L181="Marrom",L181="Marrom/Vermelha"),"A",IF(OR(L181="Roxa",L181="Roxa/Marrom"),"B",IF(OR(L181="Verde",L181="Verde/Roxa"),"C",IF(OR(L181="Azul",L181="Azul/Verde"),"D",IF(OR(L181="Laranja",L181="Laranja/Azul"),"E",IF(Y181="Sí","E","N/A")))))))</f>
        <v/>
      </c>
      <c r="R181" s="23">
        <f>IF(P181&lt;&gt;"Baobá","",IF(OR(L181="Laranja",L181="Laranja/Azul"),"Alumnos",IF(Y181="Sí","Alumnos","Graduados+")))</f>
        <v/>
      </c>
      <c r="S181" s="23">
        <f>IF(P181="","",IF(P181="Adulto",IF(OR(Q181="",Q181="N/A"),"⚠ Corda no compite Adulto",P181&amp;"-"&amp;Q181&amp;" · "&amp;M181),IF(P181="Baobá",IF(R181="","⚠ Sin clasificar Baobá",P181&amp;"-"&amp;R181&amp;" · "&amp;M181),IF(P181="Juvenil",IF(AND(OR(L181="Crua",L181="Crua/Amarela"),Y181&lt;&gt;"Sí"),"⚠ Juvenil necesita Amarela+",P181&amp;" · "&amp;M181),P181&amp;" · "&amp;M181))))</f>
        <v/>
      </c>
      <c r="T181" s="23" t="n"/>
      <c r="U181" s="22" t="inlineStr">
        <is>
          <t>Sí</t>
        </is>
      </c>
      <c r="V181" s="22" t="n"/>
      <c r="W181" s="22" t="n"/>
      <c r="X181" s="22" t="n"/>
      <c r="Y181" s="22" t="inlineStr">
        <is>
          <t>No</t>
        </is>
      </c>
      <c r="Z181" s="22" t="inlineStr">
        <is>
          <t>XL</t>
        </is>
      </c>
      <c r="AA181" s="22" t="n">
        <v>35</v>
      </c>
      <c r="AB181" s="22" t="inlineStr">
        <is>
          <t>Pagado</t>
        </is>
      </c>
      <c r="AC181" s="22" t="n"/>
      <c r="AD181" s="23">
        <f>IF(D181&lt;&gt;"","P"&amp;TEXT(ROW()-4,"0000"),"")</f>
        <v/>
      </c>
    </row>
    <row r="182" ht="14.25" customHeight="1" s="72">
      <c r="A182" s="22" t="inlineStr">
        <is>
          <t>2025-08-27 18:14:04</t>
        </is>
      </c>
      <c r="B182" s="22" t="n"/>
      <c r="C182" s="22" t="n"/>
      <c r="D182" s="22" t="inlineStr">
        <is>
          <t>Fátima</t>
        </is>
      </c>
      <c r="E182" s="22" t="inlineStr">
        <is>
          <t>Machado</t>
        </is>
      </c>
      <c r="F182" s="22" t="inlineStr">
        <is>
          <t>Baiacu</t>
        </is>
      </c>
      <c r="G182" s="23">
        <f>IF(F182&lt;&gt;"",F182,IF(AND(D182="",E182=""),"",TRIM(D182&amp;" "&amp;E182)))</f>
        <v/>
      </c>
      <c r="H182" s="22" t="n"/>
      <c r="I182" s="22" t="inlineStr">
        <is>
          <t>+34 611 323 617</t>
        </is>
      </c>
      <c r="J182" s="22" t="inlineStr">
        <is>
          <t>Montevideo-Uruguay</t>
        </is>
      </c>
      <c r="K182" s="22" t="inlineStr">
        <is>
          <t>Contra-Mestre Jabuti</t>
        </is>
      </c>
      <c r="L182" s="22" t="inlineStr">
        <is>
          <t>Laranja</t>
        </is>
      </c>
      <c r="M182" s="22" t="inlineStr">
        <is>
          <t>Femenino</t>
        </is>
      </c>
      <c r="N182" s="78" t="n">
        <v>29515</v>
      </c>
      <c r="O182" s="23">
        <f>IF(N182="","",DATEDIF(N182,TODAY(),"Y"))</f>
        <v/>
      </c>
      <c r="P182" s="23">
        <f>IF(O182="","",IF(O182&lt;=11,"Infantil",IF(O182&lt;=17,"Juvenil",IF(O182&lt;=44,"Adulto","Baobá"))))</f>
        <v/>
      </c>
      <c r="Q182" s="23">
        <f>IF(P182&lt;&gt;"Adulto","",IF(OR(L182="Marrom",L182="Marrom/Vermelha"),"A",IF(OR(L182="Roxa",L182="Roxa/Marrom"),"B",IF(OR(L182="Verde",L182="Verde/Roxa"),"C",IF(OR(L182="Azul",L182="Azul/Verde"),"D",IF(OR(L182="Laranja",L182="Laranja/Azul"),"E",IF(Y182="Sí","E","N/A")))))))</f>
        <v/>
      </c>
      <c r="R182" s="23">
        <f>IF(P182&lt;&gt;"Baobá","",IF(OR(L182="Laranja",L182="Laranja/Azul"),"Alumnos",IF(Y182="Sí","Alumnos","Graduados+")))</f>
        <v/>
      </c>
      <c r="S182" s="23">
        <f>IF(P182="","",IF(P182="Adulto",IF(OR(Q182="",Q182="N/A"),"⚠ Corda no compite Adulto",P182&amp;"-"&amp;Q182&amp;" · "&amp;M182),IF(P182="Baobá",IF(R182="","⚠ Sin clasificar Baobá",P182&amp;"-"&amp;R182&amp;" · "&amp;M182),IF(P182="Juvenil",IF(AND(OR(L182="Crua",L182="Crua/Amarela"),Y182&lt;&gt;"Sí"),"⚠ Juvenil necesita Amarela+",P182&amp;" · "&amp;M182),P182&amp;" · "&amp;M182))))</f>
        <v/>
      </c>
      <c r="T182" s="23" t="n"/>
      <c r="U182" s="22" t="inlineStr">
        <is>
          <t>Sí</t>
        </is>
      </c>
      <c r="V182" s="22" t="n"/>
      <c r="W182" s="22" t="n"/>
      <c r="X182" s="22" t="n"/>
      <c r="Y182" s="22" t="inlineStr">
        <is>
          <t>No</t>
        </is>
      </c>
      <c r="Z182" s="22" t="inlineStr">
        <is>
          <t>XXL</t>
        </is>
      </c>
      <c r="AA182" s="22" t="n">
        <v>35</v>
      </c>
      <c r="AB182" s="22" t="inlineStr">
        <is>
          <t>Pagado</t>
        </is>
      </c>
      <c r="AC182" s="22" t="n"/>
      <c r="AD182" s="23">
        <f>IF(D182&lt;&gt;"","P"&amp;TEXT(ROW()-4,"0000"),"")</f>
        <v/>
      </c>
    </row>
    <row r="183" ht="14.25" customHeight="1" s="72">
      <c r="A183" s="22" t="inlineStr">
        <is>
          <t>2025-10-20 22:30:42</t>
        </is>
      </c>
      <c r="B183" s="22" t="n"/>
      <c r="C183" s="22" t="n"/>
      <c r="D183" s="22" t="inlineStr">
        <is>
          <t>Céline</t>
        </is>
      </c>
      <c r="E183" s="22" t="inlineStr">
        <is>
          <t>Oliveira</t>
        </is>
      </c>
      <c r="F183" s="22" t="inlineStr">
        <is>
          <t>Cigarra</t>
        </is>
      </c>
      <c r="G183" s="23">
        <f>IF(F183&lt;&gt;"",F183,IF(AND(D183="",E183=""),"",TRIM(D183&amp;" "&amp;E183)))</f>
        <v/>
      </c>
      <c r="H183" s="22" t="n"/>
      <c r="I183" s="22" t="inlineStr">
        <is>
          <t>+34 610 644 664</t>
        </is>
      </c>
      <c r="J183" s="22" t="inlineStr">
        <is>
          <t>Milán-Italia</t>
        </is>
      </c>
      <c r="K183" s="22" t="inlineStr">
        <is>
          <t>Mestre Bimba</t>
        </is>
      </c>
      <c r="L183" s="22" t="inlineStr">
        <is>
          <t>Laranja/Azul</t>
        </is>
      </c>
      <c r="M183" s="22" t="inlineStr">
        <is>
          <t>Femenino</t>
        </is>
      </c>
      <c r="N183" s="78" t="n">
        <v>29853</v>
      </c>
      <c r="O183" s="23">
        <f>IF(N183="","",DATEDIF(N183,TODAY(),"Y"))</f>
        <v/>
      </c>
      <c r="P183" s="23">
        <f>IF(O183="","",IF(O183&lt;=11,"Infantil",IF(O183&lt;=17,"Juvenil",IF(O183&lt;=44,"Adulto","Baobá"))))</f>
        <v/>
      </c>
      <c r="Q183" s="23">
        <f>IF(P183&lt;&gt;"Adulto","",IF(OR(L183="Marrom",L183="Marrom/Vermelha"),"A",IF(OR(L183="Roxa",L183="Roxa/Marrom"),"B",IF(OR(L183="Verde",L183="Verde/Roxa"),"C",IF(OR(L183="Azul",L183="Azul/Verde"),"D",IF(OR(L183="Laranja",L183="Laranja/Azul"),"E",IF(Y183="Sí","E","N/A")))))))</f>
        <v/>
      </c>
      <c r="R183" s="23">
        <f>IF(P183&lt;&gt;"Baobá","",IF(OR(L183="Laranja",L183="Laranja/Azul"),"Alumnos",IF(Y183="Sí","Alumnos","Graduados+")))</f>
        <v/>
      </c>
      <c r="S183" s="23">
        <f>IF(P183="","",IF(P183="Adulto",IF(OR(Q183="",Q183="N/A"),"⚠ Corda no compite Adulto",P183&amp;"-"&amp;Q183&amp;" · "&amp;M183),IF(P183="Baobá",IF(R183="","⚠ Sin clasificar Baobá",P183&amp;"-"&amp;R183&amp;" · "&amp;M183),IF(P183="Juvenil",IF(AND(OR(L183="Crua",L183="Crua/Amarela"),Y183&lt;&gt;"Sí"),"⚠ Juvenil necesita Amarela+",P183&amp;" · "&amp;M183),P183&amp;" · "&amp;M183))))</f>
        <v/>
      </c>
      <c r="T183" s="23" t="n"/>
      <c r="U183" s="22" t="inlineStr">
        <is>
          <t>Sí</t>
        </is>
      </c>
      <c r="V183" s="22" t="n"/>
      <c r="W183" s="22" t="n"/>
      <c r="X183" s="22" t="n"/>
      <c r="Y183" s="22" t="inlineStr">
        <is>
          <t>No</t>
        </is>
      </c>
      <c r="Z183" s="22" t="inlineStr">
        <is>
          <t>XS</t>
        </is>
      </c>
      <c r="AA183" s="22" t="n">
        <v>35</v>
      </c>
      <c r="AB183" s="22" t="inlineStr">
        <is>
          <t>Pagado</t>
        </is>
      </c>
      <c r="AC183" s="22" t="n"/>
      <c r="AD183" s="23">
        <f>IF(D183&lt;&gt;"","P"&amp;TEXT(ROW()-4,"0000"),"")</f>
        <v/>
      </c>
    </row>
    <row r="184" ht="14.25" customHeight="1" s="72">
      <c r="A184" s="22" t="inlineStr">
        <is>
          <t>2025-09-18 12:01:32</t>
        </is>
      </c>
      <c r="B184" s="22" t="n"/>
      <c r="C184" s="22" t="n"/>
      <c r="D184" s="22" t="inlineStr">
        <is>
          <t>Aisha</t>
        </is>
      </c>
      <c r="E184" s="22" t="inlineStr">
        <is>
          <t>Richard</t>
        </is>
      </c>
      <c r="F184" s="22" t="inlineStr">
        <is>
          <t>Pomba</t>
        </is>
      </c>
      <c r="G184" s="23">
        <f>IF(F184&lt;&gt;"",F184,IF(AND(D184="",E184=""),"",TRIM(D184&amp;" "&amp;E184)))</f>
        <v/>
      </c>
      <c r="H184" s="22" t="n"/>
      <c r="I184" s="22" t="inlineStr">
        <is>
          <t>+34 632 209 198</t>
        </is>
      </c>
      <c r="J184" s="22" t="inlineStr">
        <is>
          <t>Manaus-Brasil</t>
        </is>
      </c>
      <c r="K184" s="22" t="inlineStr">
        <is>
          <t>Mestre Onça</t>
        </is>
      </c>
      <c r="L184" s="22" t="inlineStr">
        <is>
          <t>Laranja/Azul</t>
        </is>
      </c>
      <c r="M184" s="22" t="inlineStr">
        <is>
          <t>Femenino</t>
        </is>
      </c>
      <c r="N184" s="78" t="n">
        <v>27684</v>
      </c>
      <c r="O184" s="23">
        <f>IF(N184="","",DATEDIF(N184,TODAY(),"Y"))</f>
        <v/>
      </c>
      <c r="P184" s="23">
        <f>IF(O184="","",IF(O184&lt;=11,"Infantil",IF(O184&lt;=17,"Juvenil",IF(O184&lt;=44,"Adulto","Baobá"))))</f>
        <v/>
      </c>
      <c r="Q184" s="23">
        <f>IF(P184&lt;&gt;"Adulto","",IF(OR(L184="Marrom",L184="Marrom/Vermelha"),"A",IF(OR(L184="Roxa",L184="Roxa/Marrom"),"B",IF(OR(L184="Verde",L184="Verde/Roxa"),"C",IF(OR(L184="Azul",L184="Azul/Verde"),"D",IF(OR(L184="Laranja",L184="Laranja/Azul"),"E",IF(Y184="Sí","E","N/A")))))))</f>
        <v/>
      </c>
      <c r="R184" s="23">
        <f>IF(P184&lt;&gt;"Baobá","",IF(OR(L184="Laranja",L184="Laranja/Azul"),"Alumnos",IF(Y184="Sí","Alumnos","Graduados+")))</f>
        <v/>
      </c>
      <c r="S184" s="23">
        <f>IF(P184="","",IF(P184="Adulto",IF(OR(Q184="",Q184="N/A"),"⚠ Corda no compite Adulto",P184&amp;"-"&amp;Q184&amp;" · "&amp;M184),IF(P184="Baobá",IF(R184="","⚠ Sin clasificar Baobá",P184&amp;"-"&amp;R184&amp;" · "&amp;M184),IF(P184="Juvenil",IF(AND(OR(L184="Crua",L184="Crua/Amarela"),Y184&lt;&gt;"Sí"),"⚠ Juvenil necesita Amarela+",P184&amp;" · "&amp;M184),P184&amp;" · "&amp;M184))))</f>
        <v/>
      </c>
      <c r="T184" s="23" t="n"/>
      <c r="U184" s="22" t="inlineStr">
        <is>
          <t>Sí</t>
        </is>
      </c>
      <c r="V184" s="22" t="n"/>
      <c r="W184" s="22" t="n"/>
      <c r="X184" s="22" t="n"/>
      <c r="Y184" s="22" t="inlineStr">
        <is>
          <t>No</t>
        </is>
      </c>
      <c r="Z184" s="22" t="inlineStr">
        <is>
          <t>S</t>
        </is>
      </c>
      <c r="AA184" s="22" t="n">
        <v>35</v>
      </c>
      <c r="AB184" s="22" t="inlineStr">
        <is>
          <t>Pagado</t>
        </is>
      </c>
      <c r="AC184" s="22" t="n"/>
      <c r="AD184" s="23">
        <f>IF(D184&lt;&gt;"","P"&amp;TEXT(ROW()-4,"0000"),"")</f>
        <v/>
      </c>
    </row>
    <row r="185" ht="14.25" customHeight="1" s="72">
      <c r="A185" s="22" t="inlineStr">
        <is>
          <t>2025-09-27 13:17:50</t>
        </is>
      </c>
      <c r="B185" s="22" t="n"/>
      <c r="C185" s="22" t="n"/>
      <c r="D185" s="22" t="inlineStr">
        <is>
          <t>Tamara</t>
        </is>
      </c>
      <c r="E185" s="22" t="inlineStr">
        <is>
          <t>Rodrigues</t>
        </is>
      </c>
      <c r="F185" s="22" t="inlineStr">
        <is>
          <t>Urubu-Rei</t>
        </is>
      </c>
      <c r="G185" s="23">
        <f>IF(F185&lt;&gt;"",F185,IF(AND(D185="",E185=""),"",TRIM(D185&amp;" "&amp;E185)))</f>
        <v/>
      </c>
      <c r="H185" s="22" t="n"/>
      <c r="I185" s="22" t="inlineStr">
        <is>
          <t>+34 657 515 570</t>
        </is>
      </c>
      <c r="J185" s="22" t="inlineStr">
        <is>
          <t>Lisboa-Portugal</t>
        </is>
      </c>
      <c r="K185" s="22" t="inlineStr">
        <is>
          <t>Mestre Onça</t>
        </is>
      </c>
      <c r="L185" s="22" t="inlineStr">
        <is>
          <t>Laranja</t>
        </is>
      </c>
      <c r="M185" s="22" t="inlineStr">
        <is>
          <t>Femenino</t>
        </is>
      </c>
      <c r="N185" s="78" t="n">
        <v>26630</v>
      </c>
      <c r="O185" s="23">
        <f>IF(N185="","",DATEDIF(N185,TODAY(),"Y"))</f>
        <v/>
      </c>
      <c r="P185" s="23">
        <f>IF(O185="","",IF(O185&lt;=11,"Infantil",IF(O185&lt;=17,"Juvenil",IF(O185&lt;=44,"Adulto","Baobá"))))</f>
        <v/>
      </c>
      <c r="Q185" s="23">
        <f>IF(P185&lt;&gt;"Adulto","",IF(OR(L185="Marrom",L185="Marrom/Vermelha"),"A",IF(OR(L185="Roxa",L185="Roxa/Marrom"),"B",IF(OR(L185="Verde",L185="Verde/Roxa"),"C",IF(OR(L185="Azul",L185="Azul/Verde"),"D",IF(OR(L185="Laranja",L185="Laranja/Azul"),"E",IF(Y185="Sí","E","N/A")))))))</f>
        <v/>
      </c>
      <c r="R185" s="23">
        <f>IF(P185&lt;&gt;"Baobá","",IF(OR(L185="Laranja",L185="Laranja/Azul"),"Alumnos",IF(Y185="Sí","Alumnos","Graduados+")))</f>
        <v/>
      </c>
      <c r="S185" s="23">
        <f>IF(P185="","",IF(P185="Adulto",IF(OR(Q185="",Q185="N/A"),"⚠ Corda no compite Adulto",P185&amp;"-"&amp;Q185&amp;" · "&amp;M185),IF(P185="Baobá",IF(R185="","⚠ Sin clasificar Baobá",P185&amp;"-"&amp;R185&amp;" · "&amp;M185),IF(P185="Juvenil",IF(AND(OR(L185="Crua",L185="Crua/Amarela"),Y185&lt;&gt;"Sí"),"⚠ Juvenil necesita Amarela+",P185&amp;" · "&amp;M185),P185&amp;" · "&amp;M185))))</f>
        <v/>
      </c>
      <c r="T185" s="23" t="n"/>
      <c r="U185" s="22" t="inlineStr">
        <is>
          <t>Sí</t>
        </is>
      </c>
      <c r="V185" s="22" t="n"/>
      <c r="W185" s="22" t="n"/>
      <c r="X185" s="22" t="n"/>
      <c r="Y185" s="22" t="inlineStr">
        <is>
          <t>No</t>
        </is>
      </c>
      <c r="Z185" s="22" t="inlineStr">
        <is>
          <t>M</t>
        </is>
      </c>
      <c r="AA185" s="22" t="n">
        <v>35</v>
      </c>
      <c r="AB185" s="22" t="inlineStr">
        <is>
          <t>Pagado</t>
        </is>
      </c>
      <c r="AC185" s="22" t="n"/>
      <c r="AD185" s="23">
        <f>IF(D185&lt;&gt;"","P"&amp;TEXT(ROW()-4,"0000"),"")</f>
        <v/>
      </c>
    </row>
    <row r="186" ht="14.25" customHeight="1" s="72">
      <c r="A186" s="22" t="inlineStr">
        <is>
          <t>2025-08-21 21:41:48</t>
        </is>
      </c>
      <c r="B186" s="22" t="n"/>
      <c r="C186" s="22" t="n"/>
      <c r="D186" s="22" t="inlineStr">
        <is>
          <t>Beatriz</t>
        </is>
      </c>
      <c r="E186" s="22" t="inlineStr">
        <is>
          <t>Martins</t>
        </is>
      </c>
      <c r="F186" s="22" t="inlineStr">
        <is>
          <t>Cágado</t>
        </is>
      </c>
      <c r="G186" s="23">
        <f>IF(F186&lt;&gt;"",F186,IF(AND(D186="",E186=""),"",TRIM(D186&amp;" "&amp;E186)))</f>
        <v/>
      </c>
      <c r="H186" s="22" t="n"/>
      <c r="I186" s="22" t="inlineStr">
        <is>
          <t>+34 661 488 486</t>
        </is>
      </c>
      <c r="J186" s="22" t="inlineStr">
        <is>
          <t>Santiago-Chile</t>
        </is>
      </c>
      <c r="K186" s="22" t="inlineStr">
        <is>
          <t>Mestre Pastinha</t>
        </is>
      </c>
      <c r="L186" s="22" t="inlineStr">
        <is>
          <t>Laranja</t>
        </is>
      </c>
      <c r="M186" s="22" t="inlineStr">
        <is>
          <t>Femenino</t>
        </is>
      </c>
      <c r="N186" s="78" t="n">
        <v>22304</v>
      </c>
      <c r="O186" s="23">
        <f>IF(N186="","",DATEDIF(N186,TODAY(),"Y"))</f>
        <v/>
      </c>
      <c r="P186" s="23">
        <f>IF(O186="","",IF(O186&lt;=11,"Infantil",IF(O186&lt;=17,"Juvenil",IF(O186&lt;=44,"Adulto","Baobá"))))</f>
        <v/>
      </c>
      <c r="Q186" s="23">
        <f>IF(P186&lt;&gt;"Adulto","",IF(OR(L186="Marrom",L186="Marrom/Vermelha"),"A",IF(OR(L186="Roxa",L186="Roxa/Marrom"),"B",IF(OR(L186="Verde",L186="Verde/Roxa"),"C",IF(OR(L186="Azul",L186="Azul/Verde"),"D",IF(OR(L186="Laranja",L186="Laranja/Azul"),"E",IF(Y186="Sí","E","N/A")))))))</f>
        <v/>
      </c>
      <c r="R186" s="23">
        <f>IF(P186&lt;&gt;"Baobá","",IF(OR(L186="Laranja",L186="Laranja/Azul"),"Alumnos",IF(Y186="Sí","Alumnos","Graduados+")))</f>
        <v/>
      </c>
      <c r="S186" s="23">
        <f>IF(P186="","",IF(P186="Adulto",IF(OR(Q186="",Q186="N/A"),"⚠ Corda no compite Adulto",P186&amp;"-"&amp;Q186&amp;" · "&amp;M186),IF(P186="Baobá",IF(R186="","⚠ Sin clasificar Baobá",P186&amp;"-"&amp;R186&amp;" · "&amp;M186),IF(P186="Juvenil",IF(AND(OR(L186="Crua",L186="Crua/Amarela"),Y186&lt;&gt;"Sí"),"⚠ Juvenil necesita Amarela+",P186&amp;" · "&amp;M186),P186&amp;" · "&amp;M186))))</f>
        <v/>
      </c>
      <c r="T186" s="23" t="n"/>
      <c r="U186" s="22" t="inlineStr">
        <is>
          <t>Sí</t>
        </is>
      </c>
      <c r="V186" s="22" t="n"/>
      <c r="W186" s="22" t="n"/>
      <c r="X186" s="22" t="n"/>
      <c r="Y186" s="22" t="inlineStr">
        <is>
          <t>No</t>
        </is>
      </c>
      <c r="Z186" s="22" t="inlineStr">
        <is>
          <t>L</t>
        </is>
      </c>
      <c r="AA186" s="22" t="n">
        <v>35</v>
      </c>
      <c r="AB186" s="22" t="inlineStr">
        <is>
          <t>Pagado</t>
        </is>
      </c>
      <c r="AC186" s="22" t="n"/>
      <c r="AD186" s="23">
        <f>IF(D186&lt;&gt;"","P"&amp;TEXT(ROW()-4,"0000"),"")</f>
        <v/>
      </c>
    </row>
    <row r="187" ht="14.25" customHeight="1" s="72">
      <c r="A187" s="22" t="inlineStr">
        <is>
          <t>2025-08-03 15:54:27</t>
        </is>
      </c>
      <c r="B187" s="22" t="n"/>
      <c r="C187" s="22" t="n"/>
      <c r="D187" s="22" t="inlineStr">
        <is>
          <t>Yolanda</t>
        </is>
      </c>
      <c r="E187" s="22" t="inlineStr">
        <is>
          <t>Ferrari</t>
        </is>
      </c>
      <c r="F187" s="22" t="inlineStr">
        <is>
          <t>Aranha</t>
        </is>
      </c>
      <c r="G187" s="23">
        <f>IF(F187&lt;&gt;"",F187,IF(AND(D187="",E187=""),"",TRIM(D187&amp;" "&amp;E187)))</f>
        <v/>
      </c>
      <c r="H187" s="22" t="n"/>
      <c r="I187" s="22" t="inlineStr">
        <is>
          <t>+34 682 978 197</t>
        </is>
      </c>
      <c r="J187" s="22" t="inlineStr">
        <is>
          <t>Salvador-Brasil</t>
        </is>
      </c>
      <c r="K187" s="22" t="inlineStr">
        <is>
          <t>Mestre Onça</t>
        </is>
      </c>
      <c r="L187" s="22" t="inlineStr">
        <is>
          <t>Laranja/Azul</t>
        </is>
      </c>
      <c r="M187" s="22" t="inlineStr">
        <is>
          <t>Femenino</t>
        </is>
      </c>
      <c r="N187" s="78" t="n">
        <v>27747</v>
      </c>
      <c r="O187" s="23">
        <f>IF(N187="","",DATEDIF(N187,TODAY(),"Y"))</f>
        <v/>
      </c>
      <c r="P187" s="23">
        <f>IF(O187="","",IF(O187&lt;=11,"Infantil",IF(O187&lt;=17,"Juvenil",IF(O187&lt;=44,"Adulto","Baobá"))))</f>
        <v/>
      </c>
      <c r="Q187" s="23">
        <f>IF(P187&lt;&gt;"Adulto","",IF(OR(L187="Marrom",L187="Marrom/Vermelha"),"A",IF(OR(L187="Roxa",L187="Roxa/Marrom"),"B",IF(OR(L187="Verde",L187="Verde/Roxa"),"C",IF(OR(L187="Azul",L187="Azul/Verde"),"D",IF(OR(L187="Laranja",L187="Laranja/Azul"),"E",IF(Y187="Sí","E","N/A")))))))</f>
        <v/>
      </c>
      <c r="R187" s="23">
        <f>IF(P187&lt;&gt;"Baobá","",IF(OR(L187="Laranja",L187="Laranja/Azul"),"Alumnos",IF(Y187="Sí","Alumnos","Graduados+")))</f>
        <v/>
      </c>
      <c r="S187" s="23">
        <f>IF(P187="","",IF(P187="Adulto",IF(OR(Q187="",Q187="N/A"),"⚠ Corda no compite Adulto",P187&amp;"-"&amp;Q187&amp;" · "&amp;M187),IF(P187="Baobá",IF(R187="","⚠ Sin clasificar Baobá",P187&amp;"-"&amp;R187&amp;" · "&amp;M187),IF(P187="Juvenil",IF(AND(OR(L187="Crua",L187="Crua/Amarela"),Y187&lt;&gt;"Sí"),"⚠ Juvenil necesita Amarela+",P187&amp;" · "&amp;M187),P187&amp;" · "&amp;M187))))</f>
        <v/>
      </c>
      <c r="T187" s="23" t="n"/>
      <c r="U187" s="22" t="inlineStr">
        <is>
          <t>Sí</t>
        </is>
      </c>
      <c r="V187" s="22" t="n"/>
      <c r="W187" s="22" t="n"/>
      <c r="X187" s="22" t="n"/>
      <c r="Y187" s="22" t="inlineStr">
        <is>
          <t>No</t>
        </is>
      </c>
      <c r="Z187" s="22" t="inlineStr">
        <is>
          <t>XL</t>
        </is>
      </c>
      <c r="AA187" s="22" t="n">
        <v>35</v>
      </c>
      <c r="AB187" s="22" t="inlineStr">
        <is>
          <t>Pagado</t>
        </is>
      </c>
      <c r="AC187" s="22" t="n"/>
      <c r="AD187" s="23">
        <f>IF(D187&lt;&gt;"","P"&amp;TEXT(ROW()-4,"0000"),"")</f>
        <v/>
      </c>
    </row>
    <row r="188" ht="14.25" customHeight="1" s="72">
      <c r="A188" s="22" t="inlineStr">
        <is>
          <t>2025-09-09 08:59:04</t>
        </is>
      </c>
      <c r="B188" s="22" t="n"/>
      <c r="C188" s="22" t="n"/>
      <c r="D188" s="22" t="inlineStr">
        <is>
          <t>Claudia</t>
        </is>
      </c>
      <c r="E188" s="22" t="inlineStr">
        <is>
          <t>Meyer</t>
        </is>
      </c>
      <c r="F188" s="22" t="inlineStr">
        <is>
          <t>Andorinha</t>
        </is>
      </c>
      <c r="G188" s="23">
        <f>IF(F188&lt;&gt;"",F188,IF(AND(D188="",E188=""),"",TRIM(D188&amp;" "&amp;E188)))</f>
        <v/>
      </c>
      <c r="H188" s="22" t="n"/>
      <c r="I188" s="22" t="inlineStr">
        <is>
          <t>+34 679 677 773</t>
        </is>
      </c>
      <c r="J188" s="22" t="inlineStr">
        <is>
          <t>Salvador-Brasil</t>
        </is>
      </c>
      <c r="K188" s="22" t="inlineStr">
        <is>
          <t>Professor Gavião</t>
        </is>
      </c>
      <c r="L188" s="22" t="inlineStr">
        <is>
          <t>Laranja</t>
        </is>
      </c>
      <c r="M188" s="22" t="inlineStr">
        <is>
          <t>Femenino</t>
        </is>
      </c>
      <c r="N188" s="78" t="n">
        <v>25940</v>
      </c>
      <c r="O188" s="23">
        <f>IF(N188="","",DATEDIF(N188,TODAY(),"Y"))</f>
        <v/>
      </c>
      <c r="P188" s="23">
        <f>IF(O188="","",IF(O188&lt;=11,"Infantil",IF(O188&lt;=17,"Juvenil",IF(O188&lt;=44,"Adulto","Baobá"))))</f>
        <v/>
      </c>
      <c r="Q188" s="23">
        <f>IF(P188&lt;&gt;"Adulto","",IF(OR(L188="Marrom",L188="Marrom/Vermelha"),"A",IF(OR(L188="Roxa",L188="Roxa/Marrom"),"B",IF(OR(L188="Verde",L188="Verde/Roxa"),"C",IF(OR(L188="Azul",L188="Azul/Verde"),"D",IF(OR(L188="Laranja",L188="Laranja/Azul"),"E",IF(Y188="Sí","E","N/A")))))))</f>
        <v/>
      </c>
      <c r="R188" s="23">
        <f>IF(P188&lt;&gt;"Baobá","",IF(OR(L188="Laranja",L188="Laranja/Azul"),"Alumnos",IF(Y188="Sí","Alumnos","Graduados+")))</f>
        <v/>
      </c>
      <c r="S188" s="23">
        <f>IF(P188="","",IF(P188="Adulto",IF(OR(Q188="",Q188="N/A"),"⚠ Corda no compite Adulto",P188&amp;"-"&amp;Q188&amp;" · "&amp;M188),IF(P188="Baobá",IF(R188="","⚠ Sin clasificar Baobá",P188&amp;"-"&amp;R188&amp;" · "&amp;M188),IF(P188="Juvenil",IF(AND(OR(L188="Crua",L188="Crua/Amarela"),Y188&lt;&gt;"Sí"),"⚠ Juvenil necesita Amarela+",P188&amp;" · "&amp;M188),P188&amp;" · "&amp;M188))))</f>
        <v/>
      </c>
      <c r="T188" s="23" t="n"/>
      <c r="U188" s="22" t="inlineStr">
        <is>
          <t>Sí</t>
        </is>
      </c>
      <c r="V188" s="22" t="n"/>
      <c r="W188" s="22" t="n"/>
      <c r="X188" s="22" t="n"/>
      <c r="Y188" s="22" t="inlineStr">
        <is>
          <t>No</t>
        </is>
      </c>
      <c r="Z188" s="22" t="inlineStr">
        <is>
          <t>XXL</t>
        </is>
      </c>
      <c r="AA188" s="22" t="n">
        <v>35</v>
      </c>
      <c r="AB188" s="22" t="inlineStr">
        <is>
          <t>Pagado</t>
        </is>
      </c>
      <c r="AC188" s="22" t="n"/>
      <c r="AD188" s="23">
        <f>IF(D188&lt;&gt;"","P"&amp;TEXT(ROW()-4,"0000"),"")</f>
        <v/>
      </c>
    </row>
    <row r="189" ht="14.25" customHeight="1" s="72">
      <c r="A189" s="22" t="inlineStr">
        <is>
          <t>2025-10-05 20:52:45</t>
        </is>
      </c>
      <c r="B189" s="22" t="n"/>
      <c r="C189" s="22" t="n"/>
      <c r="D189" s="22" t="inlineStr">
        <is>
          <t>Tamara</t>
        </is>
      </c>
      <c r="E189" s="22" t="inlineStr">
        <is>
          <t>Lima</t>
        </is>
      </c>
      <c r="F189" s="22" t="inlineStr">
        <is>
          <t>Camarão</t>
        </is>
      </c>
      <c r="G189" s="23">
        <f>IF(F189&lt;&gt;"",F189,IF(AND(D189="",E189=""),"",TRIM(D189&amp;" "&amp;E189)))</f>
        <v/>
      </c>
      <c r="H189" s="22" t="n"/>
      <c r="I189" s="22" t="inlineStr">
        <is>
          <t>+34 648 266 677</t>
        </is>
      </c>
      <c r="J189" s="22" t="inlineStr">
        <is>
          <t>Lisboa-Portugal</t>
        </is>
      </c>
      <c r="K189" s="22" t="inlineStr">
        <is>
          <t>Mestre Urso</t>
        </is>
      </c>
      <c r="L189" s="22" t="inlineStr">
        <is>
          <t>Marrom</t>
        </is>
      </c>
      <c r="M189" s="22" t="inlineStr">
        <is>
          <t>Femenino</t>
        </is>
      </c>
      <c r="N189" s="78" t="n">
        <v>25525</v>
      </c>
      <c r="O189" s="23">
        <f>IF(N189="","",DATEDIF(N189,TODAY(),"Y"))</f>
        <v/>
      </c>
      <c r="P189" s="23">
        <f>IF(O189="","",IF(O189&lt;=11,"Infantil",IF(O189&lt;=17,"Juvenil",IF(O189&lt;=44,"Adulto","Baobá"))))</f>
        <v/>
      </c>
      <c r="Q189" s="23">
        <f>IF(P189&lt;&gt;"Adulto","",IF(OR(L189="Marrom",L189="Marrom/Vermelha"),"A",IF(OR(L189="Roxa",L189="Roxa/Marrom"),"B",IF(OR(L189="Verde",L189="Verde/Roxa"),"C",IF(OR(L189="Azul",L189="Azul/Verde"),"D",IF(OR(L189="Laranja",L189="Laranja/Azul"),"E",IF(Y189="Sí","E","N/A")))))))</f>
        <v/>
      </c>
      <c r="R189" s="23">
        <f>IF(P189&lt;&gt;"Baobá","",IF(OR(L189="Laranja",L189="Laranja/Azul"),"Alumnos",IF(Y189="Sí","Alumnos","Graduados+")))</f>
        <v/>
      </c>
      <c r="S189" s="23">
        <f>IF(P189="","",IF(P189="Adulto",IF(OR(Q189="",Q189="N/A"),"⚠ Corda no compite Adulto",P189&amp;"-"&amp;Q189&amp;" · "&amp;M189),IF(P189="Baobá",IF(R189="","⚠ Sin clasificar Baobá",P189&amp;"-"&amp;R189&amp;" · "&amp;M189),IF(P189="Juvenil",IF(AND(OR(L189="Crua",L189="Crua/Amarela"),Y189&lt;&gt;"Sí"),"⚠ Juvenil necesita Amarela+",P189&amp;" · "&amp;M189),P189&amp;" · "&amp;M189))))</f>
        <v/>
      </c>
      <c r="T189" s="23" t="n"/>
      <c r="U189" s="22" t="inlineStr">
        <is>
          <t>Sí</t>
        </is>
      </c>
      <c r="V189" s="22" t="n"/>
      <c r="W189" s="22" t="n"/>
      <c r="X189" s="22" t="n"/>
      <c r="Y189" s="22" t="inlineStr">
        <is>
          <t>No</t>
        </is>
      </c>
      <c r="Z189" s="22" t="inlineStr">
        <is>
          <t>XS</t>
        </is>
      </c>
      <c r="AA189" s="22" t="n">
        <v>35</v>
      </c>
      <c r="AB189" s="22" t="inlineStr">
        <is>
          <t>Pagado</t>
        </is>
      </c>
      <c r="AC189" s="22" t="n"/>
      <c r="AD189" s="23">
        <f>IF(D189&lt;&gt;"","P"&amp;TEXT(ROW()-4,"0000"),"")</f>
        <v/>
      </c>
    </row>
    <row r="190" ht="14.25" customHeight="1" s="72">
      <c r="A190" s="22" t="inlineStr">
        <is>
          <t>2025-09-13 20:47:08</t>
        </is>
      </c>
      <c r="B190" s="22" t="n"/>
      <c r="C190" s="22" t="n"/>
      <c r="D190" s="22" t="inlineStr">
        <is>
          <t>Aisha</t>
        </is>
      </c>
      <c r="E190" s="22" t="inlineStr">
        <is>
          <t>Rodrigues</t>
        </is>
      </c>
      <c r="F190" s="22" t="inlineStr">
        <is>
          <t>Tatu</t>
        </is>
      </c>
      <c r="G190" s="23">
        <f>IF(F190&lt;&gt;"",F190,IF(AND(D190="",E190=""),"",TRIM(D190&amp;" "&amp;E190)))</f>
        <v/>
      </c>
      <c r="H190" s="22" t="n"/>
      <c r="I190" s="22" t="inlineStr">
        <is>
          <t>+34 674 863 454</t>
        </is>
      </c>
      <c r="J190" s="22" t="inlineStr">
        <is>
          <t>Belo Horizonte-Brasil</t>
        </is>
      </c>
      <c r="K190" s="22" t="inlineStr">
        <is>
          <t>Professor Leão</t>
        </is>
      </c>
      <c r="L190" s="22" t="inlineStr">
        <is>
          <t>Verde</t>
        </is>
      </c>
      <c r="M190" s="22" t="inlineStr">
        <is>
          <t>Femenino</t>
        </is>
      </c>
      <c r="N190" s="78" t="n">
        <v>24955</v>
      </c>
      <c r="O190" s="23">
        <f>IF(N190="","",DATEDIF(N190,TODAY(),"Y"))</f>
        <v/>
      </c>
      <c r="P190" s="23">
        <f>IF(O190="","",IF(O190&lt;=11,"Infantil",IF(O190&lt;=17,"Juvenil",IF(O190&lt;=44,"Adulto","Baobá"))))</f>
        <v/>
      </c>
      <c r="Q190" s="23">
        <f>IF(P190&lt;&gt;"Adulto","",IF(OR(L190="Marrom",L190="Marrom/Vermelha"),"A",IF(OR(L190="Roxa",L190="Roxa/Marrom"),"B",IF(OR(L190="Verde",L190="Verde/Roxa"),"C",IF(OR(L190="Azul",L190="Azul/Verde"),"D",IF(OR(L190="Laranja",L190="Laranja/Azul"),"E",IF(Y190="Sí","E","N/A")))))))</f>
        <v/>
      </c>
      <c r="R190" s="23">
        <f>IF(P190&lt;&gt;"Baobá","",IF(OR(L190="Laranja",L190="Laranja/Azul"),"Alumnos",IF(Y190="Sí","Alumnos","Graduados+")))</f>
        <v/>
      </c>
      <c r="S190" s="23">
        <f>IF(P190="","",IF(P190="Adulto",IF(OR(Q190="",Q190="N/A"),"⚠ Corda no compite Adulto",P190&amp;"-"&amp;Q190&amp;" · "&amp;M190),IF(P190="Baobá",IF(R190="","⚠ Sin clasificar Baobá",P190&amp;"-"&amp;R190&amp;" · "&amp;M190),IF(P190="Juvenil",IF(AND(OR(L190="Crua",L190="Crua/Amarela"),Y190&lt;&gt;"Sí"),"⚠ Juvenil necesita Amarela+",P190&amp;" · "&amp;M190),P190&amp;" · "&amp;M190))))</f>
        <v/>
      </c>
      <c r="T190" s="23" t="n"/>
      <c r="U190" s="22" t="inlineStr">
        <is>
          <t>Sí</t>
        </is>
      </c>
      <c r="V190" s="22" t="n"/>
      <c r="W190" s="22" t="n"/>
      <c r="X190" s="22" t="n"/>
      <c r="Y190" s="22" t="inlineStr">
        <is>
          <t>No</t>
        </is>
      </c>
      <c r="Z190" s="22" t="inlineStr">
        <is>
          <t>S</t>
        </is>
      </c>
      <c r="AA190" s="22" t="n">
        <v>35</v>
      </c>
      <c r="AB190" s="22" t="inlineStr">
        <is>
          <t>Pagado</t>
        </is>
      </c>
      <c r="AC190" s="22" t="n"/>
      <c r="AD190" s="23">
        <f>IF(D190&lt;&gt;"","P"&amp;TEXT(ROW()-4,"0000"),"")</f>
        <v/>
      </c>
    </row>
    <row r="191" ht="14.25" customHeight="1" s="72">
      <c r="A191" s="22" t="inlineStr">
        <is>
          <t>2025-08-11 17:49:39</t>
        </is>
      </c>
      <c r="B191" s="22" t="n"/>
      <c r="C191" s="22" t="n"/>
      <c r="D191" s="22" t="inlineStr">
        <is>
          <t>Silvia</t>
        </is>
      </c>
      <c r="E191" s="22" t="inlineStr">
        <is>
          <t>Dupont</t>
        </is>
      </c>
      <c r="F191" s="22" t="inlineStr">
        <is>
          <t>Mosquito</t>
        </is>
      </c>
      <c r="G191" s="23">
        <f>IF(F191&lt;&gt;"",F191,IF(AND(D191="",E191=""),"",TRIM(D191&amp;" "&amp;E191)))</f>
        <v/>
      </c>
      <c r="H191" s="22" t="n"/>
      <c r="I191" s="22" t="inlineStr">
        <is>
          <t>+34 651 130 749</t>
        </is>
      </c>
      <c r="J191" s="22" t="inlineStr">
        <is>
          <t>Cascais-Portugal</t>
        </is>
      </c>
      <c r="K191" s="22" t="inlineStr">
        <is>
          <t>Mestre Puma</t>
        </is>
      </c>
      <c r="L191" s="22" t="inlineStr">
        <is>
          <t>Marrom</t>
        </is>
      </c>
      <c r="M191" s="22" t="inlineStr">
        <is>
          <t>Femenino</t>
        </is>
      </c>
      <c r="N191" s="78" t="n">
        <v>24209</v>
      </c>
      <c r="O191" s="23">
        <f>IF(N191="","",DATEDIF(N191,TODAY(),"Y"))</f>
        <v/>
      </c>
      <c r="P191" s="23">
        <f>IF(O191="","",IF(O191&lt;=11,"Infantil",IF(O191&lt;=17,"Juvenil",IF(O191&lt;=44,"Adulto","Baobá"))))</f>
        <v/>
      </c>
      <c r="Q191" s="23">
        <f>IF(P191&lt;&gt;"Adulto","",IF(OR(L191="Marrom",L191="Marrom/Vermelha"),"A",IF(OR(L191="Roxa",L191="Roxa/Marrom"),"B",IF(OR(L191="Verde",L191="Verde/Roxa"),"C",IF(OR(L191="Azul",L191="Azul/Verde"),"D",IF(OR(L191="Laranja",L191="Laranja/Azul"),"E",IF(Y191="Sí","E","N/A")))))))</f>
        <v/>
      </c>
      <c r="R191" s="23">
        <f>IF(P191&lt;&gt;"Baobá","",IF(OR(L191="Laranja",L191="Laranja/Azul"),"Alumnos",IF(Y191="Sí","Alumnos","Graduados+")))</f>
        <v/>
      </c>
      <c r="S191" s="23">
        <f>IF(P191="","",IF(P191="Adulto",IF(OR(Q191="",Q191="N/A"),"⚠ Corda no compite Adulto",P191&amp;"-"&amp;Q191&amp;" · "&amp;M191),IF(P191="Baobá",IF(R191="","⚠ Sin clasificar Baobá",P191&amp;"-"&amp;R191&amp;" · "&amp;M191),IF(P191="Juvenil",IF(AND(OR(L191="Crua",L191="Crua/Amarela"),Y191&lt;&gt;"Sí"),"⚠ Juvenil necesita Amarela+",P191&amp;" · "&amp;M191),P191&amp;" · "&amp;M191))))</f>
        <v/>
      </c>
      <c r="T191" s="23" t="n"/>
      <c r="U191" s="22" t="inlineStr">
        <is>
          <t>Sí</t>
        </is>
      </c>
      <c r="V191" s="22" t="n"/>
      <c r="W191" s="22" t="n"/>
      <c r="X191" s="22" t="n"/>
      <c r="Y191" s="22" t="inlineStr">
        <is>
          <t>No</t>
        </is>
      </c>
      <c r="Z191" s="22" t="inlineStr">
        <is>
          <t>M</t>
        </is>
      </c>
      <c r="AA191" s="22" t="n">
        <v>35</v>
      </c>
      <c r="AB191" s="22" t="inlineStr">
        <is>
          <t>Pagado</t>
        </is>
      </c>
      <c r="AC191" s="22" t="n"/>
      <c r="AD191" s="23">
        <f>IF(D191&lt;&gt;"","P"&amp;TEXT(ROW()-4,"0000"),"")</f>
        <v/>
      </c>
    </row>
    <row r="192" ht="14.25" customHeight="1" s="72">
      <c r="A192" s="22" t="inlineStr">
        <is>
          <t>2025-10-13 14:11:43</t>
        </is>
      </c>
      <c r="B192" s="22" t="n"/>
      <c r="C192" s="22" t="n"/>
      <c r="D192" s="22" t="inlineStr">
        <is>
          <t>Rosa</t>
        </is>
      </c>
      <c r="E192" s="22" t="inlineStr">
        <is>
          <t>Marino</t>
        </is>
      </c>
      <c r="F192" s="22" t="inlineStr">
        <is>
          <t>Gambá</t>
        </is>
      </c>
      <c r="G192" s="23">
        <f>IF(F192&lt;&gt;"",F192,IF(AND(D192="",E192=""),"",TRIM(D192&amp;" "&amp;E192)))</f>
        <v/>
      </c>
      <c r="H192" s="22" t="n"/>
      <c r="I192" s="22" t="inlineStr">
        <is>
          <t>+34 620 890 733</t>
        </is>
      </c>
      <c r="J192" s="22" t="inlineStr">
        <is>
          <t>Coimbra-Portugal</t>
        </is>
      </c>
      <c r="K192" s="22" t="inlineStr">
        <is>
          <t>Mestre Onça</t>
        </is>
      </c>
      <c r="L192" s="22" t="inlineStr">
        <is>
          <t>Azul</t>
        </is>
      </c>
      <c r="M192" s="22" t="inlineStr">
        <is>
          <t>Femenino</t>
        </is>
      </c>
      <c r="N192" s="78" t="n">
        <v>28895</v>
      </c>
      <c r="O192" s="23">
        <f>IF(N192="","",DATEDIF(N192,TODAY(),"Y"))</f>
        <v/>
      </c>
      <c r="P192" s="23">
        <f>IF(O192="","",IF(O192&lt;=11,"Infantil",IF(O192&lt;=17,"Juvenil",IF(O192&lt;=44,"Adulto","Baobá"))))</f>
        <v/>
      </c>
      <c r="Q192" s="23">
        <f>IF(P192&lt;&gt;"Adulto","",IF(OR(L192="Marrom",L192="Marrom/Vermelha"),"A",IF(OR(L192="Roxa",L192="Roxa/Marrom"),"B",IF(OR(L192="Verde",L192="Verde/Roxa"),"C",IF(OR(L192="Azul",L192="Azul/Verde"),"D",IF(OR(L192="Laranja",L192="Laranja/Azul"),"E",IF(Y192="Sí","E","N/A")))))))</f>
        <v/>
      </c>
      <c r="R192" s="23">
        <f>IF(P192&lt;&gt;"Baobá","",IF(OR(L192="Laranja",L192="Laranja/Azul"),"Alumnos",IF(Y192="Sí","Alumnos","Graduados+")))</f>
        <v/>
      </c>
      <c r="S192" s="23">
        <f>IF(P192="","",IF(P192="Adulto",IF(OR(Q192="",Q192="N/A"),"⚠ Corda no compite Adulto",P192&amp;"-"&amp;Q192&amp;" · "&amp;M192),IF(P192="Baobá",IF(R192="","⚠ Sin clasificar Baobá",P192&amp;"-"&amp;R192&amp;" · "&amp;M192),IF(P192="Juvenil",IF(AND(OR(L192="Crua",L192="Crua/Amarela"),Y192&lt;&gt;"Sí"),"⚠ Juvenil necesita Amarela+",P192&amp;" · "&amp;M192),P192&amp;" · "&amp;M192))))</f>
        <v/>
      </c>
      <c r="T192" s="23" t="n"/>
      <c r="U192" s="22" t="inlineStr">
        <is>
          <t>Sí</t>
        </is>
      </c>
      <c r="V192" s="22" t="n"/>
      <c r="W192" s="22" t="n"/>
      <c r="X192" s="22" t="n"/>
      <c r="Y192" s="22" t="inlineStr">
        <is>
          <t>No</t>
        </is>
      </c>
      <c r="Z192" s="22" t="inlineStr">
        <is>
          <t>L</t>
        </is>
      </c>
      <c r="AA192" s="22" t="n">
        <v>35</v>
      </c>
      <c r="AB192" s="22" t="inlineStr">
        <is>
          <t>Pagado</t>
        </is>
      </c>
      <c r="AC192" s="22" t="n"/>
      <c r="AD192" s="23">
        <f>IF(D192&lt;&gt;"","P"&amp;TEXT(ROW()-4,"0000"),"")</f>
        <v/>
      </c>
    </row>
    <row r="193" ht="14.25" customHeight="1" s="72">
      <c r="A193" s="22" t="inlineStr">
        <is>
          <t>2025-08-13 19:50:40</t>
        </is>
      </c>
      <c r="B193" s="22" t="n"/>
      <c r="C193" s="22" t="n"/>
      <c r="D193" s="22" t="inlineStr">
        <is>
          <t>Carla</t>
        </is>
      </c>
      <c r="E193" s="22" t="inlineStr">
        <is>
          <t>Greco</t>
        </is>
      </c>
      <c r="F193" s="22" t="inlineStr">
        <is>
          <t>Louva-Deus</t>
        </is>
      </c>
      <c r="G193" s="23">
        <f>IF(F193&lt;&gt;"",F193,IF(AND(D193="",E193=""),"",TRIM(D193&amp;" "&amp;E193)))</f>
        <v/>
      </c>
      <c r="H193" s="22" t="n"/>
      <c r="I193" s="22" t="inlineStr">
        <is>
          <t>+34 650 469 209</t>
        </is>
      </c>
      <c r="J193" s="22" t="inlineStr">
        <is>
          <t>Fortaleza-Brasil</t>
        </is>
      </c>
      <c r="K193" s="22" t="inlineStr">
        <is>
          <t>Mestre Bimba</t>
        </is>
      </c>
      <c r="L193" s="22" t="inlineStr">
        <is>
          <t>Marrom</t>
        </is>
      </c>
      <c r="M193" s="22" t="inlineStr">
        <is>
          <t>Femenino</t>
        </is>
      </c>
      <c r="N193" s="78" t="n">
        <v>26523</v>
      </c>
      <c r="O193" s="23">
        <f>IF(N193="","",DATEDIF(N193,TODAY(),"Y"))</f>
        <v/>
      </c>
      <c r="P193" s="23">
        <f>IF(O193="","",IF(O193&lt;=11,"Infantil",IF(O193&lt;=17,"Juvenil",IF(O193&lt;=44,"Adulto","Baobá"))))</f>
        <v/>
      </c>
      <c r="Q193" s="23">
        <f>IF(P193&lt;&gt;"Adulto","",IF(OR(L193="Marrom",L193="Marrom/Vermelha"),"A",IF(OR(L193="Roxa",L193="Roxa/Marrom"),"B",IF(OR(L193="Verde",L193="Verde/Roxa"),"C",IF(OR(L193="Azul",L193="Azul/Verde"),"D",IF(OR(L193="Laranja",L193="Laranja/Azul"),"E",IF(Y193="Sí","E","N/A")))))))</f>
        <v/>
      </c>
      <c r="R193" s="23">
        <f>IF(P193&lt;&gt;"Baobá","",IF(OR(L193="Laranja",L193="Laranja/Azul"),"Alumnos",IF(Y193="Sí","Alumnos","Graduados+")))</f>
        <v/>
      </c>
      <c r="S193" s="23">
        <f>IF(P193="","",IF(P193="Adulto",IF(OR(Q193="",Q193="N/A"),"⚠ Corda no compite Adulto",P193&amp;"-"&amp;Q193&amp;" · "&amp;M193),IF(P193="Baobá",IF(R193="","⚠ Sin clasificar Baobá",P193&amp;"-"&amp;R193&amp;" · "&amp;M193),IF(P193="Juvenil",IF(AND(OR(L193="Crua",L193="Crua/Amarela"),Y193&lt;&gt;"Sí"),"⚠ Juvenil necesita Amarela+",P193&amp;" · "&amp;M193),P193&amp;" · "&amp;M193))))</f>
        <v/>
      </c>
      <c r="T193" s="23" t="n"/>
      <c r="U193" s="22" t="inlineStr">
        <is>
          <t>Sí</t>
        </is>
      </c>
      <c r="V193" s="22" t="n"/>
      <c r="W193" s="22" t="n"/>
      <c r="X193" s="22" t="n"/>
      <c r="Y193" s="22" t="inlineStr">
        <is>
          <t>No</t>
        </is>
      </c>
      <c r="Z193" s="22" t="inlineStr">
        <is>
          <t>XL</t>
        </is>
      </c>
      <c r="AA193" s="22" t="n">
        <v>35</v>
      </c>
      <c r="AB193" s="22" t="inlineStr">
        <is>
          <t>Pagado</t>
        </is>
      </c>
      <c r="AC193" s="22" t="n"/>
      <c r="AD193" s="23">
        <f>IF(D193&lt;&gt;"","P"&amp;TEXT(ROW()-4,"0000"),"")</f>
        <v/>
      </c>
    </row>
    <row r="194" ht="14.25" customHeight="1" s="72">
      <c r="A194" s="22" t="inlineStr">
        <is>
          <t>2025-09-04 10:05:11</t>
        </is>
      </c>
      <c r="B194" s="22" t="n"/>
      <c r="C194" s="22" t="n"/>
      <c r="D194" s="22" t="inlineStr">
        <is>
          <t>Amaia</t>
        </is>
      </c>
      <c r="E194" s="22" t="inlineStr">
        <is>
          <t>Durand</t>
        </is>
      </c>
      <c r="F194" s="22" t="inlineStr">
        <is>
          <t>Tartaruga</t>
        </is>
      </c>
      <c r="G194" s="23">
        <f>IF(F194&lt;&gt;"",F194,IF(AND(D194="",E194=""),"",TRIM(D194&amp;" "&amp;E194)))</f>
        <v/>
      </c>
      <c r="H194" s="22" t="n"/>
      <c r="I194" s="22" t="inlineStr">
        <is>
          <t>+34 681 668 624</t>
        </is>
      </c>
      <c r="J194" s="22" t="inlineStr">
        <is>
          <t>Milán-Italia</t>
        </is>
      </c>
      <c r="K194" s="22" t="inlineStr">
        <is>
          <t>Professor Leão</t>
        </is>
      </c>
      <c r="L194" s="22" t="inlineStr">
        <is>
          <t>Marrom</t>
        </is>
      </c>
      <c r="M194" s="22" t="inlineStr">
        <is>
          <t>Femenino</t>
        </is>
      </c>
      <c r="N194" s="78" t="n">
        <v>29629</v>
      </c>
      <c r="O194" s="23">
        <f>IF(N194="","",DATEDIF(N194,TODAY(),"Y"))</f>
        <v/>
      </c>
      <c r="P194" s="23">
        <f>IF(O194="","",IF(O194&lt;=11,"Infantil",IF(O194&lt;=17,"Juvenil",IF(O194&lt;=44,"Adulto","Baobá"))))</f>
        <v/>
      </c>
      <c r="Q194" s="23">
        <f>IF(P194&lt;&gt;"Adulto","",IF(OR(L194="Marrom",L194="Marrom/Vermelha"),"A",IF(OR(L194="Roxa",L194="Roxa/Marrom"),"B",IF(OR(L194="Verde",L194="Verde/Roxa"),"C",IF(OR(L194="Azul",L194="Azul/Verde"),"D",IF(OR(L194="Laranja",L194="Laranja/Azul"),"E",IF(Y194="Sí","E","N/A")))))))</f>
        <v/>
      </c>
      <c r="R194" s="23">
        <f>IF(P194&lt;&gt;"Baobá","",IF(OR(L194="Laranja",L194="Laranja/Azul"),"Alumnos",IF(Y194="Sí","Alumnos","Graduados+")))</f>
        <v/>
      </c>
      <c r="S194" s="23">
        <f>IF(P194="","",IF(P194="Adulto",IF(OR(Q194="",Q194="N/A"),"⚠ Corda no compite Adulto",P194&amp;"-"&amp;Q194&amp;" · "&amp;M194),IF(P194="Baobá",IF(R194="","⚠ Sin clasificar Baobá",P194&amp;"-"&amp;R194&amp;" · "&amp;M194),IF(P194="Juvenil",IF(AND(OR(L194="Crua",L194="Crua/Amarela"),Y194&lt;&gt;"Sí"),"⚠ Juvenil necesita Amarela+",P194&amp;" · "&amp;M194),P194&amp;" · "&amp;M194))))</f>
        <v/>
      </c>
      <c r="T194" s="23" t="n"/>
      <c r="U194" s="22" t="inlineStr">
        <is>
          <t>Sí</t>
        </is>
      </c>
      <c r="V194" s="22" t="n"/>
      <c r="W194" s="22" t="n"/>
      <c r="X194" s="22" t="n"/>
      <c r="Y194" s="22" t="inlineStr">
        <is>
          <t>No</t>
        </is>
      </c>
      <c r="Z194" s="22" t="inlineStr">
        <is>
          <t>XXL</t>
        </is>
      </c>
      <c r="AA194" s="22" t="n">
        <v>35</v>
      </c>
      <c r="AB194" s="22" t="inlineStr">
        <is>
          <t>Pagado</t>
        </is>
      </c>
      <c r="AC194" s="22" t="n"/>
      <c r="AD194" s="23">
        <f>IF(D194&lt;&gt;"","P"&amp;TEXT(ROW()-4,"0000"),"")</f>
        <v/>
      </c>
    </row>
    <row r="195" ht="14.25" customHeight="1" s="72">
      <c r="A195" s="22" t="inlineStr">
        <is>
          <t>2025-10-03 17:38:50</t>
        </is>
      </c>
      <c r="B195" s="22" t="n"/>
      <c r="C195" s="22" t="n"/>
      <c r="D195" s="22" t="inlineStr">
        <is>
          <t>Elisa</t>
        </is>
      </c>
      <c r="E195" s="22" t="inlineStr">
        <is>
          <t>Greco</t>
        </is>
      </c>
      <c r="F195" s="22" t="inlineStr">
        <is>
          <t>Bem-te-vi</t>
        </is>
      </c>
      <c r="G195" s="23">
        <f>IF(F195&lt;&gt;"",F195,IF(AND(D195="",E195=""),"",TRIM(D195&amp;" "&amp;E195)))</f>
        <v/>
      </c>
      <c r="H195" s="22" t="n"/>
      <c r="I195" s="22" t="inlineStr">
        <is>
          <t>+34 611 398 523</t>
        </is>
      </c>
      <c r="J195" s="22" t="inlineStr">
        <is>
          <t>Múnich-Alemania</t>
        </is>
      </c>
      <c r="K195" s="22" t="inlineStr">
        <is>
          <t>Contra-Mestre Falcão</t>
        </is>
      </c>
      <c r="L195" s="22" t="inlineStr">
        <is>
          <t>Verde</t>
        </is>
      </c>
      <c r="M195" s="22" t="inlineStr">
        <is>
          <t>Femenino</t>
        </is>
      </c>
      <c r="N195" s="78" t="n">
        <v>23486</v>
      </c>
      <c r="O195" s="23">
        <f>IF(N195="","",DATEDIF(N195,TODAY(),"Y"))</f>
        <v/>
      </c>
      <c r="P195" s="23">
        <f>IF(O195="","",IF(O195&lt;=11,"Infantil",IF(O195&lt;=17,"Juvenil",IF(O195&lt;=44,"Adulto","Baobá"))))</f>
        <v/>
      </c>
      <c r="Q195" s="23">
        <f>IF(P195&lt;&gt;"Adulto","",IF(OR(L195="Marrom",L195="Marrom/Vermelha"),"A",IF(OR(L195="Roxa",L195="Roxa/Marrom"),"B",IF(OR(L195="Verde",L195="Verde/Roxa"),"C",IF(OR(L195="Azul",L195="Azul/Verde"),"D",IF(OR(L195="Laranja",L195="Laranja/Azul"),"E",IF(Y195="Sí","E","N/A")))))))</f>
        <v/>
      </c>
      <c r="R195" s="23">
        <f>IF(P195&lt;&gt;"Baobá","",IF(OR(L195="Laranja",L195="Laranja/Azul"),"Alumnos",IF(Y195="Sí","Alumnos","Graduados+")))</f>
        <v/>
      </c>
      <c r="S195" s="23">
        <f>IF(P195="","",IF(P195="Adulto",IF(OR(Q195="",Q195="N/A"),"⚠ Corda no compite Adulto",P195&amp;"-"&amp;Q195&amp;" · "&amp;M195),IF(P195="Baobá",IF(R195="","⚠ Sin clasificar Baobá",P195&amp;"-"&amp;R195&amp;" · "&amp;M195),IF(P195="Juvenil",IF(AND(OR(L195="Crua",L195="Crua/Amarela"),Y195&lt;&gt;"Sí"),"⚠ Juvenil necesita Amarela+",P195&amp;" · "&amp;M195),P195&amp;" · "&amp;M195))))</f>
        <v/>
      </c>
      <c r="T195" s="23" t="n"/>
      <c r="U195" s="22" t="inlineStr">
        <is>
          <t>Sí</t>
        </is>
      </c>
      <c r="V195" s="22" t="n"/>
      <c r="W195" s="22" t="n"/>
      <c r="X195" s="22" t="n"/>
      <c r="Y195" s="22" t="inlineStr">
        <is>
          <t>No</t>
        </is>
      </c>
      <c r="Z195" s="22" t="inlineStr">
        <is>
          <t>XS</t>
        </is>
      </c>
      <c r="AA195" s="22" t="n">
        <v>35</v>
      </c>
      <c r="AB195" s="22" t="inlineStr">
        <is>
          <t>Pagado</t>
        </is>
      </c>
      <c r="AC195" s="22" t="n"/>
      <c r="AD195" s="23">
        <f>IF(D195&lt;&gt;"","P"&amp;TEXT(ROW()-4,"0000"),"")</f>
        <v/>
      </c>
    </row>
    <row r="196" ht="14.25" customHeight="1" s="72">
      <c r="A196" s="22" t="inlineStr">
        <is>
          <t>2025-10-06 18:24:10</t>
        </is>
      </c>
      <c r="B196" s="22" t="n"/>
      <c r="C196" s="22" t="n"/>
      <c r="D196" s="22" t="inlineStr">
        <is>
          <t>Paula</t>
        </is>
      </c>
      <c r="E196" s="22" t="inlineStr">
        <is>
          <t>Weber</t>
        </is>
      </c>
      <c r="F196" s="22" t="inlineStr">
        <is>
          <t>Borboleta</t>
        </is>
      </c>
      <c r="G196" s="23">
        <f>IF(F196&lt;&gt;"",F196,IF(AND(D196="",E196=""),"",TRIM(D196&amp;" "&amp;E196)))</f>
        <v/>
      </c>
      <c r="H196" s="22" t="n"/>
      <c r="I196" s="22" t="inlineStr">
        <is>
          <t>+34 648 374 604</t>
        </is>
      </c>
      <c r="J196" s="22" t="inlineStr">
        <is>
          <t>Manaus-Brasil</t>
        </is>
      </c>
      <c r="K196" s="22" t="inlineStr">
        <is>
          <t>Contra-Mestre Falcão</t>
        </is>
      </c>
      <c r="L196" s="22" t="inlineStr">
        <is>
          <t>Marrom</t>
        </is>
      </c>
      <c r="M196" s="22" t="inlineStr">
        <is>
          <t>Femenino</t>
        </is>
      </c>
      <c r="N196" s="78" t="n">
        <v>27950</v>
      </c>
      <c r="O196" s="23">
        <f>IF(N196="","",DATEDIF(N196,TODAY(),"Y"))</f>
        <v/>
      </c>
      <c r="P196" s="23">
        <f>IF(O196="","",IF(O196&lt;=11,"Infantil",IF(O196&lt;=17,"Juvenil",IF(O196&lt;=44,"Adulto","Baobá"))))</f>
        <v/>
      </c>
      <c r="Q196" s="23">
        <f>IF(P196&lt;&gt;"Adulto","",IF(OR(L196="Marrom",L196="Marrom/Vermelha"),"A",IF(OR(L196="Roxa",L196="Roxa/Marrom"),"B",IF(OR(L196="Verde",L196="Verde/Roxa"),"C",IF(OR(L196="Azul",L196="Azul/Verde"),"D",IF(OR(L196="Laranja",L196="Laranja/Azul"),"E",IF(Y196="Sí","E","N/A")))))))</f>
        <v/>
      </c>
      <c r="R196" s="23">
        <f>IF(P196&lt;&gt;"Baobá","",IF(OR(L196="Laranja",L196="Laranja/Azul"),"Alumnos",IF(Y196="Sí","Alumnos","Graduados+")))</f>
        <v/>
      </c>
      <c r="S196" s="23">
        <f>IF(P196="","",IF(P196="Adulto",IF(OR(Q196="",Q196="N/A"),"⚠ Corda no compite Adulto",P196&amp;"-"&amp;Q196&amp;" · "&amp;M196),IF(P196="Baobá",IF(R196="","⚠ Sin clasificar Baobá",P196&amp;"-"&amp;R196&amp;" · "&amp;M196),IF(P196="Juvenil",IF(AND(OR(L196="Crua",L196="Crua/Amarela"),Y196&lt;&gt;"Sí"),"⚠ Juvenil necesita Amarela+",P196&amp;" · "&amp;M196),P196&amp;" · "&amp;M196))))</f>
        <v/>
      </c>
      <c r="T196" s="23" t="n"/>
      <c r="U196" s="22" t="inlineStr">
        <is>
          <t>Sí</t>
        </is>
      </c>
      <c r="V196" s="22" t="n"/>
      <c r="W196" s="22" t="n"/>
      <c r="X196" s="22" t="n"/>
      <c r="Y196" s="22" t="inlineStr">
        <is>
          <t>No</t>
        </is>
      </c>
      <c r="Z196" s="22" t="inlineStr">
        <is>
          <t>S</t>
        </is>
      </c>
      <c r="AA196" s="22" t="n">
        <v>35</v>
      </c>
      <c r="AB196" s="22" t="inlineStr">
        <is>
          <t>Pagado</t>
        </is>
      </c>
      <c r="AC196" s="22" t="n"/>
      <c r="AD196" s="23">
        <f>IF(D196&lt;&gt;"","P"&amp;TEXT(ROW()-4,"0000"),"")</f>
        <v/>
      </c>
    </row>
    <row r="197" ht="14.25" customHeight="1" s="72">
      <c r="A197" s="22" t="inlineStr">
        <is>
          <t>2025-10-26 11:20:24</t>
        </is>
      </c>
      <c r="B197" s="22" t="n"/>
      <c r="C197" s="22" t="n"/>
      <c r="D197" s="22" t="inlineStr">
        <is>
          <t>Alejandro</t>
        </is>
      </c>
      <c r="E197" s="22" t="inlineStr">
        <is>
          <t>Dupont</t>
        </is>
      </c>
      <c r="F197" s="22" t="inlineStr">
        <is>
          <t>Beija-Flor</t>
        </is>
      </c>
      <c r="G197" s="23">
        <f>IF(F197&lt;&gt;"",F197,IF(AND(D197="",E197=""),"",TRIM(D197&amp;" "&amp;E197)))</f>
        <v/>
      </c>
      <c r="H197" s="22" t="n"/>
      <c r="I197" s="22" t="inlineStr">
        <is>
          <t>+34 656 216 677</t>
        </is>
      </c>
      <c r="J197" s="22" t="inlineStr">
        <is>
          <t>Bilbao-España</t>
        </is>
      </c>
      <c r="K197" s="22" t="inlineStr">
        <is>
          <t>Mestre Urso</t>
        </is>
      </c>
      <c r="L197" s="22" t="inlineStr">
        <is>
          <t>Laranja</t>
        </is>
      </c>
      <c r="M197" s="22" t="inlineStr">
        <is>
          <t>Masculino</t>
        </is>
      </c>
      <c r="N197" s="78" t="n">
        <v>40259</v>
      </c>
      <c r="O197" s="23">
        <f>IF(N197="","",DATEDIF(N197,TODAY(),"Y"))</f>
        <v/>
      </c>
      <c r="P197" s="23">
        <f>IF(O197="","",IF(O197&lt;=11,"Infantil",IF(O197&lt;=17,"Juvenil",IF(O197&lt;=44,"Adulto","Baobá"))))</f>
        <v/>
      </c>
      <c r="Q197" s="23">
        <f>IF(P197&lt;&gt;"Adulto","",IF(OR(L197="Marrom",L197="Marrom/Vermelha"),"A",IF(OR(L197="Roxa",L197="Roxa/Marrom"),"B",IF(OR(L197="Verde",L197="Verde/Roxa"),"C",IF(OR(L197="Azul",L197="Azul/Verde"),"D",IF(OR(L197="Laranja",L197="Laranja/Azul"),"E",IF(Y197="Sí","E","N/A")))))))</f>
        <v/>
      </c>
      <c r="R197" s="23">
        <f>IF(P197&lt;&gt;"Baobá","",IF(OR(L197="Laranja",L197="Laranja/Azul"),"Alumnos",IF(Y197="Sí","Alumnos","Graduados+")))</f>
        <v/>
      </c>
      <c r="S197" s="23">
        <f>IF(P197="","",IF(P197="Adulto",IF(OR(Q197="",Q197="N/A"),"⚠ Corda no compite Adulto",P197&amp;"-"&amp;Q197&amp;" · "&amp;M197),IF(P197="Baobá",IF(R197="","⚠ Sin clasificar Baobá",P197&amp;"-"&amp;R197&amp;" · "&amp;M197),IF(P197="Juvenil",IF(AND(OR(L197="Crua",L197="Crua/Amarela"),Y197&lt;&gt;"Sí"),"⚠ Juvenil necesita Amarela+",P197&amp;" · "&amp;M197),P197&amp;" · "&amp;M197))))</f>
        <v/>
      </c>
      <c r="T197" s="23" t="n"/>
      <c r="U197" s="22" t="inlineStr">
        <is>
          <t>Sí</t>
        </is>
      </c>
      <c r="V197" s="22" t="n"/>
      <c r="W197" s="22" t="n"/>
      <c r="X197" s="22" t="n"/>
      <c r="Y197" s="22" t="inlineStr">
        <is>
          <t>No</t>
        </is>
      </c>
      <c r="Z197" s="22" t="inlineStr">
        <is>
          <t>XS</t>
        </is>
      </c>
      <c r="AA197" s="22" t="n">
        <v>35</v>
      </c>
      <c r="AB197" s="22" t="inlineStr">
        <is>
          <t>Pagado</t>
        </is>
      </c>
      <c r="AC197" s="22" t="n"/>
      <c r="AD197" s="23">
        <f>IF(D197&lt;&gt;"","P"&amp;TEXT(ROW()-4,"0000"),"")</f>
        <v/>
      </c>
    </row>
    <row r="198" ht="14.25" customHeight="1" s="72">
      <c r="A198" s="22" t="inlineStr">
        <is>
          <t>2025-10-01 19:29:45</t>
        </is>
      </c>
      <c r="B198" s="22" t="n"/>
      <c r="C198" s="22" t="n"/>
      <c r="D198" s="22" t="inlineStr">
        <is>
          <t>Manuel</t>
        </is>
      </c>
      <c r="E198" s="22" t="inlineStr">
        <is>
          <t>Petit</t>
        </is>
      </c>
      <c r="F198" s="22" t="inlineStr">
        <is>
          <t>Camaleão</t>
        </is>
      </c>
      <c r="G198" s="23">
        <f>IF(F198&lt;&gt;"",F198,IF(AND(D198="",E198=""),"",TRIM(D198&amp;" "&amp;E198)))</f>
        <v/>
      </c>
      <c r="H198" s="22" t="n"/>
      <c r="I198" s="22" t="inlineStr">
        <is>
          <t>+34 647 951 809</t>
        </is>
      </c>
      <c r="J198" s="22" t="inlineStr">
        <is>
          <t>Recife-Brasil</t>
        </is>
      </c>
      <c r="K198" s="22" t="inlineStr">
        <is>
          <t>Professor Macaco</t>
        </is>
      </c>
      <c r="L198" s="22" t="inlineStr">
        <is>
          <t>Laranja</t>
        </is>
      </c>
      <c r="M198" s="22" t="inlineStr">
        <is>
          <t>Masculino</t>
        </is>
      </c>
      <c r="N198" s="78" t="n">
        <v>40030</v>
      </c>
      <c r="O198" s="23">
        <f>IF(N198="","",DATEDIF(N198,TODAY(),"Y"))</f>
        <v/>
      </c>
      <c r="P198" s="23">
        <f>IF(O198="","",IF(O198&lt;=11,"Infantil",IF(O198&lt;=17,"Juvenil",IF(O198&lt;=44,"Adulto","Baobá"))))</f>
        <v/>
      </c>
      <c r="Q198" s="23">
        <f>IF(P198&lt;&gt;"Adulto","",IF(OR(L198="Marrom",L198="Marrom/Vermelha"),"A",IF(OR(L198="Roxa",L198="Roxa/Marrom"),"B",IF(OR(L198="Verde",L198="Verde/Roxa"),"C",IF(OR(L198="Azul",L198="Azul/Verde"),"D",IF(OR(L198="Laranja",L198="Laranja/Azul"),"E",IF(Y198="Sí","E","N/A")))))))</f>
        <v/>
      </c>
      <c r="R198" s="23">
        <f>IF(P198&lt;&gt;"Baobá","",IF(OR(L198="Laranja",L198="Laranja/Azul"),"Alumnos",IF(Y198="Sí","Alumnos","Graduados+")))</f>
        <v/>
      </c>
      <c r="S198" s="23">
        <f>IF(P198="","",IF(P198="Adulto",IF(OR(Q198="",Q198="N/A"),"⚠ Corda no compite Adulto",P198&amp;"-"&amp;Q198&amp;" · "&amp;M198),IF(P198="Baobá",IF(R198="","⚠ Sin clasificar Baobá",P198&amp;"-"&amp;R198&amp;" · "&amp;M198),IF(P198="Juvenil",IF(AND(OR(L198="Crua",L198="Crua/Amarela"),Y198&lt;&gt;"Sí"),"⚠ Juvenil necesita Amarela+",P198&amp;" · "&amp;M198),P198&amp;" · "&amp;M198))))</f>
        <v/>
      </c>
      <c r="T198" s="23" t="n"/>
      <c r="U198" s="22" t="inlineStr">
        <is>
          <t>Sí</t>
        </is>
      </c>
      <c r="V198" s="22" t="n"/>
      <c r="W198" s="22" t="n"/>
      <c r="X198" s="22" t="n"/>
      <c r="Y198" s="22" t="inlineStr">
        <is>
          <t>No</t>
        </is>
      </c>
      <c r="Z198" s="22" t="inlineStr">
        <is>
          <t>S</t>
        </is>
      </c>
      <c r="AA198" s="22" t="n">
        <v>35</v>
      </c>
      <c r="AB198" s="22" t="inlineStr">
        <is>
          <t>Pagado</t>
        </is>
      </c>
      <c r="AC198" s="22" t="n"/>
      <c r="AD198" s="23">
        <f>IF(D198&lt;&gt;"","P"&amp;TEXT(ROW()-4,"0000"),"")</f>
        <v/>
      </c>
    </row>
    <row r="199" ht="14.25" customHeight="1" s="72">
      <c r="A199" s="22" t="inlineStr">
        <is>
          <t>2025-10-10 11:16:42</t>
        </is>
      </c>
      <c r="B199" s="22" t="n"/>
      <c r="C199" s="22" t="n"/>
      <c r="D199" s="22" t="inlineStr">
        <is>
          <t>Bruno</t>
        </is>
      </c>
      <c r="E199" s="22" t="inlineStr">
        <is>
          <t>Robert</t>
        </is>
      </c>
      <c r="F199" s="22" t="inlineStr">
        <is>
          <t>Falcão</t>
        </is>
      </c>
      <c r="G199" s="23">
        <f>IF(F199&lt;&gt;"",F199,IF(AND(D199="",E199=""),"",TRIM(D199&amp;" "&amp;E199)))</f>
        <v/>
      </c>
      <c r="H199" s="22" t="n"/>
      <c r="I199" s="22" t="inlineStr">
        <is>
          <t>+34 658 175 559</t>
        </is>
      </c>
      <c r="J199" s="22" t="inlineStr">
        <is>
          <t>Santiago-Chile</t>
        </is>
      </c>
      <c r="K199" s="22" t="inlineStr">
        <is>
          <t>Mestre Urso</t>
        </is>
      </c>
      <c r="L199" s="22" t="inlineStr">
        <is>
          <t>Laranja</t>
        </is>
      </c>
      <c r="M199" s="22" t="inlineStr">
        <is>
          <t>Masculino</t>
        </is>
      </c>
      <c r="N199" s="78" t="n">
        <v>40803</v>
      </c>
      <c r="O199" s="23">
        <f>IF(N199="","",DATEDIF(N199,TODAY(),"Y"))</f>
        <v/>
      </c>
      <c r="P199" s="23">
        <f>IF(O199="","",IF(O199&lt;=11,"Infantil",IF(O199&lt;=17,"Juvenil",IF(O199&lt;=44,"Adulto","Baobá"))))</f>
        <v/>
      </c>
      <c r="Q199" s="23">
        <f>IF(P199&lt;&gt;"Adulto","",IF(OR(L199="Marrom",L199="Marrom/Vermelha"),"A",IF(OR(L199="Roxa",L199="Roxa/Marrom"),"B",IF(OR(L199="Verde",L199="Verde/Roxa"),"C",IF(OR(L199="Azul",L199="Azul/Verde"),"D",IF(OR(L199="Laranja",L199="Laranja/Azul"),"E",IF(Y199="Sí","E","N/A")))))))</f>
        <v/>
      </c>
      <c r="R199" s="23">
        <f>IF(P199&lt;&gt;"Baobá","",IF(OR(L199="Laranja",L199="Laranja/Azul"),"Alumnos",IF(Y199="Sí","Alumnos","Graduados+")))</f>
        <v/>
      </c>
      <c r="S199" s="23">
        <f>IF(P199="","",IF(P199="Adulto",IF(OR(Q199="",Q199="N/A"),"⚠ Corda no compite Adulto",P199&amp;"-"&amp;Q199&amp;" · "&amp;M199),IF(P199="Baobá",IF(R199="","⚠ Sin clasificar Baobá",P199&amp;"-"&amp;R199&amp;" · "&amp;M199),IF(P199="Juvenil",IF(AND(OR(L199="Crua",L199="Crua/Amarela"),Y199&lt;&gt;"Sí"),"⚠ Juvenil necesita Amarela+",P199&amp;" · "&amp;M199),P199&amp;" · "&amp;M199))))</f>
        <v/>
      </c>
      <c r="T199" s="23" t="n"/>
      <c r="U199" s="22" t="inlineStr">
        <is>
          <t>Sí</t>
        </is>
      </c>
      <c r="V199" s="22" t="n"/>
      <c r="W199" s="22" t="n"/>
      <c r="X199" s="22" t="n"/>
      <c r="Y199" s="22" t="inlineStr">
        <is>
          <t>No</t>
        </is>
      </c>
      <c r="Z199" s="22" t="inlineStr">
        <is>
          <t>M</t>
        </is>
      </c>
      <c r="AA199" s="22" t="n">
        <v>35</v>
      </c>
      <c r="AB199" s="22" t="inlineStr">
        <is>
          <t>Pagado</t>
        </is>
      </c>
      <c r="AC199" s="22" t="n"/>
      <c r="AD199" s="23">
        <f>IF(D199&lt;&gt;"","P"&amp;TEXT(ROW()-4,"0000"),"")</f>
        <v/>
      </c>
    </row>
    <row r="200" ht="14.25" customHeight="1" s="72">
      <c r="A200" s="22" t="inlineStr">
        <is>
          <t>2025-10-14 16:02:50</t>
        </is>
      </c>
      <c r="B200" s="22" t="n"/>
      <c r="C200" s="22" t="n"/>
      <c r="D200" s="22" t="inlineStr">
        <is>
          <t>Leandro</t>
        </is>
      </c>
      <c r="E200" s="22" t="inlineStr">
        <is>
          <t>Cruz</t>
        </is>
      </c>
      <c r="F200" s="22" t="inlineStr">
        <is>
          <t>Arara</t>
        </is>
      </c>
      <c r="G200" s="23">
        <f>IF(F200&lt;&gt;"",F200,IF(AND(D200="",E200=""),"",TRIM(D200&amp;" "&amp;E200)))</f>
        <v/>
      </c>
      <c r="H200" s="22" t="n"/>
      <c r="I200" s="22" t="inlineStr">
        <is>
          <t>+34 686 753 187</t>
        </is>
      </c>
      <c r="J200" s="22" t="inlineStr">
        <is>
          <t>Curitiba-Brasil</t>
        </is>
      </c>
      <c r="K200" s="22" t="inlineStr">
        <is>
          <t>Mestre Onça</t>
        </is>
      </c>
      <c r="L200" s="22" t="inlineStr">
        <is>
          <t>Amarela</t>
        </is>
      </c>
      <c r="M200" s="22" t="inlineStr">
        <is>
          <t>Masculino</t>
        </is>
      </c>
      <c r="N200" s="78" t="n">
        <v>40129</v>
      </c>
      <c r="O200" s="23">
        <f>IF(N200="","",DATEDIF(N200,TODAY(),"Y"))</f>
        <v/>
      </c>
      <c r="P200" s="23">
        <f>IF(O200="","",IF(O200&lt;=11,"Infantil",IF(O200&lt;=17,"Juvenil",IF(O200&lt;=44,"Adulto","Baobá"))))</f>
        <v/>
      </c>
      <c r="Q200" s="23">
        <f>IF(P200&lt;&gt;"Adulto","",IF(OR(L200="Marrom",L200="Marrom/Vermelha"),"A",IF(OR(L200="Roxa",L200="Roxa/Marrom"),"B",IF(OR(L200="Verde",L200="Verde/Roxa"),"C",IF(OR(L200="Azul",L200="Azul/Verde"),"D",IF(OR(L200="Laranja",L200="Laranja/Azul"),"E",IF(Y200="Sí","E","N/A")))))))</f>
        <v/>
      </c>
      <c r="R200" s="23">
        <f>IF(P200&lt;&gt;"Baobá","",IF(OR(L200="Laranja",L200="Laranja/Azul"),"Alumnos",IF(Y200="Sí","Alumnos","Graduados+")))</f>
        <v/>
      </c>
      <c r="S200" s="23">
        <f>IF(P200="","",IF(P200="Adulto",IF(OR(Q200="",Q200="N/A"),"⚠ Corda no compite Adulto",P200&amp;"-"&amp;Q200&amp;" · "&amp;M200),IF(P200="Baobá",IF(R200="","⚠ Sin clasificar Baobá",P200&amp;"-"&amp;R200&amp;" · "&amp;M200),IF(P200="Juvenil",IF(AND(OR(L200="Crua",L200="Crua/Amarela"),Y200&lt;&gt;"Sí"),"⚠ Juvenil necesita Amarela+",P200&amp;" · "&amp;M200),P200&amp;" · "&amp;M200))))</f>
        <v/>
      </c>
      <c r="T200" s="23" t="n"/>
      <c r="U200" s="22" t="inlineStr">
        <is>
          <t>Sí</t>
        </is>
      </c>
      <c r="V200" s="22" t="n"/>
      <c r="W200" s="22" t="n"/>
      <c r="X200" s="22" t="n"/>
      <c r="Y200" s="22" t="inlineStr">
        <is>
          <t>No</t>
        </is>
      </c>
      <c r="Z200" s="22" t="inlineStr">
        <is>
          <t>L</t>
        </is>
      </c>
      <c r="AA200" s="22" t="n">
        <v>35</v>
      </c>
      <c r="AB200" s="22" t="inlineStr">
        <is>
          <t>Pagado</t>
        </is>
      </c>
      <c r="AC200" s="22" t="n"/>
      <c r="AD200" s="23">
        <f>IF(D200&lt;&gt;"","P"&amp;TEXT(ROW()-4,"0000"),"")</f>
        <v/>
      </c>
    </row>
    <row r="201" ht="14.25" customHeight="1" s="72">
      <c r="A201" s="22" t="inlineStr">
        <is>
          <t>2025-08-21 17:02:36</t>
        </is>
      </c>
      <c r="B201" s="22" t="n"/>
      <c r="C201" s="22" t="n"/>
      <c r="D201" s="22" t="inlineStr">
        <is>
          <t>Emilio</t>
        </is>
      </c>
      <c r="E201" s="22" t="inlineStr">
        <is>
          <t>Martin</t>
        </is>
      </c>
      <c r="F201" s="22" t="inlineStr">
        <is>
          <t>Jaguatirica</t>
        </is>
      </c>
      <c r="G201" s="23">
        <f>IF(F201&lt;&gt;"",F201,IF(AND(D201="",E201=""),"",TRIM(D201&amp;" "&amp;E201)))</f>
        <v/>
      </c>
      <c r="H201" s="22" t="n"/>
      <c r="I201" s="22" t="inlineStr">
        <is>
          <t>+34 652 915 540</t>
        </is>
      </c>
      <c r="J201" s="22" t="inlineStr">
        <is>
          <t>Curitiba-Brasil</t>
        </is>
      </c>
      <c r="K201" s="22" t="inlineStr">
        <is>
          <t>Mestre Bimba</t>
        </is>
      </c>
      <c r="L201" s="22" t="inlineStr">
        <is>
          <t>Laranja</t>
        </is>
      </c>
      <c r="M201" s="22" t="inlineStr">
        <is>
          <t>Masculino</t>
        </is>
      </c>
      <c r="N201" s="78" t="n">
        <v>41767</v>
      </c>
      <c r="O201" s="23">
        <f>IF(N201="","",DATEDIF(N201,TODAY(),"Y"))</f>
        <v/>
      </c>
      <c r="P201" s="23">
        <f>IF(O201="","",IF(O201&lt;=11,"Infantil",IF(O201&lt;=17,"Juvenil",IF(O201&lt;=44,"Adulto","Baobá"))))</f>
        <v/>
      </c>
      <c r="Q201" s="23">
        <f>IF(P201&lt;&gt;"Adulto","",IF(OR(L201="Marrom",L201="Marrom/Vermelha"),"A",IF(OR(L201="Roxa",L201="Roxa/Marrom"),"B",IF(OR(L201="Verde",L201="Verde/Roxa"),"C",IF(OR(L201="Azul",L201="Azul/Verde"),"D",IF(OR(L201="Laranja",L201="Laranja/Azul"),"E",IF(Y201="Sí","E","N/A")))))))</f>
        <v/>
      </c>
      <c r="R201" s="23">
        <f>IF(P201&lt;&gt;"Baobá","",IF(OR(L201="Laranja",L201="Laranja/Azul"),"Alumnos",IF(Y201="Sí","Alumnos","Graduados+")))</f>
        <v/>
      </c>
      <c r="S201" s="23">
        <f>IF(P201="","",IF(P201="Adulto",IF(OR(Q201="",Q201="N/A"),"⚠ Corda no compite Adulto",P201&amp;"-"&amp;Q201&amp;" · "&amp;M201),IF(P201="Baobá",IF(R201="","⚠ Sin clasificar Baobá",P201&amp;"-"&amp;R201&amp;" · "&amp;M201),IF(P201="Juvenil",IF(AND(OR(L201="Crua",L201="Crua/Amarela"),Y201&lt;&gt;"Sí"),"⚠ Juvenil necesita Amarela+",P201&amp;" · "&amp;M201),P201&amp;" · "&amp;M201))))</f>
        <v/>
      </c>
      <c r="T201" s="23" t="n"/>
      <c r="U201" s="22" t="inlineStr">
        <is>
          <t>Sí</t>
        </is>
      </c>
      <c r="V201" s="22" t="n"/>
      <c r="W201" s="22" t="n"/>
      <c r="X201" s="22" t="n"/>
      <c r="Y201" s="22" t="inlineStr">
        <is>
          <t>No</t>
        </is>
      </c>
      <c r="Z201" s="22" t="inlineStr">
        <is>
          <t>XL</t>
        </is>
      </c>
      <c r="AA201" s="22" t="n">
        <v>35</v>
      </c>
      <c r="AB201" s="22" t="inlineStr">
        <is>
          <t>Pagado</t>
        </is>
      </c>
      <c r="AC201" s="22" t="n"/>
      <c r="AD201" s="23">
        <f>IF(D201&lt;&gt;"","P"&amp;TEXT(ROW()-4,"0000"),"")</f>
        <v/>
      </c>
    </row>
    <row r="202" ht="14.25" customHeight="1" s="72">
      <c r="A202" s="22" t="inlineStr">
        <is>
          <t>2025-10-24 16:35:37</t>
        </is>
      </c>
      <c r="B202" s="22" t="n"/>
      <c r="C202" s="22" t="n"/>
      <c r="D202" s="22" t="inlineStr">
        <is>
          <t>Eric</t>
        </is>
      </c>
      <c r="E202" s="22" t="inlineStr">
        <is>
          <t>Jiménez</t>
        </is>
      </c>
      <c r="F202" s="22" t="inlineStr">
        <is>
          <t>Besouro</t>
        </is>
      </c>
      <c r="G202" s="23">
        <f>IF(F202&lt;&gt;"",F202,IF(AND(D202="",E202=""),"",TRIM(D202&amp;" "&amp;E202)))</f>
        <v/>
      </c>
      <c r="H202" s="22" t="n"/>
      <c r="I202" s="22" t="inlineStr">
        <is>
          <t>+34 667 483 500</t>
        </is>
      </c>
      <c r="J202" s="22" t="inlineStr">
        <is>
          <t>Montevideo-Uruguay</t>
        </is>
      </c>
      <c r="K202" s="22" t="inlineStr">
        <is>
          <t>Mestre Urso</t>
        </is>
      </c>
      <c r="L202" s="22" t="inlineStr">
        <is>
          <t>Laranja</t>
        </is>
      </c>
      <c r="M202" s="22" t="inlineStr">
        <is>
          <t>Masculino</t>
        </is>
      </c>
      <c r="N202" s="78" t="n">
        <v>40061</v>
      </c>
      <c r="O202" s="23">
        <f>IF(N202="","",DATEDIF(N202,TODAY(),"Y"))</f>
        <v/>
      </c>
      <c r="P202" s="23">
        <f>IF(O202="","",IF(O202&lt;=11,"Infantil",IF(O202&lt;=17,"Juvenil",IF(O202&lt;=44,"Adulto","Baobá"))))</f>
        <v/>
      </c>
      <c r="Q202" s="23">
        <f>IF(P202&lt;&gt;"Adulto","",IF(OR(L202="Marrom",L202="Marrom/Vermelha"),"A",IF(OR(L202="Roxa",L202="Roxa/Marrom"),"B",IF(OR(L202="Verde",L202="Verde/Roxa"),"C",IF(OR(L202="Azul",L202="Azul/Verde"),"D",IF(OR(L202="Laranja",L202="Laranja/Azul"),"E",IF(Y202="Sí","E","N/A")))))))</f>
        <v/>
      </c>
      <c r="R202" s="23">
        <f>IF(P202&lt;&gt;"Baobá","",IF(OR(L202="Laranja",L202="Laranja/Azul"),"Alumnos",IF(Y202="Sí","Alumnos","Graduados+")))</f>
        <v/>
      </c>
      <c r="S202" s="23">
        <f>IF(P202="","",IF(P202="Adulto",IF(OR(Q202="",Q202="N/A"),"⚠ Corda no compite Adulto",P202&amp;"-"&amp;Q202&amp;" · "&amp;M202),IF(P202="Baobá",IF(R202="","⚠ Sin clasificar Baobá",P202&amp;"-"&amp;R202&amp;" · "&amp;M202),IF(P202="Juvenil",IF(AND(OR(L202="Crua",L202="Crua/Amarela"),Y202&lt;&gt;"Sí"),"⚠ Juvenil necesita Amarela+",P202&amp;" · "&amp;M202),P202&amp;" · "&amp;M202))))</f>
        <v/>
      </c>
      <c r="T202" s="23" t="n"/>
      <c r="U202" s="22" t="inlineStr">
        <is>
          <t>Sí</t>
        </is>
      </c>
      <c r="V202" s="22" t="n"/>
      <c r="W202" s="22" t="n"/>
      <c r="X202" s="22" t="n"/>
      <c r="Y202" s="22" t="inlineStr">
        <is>
          <t>No</t>
        </is>
      </c>
      <c r="Z202" s="22" t="inlineStr">
        <is>
          <t>XXL</t>
        </is>
      </c>
      <c r="AA202" s="22" t="n">
        <v>35</v>
      </c>
      <c r="AB202" s="22" t="inlineStr">
        <is>
          <t>Pagado</t>
        </is>
      </c>
      <c r="AC202" s="22" t="n"/>
      <c r="AD202" s="23">
        <f>IF(D202&lt;&gt;"","P"&amp;TEXT(ROW()-4,"0000"),"")</f>
        <v/>
      </c>
    </row>
    <row r="203" ht="14.25" customHeight="1" s="72">
      <c r="A203" s="22" t="inlineStr">
        <is>
          <t>2025-09-01 15:06:18</t>
        </is>
      </c>
      <c r="B203" s="22" t="n"/>
      <c r="C203" s="22" t="n"/>
      <c r="D203" s="22" t="inlineStr">
        <is>
          <t>Daniel</t>
        </is>
      </c>
      <c r="E203" s="22" t="inlineStr">
        <is>
          <t>Rodrigues</t>
        </is>
      </c>
      <c r="F203" s="22" t="inlineStr">
        <is>
          <t>Albatroz</t>
        </is>
      </c>
      <c r="G203" s="23">
        <f>IF(F203&lt;&gt;"",F203,IF(AND(D203="",E203=""),"",TRIM(D203&amp;" "&amp;E203)))</f>
        <v/>
      </c>
      <c r="H203" s="22" t="n"/>
      <c r="I203" s="22" t="inlineStr">
        <is>
          <t>+34 624 951 847</t>
        </is>
      </c>
      <c r="J203" s="22" t="inlineStr">
        <is>
          <t>Manaus-Brasil</t>
        </is>
      </c>
      <c r="K203" s="22" t="inlineStr">
        <is>
          <t>Contra-Mestre Jabuti</t>
        </is>
      </c>
      <c r="L203" s="22" t="inlineStr">
        <is>
          <t>Amarela</t>
        </is>
      </c>
      <c r="M203" s="22" t="inlineStr">
        <is>
          <t>Masculino</t>
        </is>
      </c>
      <c r="N203" s="78" t="n">
        <v>41075</v>
      </c>
      <c r="O203" s="23">
        <f>IF(N203="","",DATEDIF(N203,TODAY(),"Y"))</f>
        <v/>
      </c>
      <c r="P203" s="23">
        <f>IF(O203="","",IF(O203&lt;=11,"Infantil",IF(O203&lt;=17,"Juvenil",IF(O203&lt;=44,"Adulto","Baobá"))))</f>
        <v/>
      </c>
      <c r="Q203" s="23">
        <f>IF(P203&lt;&gt;"Adulto","",IF(OR(L203="Marrom",L203="Marrom/Vermelha"),"A",IF(OR(L203="Roxa",L203="Roxa/Marrom"),"B",IF(OR(L203="Verde",L203="Verde/Roxa"),"C",IF(OR(L203="Azul",L203="Azul/Verde"),"D",IF(OR(L203="Laranja",L203="Laranja/Azul"),"E",IF(Y203="Sí","E","N/A")))))))</f>
        <v/>
      </c>
      <c r="R203" s="23">
        <f>IF(P203&lt;&gt;"Baobá","",IF(OR(L203="Laranja",L203="Laranja/Azul"),"Alumnos",IF(Y203="Sí","Alumnos","Graduados+")))</f>
        <v/>
      </c>
      <c r="S203" s="23">
        <f>IF(P203="","",IF(P203="Adulto",IF(OR(Q203="",Q203="N/A"),"⚠ Corda no compite Adulto",P203&amp;"-"&amp;Q203&amp;" · "&amp;M203),IF(P203="Baobá",IF(R203="","⚠ Sin clasificar Baobá",P203&amp;"-"&amp;R203&amp;" · "&amp;M203),IF(P203="Juvenil",IF(AND(OR(L203="Crua",L203="Crua/Amarela"),Y203&lt;&gt;"Sí"),"⚠ Juvenil necesita Amarela+",P203&amp;" · "&amp;M203),P203&amp;" · "&amp;M203))))</f>
        <v/>
      </c>
      <c r="T203" s="23" t="n"/>
      <c r="U203" s="22" t="inlineStr">
        <is>
          <t>Sí</t>
        </is>
      </c>
      <c r="V203" s="22" t="n"/>
      <c r="W203" s="22" t="n"/>
      <c r="X203" s="22" t="n"/>
      <c r="Y203" s="22" t="inlineStr">
        <is>
          <t>No</t>
        </is>
      </c>
      <c r="Z203" s="22" t="inlineStr">
        <is>
          <t>XS</t>
        </is>
      </c>
      <c r="AA203" s="22" t="n">
        <v>35</v>
      </c>
      <c r="AB203" s="22" t="inlineStr">
        <is>
          <t>Pagado</t>
        </is>
      </c>
      <c r="AC203" s="22" t="n"/>
      <c r="AD203" s="23">
        <f>IF(D203&lt;&gt;"","P"&amp;TEXT(ROW()-4,"0000"),"")</f>
        <v/>
      </c>
    </row>
    <row r="204" ht="14.25" customHeight="1" s="72">
      <c r="A204" s="22" t="inlineStr">
        <is>
          <t>2025-08-17 15:22:30</t>
        </is>
      </c>
      <c r="B204" s="22" t="n"/>
      <c r="C204" s="22" t="n"/>
      <c r="D204" s="22" t="inlineStr">
        <is>
          <t>Lucas</t>
        </is>
      </c>
      <c r="E204" s="22" t="inlineStr">
        <is>
          <t>Petit</t>
        </is>
      </c>
      <c r="F204" s="22" t="inlineStr">
        <is>
          <t>Pato</t>
        </is>
      </c>
      <c r="G204" s="23">
        <f>IF(F204&lt;&gt;"",F204,IF(AND(D204="",E204=""),"",TRIM(D204&amp;" "&amp;E204)))</f>
        <v/>
      </c>
      <c r="H204" s="22" t="n"/>
      <c r="I204" s="22" t="inlineStr">
        <is>
          <t>+34 699 563 426</t>
        </is>
      </c>
      <c r="J204" s="22" t="inlineStr">
        <is>
          <t>Recife-Brasil</t>
        </is>
      </c>
      <c r="K204" s="22" t="inlineStr">
        <is>
          <t>Mestre Coruja</t>
        </is>
      </c>
      <c r="L204" s="22" t="inlineStr">
        <is>
          <t>Laranja</t>
        </is>
      </c>
      <c r="M204" s="22" t="inlineStr">
        <is>
          <t>Masculino</t>
        </is>
      </c>
      <c r="N204" s="78" t="n">
        <v>41977</v>
      </c>
      <c r="O204" s="23">
        <f>IF(N204="","",DATEDIF(N204,TODAY(),"Y"))</f>
        <v/>
      </c>
      <c r="P204" s="23">
        <f>IF(O204="","",IF(O204&lt;=11,"Infantil",IF(O204&lt;=17,"Juvenil",IF(O204&lt;=44,"Adulto","Baobá"))))</f>
        <v/>
      </c>
      <c r="Q204" s="23">
        <f>IF(P204&lt;&gt;"Adulto","",IF(OR(L204="Marrom",L204="Marrom/Vermelha"),"A",IF(OR(L204="Roxa",L204="Roxa/Marrom"),"B",IF(OR(L204="Verde",L204="Verde/Roxa"),"C",IF(OR(L204="Azul",L204="Azul/Verde"),"D",IF(OR(L204="Laranja",L204="Laranja/Azul"),"E",IF(Y204="Sí","E","N/A")))))))</f>
        <v/>
      </c>
      <c r="R204" s="23">
        <f>IF(P204&lt;&gt;"Baobá","",IF(OR(L204="Laranja",L204="Laranja/Azul"),"Alumnos",IF(Y204="Sí","Alumnos","Graduados+")))</f>
        <v/>
      </c>
      <c r="S204" s="23">
        <f>IF(P204="","",IF(P204="Adulto",IF(OR(Q204="",Q204="N/A"),"⚠ Corda no compite Adulto",P204&amp;"-"&amp;Q204&amp;" · "&amp;M204),IF(P204="Baobá",IF(R204="","⚠ Sin clasificar Baobá",P204&amp;"-"&amp;R204&amp;" · "&amp;M204),IF(P204="Juvenil",IF(AND(OR(L204="Crua",L204="Crua/Amarela"),Y204&lt;&gt;"Sí"),"⚠ Juvenil necesita Amarela+",P204&amp;" · "&amp;M204),P204&amp;" · "&amp;M204))))</f>
        <v/>
      </c>
      <c r="T204" s="23" t="n"/>
      <c r="U204" s="22" t="inlineStr">
        <is>
          <t>Sí</t>
        </is>
      </c>
      <c r="V204" s="22" t="n"/>
      <c r="W204" s="22" t="n"/>
      <c r="X204" s="22" t="n"/>
      <c r="Y204" s="22" t="inlineStr">
        <is>
          <t>No</t>
        </is>
      </c>
      <c r="Z204" s="22" t="inlineStr">
        <is>
          <t>S</t>
        </is>
      </c>
      <c r="AA204" s="22" t="n">
        <v>35</v>
      </c>
      <c r="AB204" s="22" t="inlineStr">
        <is>
          <t>Pagado</t>
        </is>
      </c>
      <c r="AC204" s="22" t="n"/>
      <c r="AD204" s="23">
        <f>IF(D204&lt;&gt;"","P"&amp;TEXT(ROW()-4,"0000"),"")</f>
        <v/>
      </c>
    </row>
    <row r="205" ht="14.25" customHeight="1" s="72">
      <c r="A205" s="22" t="inlineStr">
        <is>
          <t>2025-08-28 13:41:06</t>
        </is>
      </c>
      <c r="B205" s="22" t="n"/>
      <c r="C205" s="22" t="n"/>
      <c r="D205" s="22" t="inlineStr">
        <is>
          <t>Gabriel</t>
        </is>
      </c>
      <c r="E205" s="22" t="inlineStr">
        <is>
          <t>López</t>
        </is>
      </c>
      <c r="F205" s="22" t="inlineStr">
        <is>
          <t>Escorpião</t>
        </is>
      </c>
      <c r="G205" s="23">
        <f>IF(F205&lt;&gt;"",F205,IF(AND(D205="",E205=""),"",TRIM(D205&amp;" "&amp;E205)))</f>
        <v/>
      </c>
      <c r="H205" s="22" t="n"/>
      <c r="I205" s="22" t="inlineStr">
        <is>
          <t>+34 662 801 603</t>
        </is>
      </c>
      <c r="J205" s="22" t="inlineStr">
        <is>
          <t>Milán-Italia</t>
        </is>
      </c>
      <c r="K205" s="22" t="inlineStr">
        <is>
          <t>Mestre Puma</t>
        </is>
      </c>
      <c r="L205" s="22" t="inlineStr">
        <is>
          <t>Amarela</t>
        </is>
      </c>
      <c r="M205" s="22" t="inlineStr">
        <is>
          <t>Masculino</t>
        </is>
      </c>
      <c r="N205" s="78" t="n">
        <v>40605</v>
      </c>
      <c r="O205" s="23">
        <f>IF(N205="","",DATEDIF(N205,TODAY(),"Y"))</f>
        <v/>
      </c>
      <c r="P205" s="23">
        <f>IF(O205="","",IF(O205&lt;=11,"Infantil",IF(O205&lt;=17,"Juvenil",IF(O205&lt;=44,"Adulto","Baobá"))))</f>
        <v/>
      </c>
      <c r="Q205" s="23">
        <f>IF(P205&lt;&gt;"Adulto","",IF(OR(L205="Marrom",L205="Marrom/Vermelha"),"A",IF(OR(L205="Roxa",L205="Roxa/Marrom"),"B",IF(OR(L205="Verde",L205="Verde/Roxa"),"C",IF(OR(L205="Azul",L205="Azul/Verde"),"D",IF(OR(L205="Laranja",L205="Laranja/Azul"),"E",IF(Y205="Sí","E","N/A")))))))</f>
        <v/>
      </c>
      <c r="R205" s="23">
        <f>IF(P205&lt;&gt;"Baobá","",IF(OR(L205="Laranja",L205="Laranja/Azul"),"Alumnos",IF(Y205="Sí","Alumnos","Graduados+")))</f>
        <v/>
      </c>
      <c r="S205" s="23">
        <f>IF(P205="","",IF(P205="Adulto",IF(OR(Q205="",Q205="N/A"),"⚠ Corda no compite Adulto",P205&amp;"-"&amp;Q205&amp;" · "&amp;M205),IF(P205="Baobá",IF(R205="","⚠ Sin clasificar Baobá",P205&amp;"-"&amp;R205&amp;" · "&amp;M205),IF(P205="Juvenil",IF(AND(OR(L205="Crua",L205="Crua/Amarela"),Y205&lt;&gt;"Sí"),"⚠ Juvenil necesita Amarela+",P205&amp;" · "&amp;M205),P205&amp;" · "&amp;M205))))</f>
        <v/>
      </c>
      <c r="T205" s="23" t="n"/>
      <c r="U205" s="22" t="inlineStr">
        <is>
          <t>Sí</t>
        </is>
      </c>
      <c r="V205" s="22" t="n"/>
      <c r="W205" s="22" t="n"/>
      <c r="X205" s="22" t="n"/>
      <c r="Y205" s="22" t="inlineStr">
        <is>
          <t>No</t>
        </is>
      </c>
      <c r="Z205" s="22" t="inlineStr">
        <is>
          <t>M</t>
        </is>
      </c>
      <c r="AA205" s="22" t="n">
        <v>35</v>
      </c>
      <c r="AB205" s="22" t="inlineStr">
        <is>
          <t>Pagado</t>
        </is>
      </c>
      <c r="AC205" s="22" t="n"/>
      <c r="AD205" s="23">
        <f>IF(D205&lt;&gt;"","P"&amp;TEXT(ROW()-4,"0000"),"")</f>
        <v/>
      </c>
    </row>
    <row r="206" ht="14.25" customHeight="1" s="72">
      <c r="A206" s="22" t="inlineStr">
        <is>
          <t>2025-10-01 20:48:14</t>
        </is>
      </c>
      <c r="B206" s="22" t="n"/>
      <c r="C206" s="22" t="n"/>
      <c r="D206" s="22" t="inlineStr">
        <is>
          <t>Santiago</t>
        </is>
      </c>
      <c r="E206" s="22" t="inlineStr">
        <is>
          <t>Pereira</t>
        </is>
      </c>
      <c r="F206" s="22" t="inlineStr">
        <is>
          <t>Morcego</t>
        </is>
      </c>
      <c r="G206" s="23">
        <f>IF(F206&lt;&gt;"",F206,IF(AND(D206="",E206=""),"",TRIM(D206&amp;" "&amp;E206)))</f>
        <v/>
      </c>
      <c r="H206" s="22" t="n"/>
      <c r="I206" s="22" t="inlineStr">
        <is>
          <t>+34 645 330 650</t>
        </is>
      </c>
      <c r="J206" s="22" t="inlineStr">
        <is>
          <t>Coimbra-Portugal</t>
        </is>
      </c>
      <c r="K206" s="22" t="inlineStr">
        <is>
          <t>Professor Gavião</t>
        </is>
      </c>
      <c r="L206" s="22" t="inlineStr">
        <is>
          <t>Laranja</t>
        </is>
      </c>
      <c r="M206" s="22" t="inlineStr">
        <is>
          <t>Masculino</t>
        </is>
      </c>
      <c r="N206" s="78" t="n">
        <v>40840</v>
      </c>
      <c r="O206" s="23">
        <f>IF(N206="","",DATEDIF(N206,TODAY(),"Y"))</f>
        <v/>
      </c>
      <c r="P206" s="23">
        <f>IF(O206="","",IF(O206&lt;=11,"Infantil",IF(O206&lt;=17,"Juvenil",IF(O206&lt;=44,"Adulto","Baobá"))))</f>
        <v/>
      </c>
      <c r="Q206" s="23">
        <f>IF(P206&lt;&gt;"Adulto","",IF(OR(L206="Marrom",L206="Marrom/Vermelha"),"A",IF(OR(L206="Roxa",L206="Roxa/Marrom"),"B",IF(OR(L206="Verde",L206="Verde/Roxa"),"C",IF(OR(L206="Azul",L206="Azul/Verde"),"D",IF(OR(L206="Laranja",L206="Laranja/Azul"),"E",IF(Y206="Sí","E","N/A")))))))</f>
        <v/>
      </c>
      <c r="R206" s="23">
        <f>IF(P206&lt;&gt;"Baobá","",IF(OR(L206="Laranja",L206="Laranja/Azul"),"Alumnos",IF(Y206="Sí","Alumnos","Graduados+")))</f>
        <v/>
      </c>
      <c r="S206" s="23">
        <f>IF(P206="","",IF(P206="Adulto",IF(OR(Q206="",Q206="N/A"),"⚠ Corda no compite Adulto",P206&amp;"-"&amp;Q206&amp;" · "&amp;M206),IF(P206="Baobá",IF(R206="","⚠ Sin clasificar Baobá",P206&amp;"-"&amp;R206&amp;" · "&amp;M206),IF(P206="Juvenil",IF(AND(OR(L206="Crua",L206="Crua/Amarela"),Y206&lt;&gt;"Sí"),"⚠ Juvenil necesita Amarela+",P206&amp;" · "&amp;M206),P206&amp;" · "&amp;M206))))</f>
        <v/>
      </c>
      <c r="T206" s="23" t="n"/>
      <c r="U206" s="22" t="inlineStr">
        <is>
          <t>Sí</t>
        </is>
      </c>
      <c r="V206" s="22" t="n"/>
      <c r="W206" s="22" t="n"/>
      <c r="X206" s="22" t="n"/>
      <c r="Y206" s="22" t="inlineStr">
        <is>
          <t>No</t>
        </is>
      </c>
      <c r="Z206" s="22" t="inlineStr">
        <is>
          <t>L</t>
        </is>
      </c>
      <c r="AA206" s="22" t="n">
        <v>35</v>
      </c>
      <c r="AB206" s="22" t="inlineStr">
        <is>
          <t>Pagado</t>
        </is>
      </c>
      <c r="AC206" s="22" t="n"/>
      <c r="AD206" s="23">
        <f>IF(D206&lt;&gt;"","P"&amp;TEXT(ROW()-4,"0000"),"")</f>
        <v/>
      </c>
    </row>
    <row r="207" ht="14.25" customHeight="1" s="72">
      <c r="A207" s="22" t="inlineStr">
        <is>
          <t>2025-09-18 16:07:36</t>
        </is>
      </c>
      <c r="B207" s="22" t="n"/>
      <c r="C207" s="22" t="n"/>
      <c r="D207" s="22" t="inlineStr">
        <is>
          <t>Fábio</t>
        </is>
      </c>
      <c r="E207" s="22" t="inlineStr">
        <is>
          <t>Weber</t>
        </is>
      </c>
      <c r="F207" s="22" t="inlineStr">
        <is>
          <t>Vagalume</t>
        </is>
      </c>
      <c r="G207" s="23">
        <f>IF(F207&lt;&gt;"",F207,IF(AND(D207="",E207=""),"",TRIM(D207&amp;" "&amp;E207)))</f>
        <v/>
      </c>
      <c r="H207" s="22" t="n"/>
      <c r="I207" s="22" t="inlineStr">
        <is>
          <t>+34 679 943 475</t>
        </is>
      </c>
      <c r="J207" s="22" t="inlineStr">
        <is>
          <t>Salvador-Brasil</t>
        </is>
      </c>
      <c r="K207" s="22" t="inlineStr">
        <is>
          <t>Mestre Puma</t>
        </is>
      </c>
      <c r="L207" s="22" t="inlineStr">
        <is>
          <t>Amarela</t>
        </is>
      </c>
      <c r="M207" s="22" t="inlineStr">
        <is>
          <t>Masculino</t>
        </is>
      </c>
      <c r="N207" s="78" t="n">
        <v>40282</v>
      </c>
      <c r="O207" s="23">
        <f>IF(N207="","",DATEDIF(N207,TODAY(),"Y"))</f>
        <v/>
      </c>
      <c r="P207" s="23">
        <f>IF(O207="","",IF(O207&lt;=11,"Infantil",IF(O207&lt;=17,"Juvenil",IF(O207&lt;=44,"Adulto","Baobá"))))</f>
        <v/>
      </c>
      <c r="Q207" s="23">
        <f>IF(P207&lt;&gt;"Adulto","",IF(OR(L207="Marrom",L207="Marrom/Vermelha"),"A",IF(OR(L207="Roxa",L207="Roxa/Marrom"),"B",IF(OR(L207="Verde",L207="Verde/Roxa"),"C",IF(OR(L207="Azul",L207="Azul/Verde"),"D",IF(OR(L207="Laranja",L207="Laranja/Azul"),"E",IF(Y207="Sí","E","N/A")))))))</f>
        <v/>
      </c>
      <c r="R207" s="23">
        <f>IF(P207&lt;&gt;"Baobá","",IF(OR(L207="Laranja",L207="Laranja/Azul"),"Alumnos",IF(Y207="Sí","Alumnos","Graduados+")))</f>
        <v/>
      </c>
      <c r="S207" s="23">
        <f>IF(P207="","",IF(P207="Adulto",IF(OR(Q207="",Q207="N/A"),"⚠ Corda no compite Adulto",P207&amp;"-"&amp;Q207&amp;" · "&amp;M207),IF(P207="Baobá",IF(R207="","⚠ Sin clasificar Baobá",P207&amp;"-"&amp;R207&amp;" · "&amp;M207),IF(P207="Juvenil",IF(AND(OR(L207="Crua",L207="Crua/Amarela"),Y207&lt;&gt;"Sí"),"⚠ Juvenil necesita Amarela+",P207&amp;" · "&amp;M207),P207&amp;" · "&amp;M207))))</f>
        <v/>
      </c>
      <c r="T207" s="23" t="n"/>
      <c r="U207" s="22" t="inlineStr">
        <is>
          <t>Sí</t>
        </is>
      </c>
      <c r="V207" s="22" t="n"/>
      <c r="W207" s="22" t="n"/>
      <c r="X207" s="22" t="n"/>
      <c r="Y207" s="22" t="inlineStr">
        <is>
          <t>No</t>
        </is>
      </c>
      <c r="Z207" s="22" t="inlineStr">
        <is>
          <t>XL</t>
        </is>
      </c>
      <c r="AA207" s="22" t="n">
        <v>35</v>
      </c>
      <c r="AB207" s="22" t="inlineStr">
        <is>
          <t>Pagado</t>
        </is>
      </c>
      <c r="AC207" s="22" t="n"/>
      <c r="AD207" s="23">
        <f>IF(D207&lt;&gt;"","P"&amp;TEXT(ROW()-4,"0000"),"")</f>
        <v/>
      </c>
    </row>
    <row r="208" ht="14.25" customHeight="1" s="72">
      <c r="A208" s="22" t="inlineStr">
        <is>
          <t>2025-08-24 21:41:48</t>
        </is>
      </c>
      <c r="B208" s="22" t="n"/>
      <c r="C208" s="22" t="n"/>
      <c r="D208" s="22" t="inlineStr">
        <is>
          <t>Miguel</t>
        </is>
      </c>
      <c r="E208" s="22" t="inlineStr">
        <is>
          <t>Hoffmann</t>
        </is>
      </c>
      <c r="F208" s="22" t="inlineStr">
        <is>
          <t>Boto</t>
        </is>
      </c>
      <c r="G208" s="23">
        <f>IF(F208&lt;&gt;"",F208,IF(AND(D208="",E208=""),"",TRIM(D208&amp;" "&amp;E208)))</f>
        <v/>
      </c>
      <c r="H208" s="22" t="n"/>
      <c r="I208" s="22" t="inlineStr">
        <is>
          <t>+34 614 560 369</t>
        </is>
      </c>
      <c r="J208" s="22" t="inlineStr">
        <is>
          <t>Berlín-Alemania</t>
        </is>
      </c>
      <c r="K208" s="22" t="inlineStr">
        <is>
          <t>Contra-Mestre Falcão</t>
        </is>
      </c>
      <c r="L208" s="22" t="inlineStr">
        <is>
          <t>Amarela</t>
        </is>
      </c>
      <c r="M208" s="22" t="inlineStr">
        <is>
          <t>Masculino</t>
        </is>
      </c>
      <c r="N208" s="78" t="n">
        <v>40599</v>
      </c>
      <c r="O208" s="23">
        <f>IF(N208="","",DATEDIF(N208,TODAY(),"Y"))</f>
        <v/>
      </c>
      <c r="P208" s="23">
        <f>IF(O208="","",IF(O208&lt;=11,"Infantil",IF(O208&lt;=17,"Juvenil",IF(O208&lt;=44,"Adulto","Baobá"))))</f>
        <v/>
      </c>
      <c r="Q208" s="23">
        <f>IF(P208&lt;&gt;"Adulto","",IF(OR(L208="Marrom",L208="Marrom/Vermelha"),"A",IF(OR(L208="Roxa",L208="Roxa/Marrom"),"B",IF(OR(L208="Verde",L208="Verde/Roxa"),"C",IF(OR(L208="Azul",L208="Azul/Verde"),"D",IF(OR(L208="Laranja",L208="Laranja/Azul"),"E",IF(Y208="Sí","E","N/A")))))))</f>
        <v/>
      </c>
      <c r="R208" s="23">
        <f>IF(P208&lt;&gt;"Baobá","",IF(OR(L208="Laranja",L208="Laranja/Azul"),"Alumnos",IF(Y208="Sí","Alumnos","Graduados+")))</f>
        <v/>
      </c>
      <c r="S208" s="23">
        <f>IF(P208="","",IF(P208="Adulto",IF(OR(Q208="",Q208="N/A"),"⚠ Corda no compite Adulto",P208&amp;"-"&amp;Q208&amp;" · "&amp;M208),IF(P208="Baobá",IF(R208="","⚠ Sin clasificar Baobá",P208&amp;"-"&amp;R208&amp;" · "&amp;M208),IF(P208="Juvenil",IF(AND(OR(L208="Crua",L208="Crua/Amarela"),Y208&lt;&gt;"Sí"),"⚠ Juvenil necesita Amarela+",P208&amp;" · "&amp;M208),P208&amp;" · "&amp;M208))))</f>
        <v/>
      </c>
      <c r="T208" s="23" t="n"/>
      <c r="U208" s="22" t="inlineStr">
        <is>
          <t>Sí</t>
        </is>
      </c>
      <c r="V208" s="22" t="n"/>
      <c r="W208" s="22" t="n"/>
      <c r="X208" s="22" t="n"/>
      <c r="Y208" s="22" t="inlineStr">
        <is>
          <t>No</t>
        </is>
      </c>
      <c r="Z208" s="22" t="inlineStr">
        <is>
          <t>XXL</t>
        </is>
      </c>
      <c r="AA208" s="22" t="n">
        <v>35</v>
      </c>
      <c r="AB208" s="22" t="inlineStr">
        <is>
          <t>Pagado</t>
        </is>
      </c>
      <c r="AC208" s="22" t="n"/>
      <c r="AD208" s="23">
        <f>IF(D208&lt;&gt;"","P"&amp;TEXT(ROW()-4,"0000"),"")</f>
        <v/>
      </c>
    </row>
    <row r="209" ht="14.25" customHeight="1" s="72">
      <c r="A209" s="22" t="inlineStr">
        <is>
          <t>2025-08-07 20:47:37</t>
        </is>
      </c>
      <c r="B209" s="22" t="n"/>
      <c r="C209" s="22" t="n"/>
      <c r="D209" s="22" t="inlineStr">
        <is>
          <t>Eric</t>
        </is>
      </c>
      <c r="E209" s="22" t="inlineStr">
        <is>
          <t>Bianchi</t>
        </is>
      </c>
      <c r="F209" s="22" t="inlineStr">
        <is>
          <t>Bicho-Preguiça</t>
        </is>
      </c>
      <c r="G209" s="23">
        <f>IF(F209&lt;&gt;"",F209,IF(AND(D209="",E209=""),"",TRIM(D209&amp;" "&amp;E209)))</f>
        <v/>
      </c>
      <c r="H209" s="22" t="n"/>
      <c r="I209" s="22" t="inlineStr">
        <is>
          <t>+34 688 747 538</t>
        </is>
      </c>
      <c r="J209" s="22" t="inlineStr">
        <is>
          <t>Madrid-España</t>
        </is>
      </c>
      <c r="K209" s="22" t="inlineStr">
        <is>
          <t>Professor Lobo</t>
        </is>
      </c>
      <c r="L209" s="22" t="inlineStr">
        <is>
          <t>Laranja</t>
        </is>
      </c>
      <c r="M209" s="22" t="inlineStr">
        <is>
          <t>Masculino</t>
        </is>
      </c>
      <c r="N209" s="78" t="n">
        <v>41391</v>
      </c>
      <c r="O209" s="23">
        <f>IF(N209="","",DATEDIF(N209,TODAY(),"Y"))</f>
        <v/>
      </c>
      <c r="P209" s="23">
        <f>IF(O209="","",IF(O209&lt;=11,"Infantil",IF(O209&lt;=17,"Juvenil",IF(O209&lt;=44,"Adulto","Baobá"))))</f>
        <v/>
      </c>
      <c r="Q209" s="23">
        <f>IF(P209&lt;&gt;"Adulto","",IF(OR(L209="Marrom",L209="Marrom/Vermelha"),"A",IF(OR(L209="Roxa",L209="Roxa/Marrom"),"B",IF(OR(L209="Verde",L209="Verde/Roxa"),"C",IF(OR(L209="Azul",L209="Azul/Verde"),"D",IF(OR(L209="Laranja",L209="Laranja/Azul"),"E",IF(Y209="Sí","E","N/A")))))))</f>
        <v/>
      </c>
      <c r="R209" s="23">
        <f>IF(P209&lt;&gt;"Baobá","",IF(OR(L209="Laranja",L209="Laranja/Azul"),"Alumnos",IF(Y209="Sí","Alumnos","Graduados+")))</f>
        <v/>
      </c>
      <c r="S209" s="23">
        <f>IF(P209="","",IF(P209="Adulto",IF(OR(Q209="",Q209="N/A"),"⚠ Corda no compite Adulto",P209&amp;"-"&amp;Q209&amp;" · "&amp;M209),IF(P209="Baobá",IF(R209="","⚠ Sin clasificar Baobá",P209&amp;"-"&amp;R209&amp;" · "&amp;M209),IF(P209="Juvenil",IF(AND(OR(L209="Crua",L209="Crua/Amarela"),Y209&lt;&gt;"Sí"),"⚠ Juvenil necesita Amarela+",P209&amp;" · "&amp;M209),P209&amp;" · "&amp;M209))))</f>
        <v/>
      </c>
      <c r="T209" s="23" t="n"/>
      <c r="U209" s="22" t="inlineStr">
        <is>
          <t>Sí</t>
        </is>
      </c>
      <c r="V209" s="22" t="n"/>
      <c r="W209" s="22" t="n"/>
      <c r="X209" s="22" t="n"/>
      <c r="Y209" s="22" t="inlineStr">
        <is>
          <t>No</t>
        </is>
      </c>
      <c r="Z209" s="22" t="inlineStr">
        <is>
          <t>XS</t>
        </is>
      </c>
      <c r="AA209" s="22" t="n">
        <v>35</v>
      </c>
      <c r="AB209" s="22" t="inlineStr">
        <is>
          <t>Pagado</t>
        </is>
      </c>
      <c r="AC209" s="22" t="n"/>
      <c r="AD209" s="23">
        <f>IF(D209&lt;&gt;"","P"&amp;TEXT(ROW()-4,"0000"),"")</f>
        <v/>
      </c>
    </row>
    <row r="210" ht="14.25" customHeight="1" s="72">
      <c r="A210" s="22" t="inlineStr">
        <is>
          <t>2025-08-26 08:36:22</t>
        </is>
      </c>
      <c r="B210" s="22" t="n"/>
      <c r="C210" s="22" t="n"/>
      <c r="D210" s="22" t="inlineStr">
        <is>
          <t>Francisco</t>
        </is>
      </c>
      <c r="E210" s="22" t="inlineStr">
        <is>
          <t>Meyer</t>
        </is>
      </c>
      <c r="F210" s="22" t="inlineStr">
        <is>
          <t>Camarão</t>
        </is>
      </c>
      <c r="G210" s="23">
        <f>IF(F210&lt;&gt;"",F210,IF(AND(D210="",E210=""),"",TRIM(D210&amp;" "&amp;E210)))</f>
        <v/>
      </c>
      <c r="H210" s="22" t="n"/>
      <c r="I210" s="22" t="inlineStr">
        <is>
          <t>+34 686 651 272</t>
        </is>
      </c>
      <c r="J210" s="22" t="inlineStr">
        <is>
          <t>Lyon-Francia</t>
        </is>
      </c>
      <c r="K210" s="22" t="inlineStr">
        <is>
          <t>Mestre Coruja</t>
        </is>
      </c>
      <c r="L210" s="22" t="inlineStr">
        <is>
          <t>Amarela</t>
        </is>
      </c>
      <c r="M210" s="22" t="inlineStr">
        <is>
          <t>Masculino</t>
        </is>
      </c>
      <c r="N210" s="78" t="n">
        <v>41191</v>
      </c>
      <c r="O210" s="23">
        <f>IF(N210="","",DATEDIF(N210,TODAY(),"Y"))</f>
        <v/>
      </c>
      <c r="P210" s="23">
        <f>IF(O210="","",IF(O210&lt;=11,"Infantil",IF(O210&lt;=17,"Juvenil",IF(O210&lt;=44,"Adulto","Baobá"))))</f>
        <v/>
      </c>
      <c r="Q210" s="23">
        <f>IF(P210&lt;&gt;"Adulto","",IF(OR(L210="Marrom",L210="Marrom/Vermelha"),"A",IF(OR(L210="Roxa",L210="Roxa/Marrom"),"B",IF(OR(L210="Verde",L210="Verde/Roxa"),"C",IF(OR(L210="Azul",L210="Azul/Verde"),"D",IF(OR(L210="Laranja",L210="Laranja/Azul"),"E",IF(Y210="Sí","E","N/A")))))))</f>
        <v/>
      </c>
      <c r="R210" s="23">
        <f>IF(P210&lt;&gt;"Baobá","",IF(OR(L210="Laranja",L210="Laranja/Azul"),"Alumnos",IF(Y210="Sí","Alumnos","Graduados+")))</f>
        <v/>
      </c>
      <c r="S210" s="23">
        <f>IF(P210="","",IF(P210="Adulto",IF(OR(Q210="",Q210="N/A"),"⚠ Corda no compite Adulto",P210&amp;"-"&amp;Q210&amp;" · "&amp;M210),IF(P210="Baobá",IF(R210="","⚠ Sin clasificar Baobá",P210&amp;"-"&amp;R210&amp;" · "&amp;M210),IF(P210="Juvenil",IF(AND(OR(L210="Crua",L210="Crua/Amarela"),Y210&lt;&gt;"Sí"),"⚠ Juvenil necesita Amarela+",P210&amp;" · "&amp;M210),P210&amp;" · "&amp;M210))))</f>
        <v/>
      </c>
      <c r="T210" s="23" t="n"/>
      <c r="U210" s="22" t="inlineStr">
        <is>
          <t>Sí</t>
        </is>
      </c>
      <c r="V210" s="22" t="n"/>
      <c r="W210" s="22" t="n"/>
      <c r="X210" s="22" t="n"/>
      <c r="Y210" s="22" t="inlineStr">
        <is>
          <t>No</t>
        </is>
      </c>
      <c r="Z210" s="22" t="inlineStr">
        <is>
          <t>S</t>
        </is>
      </c>
      <c r="AA210" s="22" t="n">
        <v>35</v>
      </c>
      <c r="AB210" s="22" t="inlineStr">
        <is>
          <t>Pagado</t>
        </is>
      </c>
      <c r="AC210" s="22" t="n"/>
      <c r="AD210" s="23">
        <f>IF(D210&lt;&gt;"","P"&amp;TEXT(ROW()-4,"0000"),"")</f>
        <v/>
      </c>
    </row>
    <row r="211" ht="14.25" customHeight="1" s="72">
      <c r="A211" s="22" t="inlineStr">
        <is>
          <t>2025-10-22 21:06:08</t>
        </is>
      </c>
      <c r="B211" s="22" t="n"/>
      <c r="C211" s="22" t="n"/>
      <c r="D211" s="22" t="inlineStr">
        <is>
          <t>Antoine</t>
        </is>
      </c>
      <c r="E211" s="22" t="inlineStr">
        <is>
          <t>Bernard</t>
        </is>
      </c>
      <c r="F211" s="22" t="inlineStr">
        <is>
          <t>Grilo</t>
        </is>
      </c>
      <c r="G211" s="23">
        <f>IF(F211&lt;&gt;"",F211,IF(AND(D211="",E211=""),"",TRIM(D211&amp;" "&amp;E211)))</f>
        <v/>
      </c>
      <c r="H211" s="22" t="n"/>
      <c r="I211" s="22" t="inlineStr">
        <is>
          <t>+34 617 383 987</t>
        </is>
      </c>
      <c r="J211" s="22" t="inlineStr">
        <is>
          <t>Brasília-Brasil</t>
        </is>
      </c>
      <c r="K211" s="22" t="inlineStr">
        <is>
          <t>Mestre Cobra</t>
        </is>
      </c>
      <c r="L211" s="22" t="inlineStr">
        <is>
          <t>Laranja</t>
        </is>
      </c>
      <c r="M211" s="22" t="inlineStr">
        <is>
          <t>Masculino</t>
        </is>
      </c>
      <c r="N211" s="78" t="n">
        <v>41356</v>
      </c>
      <c r="O211" s="23">
        <f>IF(N211="","",DATEDIF(N211,TODAY(),"Y"))</f>
        <v/>
      </c>
      <c r="P211" s="23">
        <f>IF(O211="","",IF(O211&lt;=11,"Infantil",IF(O211&lt;=17,"Juvenil",IF(O211&lt;=44,"Adulto","Baobá"))))</f>
        <v/>
      </c>
      <c r="Q211" s="23">
        <f>IF(P211&lt;&gt;"Adulto","",IF(OR(L211="Marrom",L211="Marrom/Vermelha"),"A",IF(OR(L211="Roxa",L211="Roxa/Marrom"),"B",IF(OR(L211="Verde",L211="Verde/Roxa"),"C",IF(OR(L211="Azul",L211="Azul/Verde"),"D",IF(OR(L211="Laranja",L211="Laranja/Azul"),"E",IF(Y211="Sí","E","N/A")))))))</f>
        <v/>
      </c>
      <c r="R211" s="23">
        <f>IF(P211&lt;&gt;"Baobá","",IF(OR(L211="Laranja",L211="Laranja/Azul"),"Alumnos",IF(Y211="Sí","Alumnos","Graduados+")))</f>
        <v/>
      </c>
      <c r="S211" s="23">
        <f>IF(P211="","",IF(P211="Adulto",IF(OR(Q211="",Q211="N/A"),"⚠ Corda no compite Adulto",P211&amp;"-"&amp;Q211&amp;" · "&amp;M211),IF(P211="Baobá",IF(R211="","⚠ Sin clasificar Baobá",P211&amp;"-"&amp;R211&amp;" · "&amp;M211),IF(P211="Juvenil",IF(AND(OR(L211="Crua",L211="Crua/Amarela"),Y211&lt;&gt;"Sí"),"⚠ Juvenil necesita Amarela+",P211&amp;" · "&amp;M211),P211&amp;" · "&amp;M211))))</f>
        <v/>
      </c>
      <c r="T211" s="23" t="n"/>
      <c r="U211" s="22" t="inlineStr">
        <is>
          <t>Sí</t>
        </is>
      </c>
      <c r="V211" s="22" t="n"/>
      <c r="W211" s="22" t="n"/>
      <c r="X211" s="22" t="n"/>
      <c r="Y211" s="22" t="inlineStr">
        <is>
          <t>No</t>
        </is>
      </c>
      <c r="Z211" s="22" t="inlineStr">
        <is>
          <t>M</t>
        </is>
      </c>
      <c r="AA211" s="22" t="n">
        <v>35</v>
      </c>
      <c r="AB211" s="22" t="inlineStr">
        <is>
          <t>Pagado</t>
        </is>
      </c>
      <c r="AC211" s="22" t="n"/>
      <c r="AD211" s="23">
        <f>IF(D211&lt;&gt;"","P"&amp;TEXT(ROW()-4,"0000"),"")</f>
        <v/>
      </c>
    </row>
    <row r="212" ht="14.25" customHeight="1" s="72">
      <c r="A212" s="22" t="inlineStr">
        <is>
          <t>2025-09-27 11:48:53</t>
        </is>
      </c>
      <c r="B212" s="22" t="n"/>
      <c r="C212" s="22" t="n"/>
      <c r="D212" s="22" t="inlineStr">
        <is>
          <t>Gabriel</t>
        </is>
      </c>
      <c r="E212" s="22" t="inlineStr">
        <is>
          <t>Dupont</t>
        </is>
      </c>
      <c r="F212" s="22" t="inlineStr">
        <is>
          <t>Formiga</t>
        </is>
      </c>
      <c r="G212" s="23">
        <f>IF(F212&lt;&gt;"",F212,IF(AND(D212="",E212=""),"",TRIM(D212&amp;" "&amp;E212)))</f>
        <v/>
      </c>
      <c r="H212" s="22" t="n"/>
      <c r="I212" s="22" t="inlineStr">
        <is>
          <t>+34 672 245 691</t>
        </is>
      </c>
      <c r="J212" s="22" t="inlineStr">
        <is>
          <t>Cascais-Portugal</t>
        </is>
      </c>
      <c r="K212" s="22" t="inlineStr">
        <is>
          <t>Professor Macaco</t>
        </is>
      </c>
      <c r="L212" s="22" t="inlineStr">
        <is>
          <t>Laranja</t>
        </is>
      </c>
      <c r="M212" s="22" t="inlineStr">
        <is>
          <t>Masculino</t>
        </is>
      </c>
      <c r="N212" s="78" t="n">
        <v>40758</v>
      </c>
      <c r="O212" s="23">
        <f>IF(N212="","",DATEDIF(N212,TODAY(),"Y"))</f>
        <v/>
      </c>
      <c r="P212" s="23">
        <f>IF(O212="","",IF(O212&lt;=11,"Infantil",IF(O212&lt;=17,"Juvenil",IF(O212&lt;=44,"Adulto","Baobá"))))</f>
        <v/>
      </c>
      <c r="Q212" s="23">
        <f>IF(P212&lt;&gt;"Adulto","",IF(OR(L212="Marrom",L212="Marrom/Vermelha"),"A",IF(OR(L212="Roxa",L212="Roxa/Marrom"),"B",IF(OR(L212="Verde",L212="Verde/Roxa"),"C",IF(OR(L212="Azul",L212="Azul/Verde"),"D",IF(OR(L212="Laranja",L212="Laranja/Azul"),"E",IF(Y212="Sí","E","N/A")))))))</f>
        <v/>
      </c>
      <c r="R212" s="23">
        <f>IF(P212&lt;&gt;"Baobá","",IF(OR(L212="Laranja",L212="Laranja/Azul"),"Alumnos",IF(Y212="Sí","Alumnos","Graduados+")))</f>
        <v/>
      </c>
      <c r="S212" s="23">
        <f>IF(P212="","",IF(P212="Adulto",IF(OR(Q212="",Q212="N/A"),"⚠ Corda no compite Adulto",P212&amp;"-"&amp;Q212&amp;" · "&amp;M212),IF(P212="Baobá",IF(R212="","⚠ Sin clasificar Baobá",P212&amp;"-"&amp;R212&amp;" · "&amp;M212),IF(P212="Juvenil",IF(AND(OR(L212="Crua",L212="Crua/Amarela"),Y212&lt;&gt;"Sí"),"⚠ Juvenil necesita Amarela+",P212&amp;" · "&amp;M212),P212&amp;" · "&amp;M212))))</f>
        <v/>
      </c>
      <c r="T212" s="23" t="n"/>
      <c r="U212" s="22" t="inlineStr">
        <is>
          <t>Sí</t>
        </is>
      </c>
      <c r="V212" s="22" t="n"/>
      <c r="W212" s="22" t="n"/>
      <c r="X212" s="22" t="n"/>
      <c r="Y212" s="22" t="inlineStr">
        <is>
          <t>No</t>
        </is>
      </c>
      <c r="Z212" s="22" t="inlineStr">
        <is>
          <t>L</t>
        </is>
      </c>
      <c r="AA212" s="22" t="n">
        <v>35</v>
      </c>
      <c r="AB212" s="22" t="inlineStr">
        <is>
          <t>Pagado</t>
        </is>
      </c>
      <c r="AC212" s="22" t="n"/>
      <c r="AD212" s="23">
        <f>IF(D212&lt;&gt;"","P"&amp;TEXT(ROW()-4,"0000"),"")</f>
        <v/>
      </c>
    </row>
    <row r="213" ht="14.25" customHeight="1" s="72">
      <c r="A213" s="22" t="inlineStr">
        <is>
          <t>2025-10-26 22:49:05</t>
        </is>
      </c>
      <c r="B213" s="22" t="n"/>
      <c r="C213" s="22" t="n"/>
      <c r="D213" s="22" t="inlineStr">
        <is>
          <t>Tamara</t>
        </is>
      </c>
      <c r="E213" s="22" t="inlineStr">
        <is>
          <t>Neves</t>
        </is>
      </c>
      <c r="F213" s="22" t="inlineStr">
        <is>
          <t>Salamandra</t>
        </is>
      </c>
      <c r="G213" s="23">
        <f>IF(F213&lt;&gt;"",F213,IF(AND(D213="",E213=""),"",TRIM(D213&amp;" "&amp;E213)))</f>
        <v/>
      </c>
      <c r="H213" s="22" t="n"/>
      <c r="I213" s="22" t="inlineStr">
        <is>
          <t>+34 645 811 998</t>
        </is>
      </c>
      <c r="J213" s="22" t="inlineStr">
        <is>
          <t>Hamburgo-Alemania</t>
        </is>
      </c>
      <c r="K213" s="22" t="inlineStr">
        <is>
          <t>Mestre Puma</t>
        </is>
      </c>
      <c r="L213" s="22" t="inlineStr">
        <is>
          <t>Laranja</t>
        </is>
      </c>
      <c r="M213" s="22" t="inlineStr">
        <is>
          <t>Femenino</t>
        </is>
      </c>
      <c r="N213" s="78" t="n">
        <v>40713</v>
      </c>
      <c r="O213" s="23">
        <f>IF(N213="","",DATEDIF(N213,TODAY(),"Y"))</f>
        <v/>
      </c>
      <c r="P213" s="23">
        <f>IF(O213="","",IF(O213&lt;=11,"Infantil",IF(O213&lt;=17,"Juvenil",IF(O213&lt;=44,"Adulto","Baobá"))))</f>
        <v/>
      </c>
      <c r="Q213" s="23">
        <f>IF(P213&lt;&gt;"Adulto","",IF(OR(L213="Marrom",L213="Marrom/Vermelha"),"A",IF(OR(L213="Roxa",L213="Roxa/Marrom"),"B",IF(OR(L213="Verde",L213="Verde/Roxa"),"C",IF(OR(L213="Azul",L213="Azul/Verde"),"D",IF(OR(L213="Laranja",L213="Laranja/Azul"),"E",IF(Y213="Sí","E","N/A")))))))</f>
        <v/>
      </c>
      <c r="R213" s="23">
        <f>IF(P213&lt;&gt;"Baobá","",IF(OR(L213="Laranja",L213="Laranja/Azul"),"Alumnos",IF(Y213="Sí","Alumnos","Graduados+")))</f>
        <v/>
      </c>
      <c r="S213" s="23">
        <f>IF(P213="","",IF(P213="Adulto",IF(OR(Q213="",Q213="N/A"),"⚠ Corda no compite Adulto",P213&amp;"-"&amp;Q213&amp;" · "&amp;M213),IF(P213="Baobá",IF(R213="","⚠ Sin clasificar Baobá",P213&amp;"-"&amp;R213&amp;" · "&amp;M213),IF(P213="Juvenil",IF(AND(OR(L213="Crua",L213="Crua/Amarela"),Y213&lt;&gt;"Sí"),"⚠ Juvenil necesita Amarela+",P213&amp;" · "&amp;M213),P213&amp;" · "&amp;M213))))</f>
        <v/>
      </c>
      <c r="T213" s="23" t="n"/>
      <c r="U213" s="22" t="inlineStr">
        <is>
          <t>Sí</t>
        </is>
      </c>
      <c r="V213" s="22" t="n"/>
      <c r="W213" s="22" t="n"/>
      <c r="X213" s="22" t="n"/>
      <c r="Y213" s="22" t="inlineStr">
        <is>
          <t>No</t>
        </is>
      </c>
      <c r="Z213" s="22" t="inlineStr">
        <is>
          <t>XL</t>
        </is>
      </c>
      <c r="AA213" s="22" t="n">
        <v>35</v>
      </c>
      <c r="AB213" s="22" t="inlineStr">
        <is>
          <t>Pagado</t>
        </is>
      </c>
      <c r="AC213" s="22" t="n"/>
      <c r="AD213" s="23">
        <f>IF(D213&lt;&gt;"","P"&amp;TEXT(ROW()-4,"0000"),"")</f>
        <v/>
      </c>
    </row>
    <row r="214" ht="14.25" customHeight="1" s="72">
      <c r="A214" s="22" t="inlineStr">
        <is>
          <t>2025-08-28 20:54:46</t>
        </is>
      </c>
      <c r="B214" s="22" t="n"/>
      <c r="C214" s="22" t="n"/>
      <c r="D214" s="22" t="inlineStr">
        <is>
          <t>Julia</t>
        </is>
      </c>
      <c r="E214" s="22" t="inlineStr">
        <is>
          <t>Leroy</t>
        </is>
      </c>
      <c r="F214" s="22" t="inlineStr">
        <is>
          <t>Arara-Azul</t>
        </is>
      </c>
      <c r="G214" s="23">
        <f>IF(F214&lt;&gt;"",F214,IF(AND(D214="",E214=""),"",TRIM(D214&amp;" "&amp;E214)))</f>
        <v/>
      </c>
      <c r="H214" s="22" t="n"/>
      <c r="I214" s="22" t="inlineStr">
        <is>
          <t>+34 691 780 814</t>
        </is>
      </c>
      <c r="J214" s="22" t="inlineStr">
        <is>
          <t>Berlín-Alemania</t>
        </is>
      </c>
      <c r="K214" s="22" t="inlineStr">
        <is>
          <t>Contra-Mestre Falcão</t>
        </is>
      </c>
      <c r="L214" s="22" t="inlineStr">
        <is>
          <t>Laranja</t>
        </is>
      </c>
      <c r="M214" s="22" t="inlineStr">
        <is>
          <t>Femenino</t>
        </is>
      </c>
      <c r="N214" s="78" t="n">
        <v>40366</v>
      </c>
      <c r="O214" s="23">
        <f>IF(N214="","",DATEDIF(N214,TODAY(),"Y"))</f>
        <v/>
      </c>
      <c r="P214" s="23">
        <f>IF(O214="","",IF(O214&lt;=11,"Infantil",IF(O214&lt;=17,"Juvenil",IF(O214&lt;=44,"Adulto","Baobá"))))</f>
        <v/>
      </c>
      <c r="Q214" s="23">
        <f>IF(P214&lt;&gt;"Adulto","",IF(OR(L214="Marrom",L214="Marrom/Vermelha"),"A",IF(OR(L214="Roxa",L214="Roxa/Marrom"),"B",IF(OR(L214="Verde",L214="Verde/Roxa"),"C",IF(OR(L214="Azul",L214="Azul/Verde"),"D",IF(OR(L214="Laranja",L214="Laranja/Azul"),"E",IF(Y214="Sí","E","N/A")))))))</f>
        <v/>
      </c>
      <c r="R214" s="23">
        <f>IF(P214&lt;&gt;"Baobá","",IF(OR(L214="Laranja",L214="Laranja/Azul"),"Alumnos",IF(Y214="Sí","Alumnos","Graduados+")))</f>
        <v/>
      </c>
      <c r="S214" s="23">
        <f>IF(P214="","",IF(P214="Adulto",IF(OR(Q214="",Q214="N/A"),"⚠ Corda no compite Adulto",P214&amp;"-"&amp;Q214&amp;" · "&amp;M214),IF(P214="Baobá",IF(R214="","⚠ Sin clasificar Baobá",P214&amp;"-"&amp;R214&amp;" · "&amp;M214),IF(P214="Juvenil",IF(AND(OR(L214="Crua",L214="Crua/Amarela"),Y214&lt;&gt;"Sí"),"⚠ Juvenil necesita Amarela+",P214&amp;" · "&amp;M214),P214&amp;" · "&amp;M214))))</f>
        <v/>
      </c>
      <c r="T214" s="23" t="n"/>
      <c r="U214" s="22" t="inlineStr">
        <is>
          <t>Sí</t>
        </is>
      </c>
      <c r="V214" s="22" t="n"/>
      <c r="W214" s="22" t="n"/>
      <c r="X214" s="22" t="n"/>
      <c r="Y214" s="22" t="inlineStr">
        <is>
          <t>No</t>
        </is>
      </c>
      <c r="Z214" s="22" t="inlineStr">
        <is>
          <t>XXL</t>
        </is>
      </c>
      <c r="AA214" s="22" t="n">
        <v>35</v>
      </c>
      <c r="AB214" s="22" t="inlineStr">
        <is>
          <t>Pagado</t>
        </is>
      </c>
      <c r="AC214" s="22" t="n"/>
      <c r="AD214" s="23">
        <f>IF(D214&lt;&gt;"","P"&amp;TEXT(ROW()-4,"0000"),"")</f>
        <v/>
      </c>
    </row>
    <row r="215" ht="14.25" customHeight="1" s="72">
      <c r="A215" s="22" t="inlineStr">
        <is>
          <t>2025-09-27 11:31:17</t>
        </is>
      </c>
      <c r="B215" s="22" t="n"/>
      <c r="C215" s="22" t="n"/>
      <c r="D215" s="22" t="inlineStr">
        <is>
          <t>Elisa</t>
        </is>
      </c>
      <c r="E215" s="22" t="inlineStr">
        <is>
          <t>Wagner</t>
        </is>
      </c>
      <c r="F215" s="22" t="inlineStr">
        <is>
          <t>Gambá</t>
        </is>
      </c>
      <c r="G215" s="23">
        <f>IF(F215&lt;&gt;"",F215,IF(AND(D215="",E215=""),"",TRIM(D215&amp;" "&amp;E215)))</f>
        <v/>
      </c>
      <c r="H215" s="22" t="n"/>
      <c r="I215" s="22" t="inlineStr">
        <is>
          <t>+34 653 660 691</t>
        </is>
      </c>
      <c r="J215" s="22" t="inlineStr">
        <is>
          <t>Brasília-Brasil</t>
        </is>
      </c>
      <c r="K215" s="22" t="inlineStr">
        <is>
          <t>Mestre Urso</t>
        </is>
      </c>
      <c r="L215" s="22" t="inlineStr">
        <is>
          <t>Laranja</t>
        </is>
      </c>
      <c r="M215" s="22" t="inlineStr">
        <is>
          <t>Femenino</t>
        </is>
      </c>
      <c r="N215" s="78" t="n">
        <v>40716</v>
      </c>
      <c r="O215" s="23">
        <f>IF(N215="","",DATEDIF(N215,TODAY(),"Y"))</f>
        <v/>
      </c>
      <c r="P215" s="23">
        <f>IF(O215="","",IF(O215&lt;=11,"Infantil",IF(O215&lt;=17,"Juvenil",IF(O215&lt;=44,"Adulto","Baobá"))))</f>
        <v/>
      </c>
      <c r="Q215" s="23">
        <f>IF(P215&lt;&gt;"Adulto","",IF(OR(L215="Marrom",L215="Marrom/Vermelha"),"A",IF(OR(L215="Roxa",L215="Roxa/Marrom"),"B",IF(OR(L215="Verde",L215="Verde/Roxa"),"C",IF(OR(L215="Azul",L215="Azul/Verde"),"D",IF(OR(L215="Laranja",L215="Laranja/Azul"),"E",IF(Y215="Sí","E","N/A")))))))</f>
        <v/>
      </c>
      <c r="R215" s="23">
        <f>IF(P215&lt;&gt;"Baobá","",IF(OR(L215="Laranja",L215="Laranja/Azul"),"Alumnos",IF(Y215="Sí","Alumnos","Graduados+")))</f>
        <v/>
      </c>
      <c r="S215" s="23">
        <f>IF(P215="","",IF(P215="Adulto",IF(OR(Q215="",Q215="N/A"),"⚠ Corda no compite Adulto",P215&amp;"-"&amp;Q215&amp;" · "&amp;M215),IF(P215="Baobá",IF(R215="","⚠ Sin clasificar Baobá",P215&amp;"-"&amp;R215&amp;" · "&amp;M215),IF(P215="Juvenil",IF(AND(OR(L215="Crua",L215="Crua/Amarela"),Y215&lt;&gt;"Sí"),"⚠ Juvenil necesita Amarela+",P215&amp;" · "&amp;M215),P215&amp;" · "&amp;M215))))</f>
        <v/>
      </c>
      <c r="T215" s="23" t="n"/>
      <c r="U215" s="22" t="inlineStr">
        <is>
          <t>Sí</t>
        </is>
      </c>
      <c r="V215" s="22" t="n"/>
      <c r="W215" s="22" t="n"/>
      <c r="X215" s="22" t="n"/>
      <c r="Y215" s="22" t="inlineStr">
        <is>
          <t>No</t>
        </is>
      </c>
      <c r="Z215" s="22" t="inlineStr">
        <is>
          <t>XS</t>
        </is>
      </c>
      <c r="AA215" s="22" t="n">
        <v>35</v>
      </c>
      <c r="AB215" s="22" t="inlineStr">
        <is>
          <t>Pagado</t>
        </is>
      </c>
      <c r="AC215" s="22" t="n"/>
      <c r="AD215" s="23">
        <f>IF(D215&lt;&gt;"","P"&amp;TEXT(ROW()-4,"0000"),"")</f>
        <v/>
      </c>
    </row>
    <row r="216" ht="14.25" customHeight="1" s="72">
      <c r="A216" s="22" t="inlineStr">
        <is>
          <t>2025-08-02 09:40:50</t>
        </is>
      </c>
      <c r="B216" s="22" t="n"/>
      <c r="C216" s="22" t="n"/>
      <c r="D216" s="22" t="inlineStr">
        <is>
          <t>Miriam</t>
        </is>
      </c>
      <c r="E216" s="22" t="inlineStr">
        <is>
          <t>Oliveira</t>
        </is>
      </c>
      <c r="F216" s="22" t="inlineStr">
        <is>
          <t>Lobo-Branco</t>
        </is>
      </c>
      <c r="G216" s="23">
        <f>IF(F216&lt;&gt;"",F216,IF(AND(D216="",E216=""),"",TRIM(D216&amp;" "&amp;E216)))</f>
        <v/>
      </c>
      <c r="H216" s="22" t="n"/>
      <c r="I216" s="22" t="inlineStr">
        <is>
          <t>+34 625 978 261</t>
        </is>
      </c>
      <c r="J216" s="22" t="inlineStr">
        <is>
          <t>Buenos Aires-Argentina</t>
        </is>
      </c>
      <c r="K216" s="22" t="inlineStr">
        <is>
          <t>Mestre Puma</t>
        </is>
      </c>
      <c r="L216" s="22" t="inlineStr">
        <is>
          <t>Laranja</t>
        </is>
      </c>
      <c r="M216" s="22" t="inlineStr">
        <is>
          <t>Femenino</t>
        </is>
      </c>
      <c r="N216" s="78" t="n">
        <v>41827</v>
      </c>
      <c r="O216" s="23">
        <f>IF(N216="","",DATEDIF(N216,TODAY(),"Y"))</f>
        <v/>
      </c>
      <c r="P216" s="23">
        <f>IF(O216="","",IF(O216&lt;=11,"Infantil",IF(O216&lt;=17,"Juvenil",IF(O216&lt;=44,"Adulto","Baobá"))))</f>
        <v/>
      </c>
      <c r="Q216" s="23">
        <f>IF(P216&lt;&gt;"Adulto","",IF(OR(L216="Marrom",L216="Marrom/Vermelha"),"A",IF(OR(L216="Roxa",L216="Roxa/Marrom"),"B",IF(OR(L216="Verde",L216="Verde/Roxa"),"C",IF(OR(L216="Azul",L216="Azul/Verde"),"D",IF(OR(L216="Laranja",L216="Laranja/Azul"),"E",IF(Y216="Sí","E","N/A")))))))</f>
        <v/>
      </c>
      <c r="R216" s="23">
        <f>IF(P216&lt;&gt;"Baobá","",IF(OR(L216="Laranja",L216="Laranja/Azul"),"Alumnos",IF(Y216="Sí","Alumnos","Graduados+")))</f>
        <v/>
      </c>
      <c r="S216" s="23">
        <f>IF(P216="","",IF(P216="Adulto",IF(OR(Q216="",Q216="N/A"),"⚠ Corda no compite Adulto",P216&amp;"-"&amp;Q216&amp;" · "&amp;M216),IF(P216="Baobá",IF(R216="","⚠ Sin clasificar Baobá",P216&amp;"-"&amp;R216&amp;" · "&amp;M216),IF(P216="Juvenil",IF(AND(OR(L216="Crua",L216="Crua/Amarela"),Y216&lt;&gt;"Sí"),"⚠ Juvenil necesita Amarela+",P216&amp;" · "&amp;M216),P216&amp;" · "&amp;M216))))</f>
        <v/>
      </c>
      <c r="T216" s="23" t="n"/>
      <c r="U216" s="22" t="inlineStr">
        <is>
          <t>Sí</t>
        </is>
      </c>
      <c r="V216" s="22" t="n"/>
      <c r="W216" s="22" t="n"/>
      <c r="X216" s="22" t="n"/>
      <c r="Y216" s="22" t="inlineStr">
        <is>
          <t>No</t>
        </is>
      </c>
      <c r="Z216" s="22" t="inlineStr">
        <is>
          <t>S</t>
        </is>
      </c>
      <c r="AA216" s="22" t="n">
        <v>35</v>
      </c>
      <c r="AB216" s="22" t="inlineStr">
        <is>
          <t>Pagado</t>
        </is>
      </c>
      <c r="AC216" s="22" t="n"/>
      <c r="AD216" s="23">
        <f>IF(D216&lt;&gt;"","P"&amp;TEXT(ROW()-4,"0000"),"")</f>
        <v/>
      </c>
    </row>
    <row r="217" ht="14.25" customHeight="1" s="72">
      <c r="A217" s="22" t="inlineStr">
        <is>
          <t>2025-10-05 22:41:19</t>
        </is>
      </c>
      <c r="B217" s="22" t="n"/>
      <c r="C217" s="22" t="n"/>
      <c r="D217" s="22" t="inlineStr">
        <is>
          <t>Valentina</t>
        </is>
      </c>
      <c r="E217" s="22" t="inlineStr">
        <is>
          <t>Meyer</t>
        </is>
      </c>
      <c r="F217" s="22" t="inlineStr">
        <is>
          <t>Raia</t>
        </is>
      </c>
      <c r="G217" s="23">
        <f>IF(F217&lt;&gt;"",F217,IF(AND(D217="",E217=""),"",TRIM(D217&amp;" "&amp;E217)))</f>
        <v/>
      </c>
      <c r="H217" s="22" t="n"/>
      <c r="I217" s="22" t="inlineStr">
        <is>
          <t>+34 621 770 469</t>
        </is>
      </c>
      <c r="J217" s="22" t="inlineStr">
        <is>
          <t>Porto-Portugal</t>
        </is>
      </c>
      <c r="K217" s="22" t="inlineStr">
        <is>
          <t>Contra-Mestre Falcão</t>
        </is>
      </c>
      <c r="L217" s="22" t="inlineStr">
        <is>
          <t>Laranja</t>
        </is>
      </c>
      <c r="M217" s="22" t="inlineStr">
        <is>
          <t>Femenino</t>
        </is>
      </c>
      <c r="N217" s="78" t="n">
        <v>41234</v>
      </c>
      <c r="O217" s="23">
        <f>IF(N217="","",DATEDIF(N217,TODAY(),"Y"))</f>
        <v/>
      </c>
      <c r="P217" s="23">
        <f>IF(O217="","",IF(O217&lt;=11,"Infantil",IF(O217&lt;=17,"Juvenil",IF(O217&lt;=44,"Adulto","Baobá"))))</f>
        <v/>
      </c>
      <c r="Q217" s="23">
        <f>IF(P217&lt;&gt;"Adulto","",IF(OR(L217="Marrom",L217="Marrom/Vermelha"),"A",IF(OR(L217="Roxa",L217="Roxa/Marrom"),"B",IF(OR(L217="Verde",L217="Verde/Roxa"),"C",IF(OR(L217="Azul",L217="Azul/Verde"),"D",IF(OR(L217="Laranja",L217="Laranja/Azul"),"E",IF(Y217="Sí","E","N/A")))))))</f>
        <v/>
      </c>
      <c r="R217" s="23">
        <f>IF(P217&lt;&gt;"Baobá","",IF(OR(L217="Laranja",L217="Laranja/Azul"),"Alumnos",IF(Y217="Sí","Alumnos","Graduados+")))</f>
        <v/>
      </c>
      <c r="S217" s="23">
        <f>IF(P217="","",IF(P217="Adulto",IF(OR(Q217="",Q217="N/A"),"⚠ Corda no compite Adulto",P217&amp;"-"&amp;Q217&amp;" · "&amp;M217),IF(P217="Baobá",IF(R217="","⚠ Sin clasificar Baobá",P217&amp;"-"&amp;R217&amp;" · "&amp;M217),IF(P217="Juvenil",IF(AND(OR(L217="Crua",L217="Crua/Amarela"),Y217&lt;&gt;"Sí"),"⚠ Juvenil necesita Amarela+",P217&amp;" · "&amp;M217),P217&amp;" · "&amp;M217))))</f>
        <v/>
      </c>
      <c r="T217" s="23" t="n"/>
      <c r="U217" s="22" t="inlineStr">
        <is>
          <t>Sí</t>
        </is>
      </c>
      <c r="V217" s="22" t="n"/>
      <c r="W217" s="22" t="n"/>
      <c r="X217" s="22" t="n"/>
      <c r="Y217" s="22" t="inlineStr">
        <is>
          <t>No</t>
        </is>
      </c>
      <c r="Z217" s="22" t="inlineStr">
        <is>
          <t>M</t>
        </is>
      </c>
      <c r="AA217" s="22" t="n">
        <v>35</v>
      </c>
      <c r="AB217" s="22" t="inlineStr">
        <is>
          <t>Pagado</t>
        </is>
      </c>
      <c r="AC217" s="22" t="n"/>
      <c r="AD217" s="23">
        <f>IF(D217&lt;&gt;"","P"&amp;TEXT(ROW()-4,"0000"),"")</f>
        <v/>
      </c>
    </row>
    <row r="218" ht="14.25" customHeight="1" s="72">
      <c r="A218" s="22" t="inlineStr">
        <is>
          <t>2025-08-02 14:40:19</t>
        </is>
      </c>
      <c r="B218" s="22" t="n"/>
      <c r="C218" s="22" t="n"/>
      <c r="D218" s="22" t="inlineStr">
        <is>
          <t>Latifa</t>
        </is>
      </c>
      <c r="E218" s="22" t="inlineStr">
        <is>
          <t>Ruiz</t>
        </is>
      </c>
      <c r="F218" s="22" t="inlineStr">
        <is>
          <t>Baleia</t>
        </is>
      </c>
      <c r="G218" s="23">
        <f>IF(F218&lt;&gt;"",F218,IF(AND(D218="",E218=""),"",TRIM(D218&amp;" "&amp;E218)))</f>
        <v/>
      </c>
      <c r="H218" s="22" t="n"/>
      <c r="I218" s="22" t="inlineStr">
        <is>
          <t>+34 664 771 193</t>
        </is>
      </c>
      <c r="J218" s="22" t="inlineStr">
        <is>
          <t>Curitiba-Brasil</t>
        </is>
      </c>
      <c r="K218" s="22" t="inlineStr">
        <is>
          <t>Mestre Bimba</t>
        </is>
      </c>
      <c r="L218" s="22" t="inlineStr">
        <is>
          <t>Amarela</t>
        </is>
      </c>
      <c r="M218" s="22" t="inlineStr">
        <is>
          <t>Femenino</t>
        </is>
      </c>
      <c r="N218" s="78" t="n">
        <v>41489</v>
      </c>
      <c r="O218" s="23">
        <f>IF(N218="","",DATEDIF(N218,TODAY(),"Y"))</f>
        <v/>
      </c>
      <c r="P218" s="23">
        <f>IF(O218="","",IF(O218&lt;=11,"Infantil",IF(O218&lt;=17,"Juvenil",IF(O218&lt;=44,"Adulto","Baobá"))))</f>
        <v/>
      </c>
      <c r="Q218" s="23">
        <f>IF(P218&lt;&gt;"Adulto","",IF(OR(L218="Marrom",L218="Marrom/Vermelha"),"A",IF(OR(L218="Roxa",L218="Roxa/Marrom"),"B",IF(OR(L218="Verde",L218="Verde/Roxa"),"C",IF(OR(L218="Azul",L218="Azul/Verde"),"D",IF(OR(L218="Laranja",L218="Laranja/Azul"),"E",IF(Y218="Sí","E","N/A")))))))</f>
        <v/>
      </c>
      <c r="R218" s="23">
        <f>IF(P218&lt;&gt;"Baobá","",IF(OR(L218="Laranja",L218="Laranja/Azul"),"Alumnos",IF(Y218="Sí","Alumnos","Graduados+")))</f>
        <v/>
      </c>
      <c r="S218" s="23">
        <f>IF(P218="","",IF(P218="Adulto",IF(OR(Q218="",Q218="N/A"),"⚠ Corda no compite Adulto",P218&amp;"-"&amp;Q218&amp;" · "&amp;M218),IF(P218="Baobá",IF(R218="","⚠ Sin clasificar Baobá",P218&amp;"-"&amp;R218&amp;" · "&amp;M218),IF(P218="Juvenil",IF(AND(OR(L218="Crua",L218="Crua/Amarela"),Y218&lt;&gt;"Sí"),"⚠ Juvenil necesita Amarela+",P218&amp;" · "&amp;M218),P218&amp;" · "&amp;M218))))</f>
        <v/>
      </c>
      <c r="T218" s="23" t="n"/>
      <c r="U218" s="22" t="inlineStr">
        <is>
          <t>Sí</t>
        </is>
      </c>
      <c r="V218" s="22" t="n"/>
      <c r="W218" s="22" t="n"/>
      <c r="X218" s="22" t="n"/>
      <c r="Y218" s="22" t="inlineStr">
        <is>
          <t>No</t>
        </is>
      </c>
      <c r="Z218" s="22" t="inlineStr">
        <is>
          <t>L</t>
        </is>
      </c>
      <c r="AA218" s="22" t="n">
        <v>35</v>
      </c>
      <c r="AB218" s="22" t="inlineStr">
        <is>
          <t>Pagado</t>
        </is>
      </c>
      <c r="AC218" s="22" t="n"/>
      <c r="AD218" s="23">
        <f>IF(D218&lt;&gt;"","P"&amp;TEXT(ROW()-4,"0000"),"")</f>
        <v/>
      </c>
    </row>
    <row r="219" ht="14.25" customHeight="1" s="72">
      <c r="A219" s="22" t="inlineStr">
        <is>
          <t>2025-08-19 11:33:43</t>
        </is>
      </c>
      <c r="B219" s="22" t="n"/>
      <c r="C219" s="22" t="n"/>
      <c r="D219" s="22" t="inlineStr">
        <is>
          <t>Nagore</t>
        </is>
      </c>
      <c r="E219" s="22" t="inlineStr">
        <is>
          <t>Santos</t>
        </is>
      </c>
      <c r="F219" s="22" t="inlineStr">
        <is>
          <t>Tucano</t>
        </is>
      </c>
      <c r="G219" s="23">
        <f>IF(F219&lt;&gt;"",F219,IF(AND(D219="",E219=""),"",TRIM(D219&amp;" "&amp;E219)))</f>
        <v/>
      </c>
      <c r="H219" s="22" t="n"/>
      <c r="I219" s="22" t="inlineStr">
        <is>
          <t>+34 611 812 451</t>
        </is>
      </c>
      <c r="J219" s="22" t="inlineStr">
        <is>
          <t>Porto Alegre-Brasil</t>
        </is>
      </c>
      <c r="K219" s="22" t="inlineStr">
        <is>
          <t>Professor Macaco</t>
        </is>
      </c>
      <c r="L219" s="22" t="inlineStr">
        <is>
          <t>Laranja</t>
        </is>
      </c>
      <c r="M219" s="22" t="inlineStr">
        <is>
          <t>Femenino</t>
        </is>
      </c>
      <c r="N219" s="78" t="n">
        <v>39888</v>
      </c>
      <c r="O219" s="23">
        <f>IF(N219="","",DATEDIF(N219,TODAY(),"Y"))</f>
        <v/>
      </c>
      <c r="P219" s="23">
        <f>IF(O219="","",IF(O219&lt;=11,"Infantil",IF(O219&lt;=17,"Juvenil",IF(O219&lt;=44,"Adulto","Baobá"))))</f>
        <v/>
      </c>
      <c r="Q219" s="23">
        <f>IF(P219&lt;&gt;"Adulto","",IF(OR(L219="Marrom",L219="Marrom/Vermelha"),"A",IF(OR(L219="Roxa",L219="Roxa/Marrom"),"B",IF(OR(L219="Verde",L219="Verde/Roxa"),"C",IF(OR(L219="Azul",L219="Azul/Verde"),"D",IF(OR(L219="Laranja",L219="Laranja/Azul"),"E",IF(Y219="Sí","E","N/A")))))))</f>
        <v/>
      </c>
      <c r="R219" s="23">
        <f>IF(P219&lt;&gt;"Baobá","",IF(OR(L219="Laranja",L219="Laranja/Azul"),"Alumnos",IF(Y219="Sí","Alumnos","Graduados+")))</f>
        <v/>
      </c>
      <c r="S219" s="23">
        <f>IF(P219="","",IF(P219="Adulto",IF(OR(Q219="",Q219="N/A"),"⚠ Corda no compite Adulto",P219&amp;"-"&amp;Q219&amp;" · "&amp;M219),IF(P219="Baobá",IF(R219="","⚠ Sin clasificar Baobá",P219&amp;"-"&amp;R219&amp;" · "&amp;M219),IF(P219="Juvenil",IF(AND(OR(L219="Crua",L219="Crua/Amarela"),Y219&lt;&gt;"Sí"),"⚠ Juvenil necesita Amarela+",P219&amp;" · "&amp;M219),P219&amp;" · "&amp;M219))))</f>
        <v/>
      </c>
      <c r="T219" s="23" t="n"/>
      <c r="U219" s="22" t="inlineStr">
        <is>
          <t>Sí</t>
        </is>
      </c>
      <c r="V219" s="22" t="n"/>
      <c r="W219" s="22" t="n"/>
      <c r="X219" s="22" t="n"/>
      <c r="Y219" s="22" t="inlineStr">
        <is>
          <t>No</t>
        </is>
      </c>
      <c r="Z219" s="22" t="inlineStr">
        <is>
          <t>XL</t>
        </is>
      </c>
      <c r="AA219" s="22" t="n">
        <v>35</v>
      </c>
      <c r="AB219" s="22" t="inlineStr">
        <is>
          <t>Pagado</t>
        </is>
      </c>
      <c r="AC219" s="22" t="n"/>
      <c r="AD219" s="23">
        <f>IF(D219&lt;&gt;"","P"&amp;TEXT(ROW()-4,"0000"),"")</f>
        <v/>
      </c>
    </row>
    <row r="220" ht="14.25" customHeight="1" s="72">
      <c r="A220" s="22" t="inlineStr">
        <is>
          <t>2025-08-08 14:05:46</t>
        </is>
      </c>
      <c r="B220" s="22" t="n"/>
      <c r="C220" s="22" t="n"/>
      <c r="D220" s="22" t="inlineStr">
        <is>
          <t>Lucia</t>
        </is>
      </c>
      <c r="E220" s="22" t="inlineStr">
        <is>
          <t>Gomes</t>
        </is>
      </c>
      <c r="F220" s="22" t="inlineStr">
        <is>
          <t>Louva-Deus</t>
        </is>
      </c>
      <c r="G220" s="23">
        <f>IF(F220&lt;&gt;"",F220,IF(AND(D220="",E220=""),"",TRIM(D220&amp;" "&amp;E220)))</f>
        <v/>
      </c>
      <c r="H220" s="22" t="n"/>
      <c r="I220" s="22" t="inlineStr">
        <is>
          <t>+34 650 476 406</t>
        </is>
      </c>
      <c r="J220" s="22" t="inlineStr">
        <is>
          <t>Brasília-Brasil</t>
        </is>
      </c>
      <c r="K220" s="22" t="inlineStr">
        <is>
          <t>Mestre Sucuri</t>
        </is>
      </c>
      <c r="L220" s="22" t="inlineStr">
        <is>
          <t>Laranja</t>
        </is>
      </c>
      <c r="M220" s="22" t="inlineStr">
        <is>
          <t>Femenino</t>
        </is>
      </c>
      <c r="N220" s="78" t="n">
        <v>41600</v>
      </c>
      <c r="O220" s="23">
        <f>IF(N220="","",DATEDIF(N220,TODAY(),"Y"))</f>
        <v/>
      </c>
      <c r="P220" s="23">
        <f>IF(O220="","",IF(O220&lt;=11,"Infantil",IF(O220&lt;=17,"Juvenil",IF(O220&lt;=44,"Adulto","Baobá"))))</f>
        <v/>
      </c>
      <c r="Q220" s="23">
        <f>IF(P220&lt;&gt;"Adulto","",IF(OR(L220="Marrom",L220="Marrom/Vermelha"),"A",IF(OR(L220="Roxa",L220="Roxa/Marrom"),"B",IF(OR(L220="Verde",L220="Verde/Roxa"),"C",IF(OR(L220="Azul",L220="Azul/Verde"),"D",IF(OR(L220="Laranja",L220="Laranja/Azul"),"E",IF(Y220="Sí","E","N/A")))))))</f>
        <v/>
      </c>
      <c r="R220" s="23">
        <f>IF(P220&lt;&gt;"Baobá","",IF(OR(L220="Laranja",L220="Laranja/Azul"),"Alumnos",IF(Y220="Sí","Alumnos","Graduados+")))</f>
        <v/>
      </c>
      <c r="S220" s="23">
        <f>IF(P220="","",IF(P220="Adulto",IF(OR(Q220="",Q220="N/A"),"⚠ Corda no compite Adulto",P220&amp;"-"&amp;Q220&amp;" · "&amp;M220),IF(P220="Baobá",IF(R220="","⚠ Sin clasificar Baobá",P220&amp;"-"&amp;R220&amp;" · "&amp;M220),IF(P220="Juvenil",IF(AND(OR(L220="Crua",L220="Crua/Amarela"),Y220&lt;&gt;"Sí"),"⚠ Juvenil necesita Amarela+",P220&amp;" · "&amp;M220),P220&amp;" · "&amp;M220))))</f>
        <v/>
      </c>
      <c r="T220" s="23" t="n"/>
      <c r="U220" s="22" t="inlineStr">
        <is>
          <t>Sí</t>
        </is>
      </c>
      <c r="V220" s="22" t="n"/>
      <c r="W220" s="22" t="n"/>
      <c r="X220" s="22" t="n"/>
      <c r="Y220" s="22" t="inlineStr">
        <is>
          <t>No</t>
        </is>
      </c>
      <c r="Z220" s="22" t="inlineStr">
        <is>
          <t>XXL</t>
        </is>
      </c>
      <c r="AA220" s="22" t="n">
        <v>35</v>
      </c>
      <c r="AB220" s="22" t="inlineStr">
        <is>
          <t>Pagado</t>
        </is>
      </c>
      <c r="AC220" s="22" t="n"/>
      <c r="AD220" s="23">
        <f>IF(D220&lt;&gt;"","P"&amp;TEXT(ROW()-4,"0000"),"")</f>
        <v/>
      </c>
    </row>
    <row r="221" ht="14.25" customHeight="1" s="72">
      <c r="A221" s="22" t="inlineStr">
        <is>
          <t>2025-08-03 16:36:00</t>
        </is>
      </c>
      <c r="B221" s="22" t="n"/>
      <c r="C221" s="22" t="n"/>
      <c r="D221" s="22" t="inlineStr">
        <is>
          <t>Lorena</t>
        </is>
      </c>
      <c r="E221" s="22" t="inlineStr">
        <is>
          <t>López</t>
        </is>
      </c>
      <c r="F221" s="22" t="inlineStr">
        <is>
          <t>Rã</t>
        </is>
      </c>
      <c r="G221" s="23">
        <f>IF(F221&lt;&gt;"",F221,IF(AND(D221="",E221=""),"",TRIM(D221&amp;" "&amp;E221)))</f>
        <v/>
      </c>
      <c r="H221" s="22" t="n"/>
      <c r="I221" s="22" t="inlineStr">
        <is>
          <t>+34 666 459 839</t>
        </is>
      </c>
      <c r="J221" s="22" t="inlineStr">
        <is>
          <t>Valencia-España</t>
        </is>
      </c>
      <c r="K221" s="22" t="inlineStr">
        <is>
          <t>Mestre Cobra</t>
        </is>
      </c>
      <c r="L221" s="22" t="inlineStr">
        <is>
          <t>Amarela</t>
        </is>
      </c>
      <c r="M221" s="22" t="inlineStr">
        <is>
          <t>Femenino</t>
        </is>
      </c>
      <c r="N221" s="78" t="n">
        <v>40838</v>
      </c>
      <c r="O221" s="23">
        <f>IF(N221="","",DATEDIF(N221,TODAY(),"Y"))</f>
        <v/>
      </c>
      <c r="P221" s="23">
        <f>IF(O221="","",IF(O221&lt;=11,"Infantil",IF(O221&lt;=17,"Juvenil",IF(O221&lt;=44,"Adulto","Baobá"))))</f>
        <v/>
      </c>
      <c r="Q221" s="23">
        <f>IF(P221&lt;&gt;"Adulto","",IF(OR(L221="Marrom",L221="Marrom/Vermelha"),"A",IF(OR(L221="Roxa",L221="Roxa/Marrom"),"B",IF(OR(L221="Verde",L221="Verde/Roxa"),"C",IF(OR(L221="Azul",L221="Azul/Verde"),"D",IF(OR(L221="Laranja",L221="Laranja/Azul"),"E",IF(Y221="Sí","E","N/A")))))))</f>
        <v/>
      </c>
      <c r="R221" s="23">
        <f>IF(P221&lt;&gt;"Baobá","",IF(OR(L221="Laranja",L221="Laranja/Azul"),"Alumnos",IF(Y221="Sí","Alumnos","Graduados+")))</f>
        <v/>
      </c>
      <c r="S221" s="23">
        <f>IF(P221="","",IF(P221="Adulto",IF(OR(Q221="",Q221="N/A"),"⚠ Corda no compite Adulto",P221&amp;"-"&amp;Q221&amp;" · "&amp;M221),IF(P221="Baobá",IF(R221="","⚠ Sin clasificar Baobá",P221&amp;"-"&amp;R221&amp;" · "&amp;M221),IF(P221="Juvenil",IF(AND(OR(L221="Crua",L221="Crua/Amarela"),Y221&lt;&gt;"Sí"),"⚠ Juvenil necesita Amarela+",P221&amp;" · "&amp;M221),P221&amp;" · "&amp;M221))))</f>
        <v/>
      </c>
      <c r="T221" s="23" t="n"/>
      <c r="U221" s="22" t="inlineStr">
        <is>
          <t>Sí</t>
        </is>
      </c>
      <c r="V221" s="22" t="n"/>
      <c r="W221" s="22" t="n"/>
      <c r="X221" s="22" t="n"/>
      <c r="Y221" s="22" t="inlineStr">
        <is>
          <t>No</t>
        </is>
      </c>
      <c r="Z221" s="22" t="inlineStr">
        <is>
          <t>XS</t>
        </is>
      </c>
      <c r="AA221" s="22" t="n">
        <v>35</v>
      </c>
      <c r="AB221" s="22" t="inlineStr">
        <is>
          <t>Pagado</t>
        </is>
      </c>
      <c r="AC221" s="22" t="n"/>
      <c r="AD221" s="23">
        <f>IF(D221&lt;&gt;"","P"&amp;TEXT(ROW()-4,"0000"),"")</f>
        <v/>
      </c>
    </row>
    <row r="222" ht="14.25" customHeight="1" s="72">
      <c r="A222" s="22" t="inlineStr">
        <is>
          <t>2025-09-28 11:05:57</t>
        </is>
      </c>
      <c r="B222" s="22" t="n"/>
      <c r="C222" s="22" t="n"/>
      <c r="D222" s="22" t="inlineStr">
        <is>
          <t>Lucia</t>
        </is>
      </c>
      <c r="E222" s="22" t="inlineStr">
        <is>
          <t>Barbosa</t>
        </is>
      </c>
      <c r="F222" s="22" t="inlineStr">
        <is>
          <t>Tamanduá</t>
        </is>
      </c>
      <c r="G222" s="23">
        <f>IF(F222&lt;&gt;"",F222,IF(AND(D222="",E222=""),"",TRIM(D222&amp;" "&amp;E222)))</f>
        <v/>
      </c>
      <c r="H222" s="22" t="n"/>
      <c r="I222" s="22" t="inlineStr">
        <is>
          <t>+34 625 703 847</t>
        </is>
      </c>
      <c r="J222" s="22" t="inlineStr">
        <is>
          <t>Múnich-Alemania</t>
        </is>
      </c>
      <c r="K222" s="22" t="inlineStr">
        <is>
          <t>Contra-Mestre Jabuti</t>
        </is>
      </c>
      <c r="L222" s="22" t="inlineStr">
        <is>
          <t>Laranja</t>
        </is>
      </c>
      <c r="M222" s="22" t="inlineStr">
        <is>
          <t>Femenino</t>
        </is>
      </c>
      <c r="N222" s="78" t="n">
        <v>40720</v>
      </c>
      <c r="O222" s="23">
        <f>IF(N222="","",DATEDIF(N222,TODAY(),"Y"))</f>
        <v/>
      </c>
      <c r="P222" s="23">
        <f>IF(O222="","",IF(O222&lt;=11,"Infantil",IF(O222&lt;=17,"Juvenil",IF(O222&lt;=44,"Adulto","Baobá"))))</f>
        <v/>
      </c>
      <c r="Q222" s="23">
        <f>IF(P222&lt;&gt;"Adulto","",IF(OR(L222="Marrom",L222="Marrom/Vermelha"),"A",IF(OR(L222="Roxa",L222="Roxa/Marrom"),"B",IF(OR(L222="Verde",L222="Verde/Roxa"),"C",IF(OR(L222="Azul",L222="Azul/Verde"),"D",IF(OR(L222="Laranja",L222="Laranja/Azul"),"E",IF(Y222="Sí","E","N/A")))))))</f>
        <v/>
      </c>
      <c r="R222" s="23">
        <f>IF(P222&lt;&gt;"Baobá","",IF(OR(L222="Laranja",L222="Laranja/Azul"),"Alumnos",IF(Y222="Sí","Alumnos","Graduados+")))</f>
        <v/>
      </c>
      <c r="S222" s="23">
        <f>IF(P222="","",IF(P222="Adulto",IF(OR(Q222="",Q222="N/A"),"⚠ Corda no compite Adulto",P222&amp;"-"&amp;Q222&amp;" · "&amp;M222),IF(P222="Baobá",IF(R222="","⚠ Sin clasificar Baobá",P222&amp;"-"&amp;R222&amp;" · "&amp;M222),IF(P222="Juvenil",IF(AND(OR(L222="Crua",L222="Crua/Amarela"),Y222&lt;&gt;"Sí"),"⚠ Juvenil necesita Amarela+",P222&amp;" · "&amp;M222),P222&amp;" · "&amp;M222))))</f>
        <v/>
      </c>
      <c r="T222" s="23" t="n"/>
      <c r="U222" s="22" t="inlineStr">
        <is>
          <t>Sí</t>
        </is>
      </c>
      <c r="V222" s="22" t="n"/>
      <c r="W222" s="22" t="n"/>
      <c r="X222" s="22" t="n"/>
      <c r="Y222" s="22" t="inlineStr">
        <is>
          <t>No</t>
        </is>
      </c>
      <c r="Z222" s="22" t="inlineStr">
        <is>
          <t>S</t>
        </is>
      </c>
      <c r="AA222" s="22" t="n">
        <v>35</v>
      </c>
      <c r="AB222" s="22" t="inlineStr">
        <is>
          <t>Pagado</t>
        </is>
      </c>
      <c r="AC222" s="22" t="n"/>
      <c r="AD222" s="23">
        <f>IF(D222&lt;&gt;"","P"&amp;TEXT(ROW()-4,"0000"),"")</f>
        <v/>
      </c>
    </row>
    <row r="223" ht="14.25" customHeight="1" s="72">
      <c r="A223" s="22" t="inlineStr">
        <is>
          <t>2025-08-08 12:41:05</t>
        </is>
      </c>
      <c r="B223" s="22" t="n"/>
      <c r="C223" s="22" t="n"/>
      <c r="D223" s="22" t="inlineStr">
        <is>
          <t>María</t>
        </is>
      </c>
      <c r="E223" s="22" t="inlineStr">
        <is>
          <t>Wagner</t>
        </is>
      </c>
      <c r="F223" s="22" t="inlineStr">
        <is>
          <t>Iguana</t>
        </is>
      </c>
      <c r="G223" s="23">
        <f>IF(F223&lt;&gt;"",F223,IF(AND(D223="",E223=""),"",TRIM(D223&amp;" "&amp;E223)))</f>
        <v/>
      </c>
      <c r="H223" s="22" t="n"/>
      <c r="I223" s="22" t="inlineStr">
        <is>
          <t>+34 698 127 968</t>
        </is>
      </c>
      <c r="J223" s="22" t="inlineStr">
        <is>
          <t>Paris-Francia</t>
        </is>
      </c>
      <c r="K223" s="22" t="inlineStr">
        <is>
          <t>Contra-Mestre Arara</t>
        </is>
      </c>
      <c r="L223" s="22" t="inlineStr">
        <is>
          <t>Laranja</t>
        </is>
      </c>
      <c r="M223" s="22" t="inlineStr">
        <is>
          <t>Femenino</t>
        </is>
      </c>
      <c r="N223" s="78" t="n">
        <v>40468</v>
      </c>
      <c r="O223" s="23">
        <f>IF(N223="","",DATEDIF(N223,TODAY(),"Y"))</f>
        <v/>
      </c>
      <c r="P223" s="23">
        <f>IF(O223="","",IF(O223&lt;=11,"Infantil",IF(O223&lt;=17,"Juvenil",IF(O223&lt;=44,"Adulto","Baobá"))))</f>
        <v/>
      </c>
      <c r="Q223" s="23">
        <f>IF(P223&lt;&gt;"Adulto","",IF(OR(L223="Marrom",L223="Marrom/Vermelha"),"A",IF(OR(L223="Roxa",L223="Roxa/Marrom"),"B",IF(OR(L223="Verde",L223="Verde/Roxa"),"C",IF(OR(L223="Azul",L223="Azul/Verde"),"D",IF(OR(L223="Laranja",L223="Laranja/Azul"),"E",IF(Y223="Sí","E","N/A")))))))</f>
        <v/>
      </c>
      <c r="R223" s="23">
        <f>IF(P223&lt;&gt;"Baobá","",IF(OR(L223="Laranja",L223="Laranja/Azul"),"Alumnos",IF(Y223="Sí","Alumnos","Graduados+")))</f>
        <v/>
      </c>
      <c r="S223" s="23">
        <f>IF(P223="","",IF(P223="Adulto",IF(OR(Q223="",Q223="N/A"),"⚠ Corda no compite Adulto",P223&amp;"-"&amp;Q223&amp;" · "&amp;M223),IF(P223="Baobá",IF(R223="","⚠ Sin clasificar Baobá",P223&amp;"-"&amp;R223&amp;" · "&amp;M223),IF(P223="Juvenil",IF(AND(OR(L223="Crua",L223="Crua/Amarela"),Y223&lt;&gt;"Sí"),"⚠ Juvenil necesita Amarela+",P223&amp;" · "&amp;M223),P223&amp;" · "&amp;M223))))</f>
        <v/>
      </c>
      <c r="T223" s="23" t="n"/>
      <c r="U223" s="22" t="inlineStr">
        <is>
          <t>Sí</t>
        </is>
      </c>
      <c r="V223" s="22" t="n"/>
      <c r="W223" s="22" t="n"/>
      <c r="X223" s="22" t="n"/>
      <c r="Y223" s="22" t="inlineStr">
        <is>
          <t>No</t>
        </is>
      </c>
      <c r="Z223" s="22" t="inlineStr">
        <is>
          <t>M</t>
        </is>
      </c>
      <c r="AA223" s="22" t="n">
        <v>35</v>
      </c>
      <c r="AB223" s="22" t="inlineStr">
        <is>
          <t>Pagado</t>
        </is>
      </c>
      <c r="AC223" s="22" t="n"/>
      <c r="AD223" s="23">
        <f>IF(D223&lt;&gt;"","P"&amp;TEXT(ROW()-4,"0000"),"")</f>
        <v/>
      </c>
    </row>
    <row r="224" ht="14.25" customHeight="1" s="72">
      <c r="A224" s="22" t="inlineStr">
        <is>
          <t>2025-08-24 14:18:41</t>
        </is>
      </c>
      <c r="B224" s="22" t="n"/>
      <c r="C224" s="22" t="n"/>
      <c r="D224" s="22" t="inlineStr">
        <is>
          <t>Sofia</t>
        </is>
      </c>
      <c r="E224" s="22" t="inlineStr">
        <is>
          <t>Müller</t>
        </is>
      </c>
      <c r="F224" s="22" t="inlineStr">
        <is>
          <t>Beija-Flor</t>
        </is>
      </c>
      <c r="G224" s="23">
        <f>IF(F224&lt;&gt;"",F224,IF(AND(D224="",E224=""),"",TRIM(D224&amp;" "&amp;E224)))</f>
        <v/>
      </c>
      <c r="H224" s="22" t="n"/>
      <c r="I224" s="22" t="inlineStr">
        <is>
          <t>+34 673 495 215</t>
        </is>
      </c>
      <c r="J224" s="22" t="inlineStr">
        <is>
          <t>Lisboa-Portugal</t>
        </is>
      </c>
      <c r="K224" s="22" t="inlineStr">
        <is>
          <t>Mestre Tartaruga</t>
        </is>
      </c>
      <c r="L224" s="22" t="inlineStr">
        <is>
          <t>Amarela</t>
        </is>
      </c>
      <c r="M224" s="22" t="inlineStr">
        <is>
          <t>Femenino</t>
        </is>
      </c>
      <c r="N224" s="78" t="n">
        <v>40089</v>
      </c>
      <c r="O224" s="23">
        <f>IF(N224="","",DATEDIF(N224,TODAY(),"Y"))</f>
        <v/>
      </c>
      <c r="P224" s="23">
        <f>IF(O224="","",IF(O224&lt;=11,"Infantil",IF(O224&lt;=17,"Juvenil",IF(O224&lt;=44,"Adulto","Baobá"))))</f>
        <v/>
      </c>
      <c r="Q224" s="23">
        <f>IF(P224&lt;&gt;"Adulto","",IF(OR(L224="Marrom",L224="Marrom/Vermelha"),"A",IF(OR(L224="Roxa",L224="Roxa/Marrom"),"B",IF(OR(L224="Verde",L224="Verde/Roxa"),"C",IF(OR(L224="Azul",L224="Azul/Verde"),"D",IF(OR(L224="Laranja",L224="Laranja/Azul"),"E",IF(Y224="Sí","E","N/A")))))))</f>
        <v/>
      </c>
      <c r="R224" s="23">
        <f>IF(P224&lt;&gt;"Baobá","",IF(OR(L224="Laranja",L224="Laranja/Azul"),"Alumnos",IF(Y224="Sí","Alumnos","Graduados+")))</f>
        <v/>
      </c>
      <c r="S224" s="23">
        <f>IF(P224="","",IF(P224="Adulto",IF(OR(Q224="",Q224="N/A"),"⚠ Corda no compite Adulto",P224&amp;"-"&amp;Q224&amp;" · "&amp;M224),IF(P224="Baobá",IF(R224="","⚠ Sin clasificar Baobá",P224&amp;"-"&amp;R224&amp;" · "&amp;M224),IF(P224="Juvenil",IF(AND(OR(L224="Crua",L224="Crua/Amarela"),Y224&lt;&gt;"Sí"),"⚠ Juvenil necesita Amarela+",P224&amp;" · "&amp;M224),P224&amp;" · "&amp;M224))))</f>
        <v/>
      </c>
      <c r="T224" s="23" t="n"/>
      <c r="U224" s="22" t="inlineStr">
        <is>
          <t>Sí</t>
        </is>
      </c>
      <c r="V224" s="22" t="n"/>
      <c r="W224" s="22" t="n"/>
      <c r="X224" s="22" t="n"/>
      <c r="Y224" s="22" t="inlineStr">
        <is>
          <t>No</t>
        </is>
      </c>
      <c r="Z224" s="22" t="inlineStr">
        <is>
          <t>L</t>
        </is>
      </c>
      <c r="AA224" s="22" t="n">
        <v>35</v>
      </c>
      <c r="AB224" s="22" t="inlineStr">
        <is>
          <t>Pagado</t>
        </is>
      </c>
      <c r="AC224" s="22" t="n"/>
      <c r="AD224" s="23">
        <f>IF(D224&lt;&gt;"","P"&amp;TEXT(ROW()-4,"0000"),"")</f>
        <v/>
      </c>
    </row>
    <row r="225" ht="14.25" customHeight="1" s="72">
      <c r="A225" s="22" t="inlineStr">
        <is>
          <t>2025-10-01 13:59:20</t>
        </is>
      </c>
      <c r="B225" s="22" t="n"/>
      <c r="C225" s="22" t="n"/>
      <c r="D225" s="22" t="inlineStr">
        <is>
          <t>Paula</t>
        </is>
      </c>
      <c r="E225" s="22" t="inlineStr">
        <is>
          <t>Greco</t>
        </is>
      </c>
      <c r="F225" s="22" t="inlineStr">
        <is>
          <t>Lobo</t>
        </is>
      </c>
      <c r="G225" s="23">
        <f>IF(F225&lt;&gt;"",F225,IF(AND(D225="",E225=""),"",TRIM(D225&amp;" "&amp;E225)))</f>
        <v/>
      </c>
      <c r="H225" s="22" t="n"/>
      <c r="I225" s="22" t="inlineStr">
        <is>
          <t>+34 682 530 474</t>
        </is>
      </c>
      <c r="J225" s="22" t="inlineStr">
        <is>
          <t>Barcelona-España</t>
        </is>
      </c>
      <c r="K225" s="22" t="inlineStr">
        <is>
          <t>Mestre Tartaruga</t>
        </is>
      </c>
      <c r="L225" s="22" t="inlineStr">
        <is>
          <t>Laranja</t>
        </is>
      </c>
      <c r="M225" s="22" t="inlineStr">
        <is>
          <t>Femenino</t>
        </is>
      </c>
      <c r="N225" s="78" t="n">
        <v>41658</v>
      </c>
      <c r="O225" s="23">
        <f>IF(N225="","",DATEDIF(N225,TODAY(),"Y"))</f>
        <v/>
      </c>
      <c r="P225" s="23">
        <f>IF(O225="","",IF(O225&lt;=11,"Infantil",IF(O225&lt;=17,"Juvenil",IF(O225&lt;=44,"Adulto","Baobá"))))</f>
        <v/>
      </c>
      <c r="Q225" s="23">
        <f>IF(P225&lt;&gt;"Adulto","",IF(OR(L225="Marrom",L225="Marrom/Vermelha"),"A",IF(OR(L225="Roxa",L225="Roxa/Marrom"),"B",IF(OR(L225="Verde",L225="Verde/Roxa"),"C",IF(OR(L225="Azul",L225="Azul/Verde"),"D",IF(OR(L225="Laranja",L225="Laranja/Azul"),"E",IF(Y225="Sí","E","N/A")))))))</f>
        <v/>
      </c>
      <c r="R225" s="23">
        <f>IF(P225&lt;&gt;"Baobá","",IF(OR(L225="Laranja",L225="Laranja/Azul"),"Alumnos",IF(Y225="Sí","Alumnos","Graduados+")))</f>
        <v/>
      </c>
      <c r="S225" s="23">
        <f>IF(P225="","",IF(P225="Adulto",IF(OR(Q225="",Q225="N/A"),"⚠ Corda no compite Adulto",P225&amp;"-"&amp;Q225&amp;" · "&amp;M225),IF(P225="Baobá",IF(R225="","⚠ Sin clasificar Baobá",P225&amp;"-"&amp;R225&amp;" · "&amp;M225),IF(P225="Juvenil",IF(AND(OR(L225="Crua",L225="Crua/Amarela"),Y225&lt;&gt;"Sí"),"⚠ Juvenil necesita Amarela+",P225&amp;" · "&amp;M225),P225&amp;" · "&amp;M225))))</f>
        <v/>
      </c>
      <c r="T225" s="23" t="n"/>
      <c r="U225" s="22" t="inlineStr">
        <is>
          <t>Sí</t>
        </is>
      </c>
      <c r="V225" s="22" t="n"/>
      <c r="W225" s="22" t="n"/>
      <c r="X225" s="22" t="n"/>
      <c r="Y225" s="22" t="inlineStr">
        <is>
          <t>No</t>
        </is>
      </c>
      <c r="Z225" s="22" t="inlineStr">
        <is>
          <t>XL</t>
        </is>
      </c>
      <c r="AA225" s="22" t="n">
        <v>35</v>
      </c>
      <c r="AB225" s="22" t="inlineStr">
        <is>
          <t>Pagado</t>
        </is>
      </c>
      <c r="AC225" s="22" t="n"/>
      <c r="AD225" s="23">
        <f>IF(D225&lt;&gt;"","P"&amp;TEXT(ROW()-4,"0000"),"")</f>
        <v/>
      </c>
    </row>
    <row r="226" ht="14.25" customHeight="1" s="72">
      <c r="A226" s="22" t="inlineStr">
        <is>
          <t>2025-08-01 12:13:02</t>
        </is>
      </c>
      <c r="B226" s="22" t="n"/>
      <c r="C226" s="22" t="n"/>
      <c r="D226" s="22" t="inlineStr">
        <is>
          <t>Sofia</t>
        </is>
      </c>
      <c r="E226" s="22" t="inlineStr">
        <is>
          <t>Dupont</t>
        </is>
      </c>
      <c r="F226" s="22" t="inlineStr">
        <is>
          <t>Cobra</t>
        </is>
      </c>
      <c r="G226" s="23">
        <f>IF(F226&lt;&gt;"",F226,IF(AND(D226="",E226=""),"",TRIM(D226&amp;" "&amp;E226)))</f>
        <v/>
      </c>
      <c r="H226" s="22" t="n"/>
      <c r="I226" s="22" t="inlineStr">
        <is>
          <t>+34 674 393 743</t>
        </is>
      </c>
      <c r="J226" s="22" t="inlineStr">
        <is>
          <t>Milán-Italia</t>
        </is>
      </c>
      <c r="K226" s="22" t="inlineStr">
        <is>
          <t>Professor Macaco</t>
        </is>
      </c>
      <c r="L226" s="22" t="inlineStr">
        <is>
          <t>Laranja</t>
        </is>
      </c>
      <c r="M226" s="22" t="inlineStr">
        <is>
          <t>Femenino</t>
        </is>
      </c>
      <c r="N226" s="78" t="n">
        <v>39997</v>
      </c>
      <c r="O226" s="23">
        <f>IF(N226="","",DATEDIF(N226,TODAY(),"Y"))</f>
        <v/>
      </c>
      <c r="P226" s="23">
        <f>IF(O226="","",IF(O226&lt;=11,"Infantil",IF(O226&lt;=17,"Juvenil",IF(O226&lt;=44,"Adulto","Baobá"))))</f>
        <v/>
      </c>
      <c r="Q226" s="23">
        <f>IF(P226&lt;&gt;"Adulto","",IF(OR(L226="Marrom",L226="Marrom/Vermelha"),"A",IF(OR(L226="Roxa",L226="Roxa/Marrom"),"B",IF(OR(L226="Verde",L226="Verde/Roxa"),"C",IF(OR(L226="Azul",L226="Azul/Verde"),"D",IF(OR(L226="Laranja",L226="Laranja/Azul"),"E",IF(Y226="Sí","E","N/A")))))))</f>
        <v/>
      </c>
      <c r="R226" s="23">
        <f>IF(P226&lt;&gt;"Baobá","",IF(OR(L226="Laranja",L226="Laranja/Azul"),"Alumnos",IF(Y226="Sí","Alumnos","Graduados+")))</f>
        <v/>
      </c>
      <c r="S226" s="23">
        <f>IF(P226="","",IF(P226="Adulto",IF(OR(Q226="",Q226="N/A"),"⚠ Corda no compite Adulto",P226&amp;"-"&amp;Q226&amp;" · "&amp;M226),IF(P226="Baobá",IF(R226="","⚠ Sin clasificar Baobá",P226&amp;"-"&amp;R226&amp;" · "&amp;M226),IF(P226="Juvenil",IF(AND(OR(L226="Crua",L226="Crua/Amarela"),Y226&lt;&gt;"Sí"),"⚠ Juvenil necesita Amarela+",P226&amp;" · "&amp;M226),P226&amp;" · "&amp;M226))))</f>
        <v/>
      </c>
      <c r="T226" s="23" t="n"/>
      <c r="U226" s="22" t="inlineStr">
        <is>
          <t>Sí</t>
        </is>
      </c>
      <c r="V226" s="22" t="n"/>
      <c r="W226" s="22" t="n"/>
      <c r="X226" s="22" t="n"/>
      <c r="Y226" s="22" t="inlineStr">
        <is>
          <t>No</t>
        </is>
      </c>
      <c r="Z226" s="22" t="inlineStr">
        <is>
          <t>XXL</t>
        </is>
      </c>
      <c r="AA226" s="22" t="n">
        <v>35</v>
      </c>
      <c r="AB226" s="22" t="inlineStr">
        <is>
          <t>Pagado</t>
        </is>
      </c>
      <c r="AC226" s="22" t="n"/>
      <c r="AD226" s="23">
        <f>IF(D226&lt;&gt;"","P"&amp;TEXT(ROW()-4,"0000"),"")</f>
        <v/>
      </c>
    </row>
    <row r="227" ht="14.25" customHeight="1" s="72">
      <c r="A227" s="22" t="inlineStr">
        <is>
          <t>2025-10-18 16:39:09</t>
        </is>
      </c>
      <c r="B227" s="22" t="n"/>
      <c r="C227" s="22" t="n"/>
      <c r="D227" s="22" t="inlineStr">
        <is>
          <t>Sara</t>
        </is>
      </c>
      <c r="E227" s="22" t="inlineStr">
        <is>
          <t>Rodrigues</t>
        </is>
      </c>
      <c r="F227" s="22" t="inlineStr">
        <is>
          <t>Jabuti</t>
        </is>
      </c>
      <c r="G227" s="23">
        <f>IF(F227&lt;&gt;"",F227,IF(AND(D227="",E227=""),"",TRIM(D227&amp;" "&amp;E227)))</f>
        <v/>
      </c>
      <c r="H227" s="22" t="n"/>
      <c r="I227" s="22" t="inlineStr">
        <is>
          <t>+34 649 180 623</t>
        </is>
      </c>
      <c r="J227" s="22" t="inlineStr">
        <is>
          <t>Valencia-España</t>
        </is>
      </c>
      <c r="K227" s="22" t="inlineStr">
        <is>
          <t>Mestre Cobra</t>
        </is>
      </c>
      <c r="L227" s="22" t="inlineStr">
        <is>
          <t>Laranja</t>
        </is>
      </c>
      <c r="M227" s="22" t="inlineStr">
        <is>
          <t>Femenino</t>
        </is>
      </c>
      <c r="N227" s="78" t="n">
        <v>40342</v>
      </c>
      <c r="O227" s="23">
        <f>IF(N227="","",DATEDIF(N227,TODAY(),"Y"))</f>
        <v/>
      </c>
      <c r="P227" s="23">
        <f>IF(O227="","",IF(O227&lt;=11,"Infantil",IF(O227&lt;=17,"Juvenil",IF(O227&lt;=44,"Adulto","Baobá"))))</f>
        <v/>
      </c>
      <c r="Q227" s="23">
        <f>IF(P227&lt;&gt;"Adulto","",IF(OR(L227="Marrom",L227="Marrom/Vermelha"),"A",IF(OR(L227="Roxa",L227="Roxa/Marrom"),"B",IF(OR(L227="Verde",L227="Verde/Roxa"),"C",IF(OR(L227="Azul",L227="Azul/Verde"),"D",IF(OR(L227="Laranja",L227="Laranja/Azul"),"E",IF(Y227="Sí","E","N/A")))))))</f>
        <v/>
      </c>
      <c r="R227" s="23">
        <f>IF(P227&lt;&gt;"Baobá","",IF(OR(L227="Laranja",L227="Laranja/Azul"),"Alumnos",IF(Y227="Sí","Alumnos","Graduados+")))</f>
        <v/>
      </c>
      <c r="S227" s="23">
        <f>IF(P227="","",IF(P227="Adulto",IF(OR(Q227="",Q227="N/A"),"⚠ Corda no compite Adulto",P227&amp;"-"&amp;Q227&amp;" · "&amp;M227),IF(P227="Baobá",IF(R227="","⚠ Sin clasificar Baobá",P227&amp;"-"&amp;R227&amp;" · "&amp;M227),IF(P227="Juvenil",IF(AND(OR(L227="Crua",L227="Crua/Amarela"),Y227&lt;&gt;"Sí"),"⚠ Juvenil necesita Amarela+",P227&amp;" · "&amp;M227),P227&amp;" · "&amp;M227))))</f>
        <v/>
      </c>
      <c r="T227" s="23" t="n"/>
      <c r="U227" s="22" t="inlineStr">
        <is>
          <t>Sí</t>
        </is>
      </c>
      <c r="V227" s="22" t="n"/>
      <c r="W227" s="22" t="n"/>
      <c r="X227" s="22" t="n"/>
      <c r="Y227" s="22" t="inlineStr">
        <is>
          <t>No</t>
        </is>
      </c>
      <c r="Z227" s="22" t="inlineStr">
        <is>
          <t>XS</t>
        </is>
      </c>
      <c r="AA227" s="22" t="n">
        <v>35</v>
      </c>
      <c r="AB227" s="22" t="inlineStr">
        <is>
          <t>Pagado</t>
        </is>
      </c>
      <c r="AC227" s="22" t="n"/>
      <c r="AD227" s="23">
        <f>IF(D227&lt;&gt;"","P"&amp;TEXT(ROW()-4,"0000"),"")</f>
        <v/>
      </c>
    </row>
    <row r="228" ht="14.25" customHeight="1" s="72">
      <c r="A228" s="22" t="inlineStr">
        <is>
          <t>2025-10-21 20:53:41</t>
        </is>
      </c>
      <c r="B228" s="22" t="n"/>
      <c r="C228" s="22" t="n"/>
      <c r="D228" s="22" t="inlineStr">
        <is>
          <t>Claudia</t>
        </is>
      </c>
      <c r="E228" s="22" t="inlineStr">
        <is>
          <t>Ribeiro</t>
        </is>
      </c>
      <c r="F228" s="22" t="inlineStr">
        <is>
          <t>Peixe-Espada</t>
        </is>
      </c>
      <c r="G228" s="23">
        <f>IF(F228&lt;&gt;"",F228,IF(AND(D228="",E228=""),"",TRIM(D228&amp;" "&amp;E228)))</f>
        <v/>
      </c>
      <c r="H228" s="22" t="n"/>
      <c r="I228" s="22" t="inlineStr">
        <is>
          <t>+34 649 815 547</t>
        </is>
      </c>
      <c r="J228" s="22" t="inlineStr">
        <is>
          <t>Lisboa-Portugal</t>
        </is>
      </c>
      <c r="K228" s="22" t="inlineStr">
        <is>
          <t>Mestre Pastinha</t>
        </is>
      </c>
      <c r="L228" s="22" t="inlineStr">
        <is>
          <t>Laranja</t>
        </is>
      </c>
      <c r="M228" s="22" t="inlineStr">
        <is>
          <t>Femenino</t>
        </is>
      </c>
      <c r="N228" s="78" t="n">
        <v>41319</v>
      </c>
      <c r="O228" s="23">
        <f>IF(N228="","",DATEDIF(N228,TODAY(),"Y"))</f>
        <v/>
      </c>
      <c r="P228" s="23">
        <f>IF(O228="","",IF(O228&lt;=11,"Infantil",IF(O228&lt;=17,"Juvenil",IF(O228&lt;=44,"Adulto","Baobá"))))</f>
        <v/>
      </c>
      <c r="Q228" s="23">
        <f>IF(P228&lt;&gt;"Adulto","",IF(OR(L228="Marrom",L228="Marrom/Vermelha"),"A",IF(OR(L228="Roxa",L228="Roxa/Marrom"),"B",IF(OR(L228="Verde",L228="Verde/Roxa"),"C",IF(OR(L228="Azul",L228="Azul/Verde"),"D",IF(OR(L228="Laranja",L228="Laranja/Azul"),"E",IF(Y228="Sí","E","N/A")))))))</f>
        <v/>
      </c>
      <c r="R228" s="23">
        <f>IF(P228&lt;&gt;"Baobá","",IF(OR(L228="Laranja",L228="Laranja/Azul"),"Alumnos",IF(Y228="Sí","Alumnos","Graduados+")))</f>
        <v/>
      </c>
      <c r="S228" s="23">
        <f>IF(P228="","",IF(P228="Adulto",IF(OR(Q228="",Q228="N/A"),"⚠ Corda no compite Adulto",P228&amp;"-"&amp;Q228&amp;" · "&amp;M228),IF(P228="Baobá",IF(R228="","⚠ Sin clasificar Baobá",P228&amp;"-"&amp;R228&amp;" · "&amp;M228),IF(P228="Juvenil",IF(AND(OR(L228="Crua",L228="Crua/Amarela"),Y228&lt;&gt;"Sí"),"⚠ Juvenil necesita Amarela+",P228&amp;" · "&amp;M228),P228&amp;" · "&amp;M228))))</f>
        <v/>
      </c>
      <c r="T228" s="23" t="n"/>
      <c r="U228" s="22" t="inlineStr">
        <is>
          <t>Sí</t>
        </is>
      </c>
      <c r="V228" s="22" t="n"/>
      <c r="W228" s="22" t="n"/>
      <c r="X228" s="22" t="n"/>
      <c r="Y228" s="22" t="inlineStr">
        <is>
          <t>No</t>
        </is>
      </c>
      <c r="Z228" s="22" t="inlineStr">
        <is>
          <t>S</t>
        </is>
      </c>
      <c r="AA228" s="22" t="n">
        <v>35</v>
      </c>
      <c r="AB228" s="22" t="inlineStr">
        <is>
          <t>Pagado</t>
        </is>
      </c>
      <c r="AC228" s="22" t="n"/>
      <c r="AD228" s="23">
        <f>IF(D228&lt;&gt;"","P"&amp;TEXT(ROW()-4,"0000"),"")</f>
        <v/>
      </c>
    </row>
    <row r="229" ht="14.25" customHeight="1" s="72">
      <c r="A229" s="22" t="inlineStr">
        <is>
          <t>2025-09-26 14:17:33</t>
        </is>
      </c>
      <c r="B229" s="22" t="n"/>
      <c r="C229" s="22" t="n"/>
      <c r="D229" s="22" t="inlineStr">
        <is>
          <t>André</t>
        </is>
      </c>
      <c r="E229" s="22" t="inlineStr">
        <is>
          <t>Fischer</t>
        </is>
      </c>
      <c r="F229" s="22" t="inlineStr">
        <is>
          <t>Besouro</t>
        </is>
      </c>
      <c r="G229" s="23">
        <f>IF(F229&lt;&gt;"",F229,IF(AND(D229="",E229=""),"",TRIM(D229&amp;" "&amp;E229)))</f>
        <v/>
      </c>
      <c r="H229" s="22" t="n"/>
      <c r="I229" s="22" t="inlineStr">
        <is>
          <t>+34 683 742 178</t>
        </is>
      </c>
      <c r="J229" s="22" t="inlineStr">
        <is>
          <t>Bogotá-Colombia</t>
        </is>
      </c>
      <c r="K229" s="22" t="inlineStr">
        <is>
          <t>Mestre Puma</t>
        </is>
      </c>
      <c r="L229" s="22" t="inlineStr">
        <is>
          <t>Crua</t>
        </is>
      </c>
      <c r="M229" s="22" t="inlineStr">
        <is>
          <t>Masculino</t>
        </is>
      </c>
      <c r="N229" s="78" t="n">
        <v>42888</v>
      </c>
      <c r="O229" s="23">
        <f>IF(N229="","",DATEDIF(N229,TODAY(),"Y"))</f>
        <v/>
      </c>
      <c r="P229" s="23">
        <f>IF(O229="","",IF(O229&lt;=11,"Infantil",IF(O229&lt;=17,"Juvenil",IF(O229&lt;=44,"Adulto","Baobá"))))</f>
        <v/>
      </c>
      <c r="Q229" s="23">
        <f>IF(P229&lt;&gt;"Adulto","",IF(OR(L229="Marrom",L229="Marrom/Vermelha"),"A",IF(OR(L229="Roxa",L229="Roxa/Marrom"),"B",IF(OR(L229="Verde",L229="Verde/Roxa"),"C",IF(OR(L229="Azul",L229="Azul/Verde"),"D",IF(OR(L229="Laranja",L229="Laranja/Azul"),"E",IF(Y229="Sí","E","N/A")))))))</f>
        <v/>
      </c>
      <c r="R229" s="23">
        <f>IF(P229&lt;&gt;"Baobá","",IF(OR(L229="Laranja",L229="Laranja/Azul"),"Alumnos",IF(Y229="Sí","Alumnos","Graduados+")))</f>
        <v/>
      </c>
      <c r="S229" s="23">
        <f>IF(P229="","",IF(P229="Adulto",IF(OR(Q229="",Q229="N/A"),"⚠ Corda no compite Adulto",P229&amp;"-"&amp;Q229&amp;" · "&amp;M229),IF(P229="Baobá",IF(R229="","⚠ Sin clasificar Baobá",P229&amp;"-"&amp;R229&amp;" · "&amp;M229),IF(P229="Juvenil",IF(AND(OR(L229="Crua",L229="Crua/Amarela"),Y229&lt;&gt;"Sí"),"⚠ Juvenil necesita Amarela+",P229&amp;" · "&amp;M229),P229&amp;" · "&amp;M229))))</f>
        <v/>
      </c>
      <c r="T229" s="23" t="n"/>
      <c r="U229" s="22" t="inlineStr">
        <is>
          <t>Sí</t>
        </is>
      </c>
      <c r="V229" s="22" t="n"/>
      <c r="W229" s="22" t="n"/>
      <c r="X229" s="22" t="n"/>
      <c r="Y229" s="22" t="inlineStr">
        <is>
          <t>No</t>
        </is>
      </c>
      <c r="Z229" s="22" t="inlineStr">
        <is>
          <t>XS</t>
        </is>
      </c>
      <c r="AA229" s="22" t="n">
        <v>35</v>
      </c>
      <c r="AB229" s="22" t="inlineStr">
        <is>
          <t>Pagado</t>
        </is>
      </c>
      <c r="AC229" s="22" t="n"/>
      <c r="AD229" s="23">
        <f>IF(D229&lt;&gt;"","P"&amp;TEXT(ROW()-4,"0000"),"")</f>
        <v/>
      </c>
    </row>
    <row r="230" ht="14.25" customHeight="1" s="72">
      <c r="A230" s="22" t="inlineStr">
        <is>
          <t>2025-09-28 17:10:23</t>
        </is>
      </c>
      <c r="B230" s="22" t="n"/>
      <c r="C230" s="22" t="n"/>
      <c r="D230" s="22" t="inlineStr">
        <is>
          <t>Matheus</t>
        </is>
      </c>
      <c r="E230" s="22" t="inlineStr">
        <is>
          <t>Schneider</t>
        </is>
      </c>
      <c r="F230" s="22" t="inlineStr">
        <is>
          <t>Mangangá</t>
        </is>
      </c>
      <c r="G230" s="23">
        <f>IF(F230&lt;&gt;"",F230,IF(AND(D230="",E230=""),"",TRIM(D230&amp;" "&amp;E230)))</f>
        <v/>
      </c>
      <c r="H230" s="22" t="n"/>
      <c r="I230" s="22" t="inlineStr">
        <is>
          <t>+34 623 687 790</t>
        </is>
      </c>
      <c r="J230" s="22" t="inlineStr">
        <is>
          <t>Porto Alegre-Brasil</t>
        </is>
      </c>
      <c r="K230" s="22" t="inlineStr">
        <is>
          <t>Mestre Onça</t>
        </is>
      </c>
      <c r="L230" s="22" t="inlineStr">
        <is>
          <t>Crua/Amarela</t>
        </is>
      </c>
      <c r="M230" s="22" t="inlineStr">
        <is>
          <t>Masculino</t>
        </is>
      </c>
      <c r="N230" s="78" t="n">
        <v>42614</v>
      </c>
      <c r="O230" s="23">
        <f>IF(N230="","",DATEDIF(N230,TODAY(),"Y"))</f>
        <v/>
      </c>
      <c r="P230" s="23">
        <f>IF(O230="","",IF(O230&lt;=11,"Infantil",IF(O230&lt;=17,"Juvenil",IF(O230&lt;=44,"Adulto","Baobá"))))</f>
        <v/>
      </c>
      <c r="Q230" s="23">
        <f>IF(P230&lt;&gt;"Adulto","",IF(OR(L230="Marrom",L230="Marrom/Vermelha"),"A",IF(OR(L230="Roxa",L230="Roxa/Marrom"),"B",IF(OR(L230="Verde",L230="Verde/Roxa"),"C",IF(OR(L230="Azul",L230="Azul/Verde"),"D",IF(OR(L230="Laranja",L230="Laranja/Azul"),"E",IF(Y230="Sí","E","N/A")))))))</f>
        <v/>
      </c>
      <c r="R230" s="23">
        <f>IF(P230&lt;&gt;"Baobá","",IF(OR(L230="Laranja",L230="Laranja/Azul"),"Alumnos",IF(Y230="Sí","Alumnos","Graduados+")))</f>
        <v/>
      </c>
      <c r="S230" s="23">
        <f>IF(P230="","",IF(P230="Adulto",IF(OR(Q230="",Q230="N/A"),"⚠ Corda no compite Adulto",P230&amp;"-"&amp;Q230&amp;" · "&amp;M230),IF(P230="Baobá",IF(R230="","⚠ Sin clasificar Baobá",P230&amp;"-"&amp;R230&amp;" · "&amp;M230),IF(P230="Juvenil",IF(AND(OR(L230="Crua",L230="Crua/Amarela"),Y230&lt;&gt;"Sí"),"⚠ Juvenil necesita Amarela+",P230&amp;" · "&amp;M230),P230&amp;" · "&amp;M230))))</f>
        <v/>
      </c>
      <c r="T230" s="23" t="n"/>
      <c r="U230" s="22" t="inlineStr">
        <is>
          <t>Sí</t>
        </is>
      </c>
      <c r="V230" s="22" t="n"/>
      <c r="W230" s="22" t="n"/>
      <c r="X230" s="22" t="n"/>
      <c r="Y230" s="22" t="inlineStr">
        <is>
          <t>No</t>
        </is>
      </c>
      <c r="Z230" s="22" t="inlineStr">
        <is>
          <t>S</t>
        </is>
      </c>
      <c r="AA230" s="22" t="n">
        <v>35</v>
      </c>
      <c r="AB230" s="22" t="inlineStr">
        <is>
          <t>Pagado</t>
        </is>
      </c>
      <c r="AC230" s="22" t="n"/>
      <c r="AD230" s="23">
        <f>IF(D230&lt;&gt;"","P"&amp;TEXT(ROW()-4,"0000"),"")</f>
        <v/>
      </c>
    </row>
    <row r="231" ht="14.25" customHeight="1" s="72">
      <c r="A231" s="22" t="inlineStr">
        <is>
          <t>2025-08-28 21:00:15</t>
        </is>
      </c>
      <c r="B231" s="22" t="n"/>
      <c r="C231" s="22" t="n"/>
      <c r="D231" s="22" t="inlineStr">
        <is>
          <t>Marcelo</t>
        </is>
      </c>
      <c r="E231" s="22" t="inlineStr">
        <is>
          <t>Fernandes</t>
        </is>
      </c>
      <c r="F231" s="22" t="inlineStr">
        <is>
          <t>Mutum</t>
        </is>
      </c>
      <c r="G231" s="23">
        <f>IF(F231&lt;&gt;"",F231,IF(AND(D231="",E231=""),"",TRIM(D231&amp;" "&amp;E231)))</f>
        <v/>
      </c>
      <c r="H231" s="22" t="n"/>
      <c r="I231" s="22" t="inlineStr">
        <is>
          <t>+34 656 492 253</t>
        </is>
      </c>
      <c r="J231" s="22" t="inlineStr">
        <is>
          <t>Barcelona-España</t>
        </is>
      </c>
      <c r="K231" s="22" t="inlineStr">
        <is>
          <t>Mestre Pastinha</t>
        </is>
      </c>
      <c r="L231" s="22" t="inlineStr">
        <is>
          <t>Amarela</t>
        </is>
      </c>
      <c r="M231" s="22" t="inlineStr">
        <is>
          <t>Masculino</t>
        </is>
      </c>
      <c r="N231" s="78" t="n">
        <v>43093</v>
      </c>
      <c r="O231" s="23">
        <f>IF(N231="","",DATEDIF(N231,TODAY(),"Y"))</f>
        <v/>
      </c>
      <c r="P231" s="23">
        <f>IF(O231="","",IF(O231&lt;=11,"Infantil",IF(O231&lt;=17,"Juvenil",IF(O231&lt;=44,"Adulto","Baobá"))))</f>
        <v/>
      </c>
      <c r="Q231" s="23">
        <f>IF(P231&lt;&gt;"Adulto","",IF(OR(L231="Marrom",L231="Marrom/Vermelha"),"A",IF(OR(L231="Roxa",L231="Roxa/Marrom"),"B",IF(OR(L231="Verde",L231="Verde/Roxa"),"C",IF(OR(L231="Azul",L231="Azul/Verde"),"D",IF(OR(L231="Laranja",L231="Laranja/Azul"),"E",IF(Y231="Sí","E","N/A")))))))</f>
        <v/>
      </c>
      <c r="R231" s="23">
        <f>IF(P231&lt;&gt;"Baobá","",IF(OR(L231="Laranja",L231="Laranja/Azul"),"Alumnos",IF(Y231="Sí","Alumnos","Graduados+")))</f>
        <v/>
      </c>
      <c r="S231" s="23">
        <f>IF(P231="","",IF(P231="Adulto",IF(OR(Q231="",Q231="N/A"),"⚠ Corda no compite Adulto",P231&amp;"-"&amp;Q231&amp;" · "&amp;M231),IF(P231="Baobá",IF(R231="","⚠ Sin clasificar Baobá",P231&amp;"-"&amp;R231&amp;" · "&amp;M231),IF(P231="Juvenil",IF(AND(OR(L231="Crua",L231="Crua/Amarela"),Y231&lt;&gt;"Sí"),"⚠ Juvenil necesita Amarela+",P231&amp;" · "&amp;M231),P231&amp;" · "&amp;M231))))</f>
        <v/>
      </c>
      <c r="T231" s="23" t="n"/>
      <c r="U231" s="22" t="inlineStr">
        <is>
          <t>Sí</t>
        </is>
      </c>
      <c r="V231" s="22" t="n"/>
      <c r="W231" s="22" t="n"/>
      <c r="X231" s="22" t="n"/>
      <c r="Y231" s="22" t="inlineStr">
        <is>
          <t>No</t>
        </is>
      </c>
      <c r="Z231" s="22" t="inlineStr">
        <is>
          <t>M</t>
        </is>
      </c>
      <c r="AA231" s="22" t="n">
        <v>35</v>
      </c>
      <c r="AB231" s="22" t="inlineStr">
        <is>
          <t>Pagado</t>
        </is>
      </c>
      <c r="AC231" s="22" t="n"/>
      <c r="AD231" s="23">
        <f>IF(D231&lt;&gt;"","P"&amp;TEXT(ROW()-4,"0000"),"")</f>
        <v/>
      </c>
    </row>
    <row r="232" ht="14.25" customHeight="1" s="72">
      <c r="A232" s="22" t="inlineStr">
        <is>
          <t>2025-10-14 11:20:15</t>
        </is>
      </c>
      <c r="B232" s="22" t="n"/>
      <c r="C232" s="22" t="n"/>
      <c r="D232" s="22" t="inlineStr">
        <is>
          <t>Daniel</t>
        </is>
      </c>
      <c r="E232" s="22" t="inlineStr">
        <is>
          <t>Rossi</t>
        </is>
      </c>
      <c r="F232" s="22" t="inlineStr">
        <is>
          <t>Gato</t>
        </is>
      </c>
      <c r="G232" s="23">
        <f>IF(F232&lt;&gt;"",F232,IF(AND(D232="",E232=""),"",TRIM(D232&amp;" "&amp;E232)))</f>
        <v/>
      </c>
      <c r="H232" s="22" t="n"/>
      <c r="I232" s="22" t="inlineStr">
        <is>
          <t>+34 644 945 179</t>
        </is>
      </c>
      <c r="J232" s="22" t="inlineStr">
        <is>
          <t>Hamburgo-Alemania</t>
        </is>
      </c>
      <c r="K232" s="22" t="inlineStr">
        <is>
          <t>Professor Leão</t>
        </is>
      </c>
      <c r="L232" s="22" t="inlineStr">
        <is>
          <t>Amarela</t>
        </is>
      </c>
      <c r="M232" s="22" t="inlineStr">
        <is>
          <t>Masculino</t>
        </is>
      </c>
      <c r="N232" s="78" t="n">
        <v>43041</v>
      </c>
      <c r="O232" s="23">
        <f>IF(N232="","",DATEDIF(N232,TODAY(),"Y"))</f>
        <v/>
      </c>
      <c r="P232" s="23">
        <f>IF(O232="","",IF(O232&lt;=11,"Infantil",IF(O232&lt;=17,"Juvenil",IF(O232&lt;=44,"Adulto","Baobá"))))</f>
        <v/>
      </c>
      <c r="Q232" s="23">
        <f>IF(P232&lt;&gt;"Adulto","",IF(OR(L232="Marrom",L232="Marrom/Vermelha"),"A",IF(OR(L232="Roxa",L232="Roxa/Marrom"),"B",IF(OR(L232="Verde",L232="Verde/Roxa"),"C",IF(OR(L232="Azul",L232="Azul/Verde"),"D",IF(OR(L232="Laranja",L232="Laranja/Azul"),"E",IF(Y232="Sí","E","N/A")))))))</f>
        <v/>
      </c>
      <c r="R232" s="23">
        <f>IF(P232&lt;&gt;"Baobá","",IF(OR(L232="Laranja",L232="Laranja/Azul"),"Alumnos",IF(Y232="Sí","Alumnos","Graduados+")))</f>
        <v/>
      </c>
      <c r="S232" s="23">
        <f>IF(P232="","",IF(P232="Adulto",IF(OR(Q232="",Q232="N/A"),"⚠ Corda no compite Adulto",P232&amp;"-"&amp;Q232&amp;" · "&amp;M232),IF(P232="Baobá",IF(R232="","⚠ Sin clasificar Baobá",P232&amp;"-"&amp;R232&amp;" · "&amp;M232),IF(P232="Juvenil",IF(AND(OR(L232="Crua",L232="Crua/Amarela"),Y232&lt;&gt;"Sí"),"⚠ Juvenil necesita Amarela+",P232&amp;" · "&amp;M232),P232&amp;" · "&amp;M232))))</f>
        <v/>
      </c>
      <c r="T232" s="23" t="n"/>
      <c r="U232" s="22" t="inlineStr">
        <is>
          <t>Sí</t>
        </is>
      </c>
      <c r="V232" s="22" t="n"/>
      <c r="W232" s="22" t="n"/>
      <c r="X232" s="22" t="n"/>
      <c r="Y232" s="22" t="inlineStr">
        <is>
          <t>No</t>
        </is>
      </c>
      <c r="Z232" s="22" t="inlineStr">
        <is>
          <t>L</t>
        </is>
      </c>
      <c r="AA232" s="22" t="n">
        <v>35</v>
      </c>
      <c r="AB232" s="22" t="inlineStr">
        <is>
          <t>Pagado</t>
        </is>
      </c>
      <c r="AC232" s="22" t="n"/>
      <c r="AD232" s="23">
        <f>IF(D232&lt;&gt;"","P"&amp;TEXT(ROW()-4,"0000"),"")</f>
        <v/>
      </c>
    </row>
    <row r="233" ht="14.25" customHeight="1" s="72">
      <c r="A233" s="22" t="inlineStr">
        <is>
          <t>2025-08-08 20:33:02</t>
        </is>
      </c>
      <c r="B233" s="22" t="n"/>
      <c r="C233" s="22" t="n"/>
      <c r="D233" s="22" t="inlineStr">
        <is>
          <t>Cristian</t>
        </is>
      </c>
      <c r="E233" s="22" t="inlineStr">
        <is>
          <t>Ribeiro</t>
        </is>
      </c>
      <c r="F233" s="22" t="inlineStr">
        <is>
          <t>Capivara</t>
        </is>
      </c>
      <c r="G233" s="23">
        <f>IF(F233&lt;&gt;"",F233,IF(AND(D233="",E233=""),"",TRIM(D233&amp;" "&amp;E233)))</f>
        <v/>
      </c>
      <c r="H233" s="22" t="n"/>
      <c r="I233" s="22" t="inlineStr">
        <is>
          <t>+34 669 986 389</t>
        </is>
      </c>
      <c r="J233" s="22" t="inlineStr">
        <is>
          <t>Paris-Francia</t>
        </is>
      </c>
      <c r="K233" s="22" t="inlineStr">
        <is>
          <t>Professor Borboleta</t>
        </is>
      </c>
      <c r="L233" s="22" t="inlineStr">
        <is>
          <t>Crua</t>
        </is>
      </c>
      <c r="M233" s="22" t="inlineStr">
        <is>
          <t>Masculino</t>
        </is>
      </c>
      <c r="N233" s="78" t="n">
        <v>44454</v>
      </c>
      <c r="O233" s="23">
        <f>IF(N233="","",DATEDIF(N233,TODAY(),"Y"))</f>
        <v/>
      </c>
      <c r="P233" s="23">
        <f>IF(O233="","",IF(O233&lt;=11,"Infantil",IF(O233&lt;=17,"Juvenil",IF(O233&lt;=44,"Adulto","Baobá"))))</f>
        <v/>
      </c>
      <c r="Q233" s="23">
        <f>IF(P233&lt;&gt;"Adulto","",IF(OR(L233="Marrom",L233="Marrom/Vermelha"),"A",IF(OR(L233="Roxa",L233="Roxa/Marrom"),"B",IF(OR(L233="Verde",L233="Verde/Roxa"),"C",IF(OR(L233="Azul",L233="Azul/Verde"),"D",IF(OR(L233="Laranja",L233="Laranja/Azul"),"E",IF(Y233="Sí","E","N/A")))))))</f>
        <v/>
      </c>
      <c r="R233" s="23">
        <f>IF(P233&lt;&gt;"Baobá","",IF(OR(L233="Laranja",L233="Laranja/Azul"),"Alumnos",IF(Y233="Sí","Alumnos","Graduados+")))</f>
        <v/>
      </c>
      <c r="S233" s="23">
        <f>IF(P233="","",IF(P233="Adulto",IF(OR(Q233="",Q233="N/A"),"⚠ Corda no compite Adulto",P233&amp;"-"&amp;Q233&amp;" · "&amp;M233),IF(P233="Baobá",IF(R233="","⚠ Sin clasificar Baobá",P233&amp;"-"&amp;R233&amp;" · "&amp;M233),IF(P233="Juvenil",IF(AND(OR(L233="Crua",L233="Crua/Amarela"),Y233&lt;&gt;"Sí"),"⚠ Juvenil necesita Amarela+",P233&amp;" · "&amp;M233),P233&amp;" · "&amp;M233))))</f>
        <v/>
      </c>
      <c r="T233" s="23" t="n"/>
      <c r="U233" s="22" t="inlineStr">
        <is>
          <t>Sí</t>
        </is>
      </c>
      <c r="V233" s="22" t="n"/>
      <c r="W233" s="22" t="n"/>
      <c r="X233" s="22" t="n"/>
      <c r="Y233" s="22" t="inlineStr">
        <is>
          <t>No</t>
        </is>
      </c>
      <c r="Z233" s="22" t="inlineStr">
        <is>
          <t>XL</t>
        </is>
      </c>
      <c r="AA233" s="22" t="n">
        <v>35</v>
      </c>
      <c r="AB233" s="22" t="inlineStr">
        <is>
          <t>Pagado</t>
        </is>
      </c>
      <c r="AC233" s="22" t="n"/>
      <c r="AD233" s="23">
        <f>IF(D233&lt;&gt;"","P"&amp;TEXT(ROW()-4,"0000"),"")</f>
        <v/>
      </c>
    </row>
    <row r="234" ht="14.25" customHeight="1" s="72">
      <c r="A234" s="22" t="inlineStr">
        <is>
          <t>2025-08-12 11:18:36</t>
        </is>
      </c>
      <c r="B234" s="22" t="n"/>
      <c r="C234" s="22" t="n"/>
      <c r="D234" s="22" t="inlineStr">
        <is>
          <t>Felipe</t>
        </is>
      </c>
      <c r="E234" s="22" t="inlineStr">
        <is>
          <t>Schmidt</t>
        </is>
      </c>
      <c r="F234" s="22" t="inlineStr">
        <is>
          <t>Coruja</t>
        </is>
      </c>
      <c r="G234" s="23">
        <f>IF(F234&lt;&gt;"",F234,IF(AND(D234="",E234=""),"",TRIM(D234&amp;" "&amp;E234)))</f>
        <v/>
      </c>
      <c r="H234" s="22" t="n"/>
      <c r="I234" s="22" t="inlineStr">
        <is>
          <t>+34 669 477 705</t>
        </is>
      </c>
      <c r="J234" s="22" t="inlineStr">
        <is>
          <t>Bogotá-Colombia</t>
        </is>
      </c>
      <c r="K234" s="22" t="inlineStr">
        <is>
          <t>Contra-Mestre Arara</t>
        </is>
      </c>
      <c r="L234" s="22" t="inlineStr">
        <is>
          <t>Crua/Amarela</t>
        </is>
      </c>
      <c r="M234" s="22" t="inlineStr">
        <is>
          <t>Masculino</t>
        </is>
      </c>
      <c r="N234" s="78" t="n">
        <v>42638</v>
      </c>
      <c r="O234" s="23">
        <f>IF(N234="","",DATEDIF(N234,TODAY(),"Y"))</f>
        <v/>
      </c>
      <c r="P234" s="23">
        <f>IF(O234="","",IF(O234&lt;=11,"Infantil",IF(O234&lt;=17,"Juvenil",IF(O234&lt;=44,"Adulto","Baobá"))))</f>
        <v/>
      </c>
      <c r="Q234" s="23">
        <f>IF(P234&lt;&gt;"Adulto","",IF(OR(L234="Marrom",L234="Marrom/Vermelha"),"A",IF(OR(L234="Roxa",L234="Roxa/Marrom"),"B",IF(OR(L234="Verde",L234="Verde/Roxa"),"C",IF(OR(L234="Azul",L234="Azul/Verde"),"D",IF(OR(L234="Laranja",L234="Laranja/Azul"),"E",IF(Y234="Sí","E","N/A")))))))</f>
        <v/>
      </c>
      <c r="R234" s="23">
        <f>IF(P234&lt;&gt;"Baobá","",IF(OR(L234="Laranja",L234="Laranja/Azul"),"Alumnos",IF(Y234="Sí","Alumnos","Graduados+")))</f>
        <v/>
      </c>
      <c r="S234" s="23">
        <f>IF(P234="","",IF(P234="Adulto",IF(OR(Q234="",Q234="N/A"),"⚠ Corda no compite Adulto",P234&amp;"-"&amp;Q234&amp;" · "&amp;M234),IF(P234="Baobá",IF(R234="","⚠ Sin clasificar Baobá",P234&amp;"-"&amp;R234&amp;" · "&amp;M234),IF(P234="Juvenil",IF(AND(OR(L234="Crua",L234="Crua/Amarela"),Y234&lt;&gt;"Sí"),"⚠ Juvenil necesita Amarela+",P234&amp;" · "&amp;M234),P234&amp;" · "&amp;M234))))</f>
        <v/>
      </c>
      <c r="T234" s="23" t="n"/>
      <c r="U234" s="22" t="inlineStr">
        <is>
          <t>Sí</t>
        </is>
      </c>
      <c r="V234" s="22" t="n"/>
      <c r="W234" s="22" t="n"/>
      <c r="X234" s="22" t="n"/>
      <c r="Y234" s="22" t="inlineStr">
        <is>
          <t>No</t>
        </is>
      </c>
      <c r="Z234" s="22" t="inlineStr">
        <is>
          <t>XXL</t>
        </is>
      </c>
      <c r="AA234" s="22" t="n">
        <v>35</v>
      </c>
      <c r="AB234" s="22" t="inlineStr">
        <is>
          <t>Pagado</t>
        </is>
      </c>
      <c r="AC234" s="22" t="n"/>
      <c r="AD234" s="23">
        <f>IF(D234&lt;&gt;"","P"&amp;TEXT(ROW()-4,"0000"),"")</f>
        <v/>
      </c>
    </row>
    <row r="235" ht="14.25" customHeight="1" s="72">
      <c r="A235" s="22" t="inlineStr">
        <is>
          <t>2025-08-05 08:59:26</t>
        </is>
      </c>
      <c r="B235" s="22" t="n"/>
      <c r="C235" s="22" t="n"/>
      <c r="D235" s="22" t="inlineStr">
        <is>
          <t>Rafael</t>
        </is>
      </c>
      <c r="E235" s="22" t="inlineStr">
        <is>
          <t>Ruiz</t>
        </is>
      </c>
      <c r="F235" s="22" t="inlineStr">
        <is>
          <t>Gavião-Real</t>
        </is>
      </c>
      <c r="G235" s="23">
        <f>IF(F235&lt;&gt;"",F235,IF(AND(D235="",E235=""),"",TRIM(D235&amp;" "&amp;E235)))</f>
        <v/>
      </c>
      <c r="H235" s="22" t="n"/>
      <c r="I235" s="22" t="inlineStr">
        <is>
          <t>+34 679 454 751</t>
        </is>
      </c>
      <c r="J235" s="22" t="inlineStr">
        <is>
          <t>São Paulo-Brasil</t>
        </is>
      </c>
      <c r="K235" s="22" t="inlineStr">
        <is>
          <t>Professor Borboleta</t>
        </is>
      </c>
      <c r="L235" s="22" t="inlineStr">
        <is>
          <t>Amarela</t>
        </is>
      </c>
      <c r="M235" s="22" t="inlineStr">
        <is>
          <t>Masculino</t>
        </is>
      </c>
      <c r="N235" s="78" t="n">
        <v>44513</v>
      </c>
      <c r="O235" s="23">
        <f>IF(N235="","",DATEDIF(N235,TODAY(),"Y"))</f>
        <v/>
      </c>
      <c r="P235" s="23">
        <f>IF(O235="","",IF(O235&lt;=11,"Infantil",IF(O235&lt;=17,"Juvenil",IF(O235&lt;=44,"Adulto","Baobá"))))</f>
        <v/>
      </c>
      <c r="Q235" s="23">
        <f>IF(P235&lt;&gt;"Adulto","",IF(OR(L235="Marrom",L235="Marrom/Vermelha"),"A",IF(OR(L235="Roxa",L235="Roxa/Marrom"),"B",IF(OR(L235="Verde",L235="Verde/Roxa"),"C",IF(OR(L235="Azul",L235="Azul/Verde"),"D",IF(OR(L235="Laranja",L235="Laranja/Azul"),"E",IF(Y235="Sí","E","N/A")))))))</f>
        <v/>
      </c>
      <c r="R235" s="23">
        <f>IF(P235&lt;&gt;"Baobá","",IF(OR(L235="Laranja",L235="Laranja/Azul"),"Alumnos",IF(Y235="Sí","Alumnos","Graduados+")))</f>
        <v/>
      </c>
      <c r="S235" s="23">
        <f>IF(P235="","",IF(P235="Adulto",IF(OR(Q235="",Q235="N/A"),"⚠ Corda no compite Adulto",P235&amp;"-"&amp;Q235&amp;" · "&amp;M235),IF(P235="Baobá",IF(R235="","⚠ Sin clasificar Baobá",P235&amp;"-"&amp;R235&amp;" · "&amp;M235),IF(P235="Juvenil",IF(AND(OR(L235="Crua",L235="Crua/Amarela"),Y235&lt;&gt;"Sí"),"⚠ Juvenil necesita Amarela+",P235&amp;" · "&amp;M235),P235&amp;" · "&amp;M235))))</f>
        <v/>
      </c>
      <c r="T235" s="23" t="n"/>
      <c r="U235" s="22" t="inlineStr">
        <is>
          <t>Sí</t>
        </is>
      </c>
      <c r="V235" s="22" t="n"/>
      <c r="W235" s="22" t="n"/>
      <c r="X235" s="22" t="n"/>
      <c r="Y235" s="22" t="inlineStr">
        <is>
          <t>No</t>
        </is>
      </c>
      <c r="Z235" s="22" t="inlineStr">
        <is>
          <t>XS</t>
        </is>
      </c>
      <c r="AA235" s="22" t="n">
        <v>35</v>
      </c>
      <c r="AB235" s="22" t="inlineStr">
        <is>
          <t>Pagado</t>
        </is>
      </c>
      <c r="AC235" s="22" t="n"/>
      <c r="AD235" s="23">
        <f>IF(D235&lt;&gt;"","P"&amp;TEXT(ROW()-4,"0000"),"")</f>
        <v/>
      </c>
    </row>
    <row r="236" ht="14.25" customHeight="1" s="72">
      <c r="A236" s="22" t="inlineStr">
        <is>
          <t>2025-10-24 12:06:13</t>
        </is>
      </c>
      <c r="B236" s="22" t="n"/>
      <c r="C236" s="22" t="n"/>
      <c r="D236" s="22" t="inlineStr">
        <is>
          <t>Alberto</t>
        </is>
      </c>
      <c r="E236" s="22" t="inlineStr">
        <is>
          <t>Müller</t>
        </is>
      </c>
      <c r="F236" s="22" t="inlineStr">
        <is>
          <t>Tatuzinho</t>
        </is>
      </c>
      <c r="G236" s="23">
        <f>IF(F236&lt;&gt;"",F236,IF(AND(D236="",E236=""),"",TRIM(D236&amp;" "&amp;E236)))</f>
        <v/>
      </c>
      <c r="H236" s="22" t="n"/>
      <c r="I236" s="22" t="inlineStr">
        <is>
          <t>+34 663 603 161</t>
        </is>
      </c>
      <c r="J236" s="22" t="inlineStr">
        <is>
          <t>Manaus-Brasil</t>
        </is>
      </c>
      <c r="K236" s="22" t="inlineStr">
        <is>
          <t>Professor Tigre</t>
        </is>
      </c>
      <c r="L236" s="22" t="inlineStr">
        <is>
          <t>Amarela</t>
        </is>
      </c>
      <c r="M236" s="22" t="inlineStr">
        <is>
          <t>Masculino</t>
        </is>
      </c>
      <c r="N236" s="78" t="n">
        <v>44204</v>
      </c>
      <c r="O236" s="23">
        <f>IF(N236="","",DATEDIF(N236,TODAY(),"Y"))</f>
        <v/>
      </c>
      <c r="P236" s="23">
        <f>IF(O236="","",IF(O236&lt;=11,"Infantil",IF(O236&lt;=17,"Juvenil",IF(O236&lt;=44,"Adulto","Baobá"))))</f>
        <v/>
      </c>
      <c r="Q236" s="23">
        <f>IF(P236&lt;&gt;"Adulto","",IF(OR(L236="Marrom",L236="Marrom/Vermelha"),"A",IF(OR(L236="Roxa",L236="Roxa/Marrom"),"B",IF(OR(L236="Verde",L236="Verde/Roxa"),"C",IF(OR(L236="Azul",L236="Azul/Verde"),"D",IF(OR(L236="Laranja",L236="Laranja/Azul"),"E",IF(Y236="Sí","E","N/A")))))))</f>
        <v/>
      </c>
      <c r="R236" s="23">
        <f>IF(P236&lt;&gt;"Baobá","",IF(OR(L236="Laranja",L236="Laranja/Azul"),"Alumnos",IF(Y236="Sí","Alumnos","Graduados+")))</f>
        <v/>
      </c>
      <c r="S236" s="23">
        <f>IF(P236="","",IF(P236="Adulto",IF(OR(Q236="",Q236="N/A"),"⚠ Corda no compite Adulto",P236&amp;"-"&amp;Q236&amp;" · "&amp;M236),IF(P236="Baobá",IF(R236="","⚠ Sin clasificar Baobá",P236&amp;"-"&amp;R236&amp;" · "&amp;M236),IF(P236="Juvenil",IF(AND(OR(L236="Crua",L236="Crua/Amarela"),Y236&lt;&gt;"Sí"),"⚠ Juvenil necesita Amarela+",P236&amp;" · "&amp;M236),P236&amp;" · "&amp;M236))))</f>
        <v/>
      </c>
      <c r="T236" s="23" t="n"/>
      <c r="U236" s="22" t="inlineStr">
        <is>
          <t>Sí</t>
        </is>
      </c>
      <c r="V236" s="22" t="n"/>
      <c r="W236" s="22" t="n"/>
      <c r="X236" s="22" t="n"/>
      <c r="Y236" s="22" t="inlineStr">
        <is>
          <t>No</t>
        </is>
      </c>
      <c r="Z236" s="22" t="inlineStr">
        <is>
          <t>S</t>
        </is>
      </c>
      <c r="AA236" s="22" t="n">
        <v>35</v>
      </c>
      <c r="AB236" s="22" t="inlineStr">
        <is>
          <t>Pagado</t>
        </is>
      </c>
      <c r="AC236" s="22" t="n"/>
      <c r="AD236" s="23">
        <f>IF(D236&lt;&gt;"","P"&amp;TEXT(ROW()-4,"0000"),"")</f>
        <v/>
      </c>
    </row>
    <row r="237" ht="14.25" customHeight="1" s="72">
      <c r="A237" s="22" t="inlineStr">
        <is>
          <t>2025-10-14 19:57:23</t>
        </is>
      </c>
      <c r="B237" s="22" t="n"/>
      <c r="C237" s="22" t="n"/>
      <c r="D237" s="22" t="inlineStr">
        <is>
          <t>Caio</t>
        </is>
      </c>
      <c r="E237" s="22" t="inlineStr">
        <is>
          <t>Rodrigues</t>
        </is>
      </c>
      <c r="F237" s="22" t="inlineStr">
        <is>
          <t>Peixe-Lua</t>
        </is>
      </c>
      <c r="G237" s="23">
        <f>IF(F237&lt;&gt;"",F237,IF(AND(D237="",E237=""),"",TRIM(D237&amp;" "&amp;E237)))</f>
        <v/>
      </c>
      <c r="H237" s="22" t="n"/>
      <c r="I237" s="22" t="inlineStr">
        <is>
          <t>+34 684 197 617</t>
        </is>
      </c>
      <c r="J237" s="22" t="inlineStr">
        <is>
          <t>Brasília-Brasil</t>
        </is>
      </c>
      <c r="K237" s="22" t="inlineStr">
        <is>
          <t>Mestre Sucuri</t>
        </is>
      </c>
      <c r="L237" s="22" t="inlineStr">
        <is>
          <t>Amarela</t>
        </is>
      </c>
      <c r="M237" s="22" t="inlineStr">
        <is>
          <t>Masculino</t>
        </is>
      </c>
      <c r="N237" s="78" t="n">
        <v>44488</v>
      </c>
      <c r="O237" s="23">
        <f>IF(N237="","",DATEDIF(N237,TODAY(),"Y"))</f>
        <v/>
      </c>
      <c r="P237" s="23">
        <f>IF(O237="","",IF(O237&lt;=11,"Infantil",IF(O237&lt;=17,"Juvenil",IF(O237&lt;=44,"Adulto","Baobá"))))</f>
        <v/>
      </c>
      <c r="Q237" s="23">
        <f>IF(P237&lt;&gt;"Adulto","",IF(OR(L237="Marrom",L237="Marrom/Vermelha"),"A",IF(OR(L237="Roxa",L237="Roxa/Marrom"),"B",IF(OR(L237="Verde",L237="Verde/Roxa"),"C",IF(OR(L237="Azul",L237="Azul/Verde"),"D",IF(OR(L237="Laranja",L237="Laranja/Azul"),"E",IF(Y237="Sí","E","N/A")))))))</f>
        <v/>
      </c>
      <c r="R237" s="23">
        <f>IF(P237&lt;&gt;"Baobá","",IF(OR(L237="Laranja",L237="Laranja/Azul"),"Alumnos",IF(Y237="Sí","Alumnos","Graduados+")))</f>
        <v/>
      </c>
      <c r="S237" s="23">
        <f>IF(P237="","",IF(P237="Adulto",IF(OR(Q237="",Q237="N/A"),"⚠ Corda no compite Adulto",P237&amp;"-"&amp;Q237&amp;" · "&amp;M237),IF(P237="Baobá",IF(R237="","⚠ Sin clasificar Baobá",P237&amp;"-"&amp;R237&amp;" · "&amp;M237),IF(P237="Juvenil",IF(AND(OR(L237="Crua",L237="Crua/Amarela"),Y237&lt;&gt;"Sí"),"⚠ Juvenil necesita Amarela+",P237&amp;" · "&amp;M237),P237&amp;" · "&amp;M237))))</f>
        <v/>
      </c>
      <c r="T237" s="23" t="n"/>
      <c r="U237" s="22" t="inlineStr">
        <is>
          <t>Sí</t>
        </is>
      </c>
      <c r="V237" s="22" t="n"/>
      <c r="W237" s="22" t="n"/>
      <c r="X237" s="22" t="n"/>
      <c r="Y237" s="22" t="inlineStr">
        <is>
          <t>No</t>
        </is>
      </c>
      <c r="Z237" s="22" t="inlineStr">
        <is>
          <t>M</t>
        </is>
      </c>
      <c r="AA237" s="22" t="n">
        <v>35</v>
      </c>
      <c r="AB237" s="22" t="inlineStr">
        <is>
          <t>Pagado</t>
        </is>
      </c>
      <c r="AC237" s="22" t="n"/>
      <c r="AD237" s="23">
        <f>IF(D237&lt;&gt;"","P"&amp;TEXT(ROW()-4,"0000"),"")</f>
        <v/>
      </c>
    </row>
    <row r="238" ht="14.25" customHeight="1" s="72">
      <c r="A238" s="22" t="inlineStr">
        <is>
          <t>2025-08-14 18:08:15</t>
        </is>
      </c>
      <c r="B238" s="22" t="n"/>
      <c r="C238" s="22" t="n"/>
      <c r="D238" s="22" t="inlineStr">
        <is>
          <t>Santiago</t>
        </is>
      </c>
      <c r="E238" s="22" t="inlineStr">
        <is>
          <t>Fischer</t>
        </is>
      </c>
      <c r="F238" s="22" t="inlineStr">
        <is>
          <t>Raposa</t>
        </is>
      </c>
      <c r="G238" s="23">
        <f>IF(F238&lt;&gt;"",F238,IF(AND(D238="",E238=""),"",TRIM(D238&amp;" "&amp;E238)))</f>
        <v/>
      </c>
      <c r="H238" s="22" t="n"/>
      <c r="I238" s="22" t="inlineStr">
        <is>
          <t>+34 650 920 502</t>
        </is>
      </c>
      <c r="J238" s="22" t="inlineStr">
        <is>
          <t>Lyon-Francia</t>
        </is>
      </c>
      <c r="K238" s="22" t="inlineStr">
        <is>
          <t>Professor Borboleta</t>
        </is>
      </c>
      <c r="L238" s="22" t="inlineStr">
        <is>
          <t>Amarela</t>
        </is>
      </c>
      <c r="M238" s="22" t="inlineStr">
        <is>
          <t>Masculino</t>
        </is>
      </c>
      <c r="N238" s="78" t="n">
        <v>43228</v>
      </c>
      <c r="O238" s="23">
        <f>IF(N238="","",DATEDIF(N238,TODAY(),"Y"))</f>
        <v/>
      </c>
      <c r="P238" s="23">
        <f>IF(O238="","",IF(O238&lt;=11,"Infantil",IF(O238&lt;=17,"Juvenil",IF(O238&lt;=44,"Adulto","Baobá"))))</f>
        <v/>
      </c>
      <c r="Q238" s="23">
        <f>IF(P238&lt;&gt;"Adulto","",IF(OR(L238="Marrom",L238="Marrom/Vermelha"),"A",IF(OR(L238="Roxa",L238="Roxa/Marrom"),"B",IF(OR(L238="Verde",L238="Verde/Roxa"),"C",IF(OR(L238="Azul",L238="Azul/Verde"),"D",IF(OR(L238="Laranja",L238="Laranja/Azul"),"E",IF(Y238="Sí","E","N/A")))))))</f>
        <v/>
      </c>
      <c r="R238" s="23">
        <f>IF(P238&lt;&gt;"Baobá","",IF(OR(L238="Laranja",L238="Laranja/Azul"),"Alumnos",IF(Y238="Sí","Alumnos","Graduados+")))</f>
        <v/>
      </c>
      <c r="S238" s="23">
        <f>IF(P238="","",IF(P238="Adulto",IF(OR(Q238="",Q238="N/A"),"⚠ Corda no compite Adulto",P238&amp;"-"&amp;Q238&amp;" · "&amp;M238),IF(P238="Baobá",IF(R238="","⚠ Sin clasificar Baobá",P238&amp;"-"&amp;R238&amp;" · "&amp;M238),IF(P238="Juvenil",IF(AND(OR(L238="Crua",L238="Crua/Amarela"),Y238&lt;&gt;"Sí"),"⚠ Juvenil necesita Amarela+",P238&amp;" · "&amp;M238),P238&amp;" · "&amp;M238))))</f>
        <v/>
      </c>
      <c r="T238" s="23" t="n"/>
      <c r="U238" s="22" t="inlineStr">
        <is>
          <t>Sí</t>
        </is>
      </c>
      <c r="V238" s="22" t="n"/>
      <c r="W238" s="22" t="n"/>
      <c r="X238" s="22" t="n"/>
      <c r="Y238" s="22" t="inlineStr">
        <is>
          <t>No</t>
        </is>
      </c>
      <c r="Z238" s="22" t="inlineStr">
        <is>
          <t>L</t>
        </is>
      </c>
      <c r="AA238" s="22" t="n">
        <v>35</v>
      </c>
      <c r="AB238" s="22" t="inlineStr">
        <is>
          <t>Pagado</t>
        </is>
      </c>
      <c r="AC238" s="22" t="n"/>
      <c r="AD238" s="23">
        <f>IF(D238&lt;&gt;"","P"&amp;TEXT(ROW()-4,"0000"),"")</f>
        <v/>
      </c>
    </row>
    <row r="239" ht="14.25" customHeight="1" s="72">
      <c r="A239" s="22" t="inlineStr">
        <is>
          <t>2025-08-07 10:49:49</t>
        </is>
      </c>
      <c r="B239" s="22" t="n"/>
      <c r="C239" s="22" t="n"/>
      <c r="D239" s="22" t="inlineStr">
        <is>
          <t>Raul</t>
        </is>
      </c>
      <c r="E239" s="22" t="inlineStr">
        <is>
          <t>Gomes</t>
        </is>
      </c>
      <c r="F239" s="22" t="inlineStr">
        <is>
          <t>Preguiça</t>
        </is>
      </c>
      <c r="G239" s="23">
        <f>IF(F239&lt;&gt;"",F239,IF(AND(D239="",E239=""),"",TRIM(D239&amp;" "&amp;E239)))</f>
        <v/>
      </c>
      <c r="H239" s="22" t="n"/>
      <c r="I239" s="22" t="inlineStr">
        <is>
          <t>+34 629 208 268</t>
        </is>
      </c>
      <c r="J239" s="22" t="inlineStr">
        <is>
          <t>Buenos Aires-Argentina</t>
        </is>
      </c>
      <c r="K239" s="22" t="inlineStr">
        <is>
          <t>Mestre Puma</t>
        </is>
      </c>
      <c r="L239" s="22" t="inlineStr">
        <is>
          <t>Crua</t>
        </is>
      </c>
      <c r="M239" s="22" t="inlineStr">
        <is>
          <t>Masculino</t>
        </is>
      </c>
      <c r="N239" s="78" t="n">
        <v>43650</v>
      </c>
      <c r="O239" s="23">
        <f>IF(N239="","",DATEDIF(N239,TODAY(),"Y"))</f>
        <v/>
      </c>
      <c r="P239" s="23">
        <f>IF(O239="","",IF(O239&lt;=11,"Infantil",IF(O239&lt;=17,"Juvenil",IF(O239&lt;=44,"Adulto","Baobá"))))</f>
        <v/>
      </c>
      <c r="Q239" s="23">
        <f>IF(P239&lt;&gt;"Adulto","",IF(OR(L239="Marrom",L239="Marrom/Vermelha"),"A",IF(OR(L239="Roxa",L239="Roxa/Marrom"),"B",IF(OR(L239="Verde",L239="Verde/Roxa"),"C",IF(OR(L239="Azul",L239="Azul/Verde"),"D",IF(OR(L239="Laranja",L239="Laranja/Azul"),"E",IF(Y239="Sí","E","N/A")))))))</f>
        <v/>
      </c>
      <c r="R239" s="23">
        <f>IF(P239&lt;&gt;"Baobá","",IF(OR(L239="Laranja",L239="Laranja/Azul"),"Alumnos",IF(Y239="Sí","Alumnos","Graduados+")))</f>
        <v/>
      </c>
      <c r="S239" s="23">
        <f>IF(P239="","",IF(P239="Adulto",IF(OR(Q239="",Q239="N/A"),"⚠ Corda no compite Adulto",P239&amp;"-"&amp;Q239&amp;" · "&amp;M239),IF(P239="Baobá",IF(R239="","⚠ Sin clasificar Baobá",P239&amp;"-"&amp;R239&amp;" · "&amp;M239),IF(P239="Juvenil",IF(AND(OR(L239="Crua",L239="Crua/Amarela"),Y239&lt;&gt;"Sí"),"⚠ Juvenil necesita Amarela+",P239&amp;" · "&amp;M239),P239&amp;" · "&amp;M239))))</f>
        <v/>
      </c>
      <c r="T239" s="23" t="n"/>
      <c r="U239" s="22" t="inlineStr">
        <is>
          <t>Sí</t>
        </is>
      </c>
      <c r="V239" s="22" t="n"/>
      <c r="W239" s="22" t="n"/>
      <c r="X239" s="22" t="n"/>
      <c r="Y239" s="22" t="inlineStr">
        <is>
          <t>No</t>
        </is>
      </c>
      <c r="Z239" s="22" t="inlineStr">
        <is>
          <t>XL</t>
        </is>
      </c>
      <c r="AA239" s="22" t="n">
        <v>35</v>
      </c>
      <c r="AB239" s="22" t="inlineStr">
        <is>
          <t>Pagado</t>
        </is>
      </c>
      <c r="AC239" s="22" t="n"/>
      <c r="AD239" s="23">
        <f>IF(D239&lt;&gt;"","P"&amp;TEXT(ROW()-4,"0000"),"")</f>
        <v/>
      </c>
    </row>
    <row r="240" ht="14.25" customHeight="1" s="72">
      <c r="A240" s="22" t="inlineStr">
        <is>
          <t>2025-10-12 20:13:28</t>
        </is>
      </c>
      <c r="B240" s="22" t="n"/>
      <c r="C240" s="22" t="n"/>
      <c r="D240" s="22" t="inlineStr">
        <is>
          <t>Felipe</t>
        </is>
      </c>
      <c r="E240" s="22" t="inlineStr">
        <is>
          <t>Moreau</t>
        </is>
      </c>
      <c r="F240" s="22" t="inlineStr">
        <is>
          <t>Onça</t>
        </is>
      </c>
      <c r="G240" s="23">
        <f>IF(F240&lt;&gt;"",F240,IF(AND(D240="",E240=""),"",TRIM(D240&amp;" "&amp;E240)))</f>
        <v/>
      </c>
      <c r="H240" s="22" t="n"/>
      <c r="I240" s="22" t="inlineStr">
        <is>
          <t>+34 643 972 222</t>
        </is>
      </c>
      <c r="J240" s="22" t="inlineStr">
        <is>
          <t>Fortaleza-Brasil</t>
        </is>
      </c>
      <c r="K240" s="22" t="inlineStr">
        <is>
          <t>Professor Gavião</t>
        </is>
      </c>
      <c r="L240" s="22" t="inlineStr">
        <is>
          <t>Crua</t>
        </is>
      </c>
      <c r="M240" s="22" t="inlineStr">
        <is>
          <t>Masculino</t>
        </is>
      </c>
      <c r="N240" s="78" t="n">
        <v>42318</v>
      </c>
      <c r="O240" s="23">
        <f>IF(N240="","",DATEDIF(N240,TODAY(),"Y"))</f>
        <v/>
      </c>
      <c r="P240" s="23">
        <f>IF(O240="","",IF(O240&lt;=11,"Infantil",IF(O240&lt;=17,"Juvenil",IF(O240&lt;=44,"Adulto","Baobá"))))</f>
        <v/>
      </c>
      <c r="Q240" s="23">
        <f>IF(P240&lt;&gt;"Adulto","",IF(OR(L240="Marrom",L240="Marrom/Vermelha"),"A",IF(OR(L240="Roxa",L240="Roxa/Marrom"),"B",IF(OR(L240="Verde",L240="Verde/Roxa"),"C",IF(OR(L240="Azul",L240="Azul/Verde"),"D",IF(OR(L240="Laranja",L240="Laranja/Azul"),"E",IF(Y240="Sí","E","N/A")))))))</f>
        <v/>
      </c>
      <c r="R240" s="23">
        <f>IF(P240&lt;&gt;"Baobá","",IF(OR(L240="Laranja",L240="Laranja/Azul"),"Alumnos",IF(Y240="Sí","Alumnos","Graduados+")))</f>
        <v/>
      </c>
      <c r="S240" s="23">
        <f>IF(P240="","",IF(P240="Adulto",IF(OR(Q240="",Q240="N/A"),"⚠ Corda no compite Adulto",P240&amp;"-"&amp;Q240&amp;" · "&amp;M240),IF(P240="Baobá",IF(R240="","⚠ Sin clasificar Baobá",P240&amp;"-"&amp;R240&amp;" · "&amp;M240),IF(P240="Juvenil",IF(AND(OR(L240="Crua",L240="Crua/Amarela"),Y240&lt;&gt;"Sí"),"⚠ Juvenil necesita Amarela+",P240&amp;" · "&amp;M240),P240&amp;" · "&amp;M240))))</f>
        <v/>
      </c>
      <c r="T240" s="23" t="n"/>
      <c r="U240" s="22" t="inlineStr">
        <is>
          <t>Sí</t>
        </is>
      </c>
      <c r="V240" s="22" t="n"/>
      <c r="W240" s="22" t="n"/>
      <c r="X240" s="22" t="n"/>
      <c r="Y240" s="22" t="inlineStr">
        <is>
          <t>No</t>
        </is>
      </c>
      <c r="Z240" s="22" t="inlineStr">
        <is>
          <t>XXL</t>
        </is>
      </c>
      <c r="AA240" s="22" t="n">
        <v>35</v>
      </c>
      <c r="AB240" s="22" t="inlineStr">
        <is>
          <t>Pagado</t>
        </is>
      </c>
      <c r="AC240" s="22" t="n"/>
      <c r="AD240" s="23">
        <f>IF(D240&lt;&gt;"","P"&amp;TEXT(ROW()-4,"0000"),"")</f>
        <v/>
      </c>
    </row>
    <row r="241" ht="14.25" customHeight="1" s="72">
      <c r="A241" s="22" t="inlineStr">
        <is>
          <t>2025-10-23 17:02:13</t>
        </is>
      </c>
      <c r="B241" s="22" t="n"/>
      <c r="C241" s="22" t="n"/>
      <c r="D241" s="22" t="inlineStr">
        <is>
          <t>Renato</t>
        </is>
      </c>
      <c r="E241" s="22" t="inlineStr">
        <is>
          <t>Cardoso</t>
        </is>
      </c>
      <c r="F241" s="22" t="inlineStr">
        <is>
          <t>Baiacu</t>
        </is>
      </c>
      <c r="G241" s="23">
        <f>IF(F241&lt;&gt;"",F241,IF(AND(D241="",E241=""),"",TRIM(D241&amp;" "&amp;E241)))</f>
        <v/>
      </c>
      <c r="H241" s="22" t="n"/>
      <c r="I241" s="22" t="inlineStr">
        <is>
          <t>+34 621 828 354</t>
        </is>
      </c>
      <c r="J241" s="22" t="inlineStr">
        <is>
          <t>Berlín-Alemania</t>
        </is>
      </c>
      <c r="K241" s="22" t="inlineStr">
        <is>
          <t>Mestre Sucuri</t>
        </is>
      </c>
      <c r="L241" s="22" t="inlineStr">
        <is>
          <t>Crua</t>
        </is>
      </c>
      <c r="M241" s="22" t="inlineStr">
        <is>
          <t>Masculino</t>
        </is>
      </c>
      <c r="N241" s="78" t="n">
        <v>42757</v>
      </c>
      <c r="O241" s="23">
        <f>IF(N241="","",DATEDIF(N241,TODAY(),"Y"))</f>
        <v/>
      </c>
      <c r="P241" s="23">
        <f>IF(O241="","",IF(O241&lt;=11,"Infantil",IF(O241&lt;=17,"Juvenil",IF(O241&lt;=44,"Adulto","Baobá"))))</f>
        <v/>
      </c>
      <c r="Q241" s="23">
        <f>IF(P241&lt;&gt;"Adulto","",IF(OR(L241="Marrom",L241="Marrom/Vermelha"),"A",IF(OR(L241="Roxa",L241="Roxa/Marrom"),"B",IF(OR(L241="Verde",L241="Verde/Roxa"),"C",IF(OR(L241="Azul",L241="Azul/Verde"),"D",IF(OR(L241="Laranja",L241="Laranja/Azul"),"E",IF(Y241="Sí","E","N/A")))))))</f>
        <v/>
      </c>
      <c r="R241" s="23">
        <f>IF(P241&lt;&gt;"Baobá","",IF(OR(L241="Laranja",L241="Laranja/Azul"),"Alumnos",IF(Y241="Sí","Alumnos","Graduados+")))</f>
        <v/>
      </c>
      <c r="S241" s="23">
        <f>IF(P241="","",IF(P241="Adulto",IF(OR(Q241="",Q241="N/A"),"⚠ Corda no compite Adulto",P241&amp;"-"&amp;Q241&amp;" · "&amp;M241),IF(P241="Baobá",IF(R241="","⚠ Sin clasificar Baobá",P241&amp;"-"&amp;R241&amp;" · "&amp;M241),IF(P241="Juvenil",IF(AND(OR(L241="Crua",L241="Crua/Amarela"),Y241&lt;&gt;"Sí"),"⚠ Juvenil necesita Amarela+",P241&amp;" · "&amp;M241),P241&amp;" · "&amp;M241))))</f>
        <v/>
      </c>
      <c r="T241" s="23" t="n"/>
      <c r="U241" s="22" t="inlineStr">
        <is>
          <t>Sí</t>
        </is>
      </c>
      <c r="V241" s="22" t="n"/>
      <c r="W241" s="22" t="n"/>
      <c r="X241" s="22" t="n"/>
      <c r="Y241" s="22" t="inlineStr">
        <is>
          <t>No</t>
        </is>
      </c>
      <c r="Z241" s="22" t="inlineStr">
        <is>
          <t>XS</t>
        </is>
      </c>
      <c r="AA241" s="22" t="n">
        <v>35</v>
      </c>
      <c r="AB241" s="22" t="inlineStr">
        <is>
          <t>Pagado</t>
        </is>
      </c>
      <c r="AC241" s="22" t="n"/>
      <c r="AD241" s="23">
        <f>IF(D241&lt;&gt;"","P"&amp;TEXT(ROW()-4,"0000"),"")</f>
        <v/>
      </c>
    </row>
    <row r="242" ht="14.25" customHeight="1" s="72">
      <c r="A242" s="22" t="inlineStr">
        <is>
          <t>2025-09-09 21:11:01</t>
        </is>
      </c>
      <c r="B242" s="22" t="n"/>
      <c r="C242" s="22" t="n"/>
      <c r="D242" s="22" t="inlineStr">
        <is>
          <t>Cristian</t>
        </is>
      </c>
      <c r="E242" s="22" t="inlineStr">
        <is>
          <t>Durand</t>
        </is>
      </c>
      <c r="F242" s="22" t="inlineStr">
        <is>
          <t>Bem-te-vi</t>
        </is>
      </c>
      <c r="G242" s="23">
        <f>IF(F242&lt;&gt;"",F242,IF(AND(D242="",E242=""),"",TRIM(D242&amp;" "&amp;E242)))</f>
        <v/>
      </c>
      <c r="H242" s="22" t="n"/>
      <c r="I242" s="22" t="inlineStr">
        <is>
          <t>+34 681 866 663</t>
        </is>
      </c>
      <c r="J242" s="22" t="inlineStr">
        <is>
          <t>Lisboa-Portugal</t>
        </is>
      </c>
      <c r="K242" s="22" t="inlineStr">
        <is>
          <t>Professor Leão</t>
        </is>
      </c>
      <c r="L242" s="22" t="inlineStr">
        <is>
          <t>Amarela</t>
        </is>
      </c>
      <c r="M242" s="22" t="inlineStr">
        <is>
          <t>Masculino</t>
        </is>
      </c>
      <c r="N242" s="78" t="n">
        <v>43157</v>
      </c>
      <c r="O242" s="23">
        <f>IF(N242="","",DATEDIF(N242,TODAY(),"Y"))</f>
        <v/>
      </c>
      <c r="P242" s="23">
        <f>IF(O242="","",IF(O242&lt;=11,"Infantil",IF(O242&lt;=17,"Juvenil",IF(O242&lt;=44,"Adulto","Baobá"))))</f>
        <v/>
      </c>
      <c r="Q242" s="23">
        <f>IF(P242&lt;&gt;"Adulto","",IF(OR(L242="Marrom",L242="Marrom/Vermelha"),"A",IF(OR(L242="Roxa",L242="Roxa/Marrom"),"B",IF(OR(L242="Verde",L242="Verde/Roxa"),"C",IF(OR(L242="Azul",L242="Azul/Verde"),"D",IF(OR(L242="Laranja",L242="Laranja/Azul"),"E",IF(Y242="Sí","E","N/A")))))))</f>
        <v/>
      </c>
      <c r="R242" s="23">
        <f>IF(P242&lt;&gt;"Baobá","",IF(OR(L242="Laranja",L242="Laranja/Azul"),"Alumnos",IF(Y242="Sí","Alumnos","Graduados+")))</f>
        <v/>
      </c>
      <c r="S242" s="23">
        <f>IF(P242="","",IF(P242="Adulto",IF(OR(Q242="",Q242="N/A"),"⚠ Corda no compite Adulto",P242&amp;"-"&amp;Q242&amp;" · "&amp;M242),IF(P242="Baobá",IF(R242="","⚠ Sin clasificar Baobá",P242&amp;"-"&amp;R242&amp;" · "&amp;M242),IF(P242="Juvenil",IF(AND(OR(L242="Crua",L242="Crua/Amarela"),Y242&lt;&gt;"Sí"),"⚠ Juvenil necesita Amarela+",P242&amp;" · "&amp;M242),P242&amp;" · "&amp;M242))))</f>
        <v/>
      </c>
      <c r="T242" s="23" t="n"/>
      <c r="U242" s="22" t="inlineStr">
        <is>
          <t>Sí</t>
        </is>
      </c>
      <c r="V242" s="22" t="n"/>
      <c r="W242" s="22" t="n"/>
      <c r="X242" s="22" t="n"/>
      <c r="Y242" s="22" t="inlineStr">
        <is>
          <t>No</t>
        </is>
      </c>
      <c r="Z242" s="22" t="inlineStr">
        <is>
          <t>S</t>
        </is>
      </c>
      <c r="AA242" s="22" t="n">
        <v>35</v>
      </c>
      <c r="AB242" s="22" t="inlineStr">
        <is>
          <t>Pagado</t>
        </is>
      </c>
      <c r="AC242" s="22" t="n"/>
      <c r="AD242" s="23">
        <f>IF(D242&lt;&gt;"","P"&amp;TEXT(ROW()-4,"0000"),"")</f>
        <v/>
      </c>
    </row>
    <row r="243" ht="14.25" customHeight="1" s="72">
      <c r="A243" s="22" t="inlineStr">
        <is>
          <t>2025-08-04 08:03:53</t>
        </is>
      </c>
      <c r="B243" s="22" t="n"/>
      <c r="C243" s="22" t="n"/>
      <c r="D243" s="22" t="inlineStr">
        <is>
          <t>Marc</t>
        </is>
      </c>
      <c r="E243" s="22" t="inlineStr">
        <is>
          <t>Jiménez</t>
        </is>
      </c>
      <c r="F243" s="22" t="inlineStr">
        <is>
          <t>Arara</t>
        </is>
      </c>
      <c r="G243" s="23">
        <f>IF(F243&lt;&gt;"",F243,IF(AND(D243="",E243=""),"",TRIM(D243&amp;" "&amp;E243)))</f>
        <v/>
      </c>
      <c r="H243" s="22" t="n"/>
      <c r="I243" s="22" t="inlineStr">
        <is>
          <t>+34 626 302 943</t>
        </is>
      </c>
      <c r="J243" s="22" t="inlineStr">
        <is>
          <t>Roma-Italia</t>
        </is>
      </c>
      <c r="K243" s="22" t="inlineStr">
        <is>
          <t>Contra-Mestre Jabuti</t>
        </is>
      </c>
      <c r="L243" s="22" t="inlineStr">
        <is>
          <t>Crua</t>
        </is>
      </c>
      <c r="M243" s="22" t="inlineStr">
        <is>
          <t>Masculino</t>
        </is>
      </c>
      <c r="N243" s="78" t="n">
        <v>42695</v>
      </c>
      <c r="O243" s="23">
        <f>IF(N243="","",DATEDIF(N243,TODAY(),"Y"))</f>
        <v/>
      </c>
      <c r="P243" s="23">
        <f>IF(O243="","",IF(O243&lt;=11,"Infantil",IF(O243&lt;=17,"Juvenil",IF(O243&lt;=44,"Adulto","Baobá"))))</f>
        <v/>
      </c>
      <c r="Q243" s="23">
        <f>IF(P243&lt;&gt;"Adulto","",IF(OR(L243="Marrom",L243="Marrom/Vermelha"),"A",IF(OR(L243="Roxa",L243="Roxa/Marrom"),"B",IF(OR(L243="Verde",L243="Verde/Roxa"),"C",IF(OR(L243="Azul",L243="Azul/Verde"),"D",IF(OR(L243="Laranja",L243="Laranja/Azul"),"E",IF(Y243="Sí","E","N/A")))))))</f>
        <v/>
      </c>
      <c r="R243" s="23">
        <f>IF(P243&lt;&gt;"Baobá","",IF(OR(L243="Laranja",L243="Laranja/Azul"),"Alumnos",IF(Y243="Sí","Alumnos","Graduados+")))</f>
        <v/>
      </c>
      <c r="S243" s="23">
        <f>IF(P243="","",IF(P243="Adulto",IF(OR(Q243="",Q243="N/A"),"⚠ Corda no compite Adulto",P243&amp;"-"&amp;Q243&amp;" · "&amp;M243),IF(P243="Baobá",IF(R243="","⚠ Sin clasificar Baobá",P243&amp;"-"&amp;R243&amp;" · "&amp;M243),IF(P243="Juvenil",IF(AND(OR(L243="Crua",L243="Crua/Amarela"),Y243&lt;&gt;"Sí"),"⚠ Juvenil necesita Amarela+",P243&amp;" · "&amp;M243),P243&amp;" · "&amp;M243))))</f>
        <v/>
      </c>
      <c r="T243" s="23" t="n"/>
      <c r="U243" s="22" t="inlineStr">
        <is>
          <t>Sí</t>
        </is>
      </c>
      <c r="V243" s="22" t="n"/>
      <c r="W243" s="22" t="n"/>
      <c r="X243" s="22" t="n"/>
      <c r="Y243" s="22" t="inlineStr">
        <is>
          <t>No</t>
        </is>
      </c>
      <c r="Z243" s="22" t="inlineStr">
        <is>
          <t>M</t>
        </is>
      </c>
      <c r="AA243" s="22" t="n">
        <v>35</v>
      </c>
      <c r="AB243" s="22" t="inlineStr">
        <is>
          <t>Pagado</t>
        </is>
      </c>
      <c r="AC243" s="22" t="n"/>
      <c r="AD243" s="23">
        <f>IF(D243&lt;&gt;"","P"&amp;TEXT(ROW()-4,"0000"),"")</f>
        <v/>
      </c>
    </row>
    <row r="244" ht="14.25" customHeight="1" s="72">
      <c r="A244" s="22" t="inlineStr">
        <is>
          <t>2025-08-19 17:16:58</t>
        </is>
      </c>
      <c r="B244" s="22" t="n"/>
      <c r="C244" s="22" t="n"/>
      <c r="D244" s="22" t="inlineStr">
        <is>
          <t>André</t>
        </is>
      </c>
      <c r="E244" s="22" t="inlineStr">
        <is>
          <t>Oliveira</t>
        </is>
      </c>
      <c r="F244" s="22" t="inlineStr">
        <is>
          <t>Centopeia</t>
        </is>
      </c>
      <c r="G244" s="23">
        <f>IF(F244&lt;&gt;"",F244,IF(AND(D244="",E244=""),"",TRIM(D244&amp;" "&amp;E244)))</f>
        <v/>
      </c>
      <c r="H244" s="22" t="n"/>
      <c r="I244" s="22" t="inlineStr">
        <is>
          <t>+34 618 302 761</t>
        </is>
      </c>
      <c r="J244" s="22" t="inlineStr">
        <is>
          <t>Buenos Aires-Argentina</t>
        </is>
      </c>
      <c r="K244" s="22" t="inlineStr">
        <is>
          <t>Mestre Cobra</t>
        </is>
      </c>
      <c r="L244" s="22" t="inlineStr">
        <is>
          <t>Amarela</t>
        </is>
      </c>
      <c r="M244" s="22" t="inlineStr">
        <is>
          <t>Masculino</t>
        </is>
      </c>
      <c r="N244" s="78" t="n">
        <v>44351</v>
      </c>
      <c r="O244" s="23">
        <f>IF(N244="","",DATEDIF(N244,TODAY(),"Y"))</f>
        <v/>
      </c>
      <c r="P244" s="23">
        <f>IF(O244="","",IF(O244&lt;=11,"Infantil",IF(O244&lt;=17,"Juvenil",IF(O244&lt;=44,"Adulto","Baobá"))))</f>
        <v/>
      </c>
      <c r="Q244" s="23">
        <f>IF(P244&lt;&gt;"Adulto","",IF(OR(L244="Marrom",L244="Marrom/Vermelha"),"A",IF(OR(L244="Roxa",L244="Roxa/Marrom"),"B",IF(OR(L244="Verde",L244="Verde/Roxa"),"C",IF(OR(L244="Azul",L244="Azul/Verde"),"D",IF(OR(L244="Laranja",L244="Laranja/Azul"),"E",IF(Y244="Sí","E","N/A")))))))</f>
        <v/>
      </c>
      <c r="R244" s="23">
        <f>IF(P244&lt;&gt;"Baobá","",IF(OR(L244="Laranja",L244="Laranja/Azul"),"Alumnos",IF(Y244="Sí","Alumnos","Graduados+")))</f>
        <v/>
      </c>
      <c r="S244" s="23">
        <f>IF(P244="","",IF(P244="Adulto",IF(OR(Q244="",Q244="N/A"),"⚠ Corda no compite Adulto",P244&amp;"-"&amp;Q244&amp;" · "&amp;M244),IF(P244="Baobá",IF(R244="","⚠ Sin clasificar Baobá",P244&amp;"-"&amp;R244&amp;" · "&amp;M244),IF(P244="Juvenil",IF(AND(OR(L244="Crua",L244="Crua/Amarela"),Y244&lt;&gt;"Sí"),"⚠ Juvenil necesita Amarela+",P244&amp;" · "&amp;M244),P244&amp;" · "&amp;M244))))</f>
        <v/>
      </c>
      <c r="T244" s="23" t="n"/>
      <c r="U244" s="22" t="inlineStr">
        <is>
          <t>Sí</t>
        </is>
      </c>
      <c r="V244" s="22" t="n"/>
      <c r="W244" s="22" t="n"/>
      <c r="X244" s="22" t="n"/>
      <c r="Y244" s="22" t="inlineStr">
        <is>
          <t>No</t>
        </is>
      </c>
      <c r="Z244" s="22" t="inlineStr">
        <is>
          <t>L</t>
        </is>
      </c>
      <c r="AA244" s="22" t="n">
        <v>35</v>
      </c>
      <c r="AB244" s="22" t="inlineStr">
        <is>
          <t>Pagado</t>
        </is>
      </c>
      <c r="AC244" s="22" t="n"/>
      <c r="AD244" s="23">
        <f>IF(D244&lt;&gt;"","P"&amp;TEXT(ROW()-4,"0000"),"")</f>
        <v/>
      </c>
    </row>
    <row r="245" ht="14.25" customHeight="1" s="72">
      <c r="A245" s="22" t="inlineStr">
        <is>
          <t>2025-08-15 08:10:59</t>
        </is>
      </c>
      <c r="B245" s="22" t="n"/>
      <c r="C245" s="22" t="n"/>
      <c r="D245" s="22" t="inlineStr">
        <is>
          <t>Martina</t>
        </is>
      </c>
      <c r="E245" s="22" t="inlineStr">
        <is>
          <t>Richard</t>
        </is>
      </c>
      <c r="F245" s="22" t="inlineStr">
        <is>
          <t>Aranha</t>
        </is>
      </c>
      <c r="G245" s="23">
        <f>IF(F245&lt;&gt;"",F245,IF(AND(D245="",E245=""),"",TRIM(D245&amp;" "&amp;E245)))</f>
        <v/>
      </c>
      <c r="H245" s="22" t="n"/>
      <c r="I245" s="22" t="inlineStr">
        <is>
          <t>+34 660 608 130</t>
        </is>
      </c>
      <c r="J245" s="22" t="inlineStr">
        <is>
          <t>Múnich-Alemania</t>
        </is>
      </c>
      <c r="K245" s="22" t="inlineStr">
        <is>
          <t>Professor Macaco</t>
        </is>
      </c>
      <c r="L245" s="22" t="inlineStr">
        <is>
          <t>Crua</t>
        </is>
      </c>
      <c r="M245" s="22" t="inlineStr">
        <is>
          <t>Femenino</t>
        </is>
      </c>
      <c r="N245" s="78" t="n">
        <v>43989</v>
      </c>
      <c r="O245" s="23">
        <f>IF(N245="","",DATEDIF(N245,TODAY(),"Y"))</f>
        <v/>
      </c>
      <c r="P245" s="23">
        <f>IF(O245="","",IF(O245&lt;=11,"Infantil",IF(O245&lt;=17,"Juvenil",IF(O245&lt;=44,"Adulto","Baobá"))))</f>
        <v/>
      </c>
      <c r="Q245" s="23">
        <f>IF(P245&lt;&gt;"Adulto","",IF(OR(L245="Marrom",L245="Marrom/Vermelha"),"A",IF(OR(L245="Roxa",L245="Roxa/Marrom"),"B",IF(OR(L245="Verde",L245="Verde/Roxa"),"C",IF(OR(L245="Azul",L245="Azul/Verde"),"D",IF(OR(L245="Laranja",L245="Laranja/Azul"),"E",IF(Y245="Sí","E","N/A")))))))</f>
        <v/>
      </c>
      <c r="R245" s="23">
        <f>IF(P245&lt;&gt;"Baobá","",IF(OR(L245="Laranja",L245="Laranja/Azul"),"Alumnos",IF(Y245="Sí","Alumnos","Graduados+")))</f>
        <v/>
      </c>
      <c r="S245" s="23">
        <f>IF(P245="","",IF(P245="Adulto",IF(OR(Q245="",Q245="N/A"),"⚠ Corda no compite Adulto",P245&amp;"-"&amp;Q245&amp;" · "&amp;M245),IF(P245="Baobá",IF(R245="","⚠ Sin clasificar Baobá",P245&amp;"-"&amp;R245&amp;" · "&amp;M245),IF(P245="Juvenil",IF(AND(OR(L245="Crua",L245="Crua/Amarela"),Y245&lt;&gt;"Sí"),"⚠ Juvenil necesita Amarela+",P245&amp;" · "&amp;M245),P245&amp;" · "&amp;M245))))</f>
        <v/>
      </c>
      <c r="T245" s="23" t="n"/>
      <c r="U245" s="22" t="inlineStr">
        <is>
          <t>Sí</t>
        </is>
      </c>
      <c r="V245" s="22" t="n"/>
      <c r="W245" s="22" t="n"/>
      <c r="X245" s="22" t="n"/>
      <c r="Y245" s="22" t="inlineStr">
        <is>
          <t>No</t>
        </is>
      </c>
      <c r="Z245" s="22" t="inlineStr">
        <is>
          <t>XL</t>
        </is>
      </c>
      <c r="AA245" s="22" t="n">
        <v>35</v>
      </c>
      <c r="AB245" s="22" t="inlineStr">
        <is>
          <t>Pagado</t>
        </is>
      </c>
      <c r="AC245" s="22" t="n"/>
      <c r="AD245" s="23">
        <f>IF(D245&lt;&gt;"","P"&amp;TEXT(ROW()-4,"0000"),"")</f>
        <v/>
      </c>
    </row>
    <row r="246" ht="14.25" customHeight="1" s="72">
      <c r="A246" s="22" t="inlineStr">
        <is>
          <t>2025-08-09 12:28:56</t>
        </is>
      </c>
      <c r="B246" s="22" t="n"/>
      <c r="C246" s="22" t="n"/>
      <c r="D246" s="22" t="inlineStr">
        <is>
          <t>Carla</t>
        </is>
      </c>
      <c r="E246" s="22" t="inlineStr">
        <is>
          <t>Pereira</t>
        </is>
      </c>
      <c r="F246" s="22" t="inlineStr">
        <is>
          <t>Golfinho-Rosa</t>
        </is>
      </c>
      <c r="G246" s="23">
        <f>IF(F246&lt;&gt;"",F246,IF(AND(D246="",E246=""),"",TRIM(D246&amp;" "&amp;E246)))</f>
        <v/>
      </c>
      <c r="H246" s="22" t="n"/>
      <c r="I246" s="22" t="inlineStr">
        <is>
          <t>+34 688 734 731</t>
        </is>
      </c>
      <c r="J246" s="22" t="inlineStr">
        <is>
          <t>Lisboa-Portugal</t>
        </is>
      </c>
      <c r="K246" s="22" t="inlineStr">
        <is>
          <t>Mestre Coruja</t>
        </is>
      </c>
      <c r="L246" s="22" t="inlineStr">
        <is>
          <t>Crua</t>
        </is>
      </c>
      <c r="M246" s="22" t="inlineStr">
        <is>
          <t>Femenino</t>
        </is>
      </c>
      <c r="N246" s="78" t="n">
        <v>43299</v>
      </c>
      <c r="O246" s="23">
        <f>IF(N246="","",DATEDIF(N246,TODAY(),"Y"))</f>
        <v/>
      </c>
      <c r="P246" s="23">
        <f>IF(O246="","",IF(O246&lt;=11,"Infantil",IF(O246&lt;=17,"Juvenil",IF(O246&lt;=44,"Adulto","Baobá"))))</f>
        <v/>
      </c>
      <c r="Q246" s="23">
        <f>IF(P246&lt;&gt;"Adulto","",IF(OR(L246="Marrom",L246="Marrom/Vermelha"),"A",IF(OR(L246="Roxa",L246="Roxa/Marrom"),"B",IF(OR(L246="Verde",L246="Verde/Roxa"),"C",IF(OR(L246="Azul",L246="Azul/Verde"),"D",IF(OR(L246="Laranja",L246="Laranja/Azul"),"E",IF(Y246="Sí","E","N/A")))))))</f>
        <v/>
      </c>
      <c r="R246" s="23">
        <f>IF(P246&lt;&gt;"Baobá","",IF(OR(L246="Laranja",L246="Laranja/Azul"),"Alumnos",IF(Y246="Sí","Alumnos","Graduados+")))</f>
        <v/>
      </c>
      <c r="S246" s="23">
        <f>IF(P246="","",IF(P246="Adulto",IF(OR(Q246="",Q246="N/A"),"⚠ Corda no compite Adulto",P246&amp;"-"&amp;Q246&amp;" · "&amp;M246),IF(P246="Baobá",IF(R246="","⚠ Sin clasificar Baobá",P246&amp;"-"&amp;R246&amp;" · "&amp;M246),IF(P246="Juvenil",IF(AND(OR(L246="Crua",L246="Crua/Amarela"),Y246&lt;&gt;"Sí"),"⚠ Juvenil necesita Amarela+",P246&amp;" · "&amp;M246),P246&amp;" · "&amp;M246))))</f>
        <v/>
      </c>
      <c r="T246" s="23" t="n"/>
      <c r="U246" s="22" t="inlineStr">
        <is>
          <t>Sí</t>
        </is>
      </c>
      <c r="V246" s="22" t="n"/>
      <c r="W246" s="22" t="n"/>
      <c r="X246" s="22" t="n"/>
      <c r="Y246" s="22" t="inlineStr">
        <is>
          <t>No</t>
        </is>
      </c>
      <c r="Z246" s="22" t="inlineStr">
        <is>
          <t>XXL</t>
        </is>
      </c>
      <c r="AA246" s="22" t="n">
        <v>35</v>
      </c>
      <c r="AB246" s="22" t="inlineStr">
        <is>
          <t>Pagado</t>
        </is>
      </c>
      <c r="AC246" s="22" t="n"/>
      <c r="AD246" s="23">
        <f>IF(D246&lt;&gt;"","P"&amp;TEXT(ROW()-4,"0000"),"")</f>
        <v/>
      </c>
    </row>
    <row r="247" ht="14.25" customHeight="1" s="72">
      <c r="A247" s="22" t="inlineStr">
        <is>
          <t>2025-09-02 09:17:24</t>
        </is>
      </c>
      <c r="B247" s="22" t="n"/>
      <c r="C247" s="22" t="n"/>
      <c r="D247" s="22" t="inlineStr">
        <is>
          <t>Paula</t>
        </is>
      </c>
      <c r="E247" s="22" t="inlineStr">
        <is>
          <t>Thomas</t>
        </is>
      </c>
      <c r="F247" s="22" t="inlineStr">
        <is>
          <t>Quati</t>
        </is>
      </c>
      <c r="G247" s="23">
        <f>IF(F247&lt;&gt;"",F247,IF(AND(D247="",E247=""),"",TRIM(D247&amp;" "&amp;E247)))</f>
        <v/>
      </c>
      <c r="H247" s="22" t="n"/>
      <c r="I247" s="22" t="inlineStr">
        <is>
          <t>+34 635 758 916</t>
        </is>
      </c>
      <c r="J247" s="22" t="inlineStr">
        <is>
          <t>Lisboa-Portugal</t>
        </is>
      </c>
      <c r="K247" s="22" t="inlineStr">
        <is>
          <t>Professor Tatu</t>
        </is>
      </c>
      <c r="L247" s="22" t="inlineStr">
        <is>
          <t>Crua/Amarela</t>
        </is>
      </c>
      <c r="M247" s="22" t="inlineStr">
        <is>
          <t>Femenino</t>
        </is>
      </c>
      <c r="N247" s="78" t="n">
        <v>42017</v>
      </c>
      <c r="O247" s="23">
        <f>IF(N247="","",DATEDIF(N247,TODAY(),"Y"))</f>
        <v/>
      </c>
      <c r="P247" s="23">
        <f>IF(O247="","",IF(O247&lt;=11,"Infantil",IF(O247&lt;=17,"Juvenil",IF(O247&lt;=44,"Adulto","Baobá"))))</f>
        <v/>
      </c>
      <c r="Q247" s="23">
        <f>IF(P247&lt;&gt;"Adulto","",IF(OR(L247="Marrom",L247="Marrom/Vermelha"),"A",IF(OR(L247="Roxa",L247="Roxa/Marrom"),"B",IF(OR(L247="Verde",L247="Verde/Roxa"),"C",IF(OR(L247="Azul",L247="Azul/Verde"),"D",IF(OR(L247="Laranja",L247="Laranja/Azul"),"E",IF(Y247="Sí","E","N/A")))))))</f>
        <v/>
      </c>
      <c r="R247" s="23">
        <f>IF(P247&lt;&gt;"Baobá","",IF(OR(L247="Laranja",L247="Laranja/Azul"),"Alumnos",IF(Y247="Sí","Alumnos","Graduados+")))</f>
        <v/>
      </c>
      <c r="S247" s="23">
        <f>IF(P247="","",IF(P247="Adulto",IF(OR(Q247="",Q247="N/A"),"⚠ Corda no compite Adulto",P247&amp;"-"&amp;Q247&amp;" · "&amp;M247),IF(P247="Baobá",IF(R247="","⚠ Sin clasificar Baobá",P247&amp;"-"&amp;R247&amp;" · "&amp;M247),IF(P247="Juvenil",IF(AND(OR(L247="Crua",L247="Crua/Amarela"),Y247&lt;&gt;"Sí"),"⚠ Juvenil necesita Amarela+",P247&amp;" · "&amp;M247),P247&amp;" · "&amp;M247))))</f>
        <v/>
      </c>
      <c r="T247" s="23" t="n"/>
      <c r="U247" s="22" t="inlineStr">
        <is>
          <t>Sí</t>
        </is>
      </c>
      <c r="V247" s="22" t="n"/>
      <c r="W247" s="22" t="n"/>
      <c r="X247" s="22" t="n"/>
      <c r="Y247" s="22" t="inlineStr">
        <is>
          <t>No</t>
        </is>
      </c>
      <c r="Z247" s="22" t="inlineStr">
        <is>
          <t>XS</t>
        </is>
      </c>
      <c r="AA247" s="22" t="n">
        <v>35</v>
      </c>
      <c r="AB247" s="22" t="inlineStr">
        <is>
          <t>Pagado</t>
        </is>
      </c>
      <c r="AC247" s="22" t="n"/>
      <c r="AD247" s="23">
        <f>IF(D247&lt;&gt;"","P"&amp;TEXT(ROW()-4,"0000"),"")</f>
        <v/>
      </c>
    </row>
    <row r="248" ht="14.25" customHeight="1" s="72">
      <c r="A248" s="22" t="inlineStr">
        <is>
          <t>2025-10-12 15:34:50</t>
        </is>
      </c>
      <c r="B248" s="22" t="n"/>
      <c r="C248" s="22" t="n"/>
      <c r="D248" s="22" t="inlineStr">
        <is>
          <t>Céline</t>
        </is>
      </c>
      <c r="E248" s="22" t="inlineStr">
        <is>
          <t>Bianchi</t>
        </is>
      </c>
      <c r="F248" s="22" t="inlineStr">
        <is>
          <t>Sabiá</t>
        </is>
      </c>
      <c r="G248" s="23">
        <f>IF(F248&lt;&gt;"",F248,IF(AND(D248="",E248=""),"",TRIM(D248&amp;" "&amp;E248)))</f>
        <v/>
      </c>
      <c r="H248" s="22" t="n"/>
      <c r="I248" s="22" t="inlineStr">
        <is>
          <t>+34 682 614 429</t>
        </is>
      </c>
      <c r="J248" s="22" t="inlineStr">
        <is>
          <t>Múnich-Alemania</t>
        </is>
      </c>
      <c r="K248" s="22" t="inlineStr">
        <is>
          <t>Professor Tigre</t>
        </is>
      </c>
      <c r="L248" s="22" t="inlineStr">
        <is>
          <t>Crua/Amarela</t>
        </is>
      </c>
      <c r="M248" s="22" t="inlineStr">
        <is>
          <t>Femenino</t>
        </is>
      </c>
      <c r="N248" s="78" t="n">
        <v>43841</v>
      </c>
      <c r="O248" s="23">
        <f>IF(N248="","",DATEDIF(N248,TODAY(),"Y"))</f>
        <v/>
      </c>
      <c r="P248" s="23">
        <f>IF(O248="","",IF(O248&lt;=11,"Infantil",IF(O248&lt;=17,"Juvenil",IF(O248&lt;=44,"Adulto","Baobá"))))</f>
        <v/>
      </c>
      <c r="Q248" s="23">
        <f>IF(P248&lt;&gt;"Adulto","",IF(OR(L248="Marrom",L248="Marrom/Vermelha"),"A",IF(OR(L248="Roxa",L248="Roxa/Marrom"),"B",IF(OR(L248="Verde",L248="Verde/Roxa"),"C",IF(OR(L248="Azul",L248="Azul/Verde"),"D",IF(OR(L248="Laranja",L248="Laranja/Azul"),"E",IF(Y248="Sí","E","N/A")))))))</f>
        <v/>
      </c>
      <c r="R248" s="23">
        <f>IF(P248&lt;&gt;"Baobá","",IF(OR(L248="Laranja",L248="Laranja/Azul"),"Alumnos",IF(Y248="Sí","Alumnos","Graduados+")))</f>
        <v/>
      </c>
      <c r="S248" s="23">
        <f>IF(P248="","",IF(P248="Adulto",IF(OR(Q248="",Q248="N/A"),"⚠ Corda no compite Adulto",P248&amp;"-"&amp;Q248&amp;" · "&amp;M248),IF(P248="Baobá",IF(R248="","⚠ Sin clasificar Baobá",P248&amp;"-"&amp;R248&amp;" · "&amp;M248),IF(P248="Juvenil",IF(AND(OR(L248="Crua",L248="Crua/Amarela"),Y248&lt;&gt;"Sí"),"⚠ Juvenil necesita Amarela+",P248&amp;" · "&amp;M248),P248&amp;" · "&amp;M248))))</f>
        <v/>
      </c>
      <c r="T248" s="23" t="n"/>
      <c r="U248" s="22" t="inlineStr">
        <is>
          <t>Sí</t>
        </is>
      </c>
      <c r="V248" s="22" t="n"/>
      <c r="W248" s="22" t="n"/>
      <c r="X248" s="22" t="n"/>
      <c r="Y248" s="22" t="inlineStr">
        <is>
          <t>No</t>
        </is>
      </c>
      <c r="Z248" s="22" t="inlineStr">
        <is>
          <t>S</t>
        </is>
      </c>
      <c r="AA248" s="22" t="n">
        <v>35</v>
      </c>
      <c r="AB248" s="22" t="inlineStr">
        <is>
          <t>Pagado</t>
        </is>
      </c>
      <c r="AC248" s="22" t="n"/>
      <c r="AD248" s="23">
        <f>IF(D248&lt;&gt;"","P"&amp;TEXT(ROW()-4,"0000"),"")</f>
        <v/>
      </c>
    </row>
    <row r="249" ht="14.25" customHeight="1" s="72">
      <c r="A249" s="22" t="inlineStr">
        <is>
          <t>2025-10-08 08:57:51</t>
        </is>
      </c>
      <c r="B249" s="22" t="n"/>
      <c r="C249" s="22" t="n"/>
      <c r="D249" s="22" t="inlineStr">
        <is>
          <t>Mei</t>
        </is>
      </c>
      <c r="E249" s="22" t="inlineStr">
        <is>
          <t>Meyer</t>
        </is>
      </c>
      <c r="F249" s="22" t="inlineStr">
        <is>
          <t>Suçuarana</t>
        </is>
      </c>
      <c r="G249" s="23">
        <f>IF(F249&lt;&gt;"",F249,IF(AND(D249="",E249=""),"",TRIM(D249&amp;" "&amp;E249)))</f>
        <v/>
      </c>
      <c r="H249" s="22" t="n"/>
      <c r="I249" s="22" t="inlineStr">
        <is>
          <t>+34 617 928 583</t>
        </is>
      </c>
      <c r="J249" s="22" t="inlineStr">
        <is>
          <t>Berlín-Alemania</t>
        </is>
      </c>
      <c r="K249" s="22" t="inlineStr">
        <is>
          <t>Mestre Urso</t>
        </is>
      </c>
      <c r="L249" s="22" t="inlineStr">
        <is>
          <t>Amarela</t>
        </is>
      </c>
      <c r="M249" s="22" t="inlineStr">
        <is>
          <t>Femenino</t>
        </is>
      </c>
      <c r="N249" s="78" t="n">
        <v>43894</v>
      </c>
      <c r="O249" s="23">
        <f>IF(N249="","",DATEDIF(N249,TODAY(),"Y"))</f>
        <v/>
      </c>
      <c r="P249" s="23">
        <f>IF(O249="","",IF(O249&lt;=11,"Infantil",IF(O249&lt;=17,"Juvenil",IF(O249&lt;=44,"Adulto","Baobá"))))</f>
        <v/>
      </c>
      <c r="Q249" s="23">
        <f>IF(P249&lt;&gt;"Adulto","",IF(OR(L249="Marrom",L249="Marrom/Vermelha"),"A",IF(OR(L249="Roxa",L249="Roxa/Marrom"),"B",IF(OR(L249="Verde",L249="Verde/Roxa"),"C",IF(OR(L249="Azul",L249="Azul/Verde"),"D",IF(OR(L249="Laranja",L249="Laranja/Azul"),"E",IF(Y249="Sí","E","N/A")))))))</f>
        <v/>
      </c>
      <c r="R249" s="23">
        <f>IF(P249&lt;&gt;"Baobá","",IF(OR(L249="Laranja",L249="Laranja/Azul"),"Alumnos",IF(Y249="Sí","Alumnos","Graduados+")))</f>
        <v/>
      </c>
      <c r="S249" s="23">
        <f>IF(P249="","",IF(P249="Adulto",IF(OR(Q249="",Q249="N/A"),"⚠ Corda no compite Adulto",P249&amp;"-"&amp;Q249&amp;" · "&amp;M249),IF(P249="Baobá",IF(R249="","⚠ Sin clasificar Baobá",P249&amp;"-"&amp;R249&amp;" · "&amp;M249),IF(P249="Juvenil",IF(AND(OR(L249="Crua",L249="Crua/Amarela"),Y249&lt;&gt;"Sí"),"⚠ Juvenil necesita Amarela+",P249&amp;" · "&amp;M249),P249&amp;" · "&amp;M249))))</f>
        <v/>
      </c>
      <c r="T249" s="23" t="n"/>
      <c r="U249" s="22" t="inlineStr">
        <is>
          <t>Sí</t>
        </is>
      </c>
      <c r="V249" s="22" t="n"/>
      <c r="W249" s="22" t="n"/>
      <c r="X249" s="22" t="n"/>
      <c r="Y249" s="22" t="inlineStr">
        <is>
          <t>No</t>
        </is>
      </c>
      <c r="Z249" s="22" t="inlineStr">
        <is>
          <t>M</t>
        </is>
      </c>
      <c r="AA249" s="22" t="n">
        <v>35</v>
      </c>
      <c r="AB249" s="22" t="inlineStr">
        <is>
          <t>Pagado</t>
        </is>
      </c>
      <c r="AC249" s="22" t="n"/>
      <c r="AD249" s="23">
        <f>IF(D249&lt;&gt;"","P"&amp;TEXT(ROW()-4,"0000"),"")</f>
        <v/>
      </c>
    </row>
    <row r="250" ht="14.25" customHeight="1" s="72">
      <c r="A250" s="22" t="inlineStr">
        <is>
          <t>2025-08-22 11:17:34</t>
        </is>
      </c>
      <c r="B250" s="22" t="n"/>
      <c r="C250" s="22" t="n"/>
      <c r="D250" s="22" t="inlineStr">
        <is>
          <t>Aiko</t>
        </is>
      </c>
      <c r="E250" s="22" t="inlineStr">
        <is>
          <t>Alves</t>
        </is>
      </c>
      <c r="F250" s="22" t="inlineStr">
        <is>
          <t>Caranguejo</t>
        </is>
      </c>
      <c r="G250" s="23">
        <f>IF(F250&lt;&gt;"",F250,IF(AND(D250="",E250=""),"",TRIM(D250&amp;" "&amp;E250)))</f>
        <v/>
      </c>
      <c r="H250" s="22" t="n"/>
      <c r="I250" s="22" t="inlineStr">
        <is>
          <t>+34 638 689 966</t>
        </is>
      </c>
      <c r="J250" s="22" t="inlineStr">
        <is>
          <t>Múnich-Alemania</t>
        </is>
      </c>
      <c r="K250" s="22" t="inlineStr">
        <is>
          <t>Contra-Mestre Jabuti</t>
        </is>
      </c>
      <c r="L250" s="22" t="inlineStr">
        <is>
          <t>Amarela</t>
        </is>
      </c>
      <c r="M250" s="22" t="inlineStr">
        <is>
          <t>Femenino</t>
        </is>
      </c>
      <c r="N250" s="78" t="n">
        <v>42069</v>
      </c>
      <c r="O250" s="23">
        <f>IF(N250="","",DATEDIF(N250,TODAY(),"Y"))</f>
        <v/>
      </c>
      <c r="P250" s="23">
        <f>IF(O250="","",IF(O250&lt;=11,"Infantil",IF(O250&lt;=17,"Juvenil",IF(O250&lt;=44,"Adulto","Baobá"))))</f>
        <v/>
      </c>
      <c r="Q250" s="23">
        <f>IF(P250&lt;&gt;"Adulto","",IF(OR(L250="Marrom",L250="Marrom/Vermelha"),"A",IF(OR(L250="Roxa",L250="Roxa/Marrom"),"B",IF(OR(L250="Verde",L250="Verde/Roxa"),"C",IF(OR(L250="Azul",L250="Azul/Verde"),"D",IF(OR(L250="Laranja",L250="Laranja/Azul"),"E",IF(Y250="Sí","E","N/A")))))))</f>
        <v/>
      </c>
      <c r="R250" s="23">
        <f>IF(P250&lt;&gt;"Baobá","",IF(OR(L250="Laranja",L250="Laranja/Azul"),"Alumnos",IF(Y250="Sí","Alumnos","Graduados+")))</f>
        <v/>
      </c>
      <c r="S250" s="23">
        <f>IF(P250="","",IF(P250="Adulto",IF(OR(Q250="",Q250="N/A"),"⚠ Corda no compite Adulto",P250&amp;"-"&amp;Q250&amp;" · "&amp;M250),IF(P250="Baobá",IF(R250="","⚠ Sin clasificar Baobá",P250&amp;"-"&amp;R250&amp;" · "&amp;M250),IF(P250="Juvenil",IF(AND(OR(L250="Crua",L250="Crua/Amarela"),Y250&lt;&gt;"Sí"),"⚠ Juvenil necesita Amarela+",P250&amp;" · "&amp;M250),P250&amp;" · "&amp;M250))))</f>
        <v/>
      </c>
      <c r="T250" s="23" t="n"/>
      <c r="U250" s="22" t="inlineStr">
        <is>
          <t>Sí</t>
        </is>
      </c>
      <c r="V250" s="22" t="n"/>
      <c r="W250" s="22" t="n"/>
      <c r="X250" s="22" t="n"/>
      <c r="Y250" s="22" t="inlineStr">
        <is>
          <t>No</t>
        </is>
      </c>
      <c r="Z250" s="22" t="inlineStr">
        <is>
          <t>L</t>
        </is>
      </c>
      <c r="AA250" s="22" t="n">
        <v>35</v>
      </c>
      <c r="AB250" s="22" t="inlineStr">
        <is>
          <t>Pagado</t>
        </is>
      </c>
      <c r="AC250" s="22" t="n"/>
      <c r="AD250" s="23">
        <f>IF(D250&lt;&gt;"","P"&amp;TEXT(ROW()-4,"0000"),"")</f>
        <v/>
      </c>
    </row>
    <row r="251" ht="14.25" customHeight="1" s="72">
      <c r="A251" s="22" t="inlineStr">
        <is>
          <t>2025-08-19 13:51:47</t>
        </is>
      </c>
      <c r="B251" s="22" t="n"/>
      <c r="C251" s="22" t="n"/>
      <c r="D251" s="22" t="inlineStr">
        <is>
          <t>Aisha</t>
        </is>
      </c>
      <c r="E251" s="22" t="inlineStr">
        <is>
          <t>Romano</t>
        </is>
      </c>
      <c r="F251" s="22" t="inlineStr">
        <is>
          <t>Tartaruga</t>
        </is>
      </c>
      <c r="G251" s="23">
        <f>IF(F251&lt;&gt;"",F251,IF(AND(D251="",E251=""),"",TRIM(D251&amp;" "&amp;E251)))</f>
        <v/>
      </c>
      <c r="H251" s="22" t="n"/>
      <c r="I251" s="22" t="inlineStr">
        <is>
          <t>+34 685 128 820</t>
        </is>
      </c>
      <c r="J251" s="22" t="inlineStr">
        <is>
          <t>Berlín-Alemania</t>
        </is>
      </c>
      <c r="K251" s="22" t="inlineStr">
        <is>
          <t>Mestre Urso</t>
        </is>
      </c>
      <c r="L251" s="22" t="inlineStr">
        <is>
          <t>Amarela</t>
        </is>
      </c>
      <c r="M251" s="22" t="inlineStr">
        <is>
          <t>Femenino</t>
        </is>
      </c>
      <c r="N251" s="78" t="n">
        <v>42813</v>
      </c>
      <c r="O251" s="23">
        <f>IF(N251="","",DATEDIF(N251,TODAY(),"Y"))</f>
        <v/>
      </c>
      <c r="P251" s="23">
        <f>IF(O251="","",IF(O251&lt;=11,"Infantil",IF(O251&lt;=17,"Juvenil",IF(O251&lt;=44,"Adulto","Baobá"))))</f>
        <v/>
      </c>
      <c r="Q251" s="23">
        <f>IF(P251&lt;&gt;"Adulto","",IF(OR(L251="Marrom",L251="Marrom/Vermelha"),"A",IF(OR(L251="Roxa",L251="Roxa/Marrom"),"B",IF(OR(L251="Verde",L251="Verde/Roxa"),"C",IF(OR(L251="Azul",L251="Azul/Verde"),"D",IF(OR(L251="Laranja",L251="Laranja/Azul"),"E",IF(Y251="Sí","E","N/A")))))))</f>
        <v/>
      </c>
      <c r="R251" s="23">
        <f>IF(P251&lt;&gt;"Baobá","",IF(OR(L251="Laranja",L251="Laranja/Azul"),"Alumnos",IF(Y251="Sí","Alumnos","Graduados+")))</f>
        <v/>
      </c>
      <c r="S251" s="23">
        <f>IF(P251="","",IF(P251="Adulto",IF(OR(Q251="",Q251="N/A"),"⚠ Corda no compite Adulto",P251&amp;"-"&amp;Q251&amp;" · "&amp;M251),IF(P251="Baobá",IF(R251="","⚠ Sin clasificar Baobá",P251&amp;"-"&amp;R251&amp;" · "&amp;M251),IF(P251="Juvenil",IF(AND(OR(L251="Crua",L251="Crua/Amarela"),Y251&lt;&gt;"Sí"),"⚠ Juvenil necesita Amarela+",P251&amp;" · "&amp;M251),P251&amp;" · "&amp;M251))))</f>
        <v/>
      </c>
      <c r="T251" s="23" t="n"/>
      <c r="U251" s="22" t="inlineStr">
        <is>
          <t>Sí</t>
        </is>
      </c>
      <c r="V251" s="22" t="n"/>
      <c r="W251" s="22" t="n"/>
      <c r="X251" s="22" t="n"/>
      <c r="Y251" s="22" t="inlineStr">
        <is>
          <t>No</t>
        </is>
      </c>
      <c r="Z251" s="22" t="inlineStr">
        <is>
          <t>XL</t>
        </is>
      </c>
      <c r="AA251" s="22" t="n">
        <v>35</v>
      </c>
      <c r="AB251" s="22" t="inlineStr">
        <is>
          <t>Pagado</t>
        </is>
      </c>
      <c r="AC251" s="22" t="n"/>
      <c r="AD251" s="23">
        <f>IF(D251&lt;&gt;"","P"&amp;TEXT(ROW()-4,"0000"),"")</f>
        <v/>
      </c>
    </row>
    <row r="252" ht="14.25" customHeight="1" s="72">
      <c r="A252" s="22" t="inlineStr">
        <is>
          <t>2025-08-27 20:56:31</t>
        </is>
      </c>
      <c r="B252" s="22" t="n"/>
      <c r="C252" s="22" t="n"/>
      <c r="D252" s="22" t="inlineStr">
        <is>
          <t>Noémie</t>
        </is>
      </c>
      <c r="E252" s="22" t="inlineStr">
        <is>
          <t>Richter</t>
        </is>
      </c>
      <c r="F252" s="22" t="inlineStr">
        <is>
          <t>Siriema</t>
        </is>
      </c>
      <c r="G252" s="23">
        <f>IF(F252&lt;&gt;"",F252,IF(AND(D252="",E252=""),"",TRIM(D252&amp;" "&amp;E252)))</f>
        <v/>
      </c>
      <c r="H252" s="22" t="n"/>
      <c r="I252" s="22" t="inlineStr">
        <is>
          <t>+34 632 602 138</t>
        </is>
      </c>
      <c r="J252" s="22" t="inlineStr">
        <is>
          <t>Fortaleza-Brasil</t>
        </is>
      </c>
      <c r="K252" s="22" t="inlineStr">
        <is>
          <t>Mestre Pastinha</t>
        </is>
      </c>
      <c r="L252" s="22" t="inlineStr">
        <is>
          <t>Crua/Amarela</t>
        </is>
      </c>
      <c r="M252" s="22" t="inlineStr">
        <is>
          <t>Femenino</t>
        </is>
      </c>
      <c r="N252" s="78" t="n">
        <v>44112</v>
      </c>
      <c r="O252" s="23">
        <f>IF(N252="","",DATEDIF(N252,TODAY(),"Y"))</f>
        <v/>
      </c>
      <c r="P252" s="23">
        <f>IF(O252="","",IF(O252&lt;=11,"Infantil",IF(O252&lt;=17,"Juvenil",IF(O252&lt;=44,"Adulto","Baobá"))))</f>
        <v/>
      </c>
      <c r="Q252" s="23">
        <f>IF(P252&lt;&gt;"Adulto","",IF(OR(L252="Marrom",L252="Marrom/Vermelha"),"A",IF(OR(L252="Roxa",L252="Roxa/Marrom"),"B",IF(OR(L252="Verde",L252="Verde/Roxa"),"C",IF(OR(L252="Azul",L252="Azul/Verde"),"D",IF(OR(L252="Laranja",L252="Laranja/Azul"),"E",IF(Y252="Sí","E","N/A")))))))</f>
        <v/>
      </c>
      <c r="R252" s="23">
        <f>IF(P252&lt;&gt;"Baobá","",IF(OR(L252="Laranja",L252="Laranja/Azul"),"Alumnos",IF(Y252="Sí","Alumnos","Graduados+")))</f>
        <v/>
      </c>
      <c r="S252" s="23">
        <f>IF(P252="","",IF(P252="Adulto",IF(OR(Q252="",Q252="N/A"),"⚠ Corda no compite Adulto",P252&amp;"-"&amp;Q252&amp;" · "&amp;M252),IF(P252="Baobá",IF(R252="","⚠ Sin clasificar Baobá",P252&amp;"-"&amp;R252&amp;" · "&amp;M252),IF(P252="Juvenil",IF(AND(OR(L252="Crua",L252="Crua/Amarela"),Y252&lt;&gt;"Sí"),"⚠ Juvenil necesita Amarela+",P252&amp;" · "&amp;M252),P252&amp;" · "&amp;M252))))</f>
        <v/>
      </c>
      <c r="T252" s="23" t="n"/>
      <c r="U252" s="22" t="inlineStr">
        <is>
          <t>Sí</t>
        </is>
      </c>
      <c r="V252" s="22" t="n"/>
      <c r="W252" s="22" t="n"/>
      <c r="X252" s="22" t="n"/>
      <c r="Y252" s="22" t="inlineStr">
        <is>
          <t>No</t>
        </is>
      </c>
      <c r="Z252" s="22" t="inlineStr">
        <is>
          <t>XXL</t>
        </is>
      </c>
      <c r="AA252" s="22" t="n">
        <v>35</v>
      </c>
      <c r="AB252" s="22" t="inlineStr">
        <is>
          <t>Pagado</t>
        </is>
      </c>
      <c r="AC252" s="22" t="n"/>
      <c r="AD252" s="23">
        <f>IF(D252&lt;&gt;"","P"&amp;TEXT(ROW()-4,"0000"),"")</f>
        <v/>
      </c>
    </row>
    <row r="253" ht="14.25" customHeight="1" s="72">
      <c r="A253" s="22" t="inlineStr">
        <is>
          <t>2025-08-17 15:00:21</t>
        </is>
      </c>
      <c r="B253" s="22" t="n"/>
      <c r="C253" s="22" t="n"/>
      <c r="D253" s="22" t="inlineStr">
        <is>
          <t>Lorena</t>
        </is>
      </c>
      <c r="E253" s="22" t="inlineStr">
        <is>
          <t>Fernández</t>
        </is>
      </c>
      <c r="F253" s="22" t="inlineStr">
        <is>
          <t>Jaguatirica</t>
        </is>
      </c>
      <c r="G253" s="23">
        <f>IF(F253&lt;&gt;"",F253,IF(AND(D253="",E253=""),"",TRIM(D253&amp;" "&amp;E253)))</f>
        <v/>
      </c>
      <c r="H253" s="22" t="n"/>
      <c r="I253" s="22" t="inlineStr">
        <is>
          <t>+34 626 448 834</t>
        </is>
      </c>
      <c r="J253" s="22" t="inlineStr">
        <is>
          <t>Barcelona-España</t>
        </is>
      </c>
      <c r="K253" s="22" t="inlineStr">
        <is>
          <t>Professor Borboleta</t>
        </is>
      </c>
      <c r="L253" s="22" t="inlineStr">
        <is>
          <t>Crua</t>
        </is>
      </c>
      <c r="M253" s="22" t="inlineStr">
        <is>
          <t>Femenino</t>
        </is>
      </c>
      <c r="N253" s="78" t="n">
        <v>44201</v>
      </c>
      <c r="O253" s="23">
        <f>IF(N253="","",DATEDIF(N253,TODAY(),"Y"))</f>
        <v/>
      </c>
      <c r="P253" s="23">
        <f>IF(O253="","",IF(O253&lt;=11,"Infantil",IF(O253&lt;=17,"Juvenil",IF(O253&lt;=44,"Adulto","Baobá"))))</f>
        <v/>
      </c>
      <c r="Q253" s="23">
        <f>IF(P253&lt;&gt;"Adulto","",IF(OR(L253="Marrom",L253="Marrom/Vermelha"),"A",IF(OR(L253="Roxa",L253="Roxa/Marrom"),"B",IF(OR(L253="Verde",L253="Verde/Roxa"),"C",IF(OR(L253="Azul",L253="Azul/Verde"),"D",IF(OR(L253="Laranja",L253="Laranja/Azul"),"E",IF(Y253="Sí","E","N/A")))))))</f>
        <v/>
      </c>
      <c r="R253" s="23">
        <f>IF(P253&lt;&gt;"Baobá","",IF(OR(L253="Laranja",L253="Laranja/Azul"),"Alumnos",IF(Y253="Sí","Alumnos","Graduados+")))</f>
        <v/>
      </c>
      <c r="S253" s="23">
        <f>IF(P253="","",IF(P253="Adulto",IF(OR(Q253="",Q253="N/A"),"⚠ Corda no compite Adulto",P253&amp;"-"&amp;Q253&amp;" · "&amp;M253),IF(P253="Baobá",IF(R253="","⚠ Sin clasificar Baobá",P253&amp;"-"&amp;R253&amp;" · "&amp;M253),IF(P253="Juvenil",IF(AND(OR(L253="Crua",L253="Crua/Amarela"),Y253&lt;&gt;"Sí"),"⚠ Juvenil necesita Amarela+",P253&amp;" · "&amp;M253),P253&amp;" · "&amp;M253))))</f>
        <v/>
      </c>
      <c r="T253" s="23" t="n"/>
      <c r="U253" s="22" t="inlineStr">
        <is>
          <t>Sí</t>
        </is>
      </c>
      <c r="V253" s="22" t="n"/>
      <c r="W253" s="22" t="n"/>
      <c r="X253" s="22" t="n"/>
      <c r="Y253" s="22" t="inlineStr">
        <is>
          <t>No</t>
        </is>
      </c>
      <c r="Z253" s="22" t="inlineStr">
        <is>
          <t>XS</t>
        </is>
      </c>
      <c r="AA253" s="22" t="n">
        <v>35</v>
      </c>
      <c r="AB253" s="22" t="inlineStr">
        <is>
          <t>Pagado</t>
        </is>
      </c>
      <c r="AC253" s="22" t="n"/>
      <c r="AD253" s="23">
        <f>IF(D253&lt;&gt;"","P"&amp;TEXT(ROW()-4,"0000"),"")</f>
        <v/>
      </c>
    </row>
    <row r="254" ht="14.25" customHeight="1" s="72">
      <c r="A254" s="22" t="inlineStr">
        <is>
          <t>2025-10-23 22:09:49</t>
        </is>
      </c>
      <c r="B254" s="22" t="n"/>
      <c r="C254" s="22" t="n"/>
      <c r="D254" s="22" t="inlineStr">
        <is>
          <t>Mariana</t>
        </is>
      </c>
      <c r="E254" s="22" t="inlineStr">
        <is>
          <t>Monteiro</t>
        </is>
      </c>
      <c r="F254" s="22" t="inlineStr">
        <is>
          <t>Mariposa</t>
        </is>
      </c>
      <c r="G254" s="23">
        <f>IF(F254&lt;&gt;"",F254,IF(AND(D254="",E254=""),"",TRIM(D254&amp;" "&amp;E254)))</f>
        <v/>
      </c>
      <c r="H254" s="22" t="n"/>
      <c r="I254" s="22" t="inlineStr">
        <is>
          <t>+34 656 174 482</t>
        </is>
      </c>
      <c r="J254" s="22" t="inlineStr">
        <is>
          <t>Roma-Italia</t>
        </is>
      </c>
      <c r="K254" s="22" t="inlineStr">
        <is>
          <t>Mestre Urso</t>
        </is>
      </c>
      <c r="L254" s="22" t="inlineStr">
        <is>
          <t>Crua/Amarela</t>
        </is>
      </c>
      <c r="M254" s="22" t="inlineStr">
        <is>
          <t>Femenino</t>
        </is>
      </c>
      <c r="N254" s="78" t="n">
        <v>44357</v>
      </c>
      <c r="O254" s="23">
        <f>IF(N254="","",DATEDIF(N254,TODAY(),"Y"))</f>
        <v/>
      </c>
      <c r="P254" s="23">
        <f>IF(O254="","",IF(O254&lt;=11,"Infantil",IF(O254&lt;=17,"Juvenil",IF(O254&lt;=44,"Adulto","Baobá"))))</f>
        <v/>
      </c>
      <c r="Q254" s="23">
        <f>IF(P254&lt;&gt;"Adulto","",IF(OR(L254="Marrom",L254="Marrom/Vermelha"),"A",IF(OR(L254="Roxa",L254="Roxa/Marrom"),"B",IF(OR(L254="Verde",L254="Verde/Roxa"),"C",IF(OR(L254="Azul",L254="Azul/Verde"),"D",IF(OR(L254="Laranja",L254="Laranja/Azul"),"E",IF(Y254="Sí","E","N/A")))))))</f>
        <v/>
      </c>
      <c r="R254" s="23">
        <f>IF(P254&lt;&gt;"Baobá","",IF(OR(L254="Laranja",L254="Laranja/Azul"),"Alumnos",IF(Y254="Sí","Alumnos","Graduados+")))</f>
        <v/>
      </c>
      <c r="S254" s="23">
        <f>IF(P254="","",IF(P254="Adulto",IF(OR(Q254="",Q254="N/A"),"⚠ Corda no compite Adulto",P254&amp;"-"&amp;Q254&amp;" · "&amp;M254),IF(P254="Baobá",IF(R254="","⚠ Sin clasificar Baobá",P254&amp;"-"&amp;R254&amp;" · "&amp;M254),IF(P254="Juvenil",IF(AND(OR(L254="Crua",L254="Crua/Amarela"),Y254&lt;&gt;"Sí"),"⚠ Juvenil necesita Amarela+",P254&amp;" · "&amp;M254),P254&amp;" · "&amp;M254))))</f>
        <v/>
      </c>
      <c r="T254" s="23" t="n"/>
      <c r="U254" s="22" t="inlineStr">
        <is>
          <t>Sí</t>
        </is>
      </c>
      <c r="V254" s="22" t="n"/>
      <c r="W254" s="22" t="n"/>
      <c r="X254" s="22" t="n"/>
      <c r="Y254" s="22" t="inlineStr">
        <is>
          <t>No</t>
        </is>
      </c>
      <c r="Z254" s="22" t="inlineStr">
        <is>
          <t>S</t>
        </is>
      </c>
      <c r="AA254" s="22" t="n">
        <v>35</v>
      </c>
      <c r="AB254" s="22" t="inlineStr">
        <is>
          <t>Pagado</t>
        </is>
      </c>
      <c r="AC254" s="22" t="n"/>
      <c r="AD254" s="23">
        <f>IF(D254&lt;&gt;"","P"&amp;TEXT(ROW()-4,"0000"),"")</f>
        <v/>
      </c>
    </row>
    <row r="255" ht="14.25" customHeight="1" s="72">
      <c r="A255" s="22" t="inlineStr">
        <is>
          <t>2025-09-05 10:46:27</t>
        </is>
      </c>
      <c r="B255" s="22" t="n"/>
      <c r="C255" s="22" t="n"/>
      <c r="D255" s="22" t="inlineStr">
        <is>
          <t>Carmen</t>
        </is>
      </c>
      <c r="E255" s="22" t="inlineStr">
        <is>
          <t>Gonçalves</t>
        </is>
      </c>
      <c r="F255" s="22" t="inlineStr">
        <is>
          <t>Tigre</t>
        </is>
      </c>
      <c r="G255" s="23">
        <f>IF(F255&lt;&gt;"",F255,IF(AND(D255="",E255=""),"",TRIM(D255&amp;" "&amp;E255)))</f>
        <v/>
      </c>
      <c r="H255" s="22" t="n"/>
      <c r="I255" s="22" t="inlineStr">
        <is>
          <t>+34 693 424 278</t>
        </is>
      </c>
      <c r="J255" s="22" t="inlineStr">
        <is>
          <t>Berlín-Alemania</t>
        </is>
      </c>
      <c r="K255" s="22" t="inlineStr">
        <is>
          <t>Mestre Onça</t>
        </is>
      </c>
      <c r="L255" s="22" t="inlineStr">
        <is>
          <t>Crua</t>
        </is>
      </c>
      <c r="M255" s="22" t="inlineStr">
        <is>
          <t>Femenino</t>
        </is>
      </c>
      <c r="N255" s="78" t="n">
        <v>42670</v>
      </c>
      <c r="O255" s="23">
        <f>IF(N255="","",DATEDIF(N255,TODAY(),"Y"))</f>
        <v/>
      </c>
      <c r="P255" s="23">
        <f>IF(O255="","",IF(O255&lt;=11,"Infantil",IF(O255&lt;=17,"Juvenil",IF(O255&lt;=44,"Adulto","Baobá"))))</f>
        <v/>
      </c>
      <c r="Q255" s="23">
        <f>IF(P255&lt;&gt;"Adulto","",IF(OR(L255="Marrom",L255="Marrom/Vermelha"),"A",IF(OR(L255="Roxa",L255="Roxa/Marrom"),"B",IF(OR(L255="Verde",L255="Verde/Roxa"),"C",IF(OR(L255="Azul",L255="Azul/Verde"),"D",IF(OR(L255="Laranja",L255="Laranja/Azul"),"E",IF(Y255="Sí","E","N/A")))))))</f>
        <v/>
      </c>
      <c r="R255" s="23">
        <f>IF(P255&lt;&gt;"Baobá","",IF(OR(L255="Laranja",L255="Laranja/Azul"),"Alumnos",IF(Y255="Sí","Alumnos","Graduados+")))</f>
        <v/>
      </c>
      <c r="S255" s="23">
        <f>IF(P255="","",IF(P255="Adulto",IF(OR(Q255="",Q255="N/A"),"⚠ Corda no compite Adulto",P255&amp;"-"&amp;Q255&amp;" · "&amp;M255),IF(P255="Baobá",IF(R255="","⚠ Sin clasificar Baobá",P255&amp;"-"&amp;R255&amp;" · "&amp;M255),IF(P255="Juvenil",IF(AND(OR(L255="Crua",L255="Crua/Amarela"),Y255&lt;&gt;"Sí"),"⚠ Juvenil necesita Amarela+",P255&amp;" · "&amp;M255),P255&amp;" · "&amp;M255))))</f>
        <v/>
      </c>
      <c r="T255" s="23" t="n"/>
      <c r="U255" s="22" t="inlineStr">
        <is>
          <t>Sí</t>
        </is>
      </c>
      <c r="V255" s="22" t="n"/>
      <c r="W255" s="22" t="n"/>
      <c r="X255" s="22" t="n"/>
      <c r="Y255" s="22" t="inlineStr">
        <is>
          <t>No</t>
        </is>
      </c>
      <c r="Z255" s="22" t="inlineStr">
        <is>
          <t>M</t>
        </is>
      </c>
      <c r="AA255" s="22" t="n">
        <v>35</v>
      </c>
      <c r="AB255" s="22" t="inlineStr">
        <is>
          <t>Pagado</t>
        </is>
      </c>
      <c r="AC255" s="22" t="n"/>
      <c r="AD255" s="23">
        <f>IF(D255&lt;&gt;"","P"&amp;TEXT(ROW()-4,"0000"),"")</f>
        <v/>
      </c>
    </row>
    <row r="256" ht="14.25" customHeight="1" s="72">
      <c r="A256" s="22" t="inlineStr">
        <is>
          <t>2025-08-13 12:46:44</t>
        </is>
      </c>
      <c r="B256" s="22" t="n"/>
      <c r="C256" s="22" t="n"/>
      <c r="D256" s="22" t="inlineStr">
        <is>
          <t>Nadia</t>
        </is>
      </c>
      <c r="E256" s="22" t="inlineStr">
        <is>
          <t>Melo</t>
        </is>
      </c>
      <c r="F256" s="22" t="inlineStr">
        <is>
          <t>Siri</t>
        </is>
      </c>
      <c r="G256" s="23">
        <f>IF(F256&lt;&gt;"",F256,IF(AND(D256="",E256=""),"",TRIM(D256&amp;" "&amp;E256)))</f>
        <v/>
      </c>
      <c r="H256" s="22" t="n"/>
      <c r="I256" s="22" t="inlineStr">
        <is>
          <t>+34 632 846 101</t>
        </is>
      </c>
      <c r="J256" s="22" t="inlineStr">
        <is>
          <t>Roma-Italia</t>
        </is>
      </c>
      <c r="K256" s="22" t="inlineStr">
        <is>
          <t>Mestre Urso</t>
        </is>
      </c>
      <c r="L256" s="22" t="inlineStr">
        <is>
          <t>Amarela</t>
        </is>
      </c>
      <c r="M256" s="22" t="inlineStr">
        <is>
          <t>Femenino</t>
        </is>
      </c>
      <c r="N256" s="78" t="n">
        <v>44275</v>
      </c>
      <c r="O256" s="23">
        <f>IF(N256="","",DATEDIF(N256,TODAY(),"Y"))</f>
        <v/>
      </c>
      <c r="P256" s="23">
        <f>IF(O256="","",IF(O256&lt;=11,"Infantil",IF(O256&lt;=17,"Juvenil",IF(O256&lt;=44,"Adulto","Baobá"))))</f>
        <v/>
      </c>
      <c r="Q256" s="23">
        <f>IF(P256&lt;&gt;"Adulto","",IF(OR(L256="Marrom",L256="Marrom/Vermelha"),"A",IF(OR(L256="Roxa",L256="Roxa/Marrom"),"B",IF(OR(L256="Verde",L256="Verde/Roxa"),"C",IF(OR(L256="Azul",L256="Azul/Verde"),"D",IF(OR(L256="Laranja",L256="Laranja/Azul"),"E",IF(Y256="Sí","E","N/A")))))))</f>
        <v/>
      </c>
      <c r="R256" s="23">
        <f>IF(P256&lt;&gt;"Baobá","",IF(OR(L256="Laranja",L256="Laranja/Azul"),"Alumnos",IF(Y256="Sí","Alumnos","Graduados+")))</f>
        <v/>
      </c>
      <c r="S256" s="23">
        <f>IF(P256="","",IF(P256="Adulto",IF(OR(Q256="",Q256="N/A"),"⚠ Corda no compite Adulto",P256&amp;"-"&amp;Q256&amp;" · "&amp;M256),IF(P256="Baobá",IF(R256="","⚠ Sin clasificar Baobá",P256&amp;"-"&amp;R256&amp;" · "&amp;M256),IF(P256="Juvenil",IF(AND(OR(L256="Crua",L256="Crua/Amarela"),Y256&lt;&gt;"Sí"),"⚠ Juvenil necesita Amarela+",P256&amp;" · "&amp;M256),P256&amp;" · "&amp;M256))))</f>
        <v/>
      </c>
      <c r="T256" s="23" t="n"/>
      <c r="U256" s="22" t="inlineStr">
        <is>
          <t>Sí</t>
        </is>
      </c>
      <c r="V256" s="22" t="n"/>
      <c r="W256" s="22" t="n"/>
      <c r="X256" s="22" t="n"/>
      <c r="Y256" s="22" t="inlineStr">
        <is>
          <t>No</t>
        </is>
      </c>
      <c r="Z256" s="22" t="inlineStr">
        <is>
          <t>L</t>
        </is>
      </c>
      <c r="AA256" s="22" t="n">
        <v>35</v>
      </c>
      <c r="AB256" s="22" t="inlineStr">
        <is>
          <t>Pagado</t>
        </is>
      </c>
      <c r="AC256" s="22" t="n"/>
      <c r="AD256" s="23">
        <f>IF(D256&lt;&gt;"","P"&amp;TEXT(ROW()-4,"0000"),"")</f>
        <v/>
      </c>
    </row>
    <row r="257" ht="14.25" customHeight="1" s="72">
      <c r="A257" s="22" t="inlineStr">
        <is>
          <t>2025-09-26 17:14:40</t>
        </is>
      </c>
      <c r="B257" s="22" t="n"/>
      <c r="C257" s="22" t="n"/>
      <c r="D257" s="22" t="inlineStr">
        <is>
          <t>Martina</t>
        </is>
      </c>
      <c r="E257" s="22" t="inlineStr">
        <is>
          <t>Gomes</t>
        </is>
      </c>
      <c r="F257" s="22" t="inlineStr">
        <is>
          <t>Peixe</t>
        </is>
      </c>
      <c r="G257" s="23">
        <f>IF(F257&lt;&gt;"",F257,IF(AND(D257="",E257=""),"",TRIM(D257&amp;" "&amp;E257)))</f>
        <v/>
      </c>
      <c r="H257" s="22" t="n"/>
      <c r="I257" s="22" t="inlineStr">
        <is>
          <t>+34 673 244 439</t>
        </is>
      </c>
      <c r="J257" s="22" t="inlineStr">
        <is>
          <t>Recife-Brasil</t>
        </is>
      </c>
      <c r="K257" s="22" t="inlineStr">
        <is>
          <t>Mestre Onça</t>
        </is>
      </c>
      <c r="L257" s="22" t="inlineStr">
        <is>
          <t>Crua/Amarela</t>
        </is>
      </c>
      <c r="M257" s="22" t="inlineStr">
        <is>
          <t>Femenino</t>
        </is>
      </c>
      <c r="N257" s="78" t="n">
        <v>43622</v>
      </c>
      <c r="O257" s="23">
        <f>IF(N257="","",DATEDIF(N257,TODAY(),"Y"))</f>
        <v/>
      </c>
      <c r="P257" s="23">
        <f>IF(O257="","",IF(O257&lt;=11,"Infantil",IF(O257&lt;=17,"Juvenil",IF(O257&lt;=44,"Adulto","Baobá"))))</f>
        <v/>
      </c>
      <c r="Q257" s="23">
        <f>IF(P257&lt;&gt;"Adulto","",IF(OR(L257="Marrom",L257="Marrom/Vermelha"),"A",IF(OR(L257="Roxa",L257="Roxa/Marrom"),"B",IF(OR(L257="Verde",L257="Verde/Roxa"),"C",IF(OR(L257="Azul",L257="Azul/Verde"),"D",IF(OR(L257="Laranja",L257="Laranja/Azul"),"E",IF(Y257="Sí","E","N/A")))))))</f>
        <v/>
      </c>
      <c r="R257" s="23">
        <f>IF(P257&lt;&gt;"Baobá","",IF(OR(L257="Laranja",L257="Laranja/Azul"),"Alumnos",IF(Y257="Sí","Alumnos","Graduados+")))</f>
        <v/>
      </c>
      <c r="S257" s="23">
        <f>IF(P257="","",IF(P257="Adulto",IF(OR(Q257="",Q257="N/A"),"⚠ Corda no compite Adulto",P257&amp;"-"&amp;Q257&amp;" · "&amp;M257),IF(P257="Baobá",IF(R257="","⚠ Sin clasificar Baobá",P257&amp;"-"&amp;R257&amp;" · "&amp;M257),IF(P257="Juvenil",IF(AND(OR(L257="Crua",L257="Crua/Amarela"),Y257&lt;&gt;"Sí"),"⚠ Juvenil necesita Amarela+",P257&amp;" · "&amp;M257),P257&amp;" · "&amp;M257))))</f>
        <v/>
      </c>
      <c r="T257" s="23" t="n"/>
      <c r="U257" s="22" t="inlineStr">
        <is>
          <t>Sí</t>
        </is>
      </c>
      <c r="V257" s="22" t="n"/>
      <c r="W257" s="22" t="n"/>
      <c r="X257" s="22" t="n"/>
      <c r="Y257" s="22" t="inlineStr">
        <is>
          <t>No</t>
        </is>
      </c>
      <c r="Z257" s="22" t="inlineStr">
        <is>
          <t>XL</t>
        </is>
      </c>
      <c r="AA257" s="22" t="n">
        <v>35</v>
      </c>
      <c r="AB257" s="22" t="inlineStr">
        <is>
          <t>Pagado</t>
        </is>
      </c>
      <c r="AC257" s="22" t="n"/>
      <c r="AD257" s="23">
        <f>IF(D257&lt;&gt;"","P"&amp;TEXT(ROW()-4,"0000"),"")</f>
        <v/>
      </c>
    </row>
    <row r="258" ht="14.25" customHeight="1" s="72">
      <c r="A258" s="22" t="inlineStr">
        <is>
          <t>2025-10-03 21:45:42</t>
        </is>
      </c>
      <c r="B258" s="22" t="n"/>
      <c r="C258" s="22" t="n"/>
      <c r="D258" s="22" t="inlineStr">
        <is>
          <t>Carmen</t>
        </is>
      </c>
      <c r="E258" s="22" t="inlineStr">
        <is>
          <t>Ferrari</t>
        </is>
      </c>
      <c r="F258" s="22" t="inlineStr">
        <is>
          <t>Teiú</t>
        </is>
      </c>
      <c r="G258" s="23">
        <f>IF(F258&lt;&gt;"",F258,IF(AND(D258="",E258=""),"",TRIM(D258&amp;" "&amp;E258)))</f>
        <v/>
      </c>
      <c r="H258" s="22" t="n"/>
      <c r="I258" s="22" t="inlineStr">
        <is>
          <t>+34 667 111 371</t>
        </is>
      </c>
      <c r="J258" s="22" t="inlineStr">
        <is>
          <t>Valencia-España</t>
        </is>
      </c>
      <c r="K258" s="22" t="inlineStr">
        <is>
          <t>Mestre Onça</t>
        </is>
      </c>
      <c r="L258" s="22" t="inlineStr">
        <is>
          <t>Amarela</t>
        </is>
      </c>
      <c r="M258" s="22" t="inlineStr">
        <is>
          <t>Femenino</t>
        </is>
      </c>
      <c r="N258" s="78" t="n">
        <v>42412</v>
      </c>
      <c r="O258" s="23">
        <f>IF(N258="","",DATEDIF(N258,TODAY(),"Y"))</f>
        <v/>
      </c>
      <c r="P258" s="23">
        <f>IF(O258="","",IF(O258&lt;=11,"Infantil",IF(O258&lt;=17,"Juvenil",IF(O258&lt;=44,"Adulto","Baobá"))))</f>
        <v/>
      </c>
      <c r="Q258" s="23">
        <f>IF(P258&lt;&gt;"Adulto","",IF(OR(L258="Marrom",L258="Marrom/Vermelha"),"A",IF(OR(L258="Roxa",L258="Roxa/Marrom"),"B",IF(OR(L258="Verde",L258="Verde/Roxa"),"C",IF(OR(L258="Azul",L258="Azul/Verde"),"D",IF(OR(L258="Laranja",L258="Laranja/Azul"),"E",IF(Y258="Sí","E","N/A")))))))</f>
        <v/>
      </c>
      <c r="R258" s="23">
        <f>IF(P258&lt;&gt;"Baobá","",IF(OR(L258="Laranja",L258="Laranja/Azul"),"Alumnos",IF(Y258="Sí","Alumnos","Graduados+")))</f>
        <v/>
      </c>
      <c r="S258" s="23">
        <f>IF(P258="","",IF(P258="Adulto",IF(OR(Q258="",Q258="N/A"),"⚠ Corda no compite Adulto",P258&amp;"-"&amp;Q258&amp;" · "&amp;M258),IF(P258="Baobá",IF(R258="","⚠ Sin clasificar Baobá",P258&amp;"-"&amp;R258&amp;" · "&amp;M258),IF(P258="Juvenil",IF(AND(OR(L258="Crua",L258="Crua/Amarela"),Y258&lt;&gt;"Sí"),"⚠ Juvenil necesita Amarela+",P258&amp;" · "&amp;M258),P258&amp;" · "&amp;M258))))</f>
        <v/>
      </c>
      <c r="T258" s="23" t="n"/>
      <c r="U258" s="22" t="inlineStr">
        <is>
          <t>Sí</t>
        </is>
      </c>
      <c r="V258" s="22" t="n"/>
      <c r="W258" s="22" t="n"/>
      <c r="X258" s="22" t="n"/>
      <c r="Y258" s="22" t="inlineStr">
        <is>
          <t>No</t>
        </is>
      </c>
      <c r="Z258" s="22" t="inlineStr">
        <is>
          <t>XXL</t>
        </is>
      </c>
      <c r="AA258" s="22" t="n">
        <v>35</v>
      </c>
      <c r="AB258" s="22" t="inlineStr">
        <is>
          <t>Pagado</t>
        </is>
      </c>
      <c r="AC258" s="22" t="n"/>
      <c r="AD258" s="23">
        <f>IF(D258&lt;&gt;"","P"&amp;TEXT(ROW()-4,"0000"),"")</f>
        <v/>
      </c>
    </row>
    <row r="259" ht="14.25" customHeight="1" s="72">
      <c r="A259" s="22" t="inlineStr">
        <is>
          <t>2025-09-26 09:46:00</t>
        </is>
      </c>
      <c r="B259" s="22" t="n"/>
      <c r="C259" s="22" t="n"/>
      <c r="D259" s="22" t="inlineStr">
        <is>
          <t>Sofia</t>
        </is>
      </c>
      <c r="E259" s="22" t="inlineStr">
        <is>
          <t>Greco</t>
        </is>
      </c>
      <c r="F259" s="22" t="inlineStr">
        <is>
          <t>Periquito</t>
        </is>
      </c>
      <c r="G259" s="23">
        <f>IF(F259&lt;&gt;"",F259,IF(AND(D259="",E259=""),"",TRIM(D259&amp;" "&amp;E259)))</f>
        <v/>
      </c>
      <c r="H259" s="22" t="n"/>
      <c r="I259" s="22" t="inlineStr">
        <is>
          <t>+34 666 850 529</t>
        </is>
      </c>
      <c r="J259" s="22" t="inlineStr">
        <is>
          <t>Madrid-España</t>
        </is>
      </c>
      <c r="K259" s="22" t="inlineStr">
        <is>
          <t>Professor Macaco</t>
        </is>
      </c>
      <c r="L259" s="22" t="inlineStr">
        <is>
          <t>Crua</t>
        </is>
      </c>
      <c r="M259" s="22" t="inlineStr">
        <is>
          <t>Femenino</t>
        </is>
      </c>
      <c r="N259" s="78" t="n">
        <v>43293</v>
      </c>
      <c r="O259" s="23">
        <f>IF(N259="","",DATEDIF(N259,TODAY(),"Y"))</f>
        <v/>
      </c>
      <c r="P259" s="23">
        <f>IF(O259="","",IF(O259&lt;=11,"Infantil",IF(O259&lt;=17,"Juvenil",IF(O259&lt;=44,"Adulto","Baobá"))))</f>
        <v/>
      </c>
      <c r="Q259" s="23">
        <f>IF(P259&lt;&gt;"Adulto","",IF(OR(L259="Marrom",L259="Marrom/Vermelha"),"A",IF(OR(L259="Roxa",L259="Roxa/Marrom"),"B",IF(OR(L259="Verde",L259="Verde/Roxa"),"C",IF(OR(L259="Azul",L259="Azul/Verde"),"D",IF(OR(L259="Laranja",L259="Laranja/Azul"),"E",IF(Y259="Sí","E","N/A")))))))</f>
        <v/>
      </c>
      <c r="R259" s="23">
        <f>IF(P259&lt;&gt;"Baobá","",IF(OR(L259="Laranja",L259="Laranja/Azul"),"Alumnos",IF(Y259="Sí","Alumnos","Graduados+")))</f>
        <v/>
      </c>
      <c r="S259" s="23">
        <f>IF(P259="","",IF(P259="Adulto",IF(OR(Q259="",Q259="N/A"),"⚠ Corda no compite Adulto",P259&amp;"-"&amp;Q259&amp;" · "&amp;M259),IF(P259="Baobá",IF(R259="","⚠ Sin clasificar Baobá",P259&amp;"-"&amp;R259&amp;" · "&amp;M259),IF(P259="Juvenil",IF(AND(OR(L259="Crua",L259="Crua/Amarela"),Y259&lt;&gt;"Sí"),"⚠ Juvenil necesita Amarela+",P259&amp;" · "&amp;M259),P259&amp;" · "&amp;M259))))</f>
        <v/>
      </c>
      <c r="T259" s="23" t="n"/>
      <c r="U259" s="22" t="inlineStr">
        <is>
          <t>Sí</t>
        </is>
      </c>
      <c r="V259" s="22" t="n"/>
      <c r="W259" s="22" t="n"/>
      <c r="X259" s="22" t="n"/>
      <c r="Y259" s="22" t="inlineStr">
        <is>
          <t>No</t>
        </is>
      </c>
      <c r="Z259" s="22" t="inlineStr">
        <is>
          <t>XS</t>
        </is>
      </c>
      <c r="AA259" s="22" t="n">
        <v>35</v>
      </c>
      <c r="AB259" s="22" t="inlineStr">
        <is>
          <t>Pagado</t>
        </is>
      </c>
      <c r="AC259" s="22" t="n"/>
      <c r="AD259" s="23">
        <f>IF(D259&lt;&gt;"","P"&amp;TEXT(ROW()-4,"0000"),"")</f>
        <v/>
      </c>
    </row>
    <row r="260" ht="14.25" customHeight="1" s="72">
      <c r="A260" s="22" t="inlineStr">
        <is>
          <t>2025-10-13 09:53:30</t>
        </is>
      </c>
      <c r="B260" s="22" t="n"/>
      <c r="C260" s="22" t="n"/>
      <c r="D260" s="22" t="inlineStr">
        <is>
          <t>Martina</t>
        </is>
      </c>
      <c r="E260" s="22" t="inlineStr">
        <is>
          <t>Jiménez</t>
        </is>
      </c>
      <c r="F260" s="22" t="inlineStr">
        <is>
          <t>Pato</t>
        </is>
      </c>
      <c r="G260" s="23">
        <f>IF(F260&lt;&gt;"",F260,IF(AND(D260="",E260=""),"",TRIM(D260&amp;" "&amp;E260)))</f>
        <v/>
      </c>
      <c r="H260" s="22" t="n"/>
      <c r="I260" s="22" t="inlineStr">
        <is>
          <t>+34 630 562 175</t>
        </is>
      </c>
      <c r="J260" s="22" t="inlineStr">
        <is>
          <t>Salvador-Brasil</t>
        </is>
      </c>
      <c r="K260" s="22" t="inlineStr">
        <is>
          <t>Mestre Coruja</t>
        </is>
      </c>
      <c r="L260" s="22" t="inlineStr">
        <is>
          <t>Crua</t>
        </is>
      </c>
      <c r="M260" s="22" t="inlineStr">
        <is>
          <t>Femenino</t>
        </is>
      </c>
      <c r="N260" s="78" t="n">
        <v>44356</v>
      </c>
      <c r="O260" s="23">
        <f>IF(N260="","",DATEDIF(N260,TODAY(),"Y"))</f>
        <v/>
      </c>
      <c r="P260" s="23">
        <f>IF(O260="","",IF(O260&lt;=11,"Infantil",IF(O260&lt;=17,"Juvenil",IF(O260&lt;=44,"Adulto","Baobá"))))</f>
        <v/>
      </c>
      <c r="Q260" s="23">
        <f>IF(P260&lt;&gt;"Adulto","",IF(OR(L260="Marrom",L260="Marrom/Vermelha"),"A",IF(OR(L260="Roxa",L260="Roxa/Marrom"),"B",IF(OR(L260="Verde",L260="Verde/Roxa"),"C",IF(OR(L260="Azul",L260="Azul/Verde"),"D",IF(OR(L260="Laranja",L260="Laranja/Azul"),"E",IF(Y260="Sí","E","N/A")))))))</f>
        <v/>
      </c>
      <c r="R260" s="23">
        <f>IF(P260&lt;&gt;"Baobá","",IF(OR(L260="Laranja",L260="Laranja/Azul"),"Alumnos",IF(Y260="Sí","Alumnos","Graduados+")))</f>
        <v/>
      </c>
      <c r="S260" s="23">
        <f>IF(P260="","",IF(P260="Adulto",IF(OR(Q260="",Q260="N/A"),"⚠ Corda no compite Adulto",P260&amp;"-"&amp;Q260&amp;" · "&amp;M260),IF(P260="Baobá",IF(R260="","⚠ Sin clasificar Baobá",P260&amp;"-"&amp;R260&amp;" · "&amp;M260),IF(P260="Juvenil",IF(AND(OR(L260="Crua",L260="Crua/Amarela"),Y260&lt;&gt;"Sí"),"⚠ Juvenil necesita Amarela+",P260&amp;" · "&amp;M260),P260&amp;" · "&amp;M260))))</f>
        <v/>
      </c>
      <c r="T260" s="23" t="n"/>
      <c r="U260" s="22" t="inlineStr">
        <is>
          <t>Sí</t>
        </is>
      </c>
      <c r="V260" s="22" t="n"/>
      <c r="W260" s="22" t="n"/>
      <c r="X260" s="22" t="n"/>
      <c r="Y260" s="22" t="inlineStr">
        <is>
          <t>No</t>
        </is>
      </c>
      <c r="Z260" s="22" t="inlineStr">
        <is>
          <t>S</t>
        </is>
      </c>
      <c r="AA260" s="22" t="n">
        <v>35</v>
      </c>
      <c r="AB260" s="22" t="inlineStr">
        <is>
          <t>Pagado</t>
        </is>
      </c>
      <c r="AC260" s="22" t="n"/>
      <c r="AD260" s="23">
        <f>IF(D260&lt;&gt;"","P"&amp;TEXT(ROW()-4,"0000"),"")</f>
        <v/>
      </c>
    </row>
    <row r="261" ht="14.25" customHeight="1" s="72">
      <c r="A261" s="22" t="inlineStr">
        <is>
          <t>2025-08-13 17:35:53</t>
        </is>
      </c>
      <c r="B261" s="22" t="n"/>
      <c r="C261" s="22" t="n"/>
      <c r="D261" s="22" t="inlineStr">
        <is>
          <t>Paulo</t>
        </is>
      </c>
      <c r="E261" s="22" t="inlineStr">
        <is>
          <t>Machado</t>
        </is>
      </c>
      <c r="F261" s="22" t="inlineStr">
        <is>
          <t>Golfinho</t>
        </is>
      </c>
      <c r="G261" s="23">
        <f>IF(F261&lt;&gt;"",F261,IF(AND(D261="",E261=""),"",TRIM(D261&amp;" "&amp;E261)))</f>
        <v/>
      </c>
      <c r="H261" s="22" t="n"/>
      <c r="I261" s="22" t="inlineStr">
        <is>
          <t>+34 616 469 103</t>
        </is>
      </c>
      <c r="J261" s="22" t="inlineStr">
        <is>
          <t>Florencia-Italia</t>
        </is>
      </c>
      <c r="K261" s="22" t="inlineStr">
        <is>
          <t>Contra-Mestre Falcão</t>
        </is>
      </c>
      <c r="L261" s="22" t="inlineStr">
        <is>
          <t>Laranja</t>
        </is>
      </c>
      <c r="M261" s="22" t="inlineStr">
        <is>
          <t>Masculino</t>
        </is>
      </c>
      <c r="N261" s="78" t="n">
        <v>35024</v>
      </c>
      <c r="O261" s="23">
        <f>IF(N261="","",DATEDIF(N261,TODAY(),"Y"))</f>
        <v/>
      </c>
      <c r="P261" s="23">
        <f>IF(O261="","",IF(O261&lt;=11,"Infantil",IF(O261&lt;=17,"Juvenil",IF(O261&lt;=44,"Adulto","Baobá"))))</f>
        <v/>
      </c>
      <c r="Q261" s="23">
        <f>IF(P261&lt;&gt;"Adulto","",IF(OR(L261="Marrom",L261="Marrom/Vermelha"),"A",IF(OR(L261="Roxa",L261="Roxa/Marrom"),"B",IF(OR(L261="Verde",L261="Verde/Roxa"),"C",IF(OR(L261="Azul",L261="Azul/Verde"),"D",IF(OR(L261="Laranja",L261="Laranja/Azul"),"E",IF(Y261="Sí","E","N/A")))))))</f>
        <v/>
      </c>
      <c r="R261" s="23">
        <f>IF(P261&lt;&gt;"Baobá","",IF(OR(L261="Laranja",L261="Laranja/Azul"),"Alumnos",IF(Y261="Sí","Alumnos","Graduados+")))</f>
        <v/>
      </c>
      <c r="S261" s="23">
        <f>IF(P261="","",IF(P261="Adulto",IF(OR(Q261="",Q261="N/A"),"⚠ Corda no compite Adulto",P261&amp;"-"&amp;Q261&amp;" · "&amp;M261),IF(P261="Baobá",IF(R261="","⚠ Sin clasificar Baobá",P261&amp;"-"&amp;R261&amp;" · "&amp;M261),IF(P261="Juvenil",IF(AND(OR(L261="Crua",L261="Crua/Amarela"),Y261&lt;&gt;"Sí"),"⚠ Juvenil necesita Amarela+",P261&amp;" · "&amp;M261),P261&amp;" · "&amp;M261))))</f>
        <v/>
      </c>
      <c r="T261" s="23" t="n"/>
      <c r="U261" s="22" t="inlineStr">
        <is>
          <t>Sí</t>
        </is>
      </c>
      <c r="V261" s="22" t="n"/>
      <c r="W261" s="22" t="n"/>
      <c r="X261" s="22" t="n"/>
      <c r="Y261" s="22" t="inlineStr">
        <is>
          <t>No</t>
        </is>
      </c>
      <c r="Z261" s="22" t="inlineStr">
        <is>
          <t>XS</t>
        </is>
      </c>
      <c r="AA261" s="22" t="n">
        <v>35</v>
      </c>
      <c r="AB261" s="22" t="inlineStr">
        <is>
          <t>Pagado</t>
        </is>
      </c>
      <c r="AC261" s="22" t="n"/>
      <c r="AD261" s="23">
        <f>IF(D261&lt;&gt;"","P"&amp;TEXT(ROW()-4,"0000"),"")</f>
        <v/>
      </c>
    </row>
    <row r="262" ht="14.25" customHeight="1" s="72">
      <c r="A262" s="22" t="inlineStr">
        <is>
          <t>2025-10-16 11:06:01</t>
        </is>
      </c>
      <c r="B262" s="22" t="n"/>
      <c r="C262" s="22" t="n"/>
      <c r="D262" s="22" t="inlineStr">
        <is>
          <t>Manuel</t>
        </is>
      </c>
      <c r="E262" s="22" t="inlineStr">
        <is>
          <t>López</t>
        </is>
      </c>
      <c r="F262" s="22" t="inlineStr">
        <is>
          <t>Onça-Pintada</t>
        </is>
      </c>
      <c r="G262" s="23">
        <f>IF(F262&lt;&gt;"",F262,IF(AND(D262="",E262=""),"",TRIM(D262&amp;" "&amp;E262)))</f>
        <v/>
      </c>
      <c r="H262" s="22" t="n"/>
      <c r="I262" s="22" t="inlineStr">
        <is>
          <t>+34 691 398 183</t>
        </is>
      </c>
      <c r="J262" s="22" t="inlineStr">
        <is>
          <t>Santiago-Chile</t>
        </is>
      </c>
      <c r="K262" s="22" t="inlineStr">
        <is>
          <t>Professor Leão</t>
        </is>
      </c>
      <c r="L262" s="22" t="inlineStr">
        <is>
          <t>Laranja</t>
        </is>
      </c>
      <c r="M262" s="22" t="inlineStr">
        <is>
          <t>Masculino</t>
        </is>
      </c>
      <c r="N262" s="78" t="n">
        <v>34896</v>
      </c>
      <c r="O262" s="23">
        <f>IF(N262="","",DATEDIF(N262,TODAY(),"Y"))</f>
        <v/>
      </c>
      <c r="P262" s="23">
        <f>IF(O262="","",IF(O262&lt;=11,"Infantil",IF(O262&lt;=17,"Juvenil",IF(O262&lt;=44,"Adulto","Baobá"))))</f>
        <v/>
      </c>
      <c r="Q262" s="23">
        <f>IF(P262&lt;&gt;"Adulto","",IF(OR(L262="Marrom",L262="Marrom/Vermelha"),"A",IF(OR(L262="Roxa",L262="Roxa/Marrom"),"B",IF(OR(L262="Verde",L262="Verde/Roxa"),"C",IF(OR(L262="Azul",L262="Azul/Verde"),"D",IF(OR(L262="Laranja",L262="Laranja/Azul"),"E",IF(Y262="Sí","E","N/A")))))))</f>
        <v/>
      </c>
      <c r="R262" s="23">
        <f>IF(P262&lt;&gt;"Baobá","",IF(OR(L262="Laranja",L262="Laranja/Azul"),"Alumnos",IF(Y262="Sí","Alumnos","Graduados+")))</f>
        <v/>
      </c>
      <c r="S262" s="23">
        <f>IF(P262="","",IF(P262="Adulto",IF(OR(Q262="",Q262="N/A"),"⚠ Corda no compite Adulto",P262&amp;"-"&amp;Q262&amp;" · "&amp;M262),IF(P262="Baobá",IF(R262="","⚠ Sin clasificar Baobá",P262&amp;"-"&amp;R262&amp;" · "&amp;M262),IF(P262="Juvenil",IF(AND(OR(L262="Crua",L262="Crua/Amarela"),Y262&lt;&gt;"Sí"),"⚠ Juvenil necesita Amarela+",P262&amp;" · "&amp;M262),P262&amp;" · "&amp;M262))))</f>
        <v/>
      </c>
      <c r="T262" s="23" t="n"/>
      <c r="U262" s="22" t="inlineStr">
        <is>
          <t>Sí</t>
        </is>
      </c>
      <c r="V262" s="22" t="n"/>
      <c r="W262" s="22" t="n"/>
      <c r="X262" s="22" t="n"/>
      <c r="Y262" s="22" t="inlineStr">
        <is>
          <t>No</t>
        </is>
      </c>
      <c r="Z262" s="22" t="inlineStr">
        <is>
          <t>S</t>
        </is>
      </c>
      <c r="AA262" s="22" t="n">
        <v>35</v>
      </c>
      <c r="AB262" s="22" t="inlineStr">
        <is>
          <t>Pagado</t>
        </is>
      </c>
      <c r="AC262" s="22" t="n"/>
      <c r="AD262" s="23">
        <f>IF(D262&lt;&gt;"","P"&amp;TEXT(ROW()-4,"0000"),"")</f>
        <v/>
      </c>
    </row>
    <row r="263" ht="14.25" customHeight="1" s="72">
      <c r="A263" s="22" t="inlineStr">
        <is>
          <t>2025-09-22 12:05:41</t>
        </is>
      </c>
      <c r="B263" s="22" t="n"/>
      <c r="C263" s="22" t="n"/>
      <c r="D263" s="22" t="inlineStr">
        <is>
          <t>Francisco</t>
        </is>
      </c>
      <c r="E263" s="22" t="inlineStr">
        <is>
          <t>Greco</t>
        </is>
      </c>
      <c r="F263" s="22" t="inlineStr">
        <is>
          <t>Albatroz</t>
        </is>
      </c>
      <c r="G263" s="23">
        <f>IF(F263&lt;&gt;"",F263,IF(AND(D263="",E263=""),"",TRIM(D263&amp;" "&amp;E263)))</f>
        <v/>
      </c>
      <c r="H263" s="22" t="n"/>
      <c r="I263" s="22" t="inlineStr">
        <is>
          <t>+34 633 479 490</t>
        </is>
      </c>
      <c r="J263" s="22" t="inlineStr">
        <is>
          <t>Hamburgo-Alemania</t>
        </is>
      </c>
      <c r="K263" s="22" t="inlineStr">
        <is>
          <t>Professor Gavião</t>
        </is>
      </c>
      <c r="L263" s="22" t="inlineStr">
        <is>
          <t>Verde</t>
        </is>
      </c>
      <c r="M263" s="22" t="inlineStr">
        <is>
          <t>Masculino</t>
        </is>
      </c>
      <c r="N263" s="78" t="n">
        <v>32882</v>
      </c>
      <c r="O263" s="23">
        <f>IF(N263="","",DATEDIF(N263,TODAY(),"Y"))</f>
        <v/>
      </c>
      <c r="P263" s="23">
        <f>IF(O263="","",IF(O263&lt;=11,"Infantil",IF(O263&lt;=17,"Juvenil",IF(O263&lt;=44,"Adulto","Baobá"))))</f>
        <v/>
      </c>
      <c r="Q263" s="23">
        <f>IF(P263&lt;&gt;"Adulto","",IF(OR(L263="Marrom",L263="Marrom/Vermelha"),"A",IF(OR(L263="Roxa",L263="Roxa/Marrom"),"B",IF(OR(L263="Verde",L263="Verde/Roxa"),"C",IF(OR(L263="Azul",L263="Azul/Verde"),"D",IF(OR(L263="Laranja",L263="Laranja/Azul"),"E",IF(Y263="Sí","E","N/A")))))))</f>
        <v/>
      </c>
      <c r="R263" s="23">
        <f>IF(P263&lt;&gt;"Baobá","",IF(OR(L263="Laranja",L263="Laranja/Azul"),"Alumnos",IF(Y263="Sí","Alumnos","Graduados+")))</f>
        <v/>
      </c>
      <c r="S263" s="23">
        <f>IF(P263="","",IF(P263="Adulto",IF(OR(Q263="",Q263="N/A"),"⚠ Corda no compite Adulto",P263&amp;"-"&amp;Q263&amp;" · "&amp;M263),IF(P263="Baobá",IF(R263="","⚠ Sin clasificar Baobá",P263&amp;"-"&amp;R263&amp;" · "&amp;M263),IF(P263="Juvenil",IF(AND(OR(L263="Crua",L263="Crua/Amarela"),Y263&lt;&gt;"Sí"),"⚠ Juvenil necesita Amarela+",P263&amp;" · "&amp;M263),P263&amp;" · "&amp;M263))))</f>
        <v/>
      </c>
      <c r="T263" s="23" t="n"/>
      <c r="U263" s="22" t="inlineStr">
        <is>
          <t>Sí</t>
        </is>
      </c>
      <c r="V263" s="22" t="n"/>
      <c r="W263" s="22" t="n"/>
      <c r="X263" s="22" t="n"/>
      <c r="Y263" s="22" t="inlineStr">
        <is>
          <t>No</t>
        </is>
      </c>
      <c r="Z263" s="22" t="inlineStr">
        <is>
          <t>M</t>
        </is>
      </c>
      <c r="AA263" s="22" t="n">
        <v>35</v>
      </c>
      <c r="AB263" s="22" t="inlineStr">
        <is>
          <t>Pagado</t>
        </is>
      </c>
      <c r="AC263" s="22" t="n"/>
      <c r="AD263" s="23">
        <f>IF(D263&lt;&gt;"","P"&amp;TEXT(ROW()-4,"0000"),"")</f>
        <v/>
      </c>
    </row>
    <row r="264" ht="14.25" customHeight="1" s="72">
      <c r="A264" s="22" t="inlineStr">
        <is>
          <t>2025-09-15 12:14:53</t>
        </is>
      </c>
      <c r="B264" s="22" t="n"/>
      <c r="C264" s="22" t="n"/>
      <c r="D264" s="22" t="inlineStr">
        <is>
          <t>Alejandro</t>
        </is>
      </c>
      <c r="E264" s="22" t="inlineStr">
        <is>
          <t>Alves</t>
        </is>
      </c>
      <c r="F264" s="22" t="inlineStr">
        <is>
          <t>Andorinha</t>
        </is>
      </c>
      <c r="G264" s="23">
        <f>IF(F264&lt;&gt;"",F264,IF(AND(D264="",E264=""),"",TRIM(D264&amp;" "&amp;E264)))</f>
        <v/>
      </c>
      <c r="H264" s="22" t="n"/>
      <c r="I264" s="22" t="inlineStr">
        <is>
          <t>+34 629 870 813</t>
        </is>
      </c>
      <c r="J264" s="22" t="inlineStr">
        <is>
          <t>Curitiba-Brasil</t>
        </is>
      </c>
      <c r="K264" s="22" t="inlineStr">
        <is>
          <t>Contra-Mestre Falcão</t>
        </is>
      </c>
      <c r="L264" s="22" t="inlineStr">
        <is>
          <t>Azul</t>
        </is>
      </c>
      <c r="M264" s="22" t="inlineStr">
        <is>
          <t>Masculino</t>
        </is>
      </c>
      <c r="N264" s="78" t="n">
        <v>30493</v>
      </c>
      <c r="O264" s="23">
        <f>IF(N264="","",DATEDIF(N264,TODAY(),"Y"))</f>
        <v/>
      </c>
      <c r="P264" s="23">
        <f>IF(O264="","",IF(O264&lt;=11,"Infantil",IF(O264&lt;=17,"Juvenil",IF(O264&lt;=44,"Adulto","Baobá"))))</f>
        <v/>
      </c>
      <c r="Q264" s="23">
        <f>IF(P264&lt;&gt;"Adulto","",IF(OR(L264="Marrom",L264="Marrom/Vermelha"),"A",IF(OR(L264="Roxa",L264="Roxa/Marrom"),"B",IF(OR(L264="Verde",L264="Verde/Roxa"),"C",IF(OR(L264="Azul",L264="Azul/Verde"),"D",IF(OR(L264="Laranja",L264="Laranja/Azul"),"E",IF(Y264="Sí","E","N/A")))))))</f>
        <v/>
      </c>
      <c r="R264" s="23">
        <f>IF(P264&lt;&gt;"Baobá","",IF(OR(L264="Laranja",L264="Laranja/Azul"),"Alumnos",IF(Y264="Sí","Alumnos","Graduados+")))</f>
        <v/>
      </c>
      <c r="S264" s="23">
        <f>IF(P264="","",IF(P264="Adulto",IF(OR(Q264="",Q264="N/A"),"⚠ Corda no compite Adulto",P264&amp;"-"&amp;Q264&amp;" · "&amp;M264),IF(P264="Baobá",IF(R264="","⚠ Sin clasificar Baobá",P264&amp;"-"&amp;R264&amp;" · "&amp;M264),IF(P264="Juvenil",IF(AND(OR(L264="Crua",L264="Crua/Amarela"),Y264&lt;&gt;"Sí"),"⚠ Juvenil necesita Amarela+",P264&amp;" · "&amp;M264),P264&amp;" · "&amp;M264))))</f>
        <v/>
      </c>
      <c r="T264" s="23" t="n"/>
      <c r="U264" s="22" t="inlineStr">
        <is>
          <t>Sí</t>
        </is>
      </c>
      <c r="V264" s="22" t="n"/>
      <c r="W264" s="22" t="n"/>
      <c r="X264" s="22" t="n"/>
      <c r="Y264" s="22" t="inlineStr">
        <is>
          <t>No</t>
        </is>
      </c>
      <c r="Z264" s="22" t="inlineStr">
        <is>
          <t>L</t>
        </is>
      </c>
      <c r="AA264" s="22" t="n">
        <v>35</v>
      </c>
      <c r="AB264" s="22" t="inlineStr">
        <is>
          <t>Pagado</t>
        </is>
      </c>
      <c r="AC264" s="22" t="n"/>
      <c r="AD264" s="23">
        <f>IF(D264&lt;&gt;"","P"&amp;TEXT(ROW()-4,"0000"),"")</f>
        <v/>
      </c>
    </row>
    <row r="265" ht="14.25" customHeight="1" s="72">
      <c r="A265" s="22" t="inlineStr">
        <is>
          <t>2025-10-14 20:37:14</t>
        </is>
      </c>
      <c r="B265" s="22" t="n"/>
      <c r="C265" s="22" t="n"/>
      <c r="D265" s="22" t="inlineStr">
        <is>
          <t>Sergio</t>
        </is>
      </c>
      <c r="E265" s="22" t="inlineStr">
        <is>
          <t>Alves</t>
        </is>
      </c>
      <c r="F265" s="22" t="inlineStr">
        <is>
          <t>Camaleão</t>
        </is>
      </c>
      <c r="G265" s="23">
        <f>IF(F265&lt;&gt;"",F265,IF(AND(D265="",E265=""),"",TRIM(D265&amp;" "&amp;E265)))</f>
        <v/>
      </c>
      <c r="H265" s="22" t="n"/>
      <c r="I265" s="22" t="inlineStr">
        <is>
          <t>+34 659 938 635</t>
        </is>
      </c>
      <c r="J265" s="22" t="inlineStr">
        <is>
          <t>Milán-Italia</t>
        </is>
      </c>
      <c r="K265" s="22" t="inlineStr">
        <is>
          <t>Professor Tatu</t>
        </is>
      </c>
      <c r="L265" s="22" t="inlineStr">
        <is>
          <t>Roxa</t>
        </is>
      </c>
      <c r="M265" s="22" t="inlineStr">
        <is>
          <t>Masculino</t>
        </is>
      </c>
      <c r="N265" s="78" t="n">
        <v>30547</v>
      </c>
      <c r="O265" s="23">
        <f>IF(N265="","",DATEDIF(N265,TODAY(),"Y"))</f>
        <v/>
      </c>
      <c r="P265" s="23">
        <f>IF(O265="","",IF(O265&lt;=11,"Infantil",IF(O265&lt;=17,"Juvenil",IF(O265&lt;=44,"Adulto","Baobá"))))</f>
        <v/>
      </c>
      <c r="Q265" s="23">
        <f>IF(P265&lt;&gt;"Adulto","",IF(OR(L265="Marrom",L265="Marrom/Vermelha"),"A",IF(OR(L265="Roxa",L265="Roxa/Marrom"),"B",IF(OR(L265="Verde",L265="Verde/Roxa"),"C",IF(OR(L265="Azul",L265="Azul/Verde"),"D",IF(OR(L265="Laranja",L265="Laranja/Azul"),"E",IF(Y265="Sí","E","N/A")))))))</f>
        <v/>
      </c>
      <c r="R265" s="23">
        <f>IF(P265&lt;&gt;"Baobá","",IF(OR(L265="Laranja",L265="Laranja/Azul"),"Alumnos",IF(Y265="Sí","Alumnos","Graduados+")))</f>
        <v/>
      </c>
      <c r="S265" s="23">
        <f>IF(P265="","",IF(P265="Adulto",IF(OR(Q265="",Q265="N/A"),"⚠ Corda no compite Adulto",P265&amp;"-"&amp;Q265&amp;" · "&amp;M265),IF(P265="Baobá",IF(R265="","⚠ Sin clasificar Baobá",P265&amp;"-"&amp;R265&amp;" · "&amp;M265),IF(P265="Juvenil",IF(AND(OR(L265="Crua",L265="Crua/Amarela"),Y265&lt;&gt;"Sí"),"⚠ Juvenil necesita Amarela+",P265&amp;" · "&amp;M265),P265&amp;" · "&amp;M265))))</f>
        <v/>
      </c>
      <c r="T265" s="23" t="n"/>
      <c r="U265" s="22" t="inlineStr">
        <is>
          <t>Sí</t>
        </is>
      </c>
      <c r="V265" s="22" t="n"/>
      <c r="W265" s="22" t="n"/>
      <c r="X265" s="22" t="n"/>
      <c r="Y265" s="22" t="inlineStr">
        <is>
          <t>No</t>
        </is>
      </c>
      <c r="Z265" s="22" t="inlineStr">
        <is>
          <t>XL</t>
        </is>
      </c>
      <c r="AA265" s="22" t="n">
        <v>35</v>
      </c>
      <c r="AB265" s="22" t="inlineStr">
        <is>
          <t>Pagado</t>
        </is>
      </c>
      <c r="AC265" s="22" t="n"/>
      <c r="AD265" s="23">
        <f>IF(D265&lt;&gt;"","P"&amp;TEXT(ROW()-4,"0000"),"")</f>
        <v/>
      </c>
    </row>
    <row r="266" ht="14.25" customHeight="1" s="72">
      <c r="A266" s="22" t="inlineStr">
        <is>
          <t>2025-08-16 12:05:25</t>
        </is>
      </c>
      <c r="B266" s="22" t="n"/>
      <c r="C266" s="22" t="n"/>
      <c r="D266" s="22" t="inlineStr">
        <is>
          <t>Olivier</t>
        </is>
      </c>
      <c r="E266" s="22" t="inlineStr">
        <is>
          <t>Pereira</t>
        </is>
      </c>
      <c r="F266" s="22" t="inlineStr">
        <is>
          <t>Papagaio</t>
        </is>
      </c>
      <c r="G266" s="23">
        <f>IF(F266&lt;&gt;"",F266,IF(AND(D266="",E266=""),"",TRIM(D266&amp;" "&amp;E266)))</f>
        <v/>
      </c>
      <c r="H266" s="22" t="n"/>
      <c r="I266" s="22" t="inlineStr">
        <is>
          <t>+34 674 684 629</t>
        </is>
      </c>
      <c r="J266" s="22" t="inlineStr">
        <is>
          <t>Manaus-Brasil</t>
        </is>
      </c>
      <c r="K266" s="22" t="inlineStr">
        <is>
          <t>Professor Leão</t>
        </is>
      </c>
      <c r="L266" s="22" t="inlineStr">
        <is>
          <t>Azul</t>
        </is>
      </c>
      <c r="M266" s="22" t="inlineStr">
        <is>
          <t>Masculino</t>
        </is>
      </c>
      <c r="N266" s="78" t="n">
        <v>32938</v>
      </c>
      <c r="O266" s="23">
        <f>IF(N266="","",DATEDIF(N266,TODAY(),"Y"))</f>
        <v/>
      </c>
      <c r="P266" s="23">
        <f>IF(O266="","",IF(O266&lt;=11,"Infantil",IF(O266&lt;=17,"Juvenil",IF(O266&lt;=44,"Adulto","Baobá"))))</f>
        <v/>
      </c>
      <c r="Q266" s="23">
        <f>IF(P266&lt;&gt;"Adulto","",IF(OR(L266="Marrom",L266="Marrom/Vermelha"),"A",IF(OR(L266="Roxa",L266="Roxa/Marrom"),"B",IF(OR(L266="Verde",L266="Verde/Roxa"),"C",IF(OR(L266="Azul",L266="Azul/Verde"),"D",IF(OR(L266="Laranja",L266="Laranja/Azul"),"E",IF(Y266="Sí","E","N/A")))))))</f>
        <v/>
      </c>
      <c r="R266" s="23">
        <f>IF(P266&lt;&gt;"Baobá","",IF(OR(L266="Laranja",L266="Laranja/Azul"),"Alumnos",IF(Y266="Sí","Alumnos","Graduados+")))</f>
        <v/>
      </c>
      <c r="S266" s="23">
        <f>IF(P266="","",IF(P266="Adulto",IF(OR(Q266="",Q266="N/A"),"⚠ Corda no compite Adulto",P266&amp;"-"&amp;Q266&amp;" · "&amp;M266),IF(P266="Baobá",IF(R266="","⚠ Sin clasificar Baobá",P266&amp;"-"&amp;R266&amp;" · "&amp;M266),IF(P266="Juvenil",IF(AND(OR(L266="Crua",L266="Crua/Amarela"),Y266&lt;&gt;"Sí"),"⚠ Juvenil necesita Amarela+",P266&amp;" · "&amp;M266),P266&amp;" · "&amp;M266))))</f>
        <v/>
      </c>
      <c r="T266" s="23" t="n"/>
      <c r="U266" s="22" t="inlineStr">
        <is>
          <t>Sí</t>
        </is>
      </c>
      <c r="V266" s="22" t="n"/>
      <c r="W266" s="22" t="n"/>
      <c r="X266" s="22" t="n"/>
      <c r="Y266" s="22" t="inlineStr">
        <is>
          <t>No</t>
        </is>
      </c>
      <c r="Z266" s="22" t="inlineStr">
        <is>
          <t>XXL</t>
        </is>
      </c>
      <c r="AA266" s="22" t="n">
        <v>35</v>
      </c>
      <c r="AB266" s="22" t="inlineStr">
        <is>
          <t>Pagado</t>
        </is>
      </c>
      <c r="AC266" s="22" t="n"/>
      <c r="AD266" s="23">
        <f>IF(D266&lt;&gt;"","P"&amp;TEXT(ROW()-4,"0000"),"")</f>
        <v/>
      </c>
    </row>
    <row r="267" ht="14.25" customHeight="1" s="72">
      <c r="A267" s="22" t="inlineStr">
        <is>
          <t>2025-08-26 11:08:02</t>
        </is>
      </c>
      <c r="B267" s="22" t="n"/>
      <c r="C267" s="22" t="n"/>
      <c r="D267" s="22" t="inlineStr">
        <is>
          <t>Vitor</t>
        </is>
      </c>
      <c r="E267" s="22" t="inlineStr">
        <is>
          <t>Rodrigues</t>
        </is>
      </c>
      <c r="F267" s="22" t="inlineStr">
        <is>
          <t>Gato-Preto</t>
        </is>
      </c>
      <c r="G267" s="23">
        <f>IF(F267&lt;&gt;"",F267,IF(AND(D267="",E267=""),"",TRIM(D267&amp;" "&amp;E267)))</f>
        <v/>
      </c>
      <c r="H267" s="22" t="n"/>
      <c r="I267" s="22" t="inlineStr">
        <is>
          <t>+34 697 545 306</t>
        </is>
      </c>
      <c r="J267" s="22" t="inlineStr">
        <is>
          <t>Manaus-Brasil</t>
        </is>
      </c>
      <c r="K267" s="22" t="inlineStr">
        <is>
          <t>Professor Lobo</t>
        </is>
      </c>
      <c r="L267" s="22" t="inlineStr">
        <is>
          <t>Laranja</t>
        </is>
      </c>
      <c r="M267" s="22" t="inlineStr">
        <is>
          <t>Masculino</t>
        </is>
      </c>
      <c r="N267" s="78" t="n">
        <v>35240</v>
      </c>
      <c r="O267" s="23">
        <f>IF(N267="","",DATEDIF(N267,TODAY(),"Y"))</f>
        <v/>
      </c>
      <c r="P267" s="23">
        <f>IF(O267="","",IF(O267&lt;=11,"Infantil",IF(O267&lt;=17,"Juvenil",IF(O267&lt;=44,"Adulto","Baobá"))))</f>
        <v/>
      </c>
      <c r="Q267" s="23">
        <f>IF(P267&lt;&gt;"Adulto","",IF(OR(L267="Marrom",L267="Marrom/Vermelha"),"A",IF(OR(L267="Roxa",L267="Roxa/Marrom"),"B",IF(OR(L267="Verde",L267="Verde/Roxa"),"C",IF(OR(L267="Azul",L267="Azul/Verde"),"D",IF(OR(L267="Laranja",L267="Laranja/Azul"),"E",IF(Y267="Sí","E","N/A")))))))</f>
        <v/>
      </c>
      <c r="R267" s="23">
        <f>IF(P267&lt;&gt;"Baobá","",IF(OR(L267="Laranja",L267="Laranja/Azul"),"Alumnos",IF(Y267="Sí","Alumnos","Graduados+")))</f>
        <v/>
      </c>
      <c r="S267" s="23">
        <f>IF(P267="","",IF(P267="Adulto",IF(OR(Q267="",Q267="N/A"),"⚠ Corda no compite Adulto",P267&amp;"-"&amp;Q267&amp;" · "&amp;M267),IF(P267="Baobá",IF(R267="","⚠ Sin clasificar Baobá",P267&amp;"-"&amp;R267&amp;" · "&amp;M267),IF(P267="Juvenil",IF(AND(OR(L267="Crua",L267="Crua/Amarela"),Y267&lt;&gt;"Sí"),"⚠ Juvenil necesita Amarela+",P267&amp;" · "&amp;M267),P267&amp;" · "&amp;M267))))</f>
        <v/>
      </c>
      <c r="T267" s="23" t="n"/>
      <c r="U267" s="22" t="inlineStr">
        <is>
          <t>Sí</t>
        </is>
      </c>
      <c r="V267" s="22" t="n"/>
      <c r="W267" s="22" t="n"/>
      <c r="X267" s="22" t="n"/>
      <c r="Y267" s="22" t="inlineStr">
        <is>
          <t>No</t>
        </is>
      </c>
      <c r="Z267" s="22" t="inlineStr">
        <is>
          <t>XS</t>
        </is>
      </c>
      <c r="AA267" s="22" t="n">
        <v>35</v>
      </c>
      <c r="AB267" s="22" t="inlineStr">
        <is>
          <t>Pagado</t>
        </is>
      </c>
      <c r="AC267" s="22" t="n"/>
      <c r="AD267" s="23">
        <f>IF(D267&lt;&gt;"","P"&amp;TEXT(ROW()-4,"0000"),"")</f>
        <v/>
      </c>
    </row>
    <row r="268" ht="14.25" customHeight="1" s="72">
      <c r="A268" s="22" t="inlineStr">
        <is>
          <t>2025-08-03 14:35:25</t>
        </is>
      </c>
      <c r="B268" s="22" t="n"/>
      <c r="C268" s="22" t="n"/>
      <c r="D268" s="22" t="inlineStr">
        <is>
          <t>Sergio</t>
        </is>
      </c>
      <c r="E268" s="22" t="inlineStr">
        <is>
          <t>Russo</t>
        </is>
      </c>
      <c r="F268" s="22" t="inlineStr">
        <is>
          <t>Ganso</t>
        </is>
      </c>
      <c r="G268" s="23">
        <f>IF(F268&lt;&gt;"",F268,IF(AND(D268="",E268=""),"",TRIM(D268&amp;" "&amp;E268)))</f>
        <v/>
      </c>
      <c r="H268" s="22" t="n"/>
      <c r="I268" s="22" t="inlineStr">
        <is>
          <t>+34 645 632 569</t>
        </is>
      </c>
      <c r="J268" s="22" t="inlineStr">
        <is>
          <t>São Paulo-Brasil</t>
        </is>
      </c>
      <c r="K268" s="22" t="inlineStr">
        <is>
          <t>Professor Lobo</t>
        </is>
      </c>
      <c r="L268" s="22" t="inlineStr">
        <is>
          <t>Marrom</t>
        </is>
      </c>
      <c r="M268" s="22" t="inlineStr">
        <is>
          <t>Masculino</t>
        </is>
      </c>
      <c r="N268" s="78" t="n">
        <v>31681</v>
      </c>
      <c r="O268" s="23">
        <f>IF(N268="","",DATEDIF(N268,TODAY(),"Y"))</f>
        <v/>
      </c>
      <c r="P268" s="23">
        <f>IF(O268="","",IF(O268&lt;=11,"Infantil",IF(O268&lt;=17,"Juvenil",IF(O268&lt;=44,"Adulto","Baobá"))))</f>
        <v/>
      </c>
      <c r="Q268" s="23">
        <f>IF(P268&lt;&gt;"Adulto","",IF(OR(L268="Marrom",L268="Marrom/Vermelha"),"A",IF(OR(L268="Roxa",L268="Roxa/Marrom"),"B",IF(OR(L268="Verde",L268="Verde/Roxa"),"C",IF(OR(L268="Azul",L268="Azul/Verde"),"D",IF(OR(L268="Laranja",L268="Laranja/Azul"),"E",IF(Y268="Sí","E","N/A")))))))</f>
        <v/>
      </c>
      <c r="R268" s="23">
        <f>IF(P268&lt;&gt;"Baobá","",IF(OR(L268="Laranja",L268="Laranja/Azul"),"Alumnos",IF(Y268="Sí","Alumnos","Graduados+")))</f>
        <v/>
      </c>
      <c r="S268" s="23">
        <f>IF(P268="","",IF(P268="Adulto",IF(OR(Q268="",Q268="N/A"),"⚠ Corda no compite Adulto",P268&amp;"-"&amp;Q268&amp;" · "&amp;M268),IF(P268="Baobá",IF(R268="","⚠ Sin clasificar Baobá",P268&amp;"-"&amp;R268&amp;" · "&amp;M268),IF(P268="Juvenil",IF(AND(OR(L268="Crua",L268="Crua/Amarela"),Y268&lt;&gt;"Sí"),"⚠ Juvenil necesita Amarela+",P268&amp;" · "&amp;M268),P268&amp;" · "&amp;M268))))</f>
        <v/>
      </c>
      <c r="T268" s="23" t="n"/>
      <c r="U268" s="22" t="inlineStr">
        <is>
          <t>Sí</t>
        </is>
      </c>
      <c r="V268" s="22" t="n"/>
      <c r="W268" s="22" t="n"/>
      <c r="X268" s="22" t="n"/>
      <c r="Y268" s="22" t="inlineStr">
        <is>
          <t>No</t>
        </is>
      </c>
      <c r="Z268" s="22" t="inlineStr">
        <is>
          <t>S</t>
        </is>
      </c>
      <c r="AA268" s="22" t="n">
        <v>35</v>
      </c>
      <c r="AB268" s="22" t="inlineStr">
        <is>
          <t>Pagado</t>
        </is>
      </c>
      <c r="AC268" s="22" t="n"/>
      <c r="AD268" s="23">
        <f>IF(D268&lt;&gt;"","P"&amp;TEXT(ROW()-4,"0000"),"")</f>
        <v/>
      </c>
    </row>
    <row r="269" ht="14.25" customHeight="1" s="72">
      <c r="A269" s="22" t="inlineStr">
        <is>
          <t>2025-09-04 14:09:09</t>
        </is>
      </c>
      <c r="B269" s="22" t="n"/>
      <c r="C269" s="22" t="n"/>
      <c r="D269" s="22" t="inlineStr">
        <is>
          <t>Fernando</t>
        </is>
      </c>
      <c r="E269" s="22" t="inlineStr">
        <is>
          <t>Carvalho</t>
        </is>
      </c>
      <c r="F269" s="22" t="inlineStr">
        <is>
          <t>Pomba</t>
        </is>
      </c>
      <c r="G269" s="23">
        <f>IF(F269&lt;&gt;"",F269,IF(AND(D269="",E269=""),"",TRIM(D269&amp;" "&amp;E269)))</f>
        <v/>
      </c>
      <c r="H269" s="22" t="n"/>
      <c r="I269" s="22" t="inlineStr">
        <is>
          <t>+34 623 676 898</t>
        </is>
      </c>
      <c r="J269" s="22" t="inlineStr">
        <is>
          <t>Curitiba-Brasil</t>
        </is>
      </c>
      <c r="K269" s="22" t="inlineStr">
        <is>
          <t>Mestre Coruja</t>
        </is>
      </c>
      <c r="L269" s="22" t="inlineStr">
        <is>
          <t>Laranja</t>
        </is>
      </c>
      <c r="M269" s="22" t="inlineStr">
        <is>
          <t>Masculino</t>
        </is>
      </c>
      <c r="N269" s="78" t="n">
        <v>31942</v>
      </c>
      <c r="O269" s="23">
        <f>IF(N269="","",DATEDIF(N269,TODAY(),"Y"))</f>
        <v/>
      </c>
      <c r="P269" s="23">
        <f>IF(O269="","",IF(O269&lt;=11,"Infantil",IF(O269&lt;=17,"Juvenil",IF(O269&lt;=44,"Adulto","Baobá"))))</f>
        <v/>
      </c>
      <c r="Q269" s="23">
        <f>IF(P269&lt;&gt;"Adulto","",IF(OR(L269="Marrom",L269="Marrom/Vermelha"),"A",IF(OR(L269="Roxa",L269="Roxa/Marrom"),"B",IF(OR(L269="Verde",L269="Verde/Roxa"),"C",IF(OR(L269="Azul",L269="Azul/Verde"),"D",IF(OR(L269="Laranja",L269="Laranja/Azul"),"E",IF(Y269="Sí","E","N/A")))))))</f>
        <v/>
      </c>
      <c r="R269" s="23">
        <f>IF(P269&lt;&gt;"Baobá","",IF(OR(L269="Laranja",L269="Laranja/Azul"),"Alumnos",IF(Y269="Sí","Alumnos","Graduados+")))</f>
        <v/>
      </c>
      <c r="S269" s="23">
        <f>IF(P269="","",IF(P269="Adulto",IF(OR(Q269="",Q269="N/A"),"⚠ Corda no compite Adulto",P269&amp;"-"&amp;Q269&amp;" · "&amp;M269),IF(P269="Baobá",IF(R269="","⚠ Sin clasificar Baobá",P269&amp;"-"&amp;R269&amp;" · "&amp;M269),IF(P269="Juvenil",IF(AND(OR(L269="Crua",L269="Crua/Amarela"),Y269&lt;&gt;"Sí"),"⚠ Juvenil necesita Amarela+",P269&amp;" · "&amp;M269),P269&amp;" · "&amp;M269))))</f>
        <v/>
      </c>
      <c r="T269" s="23" t="n"/>
      <c r="U269" s="22" t="inlineStr">
        <is>
          <t>Sí</t>
        </is>
      </c>
      <c r="V269" s="22" t="n"/>
      <c r="W269" s="22" t="n"/>
      <c r="X269" s="22" t="n"/>
      <c r="Y269" s="22" t="inlineStr">
        <is>
          <t>No</t>
        </is>
      </c>
      <c r="Z269" s="22" t="inlineStr">
        <is>
          <t>M</t>
        </is>
      </c>
      <c r="AA269" s="22" t="n">
        <v>35</v>
      </c>
      <c r="AB269" s="22" t="inlineStr">
        <is>
          <t>Pagado</t>
        </is>
      </c>
      <c r="AC269" s="22" t="n"/>
      <c r="AD269" s="23">
        <f>IF(D269&lt;&gt;"","P"&amp;TEXT(ROW()-4,"0000"),"")</f>
        <v/>
      </c>
    </row>
    <row r="270" ht="14.25" customHeight="1" s="72">
      <c r="A270" s="22" t="inlineStr">
        <is>
          <t>2025-09-13 18:31:36</t>
        </is>
      </c>
      <c r="B270" s="22" t="n"/>
      <c r="C270" s="22" t="n"/>
      <c r="D270" s="22" t="inlineStr">
        <is>
          <t>Nicolas</t>
        </is>
      </c>
      <c r="E270" s="22" t="inlineStr">
        <is>
          <t>Fernandes</t>
        </is>
      </c>
      <c r="F270" s="22" t="inlineStr">
        <is>
          <t>Moreia</t>
        </is>
      </c>
      <c r="G270" s="23">
        <f>IF(F270&lt;&gt;"",F270,IF(AND(D270="",E270=""),"",TRIM(D270&amp;" "&amp;E270)))</f>
        <v/>
      </c>
      <c r="H270" s="22" t="n"/>
      <c r="I270" s="22" t="inlineStr">
        <is>
          <t>+34 614 276 382</t>
        </is>
      </c>
      <c r="J270" s="22" t="inlineStr">
        <is>
          <t>Roma-Italia</t>
        </is>
      </c>
      <c r="K270" s="22" t="inlineStr">
        <is>
          <t>Mestre Cobra</t>
        </is>
      </c>
      <c r="L270" s="22" t="inlineStr">
        <is>
          <t>Verde</t>
        </is>
      </c>
      <c r="M270" s="22" t="inlineStr">
        <is>
          <t>Masculino</t>
        </is>
      </c>
      <c r="N270" s="78" t="n">
        <v>31342</v>
      </c>
      <c r="O270" s="23">
        <f>IF(N270="","",DATEDIF(N270,TODAY(),"Y"))</f>
        <v/>
      </c>
      <c r="P270" s="23">
        <f>IF(O270="","",IF(O270&lt;=11,"Infantil",IF(O270&lt;=17,"Juvenil",IF(O270&lt;=44,"Adulto","Baobá"))))</f>
        <v/>
      </c>
      <c r="Q270" s="23">
        <f>IF(P270&lt;&gt;"Adulto","",IF(OR(L270="Marrom",L270="Marrom/Vermelha"),"A",IF(OR(L270="Roxa",L270="Roxa/Marrom"),"B",IF(OR(L270="Verde",L270="Verde/Roxa"),"C",IF(OR(L270="Azul",L270="Azul/Verde"),"D",IF(OR(L270="Laranja",L270="Laranja/Azul"),"E",IF(Y270="Sí","E","N/A")))))))</f>
        <v/>
      </c>
      <c r="R270" s="23">
        <f>IF(P270&lt;&gt;"Baobá","",IF(OR(L270="Laranja",L270="Laranja/Azul"),"Alumnos",IF(Y270="Sí","Alumnos","Graduados+")))</f>
        <v/>
      </c>
      <c r="S270" s="23">
        <f>IF(P270="","",IF(P270="Adulto",IF(OR(Q270="",Q270="N/A"),"⚠ Corda no compite Adulto",P270&amp;"-"&amp;Q270&amp;" · "&amp;M270),IF(P270="Baobá",IF(R270="","⚠ Sin clasificar Baobá",P270&amp;"-"&amp;R270&amp;" · "&amp;M270),IF(P270="Juvenil",IF(AND(OR(L270="Crua",L270="Crua/Amarela"),Y270&lt;&gt;"Sí"),"⚠ Juvenil necesita Amarela+",P270&amp;" · "&amp;M270),P270&amp;" · "&amp;M270))))</f>
        <v/>
      </c>
      <c r="T270" s="23" t="n"/>
      <c r="U270" s="22" t="inlineStr">
        <is>
          <t>Sí</t>
        </is>
      </c>
      <c r="V270" s="22" t="n"/>
      <c r="W270" s="22" t="n"/>
      <c r="X270" s="22" t="n"/>
      <c r="Y270" s="22" t="inlineStr">
        <is>
          <t>No</t>
        </is>
      </c>
      <c r="Z270" s="22" t="inlineStr">
        <is>
          <t>L</t>
        </is>
      </c>
      <c r="AA270" s="22" t="n">
        <v>35</v>
      </c>
      <c r="AB270" s="22" t="inlineStr">
        <is>
          <t>Pagado</t>
        </is>
      </c>
      <c r="AC270" s="22" t="n"/>
      <c r="AD270" s="23">
        <f>IF(D270&lt;&gt;"","P"&amp;TEXT(ROW()-4,"0000"),"")</f>
        <v/>
      </c>
    </row>
    <row r="271" ht="14.25" customHeight="1" s="72">
      <c r="A271" s="22" t="inlineStr">
        <is>
          <t>2025-10-13 08:25:56</t>
        </is>
      </c>
      <c r="B271" s="22" t="n"/>
      <c r="C271" s="22" t="n"/>
      <c r="D271" s="22" t="inlineStr">
        <is>
          <t>Gustavo</t>
        </is>
      </c>
      <c r="E271" s="22" t="inlineStr">
        <is>
          <t>Müller</t>
        </is>
      </c>
      <c r="F271" s="22" t="inlineStr">
        <is>
          <t>Jacu</t>
        </is>
      </c>
      <c r="G271" s="23">
        <f>IF(F271&lt;&gt;"",F271,IF(AND(D271="",E271=""),"",TRIM(D271&amp;" "&amp;E271)))</f>
        <v/>
      </c>
      <c r="H271" s="22" t="n"/>
      <c r="I271" s="22" t="inlineStr">
        <is>
          <t>+34 616 863 586</t>
        </is>
      </c>
      <c r="J271" s="22" t="inlineStr">
        <is>
          <t>Cascais-Portugal</t>
        </is>
      </c>
      <c r="K271" s="22" t="inlineStr">
        <is>
          <t>Contra-Mestre Jabuti</t>
        </is>
      </c>
      <c r="L271" s="22" t="inlineStr">
        <is>
          <t>Marrom</t>
        </is>
      </c>
      <c r="M271" s="22" t="inlineStr">
        <is>
          <t>Masculino</t>
        </is>
      </c>
      <c r="N271" s="78" t="n">
        <v>38165</v>
      </c>
      <c r="O271" s="23">
        <f>IF(N271="","",DATEDIF(N271,TODAY(),"Y"))</f>
        <v/>
      </c>
      <c r="P271" s="23">
        <f>IF(O271="","",IF(O271&lt;=11,"Infantil",IF(O271&lt;=17,"Juvenil",IF(O271&lt;=44,"Adulto","Baobá"))))</f>
        <v/>
      </c>
      <c r="Q271" s="23">
        <f>IF(P271&lt;&gt;"Adulto","",IF(OR(L271="Marrom",L271="Marrom/Vermelha"),"A",IF(OR(L271="Roxa",L271="Roxa/Marrom"),"B",IF(OR(L271="Verde",L271="Verde/Roxa"),"C",IF(OR(L271="Azul",L271="Azul/Verde"),"D",IF(OR(L271="Laranja",L271="Laranja/Azul"),"E",IF(Y271="Sí","E","N/A")))))))</f>
        <v/>
      </c>
      <c r="R271" s="23">
        <f>IF(P271&lt;&gt;"Baobá","",IF(OR(L271="Laranja",L271="Laranja/Azul"),"Alumnos",IF(Y271="Sí","Alumnos","Graduados+")))</f>
        <v/>
      </c>
      <c r="S271" s="23">
        <f>IF(P271="","",IF(P271="Adulto",IF(OR(Q271="",Q271="N/A"),"⚠ Corda no compite Adulto",P271&amp;"-"&amp;Q271&amp;" · "&amp;M271),IF(P271="Baobá",IF(R271="","⚠ Sin clasificar Baobá",P271&amp;"-"&amp;R271&amp;" · "&amp;M271),IF(P271="Juvenil",IF(AND(OR(L271="Crua",L271="Crua/Amarela"),Y271&lt;&gt;"Sí"),"⚠ Juvenil necesita Amarela+",P271&amp;" · "&amp;M271),P271&amp;" · "&amp;M271))))</f>
        <v/>
      </c>
      <c r="T271" s="23" t="n"/>
      <c r="U271" s="22" t="inlineStr">
        <is>
          <t>Sí</t>
        </is>
      </c>
      <c r="V271" s="22" t="n"/>
      <c r="W271" s="22" t="n"/>
      <c r="X271" s="22" t="n"/>
      <c r="Y271" s="22" t="inlineStr">
        <is>
          <t>No</t>
        </is>
      </c>
      <c r="Z271" s="22" t="inlineStr">
        <is>
          <t>XL</t>
        </is>
      </c>
      <c r="AA271" s="22" t="n">
        <v>35</v>
      </c>
      <c r="AB271" s="22" t="inlineStr">
        <is>
          <t>Pagado</t>
        </is>
      </c>
      <c r="AC271" s="22" t="n"/>
      <c r="AD271" s="23">
        <f>IF(D271&lt;&gt;"","P"&amp;TEXT(ROW()-4,"0000"),"")</f>
        <v/>
      </c>
    </row>
    <row r="272" ht="14.25" customHeight="1" s="72">
      <c r="A272" s="22" t="inlineStr">
        <is>
          <t>2025-09-10 12:53:31</t>
        </is>
      </c>
      <c r="B272" s="22" t="n"/>
      <c r="C272" s="22" t="n"/>
      <c r="D272" s="22" t="inlineStr">
        <is>
          <t>Eric</t>
        </is>
      </c>
      <c r="E272" s="22" t="inlineStr">
        <is>
          <t>Carvalho</t>
        </is>
      </c>
      <c r="F272" s="22" t="inlineStr">
        <is>
          <t>Tatu</t>
        </is>
      </c>
      <c r="G272" s="23">
        <f>IF(F272&lt;&gt;"",F272,IF(AND(D272="",E272=""),"",TRIM(D272&amp;" "&amp;E272)))</f>
        <v/>
      </c>
      <c r="H272" s="22" t="n"/>
      <c r="I272" s="22" t="inlineStr">
        <is>
          <t>+34 639 237 407</t>
        </is>
      </c>
      <c r="J272" s="22" t="inlineStr">
        <is>
          <t>Buenos Aires-Argentina</t>
        </is>
      </c>
      <c r="K272" s="22" t="inlineStr">
        <is>
          <t>Professor Borboleta</t>
        </is>
      </c>
      <c r="L272" s="22" t="inlineStr">
        <is>
          <t>Marrom</t>
        </is>
      </c>
      <c r="M272" s="22" t="inlineStr">
        <is>
          <t>Masculino</t>
        </is>
      </c>
      <c r="N272" s="78" t="n">
        <v>35413</v>
      </c>
      <c r="O272" s="23">
        <f>IF(N272="","",DATEDIF(N272,TODAY(),"Y"))</f>
        <v/>
      </c>
      <c r="P272" s="23">
        <f>IF(O272="","",IF(O272&lt;=11,"Infantil",IF(O272&lt;=17,"Juvenil",IF(O272&lt;=44,"Adulto","Baobá"))))</f>
        <v/>
      </c>
      <c r="Q272" s="23">
        <f>IF(P272&lt;&gt;"Adulto","",IF(OR(L272="Marrom",L272="Marrom/Vermelha"),"A",IF(OR(L272="Roxa",L272="Roxa/Marrom"),"B",IF(OR(L272="Verde",L272="Verde/Roxa"),"C",IF(OR(L272="Azul",L272="Azul/Verde"),"D",IF(OR(L272="Laranja",L272="Laranja/Azul"),"E",IF(Y272="Sí","E","N/A")))))))</f>
        <v/>
      </c>
      <c r="R272" s="23">
        <f>IF(P272&lt;&gt;"Baobá","",IF(OR(L272="Laranja",L272="Laranja/Azul"),"Alumnos",IF(Y272="Sí","Alumnos","Graduados+")))</f>
        <v/>
      </c>
      <c r="S272" s="23">
        <f>IF(P272="","",IF(P272="Adulto",IF(OR(Q272="",Q272="N/A"),"⚠ Corda no compite Adulto",P272&amp;"-"&amp;Q272&amp;" · "&amp;M272),IF(P272="Baobá",IF(R272="","⚠ Sin clasificar Baobá",P272&amp;"-"&amp;R272&amp;" · "&amp;M272),IF(P272="Juvenil",IF(AND(OR(L272="Crua",L272="Crua/Amarela"),Y272&lt;&gt;"Sí"),"⚠ Juvenil necesita Amarela+",P272&amp;" · "&amp;M272),P272&amp;" · "&amp;M272))))</f>
        <v/>
      </c>
      <c r="T272" s="23" t="n"/>
      <c r="U272" s="22" t="inlineStr">
        <is>
          <t>Sí</t>
        </is>
      </c>
      <c r="V272" s="22" t="n"/>
      <c r="W272" s="22" t="n"/>
      <c r="X272" s="22" t="n"/>
      <c r="Y272" s="22" t="inlineStr">
        <is>
          <t>No</t>
        </is>
      </c>
      <c r="Z272" s="22" t="inlineStr">
        <is>
          <t>XXL</t>
        </is>
      </c>
      <c r="AA272" s="22" t="n">
        <v>35</v>
      </c>
      <c r="AB272" s="22" t="inlineStr">
        <is>
          <t>Pagado</t>
        </is>
      </c>
      <c r="AC272" s="22" t="n"/>
      <c r="AD272" s="23">
        <f>IF(D272&lt;&gt;"","P"&amp;TEXT(ROW()-4,"0000"),"")</f>
        <v/>
      </c>
    </row>
    <row r="273" ht="14.25" customHeight="1" s="72">
      <c r="A273" s="22" t="inlineStr">
        <is>
          <t>2025-10-21 09:12:28</t>
        </is>
      </c>
      <c r="B273" s="22" t="n"/>
      <c r="C273" s="22" t="n"/>
      <c r="D273" s="22" t="inlineStr">
        <is>
          <t>Manuel</t>
        </is>
      </c>
      <c r="E273" s="22" t="inlineStr">
        <is>
          <t>Bernard</t>
        </is>
      </c>
      <c r="F273" s="22" t="inlineStr">
        <is>
          <t>Urubu</t>
        </is>
      </c>
      <c r="G273" s="23">
        <f>IF(F273&lt;&gt;"",F273,IF(AND(D273="",E273=""),"",TRIM(D273&amp;" "&amp;E273)))</f>
        <v/>
      </c>
      <c r="H273" s="22" t="n"/>
      <c r="I273" s="22" t="inlineStr">
        <is>
          <t>+34 672 877 628</t>
        </is>
      </c>
      <c r="J273" s="22" t="inlineStr">
        <is>
          <t>Hamburgo-Alemania</t>
        </is>
      </c>
      <c r="K273" s="22" t="inlineStr">
        <is>
          <t>Mestre Pastinha</t>
        </is>
      </c>
      <c r="L273" s="22" t="inlineStr">
        <is>
          <t>Roxa</t>
        </is>
      </c>
      <c r="M273" s="22" t="inlineStr">
        <is>
          <t>Masculino</t>
        </is>
      </c>
      <c r="N273" s="78" t="n">
        <v>32205</v>
      </c>
      <c r="O273" s="23">
        <f>IF(N273="","",DATEDIF(N273,TODAY(),"Y"))</f>
        <v/>
      </c>
      <c r="P273" s="23">
        <f>IF(O273="","",IF(O273&lt;=11,"Infantil",IF(O273&lt;=17,"Juvenil",IF(O273&lt;=44,"Adulto","Baobá"))))</f>
        <v/>
      </c>
      <c r="Q273" s="23">
        <f>IF(P273&lt;&gt;"Adulto","",IF(OR(L273="Marrom",L273="Marrom/Vermelha"),"A",IF(OR(L273="Roxa",L273="Roxa/Marrom"),"B",IF(OR(L273="Verde",L273="Verde/Roxa"),"C",IF(OR(L273="Azul",L273="Azul/Verde"),"D",IF(OR(L273="Laranja",L273="Laranja/Azul"),"E",IF(Y273="Sí","E","N/A")))))))</f>
        <v/>
      </c>
      <c r="R273" s="23">
        <f>IF(P273&lt;&gt;"Baobá","",IF(OR(L273="Laranja",L273="Laranja/Azul"),"Alumnos",IF(Y273="Sí","Alumnos","Graduados+")))</f>
        <v/>
      </c>
      <c r="S273" s="23">
        <f>IF(P273="","",IF(P273="Adulto",IF(OR(Q273="",Q273="N/A"),"⚠ Corda no compite Adulto",P273&amp;"-"&amp;Q273&amp;" · "&amp;M273),IF(P273="Baobá",IF(R273="","⚠ Sin clasificar Baobá",P273&amp;"-"&amp;R273&amp;" · "&amp;M273),IF(P273="Juvenil",IF(AND(OR(L273="Crua",L273="Crua/Amarela"),Y273&lt;&gt;"Sí"),"⚠ Juvenil necesita Amarela+",P273&amp;" · "&amp;M273),P273&amp;" · "&amp;M273))))</f>
        <v/>
      </c>
      <c r="T273" s="23" t="n"/>
      <c r="U273" s="22" t="inlineStr">
        <is>
          <t>Sí</t>
        </is>
      </c>
      <c r="V273" s="22" t="n"/>
      <c r="W273" s="22" t="n"/>
      <c r="X273" s="22" t="n"/>
      <c r="Y273" s="22" t="inlineStr">
        <is>
          <t>No</t>
        </is>
      </c>
      <c r="Z273" s="22" t="inlineStr">
        <is>
          <t>XS</t>
        </is>
      </c>
      <c r="AA273" s="22" t="n">
        <v>35</v>
      </c>
      <c r="AB273" s="22" t="inlineStr">
        <is>
          <t>Pagado</t>
        </is>
      </c>
      <c r="AC273" s="22" t="n"/>
      <c r="AD273" s="23">
        <f>IF(D273&lt;&gt;"","P"&amp;TEXT(ROW()-4,"0000"),"")</f>
        <v/>
      </c>
    </row>
    <row r="274" ht="14.25" customHeight="1" s="72">
      <c r="A274" s="22" t="inlineStr">
        <is>
          <t>2025-09-23 16:25:08</t>
        </is>
      </c>
      <c r="B274" s="22" t="n"/>
      <c r="C274" s="22" t="n"/>
      <c r="D274" s="22" t="inlineStr">
        <is>
          <t>Marc</t>
        </is>
      </c>
      <c r="E274" s="22" t="inlineStr">
        <is>
          <t>Monteiro</t>
        </is>
      </c>
      <c r="F274" s="22" t="inlineStr">
        <is>
          <t>Araçari</t>
        </is>
      </c>
      <c r="G274" s="23">
        <f>IF(F274&lt;&gt;"",F274,IF(AND(D274="",E274=""),"",TRIM(D274&amp;" "&amp;E274)))</f>
        <v/>
      </c>
      <c r="H274" s="22" t="n"/>
      <c r="I274" s="22" t="inlineStr">
        <is>
          <t>+34 682 129 277</t>
        </is>
      </c>
      <c r="J274" s="22" t="inlineStr">
        <is>
          <t>Bilbao-España</t>
        </is>
      </c>
      <c r="K274" s="22" t="inlineStr">
        <is>
          <t>Contra-Mestre Arara</t>
        </is>
      </c>
      <c r="L274" s="22" t="inlineStr">
        <is>
          <t>Laranja</t>
        </is>
      </c>
      <c r="M274" s="22" t="inlineStr">
        <is>
          <t>Masculino</t>
        </is>
      </c>
      <c r="N274" s="78" t="n">
        <v>37713</v>
      </c>
      <c r="O274" s="23">
        <f>IF(N274="","",DATEDIF(N274,TODAY(),"Y"))</f>
        <v/>
      </c>
      <c r="P274" s="23">
        <f>IF(O274="","",IF(O274&lt;=11,"Infantil",IF(O274&lt;=17,"Juvenil",IF(O274&lt;=44,"Adulto","Baobá"))))</f>
        <v/>
      </c>
      <c r="Q274" s="23">
        <f>IF(P274&lt;&gt;"Adulto","",IF(OR(L274="Marrom",L274="Marrom/Vermelha"),"A",IF(OR(L274="Roxa",L274="Roxa/Marrom"),"B",IF(OR(L274="Verde",L274="Verde/Roxa"),"C",IF(OR(L274="Azul",L274="Azul/Verde"),"D",IF(OR(L274="Laranja",L274="Laranja/Azul"),"E",IF(Y274="Sí","E","N/A")))))))</f>
        <v/>
      </c>
      <c r="R274" s="23">
        <f>IF(P274&lt;&gt;"Baobá","",IF(OR(L274="Laranja",L274="Laranja/Azul"),"Alumnos",IF(Y274="Sí","Alumnos","Graduados+")))</f>
        <v/>
      </c>
      <c r="S274" s="23">
        <f>IF(P274="","",IF(P274="Adulto",IF(OR(Q274="",Q274="N/A"),"⚠ Corda no compite Adulto",P274&amp;"-"&amp;Q274&amp;" · "&amp;M274),IF(P274="Baobá",IF(R274="","⚠ Sin clasificar Baobá",P274&amp;"-"&amp;R274&amp;" · "&amp;M274),IF(P274="Juvenil",IF(AND(OR(L274="Crua",L274="Crua/Amarela"),Y274&lt;&gt;"Sí"),"⚠ Juvenil necesita Amarela+",P274&amp;" · "&amp;M274),P274&amp;" · "&amp;M274))))</f>
        <v/>
      </c>
      <c r="T274" s="23" t="n"/>
      <c r="U274" s="22" t="inlineStr">
        <is>
          <t>Sí</t>
        </is>
      </c>
      <c r="V274" s="22" t="n"/>
      <c r="W274" s="22" t="n"/>
      <c r="X274" s="22" t="n"/>
      <c r="Y274" s="22" t="inlineStr">
        <is>
          <t>No</t>
        </is>
      </c>
      <c r="Z274" s="22" t="inlineStr">
        <is>
          <t>S</t>
        </is>
      </c>
      <c r="AA274" s="22" t="n">
        <v>35</v>
      </c>
      <c r="AB274" s="22" t="inlineStr">
        <is>
          <t>Pagado</t>
        </is>
      </c>
      <c r="AC274" s="22" t="n"/>
      <c r="AD274" s="23">
        <f>IF(D274&lt;&gt;"","P"&amp;TEXT(ROW()-4,"0000"),"")</f>
        <v/>
      </c>
    </row>
    <row r="275" ht="14.25" customHeight="1" s="72">
      <c r="A275" s="22" t="inlineStr">
        <is>
          <t>2025-09-02 22:23:45</t>
        </is>
      </c>
      <c r="B275" s="22" t="n"/>
      <c r="C275" s="22" t="n"/>
      <c r="D275" s="22" t="inlineStr">
        <is>
          <t>Andres</t>
        </is>
      </c>
      <c r="E275" s="22" t="inlineStr">
        <is>
          <t>Meyer</t>
        </is>
      </c>
      <c r="F275" s="22" t="inlineStr">
        <is>
          <t>Coelho</t>
        </is>
      </c>
      <c r="G275" s="23">
        <f>IF(F275&lt;&gt;"",F275,IF(AND(D275="",E275=""),"",TRIM(D275&amp;" "&amp;E275)))</f>
        <v/>
      </c>
      <c r="H275" s="22" t="n"/>
      <c r="I275" s="22" t="inlineStr">
        <is>
          <t>+34 657 943 575</t>
        </is>
      </c>
      <c r="J275" s="22" t="inlineStr">
        <is>
          <t>Roma-Italia</t>
        </is>
      </c>
      <c r="K275" s="22" t="inlineStr">
        <is>
          <t>Professor Leão</t>
        </is>
      </c>
      <c r="L275" s="22" t="inlineStr">
        <is>
          <t>Roxa</t>
        </is>
      </c>
      <c r="M275" s="22" t="inlineStr">
        <is>
          <t>Masculino</t>
        </is>
      </c>
      <c r="N275" s="78" t="n">
        <v>30324</v>
      </c>
      <c r="O275" s="23">
        <f>IF(N275="","",DATEDIF(N275,TODAY(),"Y"))</f>
        <v/>
      </c>
      <c r="P275" s="23">
        <f>IF(O275="","",IF(O275&lt;=11,"Infantil",IF(O275&lt;=17,"Juvenil",IF(O275&lt;=44,"Adulto","Baobá"))))</f>
        <v/>
      </c>
      <c r="Q275" s="23">
        <f>IF(P275&lt;&gt;"Adulto","",IF(OR(L275="Marrom",L275="Marrom/Vermelha"),"A",IF(OR(L275="Roxa",L275="Roxa/Marrom"),"B",IF(OR(L275="Verde",L275="Verde/Roxa"),"C",IF(OR(L275="Azul",L275="Azul/Verde"),"D",IF(OR(L275="Laranja",L275="Laranja/Azul"),"E",IF(Y275="Sí","E","N/A")))))))</f>
        <v/>
      </c>
      <c r="R275" s="23">
        <f>IF(P275&lt;&gt;"Baobá","",IF(OR(L275="Laranja",L275="Laranja/Azul"),"Alumnos",IF(Y275="Sí","Alumnos","Graduados+")))</f>
        <v/>
      </c>
      <c r="S275" s="23">
        <f>IF(P275="","",IF(P275="Adulto",IF(OR(Q275="",Q275="N/A"),"⚠ Corda no compite Adulto",P275&amp;"-"&amp;Q275&amp;" · "&amp;M275),IF(P275="Baobá",IF(R275="","⚠ Sin clasificar Baobá",P275&amp;"-"&amp;R275&amp;" · "&amp;M275),IF(P275="Juvenil",IF(AND(OR(L275="Crua",L275="Crua/Amarela"),Y275&lt;&gt;"Sí"),"⚠ Juvenil necesita Amarela+",P275&amp;" · "&amp;M275),P275&amp;" · "&amp;M275))))</f>
        <v/>
      </c>
      <c r="T275" s="23" t="n"/>
      <c r="U275" s="22" t="inlineStr">
        <is>
          <t>Sí</t>
        </is>
      </c>
      <c r="V275" s="22" t="n"/>
      <c r="W275" s="22" t="n"/>
      <c r="X275" s="22" t="n"/>
      <c r="Y275" s="22" t="inlineStr">
        <is>
          <t>No</t>
        </is>
      </c>
      <c r="Z275" s="22" t="inlineStr">
        <is>
          <t>M</t>
        </is>
      </c>
      <c r="AA275" s="22" t="n">
        <v>35</v>
      </c>
      <c r="AB275" s="22" t="inlineStr">
        <is>
          <t>Pagado</t>
        </is>
      </c>
      <c r="AC275" s="22" t="n"/>
      <c r="AD275" s="23">
        <f>IF(D275&lt;&gt;"","P"&amp;TEXT(ROW()-4,"0000"),"")</f>
        <v/>
      </c>
    </row>
    <row r="276" ht="14.25" customHeight="1" s="72">
      <c r="A276" s="22" t="inlineStr">
        <is>
          <t>2025-09-16 17:28:11</t>
        </is>
      </c>
      <c r="B276" s="22" t="n"/>
      <c r="C276" s="22" t="n"/>
      <c r="D276" s="22" t="inlineStr">
        <is>
          <t>Ivan</t>
        </is>
      </c>
      <c r="E276" s="22" t="inlineStr">
        <is>
          <t>Bianchi</t>
        </is>
      </c>
      <c r="F276" s="22" t="inlineStr">
        <is>
          <t>Leão</t>
        </is>
      </c>
      <c r="G276" s="23">
        <f>IF(F276&lt;&gt;"",F276,IF(AND(D276="",E276=""),"",TRIM(D276&amp;" "&amp;E276)))</f>
        <v/>
      </c>
      <c r="H276" s="22" t="n"/>
      <c r="I276" s="22" t="inlineStr">
        <is>
          <t>+34 654 267 957</t>
        </is>
      </c>
      <c r="J276" s="22" t="inlineStr">
        <is>
          <t>Porto-Portugal</t>
        </is>
      </c>
      <c r="K276" s="22" t="inlineStr">
        <is>
          <t>Contra-Mestre Falcão</t>
        </is>
      </c>
      <c r="L276" s="22" t="inlineStr">
        <is>
          <t>Azul</t>
        </is>
      </c>
      <c r="M276" s="22" t="inlineStr">
        <is>
          <t>Masculino</t>
        </is>
      </c>
      <c r="N276" s="78" t="n">
        <v>34712</v>
      </c>
      <c r="O276" s="23">
        <f>IF(N276="","",DATEDIF(N276,TODAY(),"Y"))</f>
        <v/>
      </c>
      <c r="P276" s="23">
        <f>IF(O276="","",IF(O276&lt;=11,"Infantil",IF(O276&lt;=17,"Juvenil",IF(O276&lt;=44,"Adulto","Baobá"))))</f>
        <v/>
      </c>
      <c r="Q276" s="23">
        <f>IF(P276&lt;&gt;"Adulto","",IF(OR(L276="Marrom",L276="Marrom/Vermelha"),"A",IF(OR(L276="Roxa",L276="Roxa/Marrom"),"B",IF(OR(L276="Verde",L276="Verde/Roxa"),"C",IF(OR(L276="Azul",L276="Azul/Verde"),"D",IF(OR(L276="Laranja",L276="Laranja/Azul"),"E",IF(Y276="Sí","E","N/A")))))))</f>
        <v/>
      </c>
      <c r="R276" s="23">
        <f>IF(P276&lt;&gt;"Baobá","",IF(OR(L276="Laranja",L276="Laranja/Azul"),"Alumnos",IF(Y276="Sí","Alumnos","Graduados+")))</f>
        <v/>
      </c>
      <c r="S276" s="23">
        <f>IF(P276="","",IF(P276="Adulto",IF(OR(Q276="",Q276="N/A"),"⚠ Corda no compite Adulto",P276&amp;"-"&amp;Q276&amp;" · "&amp;M276),IF(P276="Baobá",IF(R276="","⚠ Sin clasificar Baobá",P276&amp;"-"&amp;R276&amp;" · "&amp;M276),IF(P276="Juvenil",IF(AND(OR(L276="Crua",L276="Crua/Amarela"),Y276&lt;&gt;"Sí"),"⚠ Juvenil necesita Amarela+",P276&amp;" · "&amp;M276),P276&amp;" · "&amp;M276))))</f>
        <v/>
      </c>
      <c r="T276" s="23" t="n"/>
      <c r="U276" s="22" t="inlineStr">
        <is>
          <t>Sí</t>
        </is>
      </c>
      <c r="V276" s="22" t="n"/>
      <c r="W276" s="22" t="n"/>
      <c r="X276" s="22" t="n"/>
      <c r="Y276" s="22" t="inlineStr">
        <is>
          <t>No</t>
        </is>
      </c>
      <c r="Z276" s="22" t="inlineStr">
        <is>
          <t>L</t>
        </is>
      </c>
      <c r="AA276" s="22" t="n">
        <v>35</v>
      </c>
      <c r="AB276" s="22" t="inlineStr">
        <is>
          <t>Pagado</t>
        </is>
      </c>
      <c r="AC276" s="22" t="n"/>
      <c r="AD276" s="23">
        <f>IF(D276&lt;&gt;"","P"&amp;TEXT(ROW()-4,"0000"),"")</f>
        <v/>
      </c>
    </row>
    <row r="277" ht="14.25" customHeight="1" s="72">
      <c r="A277" s="22" t="inlineStr">
        <is>
          <t>2025-08-06 21:36:49</t>
        </is>
      </c>
      <c r="B277" s="22" t="n"/>
      <c r="C277" s="22" t="n"/>
      <c r="D277" s="22" t="inlineStr">
        <is>
          <t>Isabel</t>
        </is>
      </c>
      <c r="E277" s="22" t="inlineStr">
        <is>
          <t>Jiménez</t>
        </is>
      </c>
      <c r="F277" s="22" t="inlineStr">
        <is>
          <t>Puma-Preto</t>
        </is>
      </c>
      <c r="G277" s="23">
        <f>IF(F277&lt;&gt;"",F277,IF(AND(D277="",E277=""),"",TRIM(D277&amp;" "&amp;E277)))</f>
        <v/>
      </c>
      <c r="H277" s="22" t="n"/>
      <c r="I277" s="22" t="inlineStr">
        <is>
          <t>+34 692 330 793</t>
        </is>
      </c>
      <c r="J277" s="22" t="inlineStr">
        <is>
          <t>Valencia-España</t>
        </is>
      </c>
      <c r="K277" s="22" t="inlineStr">
        <is>
          <t>Professor Tigre</t>
        </is>
      </c>
      <c r="L277" s="22" t="inlineStr">
        <is>
          <t>Marrom</t>
        </is>
      </c>
      <c r="M277" s="22" t="inlineStr">
        <is>
          <t>Femenino</t>
        </is>
      </c>
      <c r="N277" s="78" t="n">
        <v>30880</v>
      </c>
      <c r="O277" s="23">
        <f>IF(N277="","",DATEDIF(N277,TODAY(),"Y"))</f>
        <v/>
      </c>
      <c r="P277" s="23">
        <f>IF(O277="","",IF(O277&lt;=11,"Infantil",IF(O277&lt;=17,"Juvenil",IF(O277&lt;=44,"Adulto","Baobá"))))</f>
        <v/>
      </c>
      <c r="Q277" s="23">
        <f>IF(P277&lt;&gt;"Adulto","",IF(OR(L277="Marrom",L277="Marrom/Vermelha"),"A",IF(OR(L277="Roxa",L277="Roxa/Marrom"),"B",IF(OR(L277="Verde",L277="Verde/Roxa"),"C",IF(OR(L277="Azul",L277="Azul/Verde"),"D",IF(OR(L277="Laranja",L277="Laranja/Azul"),"E",IF(Y277="Sí","E","N/A")))))))</f>
        <v/>
      </c>
      <c r="R277" s="23">
        <f>IF(P277&lt;&gt;"Baobá","",IF(OR(L277="Laranja",L277="Laranja/Azul"),"Alumnos",IF(Y277="Sí","Alumnos","Graduados+")))</f>
        <v/>
      </c>
      <c r="S277" s="23">
        <f>IF(P277="","",IF(P277="Adulto",IF(OR(Q277="",Q277="N/A"),"⚠ Corda no compite Adulto",P277&amp;"-"&amp;Q277&amp;" · "&amp;M277),IF(P277="Baobá",IF(R277="","⚠ Sin clasificar Baobá",P277&amp;"-"&amp;R277&amp;" · "&amp;M277),IF(P277="Juvenil",IF(AND(OR(L277="Crua",L277="Crua/Amarela"),Y277&lt;&gt;"Sí"),"⚠ Juvenil necesita Amarela+",P277&amp;" · "&amp;M277),P277&amp;" · "&amp;M277))))</f>
        <v/>
      </c>
      <c r="T277" s="23" t="n"/>
      <c r="U277" s="22" t="inlineStr">
        <is>
          <t>Sí</t>
        </is>
      </c>
      <c r="V277" s="22" t="n"/>
      <c r="W277" s="22" t="n"/>
      <c r="X277" s="22" t="n"/>
      <c r="Y277" s="22" t="inlineStr">
        <is>
          <t>No</t>
        </is>
      </c>
      <c r="Z277" s="22" t="inlineStr">
        <is>
          <t>XL</t>
        </is>
      </c>
      <c r="AA277" s="22" t="n">
        <v>35</v>
      </c>
      <c r="AB277" s="22" t="inlineStr">
        <is>
          <t>Pagado</t>
        </is>
      </c>
      <c r="AC277" s="22" t="n"/>
      <c r="AD277" s="23">
        <f>IF(D277&lt;&gt;"","P"&amp;TEXT(ROW()-4,"0000"),"")</f>
        <v/>
      </c>
    </row>
    <row r="278" ht="14.25" customHeight="1" s="72">
      <c r="A278" s="22" t="inlineStr">
        <is>
          <t>2025-08-28 20:49:43</t>
        </is>
      </c>
      <c r="B278" s="22" t="n"/>
      <c r="C278" s="22" t="n"/>
      <c r="D278" s="22" t="inlineStr">
        <is>
          <t>Camila</t>
        </is>
      </c>
      <c r="E278" s="22" t="inlineStr">
        <is>
          <t>Fernandes</t>
        </is>
      </c>
      <c r="F278" s="22" t="inlineStr">
        <is>
          <t>Pantera</t>
        </is>
      </c>
      <c r="G278" s="23">
        <f>IF(F278&lt;&gt;"",F278,IF(AND(D278="",E278=""),"",TRIM(D278&amp;" "&amp;E278)))</f>
        <v/>
      </c>
      <c r="H278" s="22" t="n"/>
      <c r="I278" s="22" t="inlineStr">
        <is>
          <t>+34 626 762 277</t>
        </is>
      </c>
      <c r="J278" s="22" t="inlineStr">
        <is>
          <t>São Paulo-Brasil</t>
        </is>
      </c>
      <c r="K278" s="22" t="inlineStr">
        <is>
          <t>Mestre Onça</t>
        </is>
      </c>
      <c r="L278" s="22" t="inlineStr">
        <is>
          <t>Roxa</t>
        </is>
      </c>
      <c r="M278" s="22" t="inlineStr">
        <is>
          <t>Femenino</t>
        </is>
      </c>
      <c r="N278" s="78" t="n">
        <v>35364</v>
      </c>
      <c r="O278" s="23">
        <f>IF(N278="","",DATEDIF(N278,TODAY(),"Y"))</f>
        <v/>
      </c>
      <c r="P278" s="23">
        <f>IF(O278="","",IF(O278&lt;=11,"Infantil",IF(O278&lt;=17,"Juvenil",IF(O278&lt;=44,"Adulto","Baobá"))))</f>
        <v/>
      </c>
      <c r="Q278" s="23">
        <f>IF(P278&lt;&gt;"Adulto","",IF(OR(L278="Marrom",L278="Marrom/Vermelha"),"A",IF(OR(L278="Roxa",L278="Roxa/Marrom"),"B",IF(OR(L278="Verde",L278="Verde/Roxa"),"C",IF(OR(L278="Azul",L278="Azul/Verde"),"D",IF(OR(L278="Laranja",L278="Laranja/Azul"),"E",IF(Y278="Sí","E","N/A")))))))</f>
        <v/>
      </c>
      <c r="R278" s="23">
        <f>IF(P278&lt;&gt;"Baobá","",IF(OR(L278="Laranja",L278="Laranja/Azul"),"Alumnos",IF(Y278="Sí","Alumnos","Graduados+")))</f>
        <v/>
      </c>
      <c r="S278" s="23">
        <f>IF(P278="","",IF(P278="Adulto",IF(OR(Q278="",Q278="N/A"),"⚠ Corda no compite Adulto",P278&amp;"-"&amp;Q278&amp;" · "&amp;M278),IF(P278="Baobá",IF(R278="","⚠ Sin clasificar Baobá",P278&amp;"-"&amp;R278&amp;" · "&amp;M278),IF(P278="Juvenil",IF(AND(OR(L278="Crua",L278="Crua/Amarela"),Y278&lt;&gt;"Sí"),"⚠ Juvenil necesita Amarela+",P278&amp;" · "&amp;M278),P278&amp;" · "&amp;M278))))</f>
        <v/>
      </c>
      <c r="T278" s="23" t="n"/>
      <c r="U278" s="22" t="inlineStr">
        <is>
          <t>Sí</t>
        </is>
      </c>
      <c r="V278" s="22" t="n"/>
      <c r="W278" s="22" t="n"/>
      <c r="X278" s="22" t="n"/>
      <c r="Y278" s="22" t="inlineStr">
        <is>
          <t>No</t>
        </is>
      </c>
      <c r="Z278" s="22" t="inlineStr">
        <is>
          <t>XXL</t>
        </is>
      </c>
      <c r="AA278" s="22" t="n">
        <v>35</v>
      </c>
      <c r="AB278" s="22" t="inlineStr">
        <is>
          <t>Pagado</t>
        </is>
      </c>
      <c r="AC278" s="22" t="n"/>
      <c r="AD278" s="23">
        <f>IF(D278&lt;&gt;"","P"&amp;TEXT(ROW()-4,"0000"),"")</f>
        <v/>
      </c>
    </row>
    <row r="279" ht="14.25" customHeight="1" s="72">
      <c r="A279" s="22" t="inlineStr">
        <is>
          <t>2025-09-23 19:41:17</t>
        </is>
      </c>
      <c r="B279" s="22" t="n"/>
      <c r="C279" s="22" t="n"/>
      <c r="D279" s="22" t="inlineStr">
        <is>
          <t>Amaia</t>
        </is>
      </c>
      <c r="E279" s="22" t="inlineStr">
        <is>
          <t>Marino</t>
        </is>
      </c>
      <c r="F279" s="22" t="inlineStr">
        <is>
          <t>Irara</t>
        </is>
      </c>
      <c r="G279" s="23">
        <f>IF(F279&lt;&gt;"",F279,IF(AND(D279="",E279=""),"",TRIM(D279&amp;" "&amp;E279)))</f>
        <v/>
      </c>
      <c r="H279" s="22" t="n"/>
      <c r="I279" s="22" t="inlineStr">
        <is>
          <t>+34 654 570 358</t>
        </is>
      </c>
      <c r="J279" s="22" t="inlineStr">
        <is>
          <t>Valencia-España</t>
        </is>
      </c>
      <c r="K279" s="22" t="inlineStr">
        <is>
          <t>Mestre Puma</t>
        </is>
      </c>
      <c r="L279" s="22" t="inlineStr">
        <is>
          <t>Azul</t>
        </is>
      </c>
      <c r="M279" s="22" t="inlineStr">
        <is>
          <t>Femenino</t>
        </is>
      </c>
      <c r="N279" s="78" t="n">
        <v>35020</v>
      </c>
      <c r="O279" s="23">
        <f>IF(N279="","",DATEDIF(N279,TODAY(),"Y"))</f>
        <v/>
      </c>
      <c r="P279" s="23">
        <f>IF(O279="","",IF(O279&lt;=11,"Infantil",IF(O279&lt;=17,"Juvenil",IF(O279&lt;=44,"Adulto","Baobá"))))</f>
        <v/>
      </c>
      <c r="Q279" s="23">
        <f>IF(P279&lt;&gt;"Adulto","",IF(OR(L279="Marrom",L279="Marrom/Vermelha"),"A",IF(OR(L279="Roxa",L279="Roxa/Marrom"),"B",IF(OR(L279="Verde",L279="Verde/Roxa"),"C",IF(OR(L279="Azul",L279="Azul/Verde"),"D",IF(OR(L279="Laranja",L279="Laranja/Azul"),"E",IF(Y279="Sí","E","N/A")))))))</f>
        <v/>
      </c>
      <c r="R279" s="23">
        <f>IF(P279&lt;&gt;"Baobá","",IF(OR(L279="Laranja",L279="Laranja/Azul"),"Alumnos",IF(Y279="Sí","Alumnos","Graduados+")))</f>
        <v/>
      </c>
      <c r="S279" s="23">
        <f>IF(P279="","",IF(P279="Adulto",IF(OR(Q279="",Q279="N/A"),"⚠ Corda no compite Adulto",P279&amp;"-"&amp;Q279&amp;" · "&amp;M279),IF(P279="Baobá",IF(R279="","⚠ Sin clasificar Baobá",P279&amp;"-"&amp;R279&amp;" · "&amp;M279),IF(P279="Juvenil",IF(AND(OR(L279="Crua",L279="Crua/Amarela"),Y279&lt;&gt;"Sí"),"⚠ Juvenil necesita Amarela+",P279&amp;" · "&amp;M279),P279&amp;" · "&amp;M279))))</f>
        <v/>
      </c>
      <c r="T279" s="23" t="n"/>
      <c r="U279" s="22" t="inlineStr">
        <is>
          <t>Sí</t>
        </is>
      </c>
      <c r="V279" s="22" t="n"/>
      <c r="W279" s="22" t="n"/>
      <c r="X279" s="22" t="n"/>
      <c r="Y279" s="22" t="inlineStr">
        <is>
          <t>No</t>
        </is>
      </c>
      <c r="Z279" s="22" t="inlineStr">
        <is>
          <t>XS</t>
        </is>
      </c>
      <c r="AA279" s="22" t="n">
        <v>35</v>
      </c>
      <c r="AB279" s="22" t="inlineStr">
        <is>
          <t>Pagado</t>
        </is>
      </c>
      <c r="AC279" s="22" t="n"/>
      <c r="AD279" s="23">
        <f>IF(D279&lt;&gt;"","P"&amp;TEXT(ROW()-4,"0000"),"")</f>
        <v/>
      </c>
    </row>
    <row r="280" ht="14.25" customHeight="1" s="72">
      <c r="A280" s="22" t="inlineStr">
        <is>
          <t>2025-10-13 17:06:00</t>
        </is>
      </c>
      <c r="B280" s="22" t="n"/>
      <c r="C280" s="22" t="n"/>
      <c r="D280" s="22" t="inlineStr">
        <is>
          <t>Alice</t>
        </is>
      </c>
      <c r="E280" s="22" t="inlineStr">
        <is>
          <t>Ricci</t>
        </is>
      </c>
      <c r="F280" s="22" t="inlineStr">
        <is>
          <t>Piranha</t>
        </is>
      </c>
      <c r="G280" s="23">
        <f>IF(F280&lt;&gt;"",F280,IF(AND(D280="",E280=""),"",TRIM(D280&amp;" "&amp;E280)))</f>
        <v/>
      </c>
      <c r="H280" s="22" t="n"/>
      <c r="I280" s="22" t="inlineStr">
        <is>
          <t>+34 681 762 708</t>
        </is>
      </c>
      <c r="J280" s="22" t="inlineStr">
        <is>
          <t>Coimbra-Portugal</t>
        </is>
      </c>
      <c r="K280" s="22" t="inlineStr">
        <is>
          <t>Mestre Coruja</t>
        </is>
      </c>
      <c r="L280" s="22" t="inlineStr">
        <is>
          <t>Laranja</t>
        </is>
      </c>
      <c r="M280" s="22" t="inlineStr">
        <is>
          <t>Femenino</t>
        </is>
      </c>
      <c r="N280" s="78" t="n">
        <v>30363</v>
      </c>
      <c r="O280" s="23">
        <f>IF(N280="","",DATEDIF(N280,TODAY(),"Y"))</f>
        <v/>
      </c>
      <c r="P280" s="23">
        <f>IF(O280="","",IF(O280&lt;=11,"Infantil",IF(O280&lt;=17,"Juvenil",IF(O280&lt;=44,"Adulto","Baobá"))))</f>
        <v/>
      </c>
      <c r="Q280" s="23">
        <f>IF(P280&lt;&gt;"Adulto","",IF(OR(L280="Marrom",L280="Marrom/Vermelha"),"A",IF(OR(L280="Roxa",L280="Roxa/Marrom"),"B",IF(OR(L280="Verde",L280="Verde/Roxa"),"C",IF(OR(L280="Azul",L280="Azul/Verde"),"D",IF(OR(L280="Laranja",L280="Laranja/Azul"),"E",IF(Y280="Sí","E","N/A")))))))</f>
        <v/>
      </c>
      <c r="R280" s="23">
        <f>IF(P280&lt;&gt;"Baobá","",IF(OR(L280="Laranja",L280="Laranja/Azul"),"Alumnos",IF(Y280="Sí","Alumnos","Graduados+")))</f>
        <v/>
      </c>
      <c r="S280" s="23">
        <f>IF(P280="","",IF(P280="Adulto",IF(OR(Q280="",Q280="N/A"),"⚠ Corda no compite Adulto",P280&amp;"-"&amp;Q280&amp;" · "&amp;M280),IF(P280="Baobá",IF(R280="","⚠ Sin clasificar Baobá",P280&amp;"-"&amp;R280&amp;" · "&amp;M280),IF(P280="Juvenil",IF(AND(OR(L280="Crua",L280="Crua/Amarela"),Y280&lt;&gt;"Sí"),"⚠ Juvenil necesita Amarela+",P280&amp;" · "&amp;M280),P280&amp;" · "&amp;M280))))</f>
        <v/>
      </c>
      <c r="T280" s="23" t="n"/>
      <c r="U280" s="22" t="inlineStr">
        <is>
          <t>Sí</t>
        </is>
      </c>
      <c r="V280" s="22" t="n"/>
      <c r="W280" s="22" t="n"/>
      <c r="X280" s="22" t="n"/>
      <c r="Y280" s="22" t="inlineStr">
        <is>
          <t>No</t>
        </is>
      </c>
      <c r="Z280" s="22" t="inlineStr">
        <is>
          <t>S</t>
        </is>
      </c>
      <c r="AA280" s="22" t="n">
        <v>35</v>
      </c>
      <c r="AB280" s="22" t="inlineStr">
        <is>
          <t>Pagado</t>
        </is>
      </c>
      <c r="AC280" s="22" t="n"/>
      <c r="AD280" s="23">
        <f>IF(D280&lt;&gt;"","P"&amp;TEXT(ROW()-4,"0000"),"")</f>
        <v/>
      </c>
    </row>
    <row r="281" ht="14.25" customHeight="1" s="72">
      <c r="A281" s="22" t="inlineStr">
        <is>
          <t>2025-08-11 12:40:20</t>
        </is>
      </c>
      <c r="B281" s="22" t="n"/>
      <c r="C281" s="22" t="n"/>
      <c r="D281" s="22" t="inlineStr">
        <is>
          <t>Sara</t>
        </is>
      </c>
      <c r="E281" s="22" t="inlineStr">
        <is>
          <t>Fischer</t>
        </is>
      </c>
      <c r="F281" s="22" t="inlineStr">
        <is>
          <t>Borboleta</t>
        </is>
      </c>
      <c r="G281" s="23">
        <f>IF(F281&lt;&gt;"",F281,IF(AND(D281="",E281=""),"",TRIM(D281&amp;" "&amp;E281)))</f>
        <v/>
      </c>
      <c r="H281" s="22" t="n"/>
      <c r="I281" s="22" t="inlineStr">
        <is>
          <t>+34 693 828 767</t>
        </is>
      </c>
      <c r="J281" s="22" t="inlineStr">
        <is>
          <t>Paris-Francia</t>
        </is>
      </c>
      <c r="K281" s="22" t="inlineStr">
        <is>
          <t>Contra-Mestre Arara</t>
        </is>
      </c>
      <c r="L281" s="22" t="inlineStr">
        <is>
          <t>Laranja</t>
        </is>
      </c>
      <c r="M281" s="22" t="inlineStr">
        <is>
          <t>Femenino</t>
        </is>
      </c>
      <c r="N281" s="78" t="n">
        <v>36794</v>
      </c>
      <c r="O281" s="23">
        <f>IF(N281="","",DATEDIF(N281,TODAY(),"Y"))</f>
        <v/>
      </c>
      <c r="P281" s="23">
        <f>IF(O281="","",IF(O281&lt;=11,"Infantil",IF(O281&lt;=17,"Juvenil",IF(O281&lt;=44,"Adulto","Baobá"))))</f>
        <v/>
      </c>
      <c r="Q281" s="23">
        <f>IF(P281&lt;&gt;"Adulto","",IF(OR(L281="Marrom",L281="Marrom/Vermelha"),"A",IF(OR(L281="Roxa",L281="Roxa/Marrom"),"B",IF(OR(L281="Verde",L281="Verde/Roxa"),"C",IF(OR(L281="Azul",L281="Azul/Verde"),"D",IF(OR(L281="Laranja",L281="Laranja/Azul"),"E",IF(Y281="Sí","E","N/A")))))))</f>
        <v/>
      </c>
      <c r="R281" s="23">
        <f>IF(P281&lt;&gt;"Baobá","",IF(OR(L281="Laranja",L281="Laranja/Azul"),"Alumnos",IF(Y281="Sí","Alumnos","Graduados+")))</f>
        <v/>
      </c>
      <c r="S281" s="23">
        <f>IF(P281="","",IF(P281="Adulto",IF(OR(Q281="",Q281="N/A"),"⚠ Corda no compite Adulto",P281&amp;"-"&amp;Q281&amp;" · "&amp;M281),IF(P281="Baobá",IF(R281="","⚠ Sin clasificar Baobá",P281&amp;"-"&amp;R281&amp;" · "&amp;M281),IF(P281="Juvenil",IF(AND(OR(L281="Crua",L281="Crua/Amarela"),Y281&lt;&gt;"Sí"),"⚠ Juvenil necesita Amarela+",P281&amp;" · "&amp;M281),P281&amp;" · "&amp;M281))))</f>
        <v/>
      </c>
      <c r="T281" s="23" t="n"/>
      <c r="U281" s="22" t="inlineStr">
        <is>
          <t>Sí</t>
        </is>
      </c>
      <c r="V281" s="22" t="n"/>
      <c r="W281" s="22" t="n"/>
      <c r="X281" s="22" t="n"/>
      <c r="Y281" s="22" t="inlineStr">
        <is>
          <t>No</t>
        </is>
      </c>
      <c r="Z281" s="22" t="inlineStr">
        <is>
          <t>M</t>
        </is>
      </c>
      <c r="AA281" s="22" t="n">
        <v>35</v>
      </c>
      <c r="AB281" s="22" t="inlineStr">
        <is>
          <t>Pagado</t>
        </is>
      </c>
      <c r="AC281" s="22" t="n"/>
      <c r="AD281" s="23">
        <f>IF(D281&lt;&gt;"","P"&amp;TEXT(ROW()-4,"0000"),"")</f>
        <v/>
      </c>
    </row>
    <row r="282" ht="14.25" customHeight="1" s="72">
      <c r="A282" s="22" t="inlineStr">
        <is>
          <t>2025-08-02 20:54:51</t>
        </is>
      </c>
      <c r="B282" s="22" t="n"/>
      <c r="C282" s="22" t="n"/>
      <c r="D282" s="22" t="inlineStr">
        <is>
          <t>Silvia</t>
        </is>
      </c>
      <c r="E282" s="22" t="inlineStr">
        <is>
          <t>Martin</t>
        </is>
      </c>
      <c r="F282" s="22" t="inlineStr">
        <is>
          <t>Tubarão</t>
        </is>
      </c>
      <c r="G282" s="23">
        <f>IF(F282&lt;&gt;"",F282,IF(AND(D282="",E282=""),"",TRIM(D282&amp;" "&amp;E282)))</f>
        <v/>
      </c>
      <c r="H282" s="22" t="n"/>
      <c r="I282" s="22" t="inlineStr">
        <is>
          <t>+34 694 427 797</t>
        </is>
      </c>
      <c r="J282" s="22" t="inlineStr">
        <is>
          <t>Brasília-Brasil</t>
        </is>
      </c>
      <c r="K282" s="22" t="inlineStr">
        <is>
          <t>Mestre Bimba</t>
        </is>
      </c>
      <c r="L282" s="22" t="inlineStr">
        <is>
          <t>Verde</t>
        </is>
      </c>
      <c r="M282" s="22" t="inlineStr">
        <is>
          <t>Femenino</t>
        </is>
      </c>
      <c r="N282" s="78" t="n">
        <v>30904</v>
      </c>
      <c r="O282" s="23">
        <f>IF(N282="","",DATEDIF(N282,TODAY(),"Y"))</f>
        <v/>
      </c>
      <c r="P282" s="23">
        <f>IF(O282="","",IF(O282&lt;=11,"Infantil",IF(O282&lt;=17,"Juvenil",IF(O282&lt;=44,"Adulto","Baobá"))))</f>
        <v/>
      </c>
      <c r="Q282" s="23">
        <f>IF(P282&lt;&gt;"Adulto","",IF(OR(L282="Marrom",L282="Marrom/Vermelha"),"A",IF(OR(L282="Roxa",L282="Roxa/Marrom"),"B",IF(OR(L282="Verde",L282="Verde/Roxa"),"C",IF(OR(L282="Azul",L282="Azul/Verde"),"D",IF(OR(L282="Laranja",L282="Laranja/Azul"),"E",IF(Y282="Sí","E","N/A")))))))</f>
        <v/>
      </c>
      <c r="R282" s="23">
        <f>IF(P282&lt;&gt;"Baobá","",IF(OR(L282="Laranja",L282="Laranja/Azul"),"Alumnos",IF(Y282="Sí","Alumnos","Graduados+")))</f>
        <v/>
      </c>
      <c r="S282" s="23">
        <f>IF(P282="","",IF(P282="Adulto",IF(OR(Q282="",Q282="N/A"),"⚠ Corda no compite Adulto",P282&amp;"-"&amp;Q282&amp;" · "&amp;M282),IF(P282="Baobá",IF(R282="","⚠ Sin clasificar Baobá",P282&amp;"-"&amp;R282&amp;" · "&amp;M282),IF(P282="Juvenil",IF(AND(OR(L282="Crua",L282="Crua/Amarela"),Y282&lt;&gt;"Sí"),"⚠ Juvenil necesita Amarela+",P282&amp;" · "&amp;M282),P282&amp;" · "&amp;M282))))</f>
        <v/>
      </c>
      <c r="T282" s="23" t="n"/>
      <c r="U282" s="22" t="inlineStr">
        <is>
          <t>Sí</t>
        </is>
      </c>
      <c r="V282" s="22" t="n"/>
      <c r="W282" s="22" t="n"/>
      <c r="X282" s="22" t="n"/>
      <c r="Y282" s="22" t="inlineStr">
        <is>
          <t>No</t>
        </is>
      </c>
      <c r="Z282" s="22" t="inlineStr">
        <is>
          <t>L</t>
        </is>
      </c>
      <c r="AA282" s="22" t="n">
        <v>35</v>
      </c>
      <c r="AB282" s="22" t="inlineStr">
        <is>
          <t>Pagado</t>
        </is>
      </c>
      <c r="AC282" s="22" t="n"/>
      <c r="AD282" s="23">
        <f>IF(D282&lt;&gt;"","P"&amp;TEXT(ROW()-4,"0000"),"")</f>
        <v/>
      </c>
    </row>
    <row r="283" ht="14.25" customHeight="1" s="72">
      <c r="A283" s="22" t="inlineStr">
        <is>
          <t>2025-09-14 14:24:47</t>
        </is>
      </c>
      <c r="B283" s="22" t="n"/>
      <c r="C283" s="22" t="n"/>
      <c r="D283" s="22" t="inlineStr">
        <is>
          <t>Beatriz</t>
        </is>
      </c>
      <c r="E283" s="22" t="inlineStr">
        <is>
          <t>González</t>
        </is>
      </c>
      <c r="F283" s="22" t="inlineStr">
        <is>
          <t>Puma</t>
        </is>
      </c>
      <c r="G283" s="23">
        <f>IF(F283&lt;&gt;"",F283,IF(AND(D283="",E283=""),"",TRIM(D283&amp;" "&amp;E283)))</f>
        <v/>
      </c>
      <c r="H283" s="22" t="n"/>
      <c r="I283" s="22" t="inlineStr">
        <is>
          <t>+34 653 843 830</t>
        </is>
      </c>
      <c r="J283" s="22" t="inlineStr">
        <is>
          <t>Sevilla-España</t>
        </is>
      </c>
      <c r="K283" s="22" t="inlineStr">
        <is>
          <t>Professor Tatu</t>
        </is>
      </c>
      <c r="L283" s="22" t="inlineStr">
        <is>
          <t>Azul</t>
        </is>
      </c>
      <c r="M283" s="22" t="inlineStr">
        <is>
          <t>Femenino</t>
        </is>
      </c>
      <c r="N283" s="78" t="n">
        <v>30916</v>
      </c>
      <c r="O283" s="23">
        <f>IF(N283="","",DATEDIF(N283,TODAY(),"Y"))</f>
        <v/>
      </c>
      <c r="P283" s="23">
        <f>IF(O283="","",IF(O283&lt;=11,"Infantil",IF(O283&lt;=17,"Juvenil",IF(O283&lt;=44,"Adulto","Baobá"))))</f>
        <v/>
      </c>
      <c r="Q283" s="23">
        <f>IF(P283&lt;&gt;"Adulto","",IF(OR(L283="Marrom",L283="Marrom/Vermelha"),"A",IF(OR(L283="Roxa",L283="Roxa/Marrom"),"B",IF(OR(L283="Verde",L283="Verde/Roxa"),"C",IF(OR(L283="Azul",L283="Azul/Verde"),"D",IF(OR(L283="Laranja",L283="Laranja/Azul"),"E",IF(Y283="Sí","E","N/A")))))))</f>
        <v/>
      </c>
      <c r="R283" s="23">
        <f>IF(P283&lt;&gt;"Baobá","",IF(OR(L283="Laranja",L283="Laranja/Azul"),"Alumnos",IF(Y283="Sí","Alumnos","Graduados+")))</f>
        <v/>
      </c>
      <c r="S283" s="23">
        <f>IF(P283="","",IF(P283="Adulto",IF(OR(Q283="",Q283="N/A"),"⚠ Corda no compite Adulto",P283&amp;"-"&amp;Q283&amp;" · "&amp;M283),IF(P283="Baobá",IF(R283="","⚠ Sin clasificar Baobá",P283&amp;"-"&amp;R283&amp;" · "&amp;M283),IF(P283="Juvenil",IF(AND(OR(L283="Crua",L283="Crua/Amarela"),Y283&lt;&gt;"Sí"),"⚠ Juvenil necesita Amarela+",P283&amp;" · "&amp;M283),P283&amp;" · "&amp;M283))))</f>
        <v/>
      </c>
      <c r="T283" s="23" t="n"/>
      <c r="U283" s="22" t="inlineStr">
        <is>
          <t>Sí</t>
        </is>
      </c>
      <c r="V283" s="22" t="n"/>
      <c r="W283" s="22" t="n"/>
      <c r="X283" s="22" t="n"/>
      <c r="Y283" s="22" t="inlineStr">
        <is>
          <t>No</t>
        </is>
      </c>
      <c r="Z283" s="22" t="inlineStr">
        <is>
          <t>XL</t>
        </is>
      </c>
      <c r="AA283" s="22" t="n">
        <v>35</v>
      </c>
      <c r="AB283" s="22" t="inlineStr">
        <is>
          <t>Pagado</t>
        </is>
      </c>
      <c r="AC283" s="22" t="n"/>
      <c r="AD283" s="23">
        <f>IF(D283&lt;&gt;"","P"&amp;TEXT(ROW()-4,"0000"),"")</f>
        <v/>
      </c>
    </row>
    <row r="284" ht="14.25" customHeight="1" s="72">
      <c r="A284" s="22" t="inlineStr">
        <is>
          <t>2025-09-17 12:54:10</t>
        </is>
      </c>
      <c r="B284" s="22" t="n"/>
      <c r="C284" s="22" t="n"/>
      <c r="D284" s="22" t="inlineStr">
        <is>
          <t>Pilar</t>
        </is>
      </c>
      <c r="E284" s="22" t="inlineStr">
        <is>
          <t>Sánchez</t>
        </is>
      </c>
      <c r="F284" s="22" t="inlineStr">
        <is>
          <t>Arraia</t>
        </is>
      </c>
      <c r="G284" s="23">
        <f>IF(F284&lt;&gt;"",F284,IF(AND(D284="",E284=""),"",TRIM(D284&amp;" "&amp;E284)))</f>
        <v/>
      </c>
      <c r="H284" s="22" t="n"/>
      <c r="I284" s="22" t="inlineStr">
        <is>
          <t>+34 647 199 582</t>
        </is>
      </c>
      <c r="J284" s="22" t="inlineStr">
        <is>
          <t>Brasília-Brasil</t>
        </is>
      </c>
      <c r="K284" s="22" t="inlineStr">
        <is>
          <t>Professor Tigre</t>
        </is>
      </c>
      <c r="L284" s="22" t="inlineStr">
        <is>
          <t>Azul</t>
        </is>
      </c>
      <c r="M284" s="22" t="inlineStr">
        <is>
          <t>Femenino</t>
        </is>
      </c>
      <c r="N284" s="78" t="n">
        <v>31858</v>
      </c>
      <c r="O284" s="23">
        <f>IF(N284="","",DATEDIF(N284,TODAY(),"Y"))</f>
        <v/>
      </c>
      <c r="P284" s="23">
        <f>IF(O284="","",IF(O284&lt;=11,"Infantil",IF(O284&lt;=17,"Juvenil",IF(O284&lt;=44,"Adulto","Baobá"))))</f>
        <v/>
      </c>
      <c r="Q284" s="23">
        <f>IF(P284&lt;&gt;"Adulto","",IF(OR(L284="Marrom",L284="Marrom/Vermelha"),"A",IF(OR(L284="Roxa",L284="Roxa/Marrom"),"B",IF(OR(L284="Verde",L284="Verde/Roxa"),"C",IF(OR(L284="Azul",L284="Azul/Verde"),"D",IF(OR(L284="Laranja",L284="Laranja/Azul"),"E",IF(Y284="Sí","E","N/A")))))))</f>
        <v/>
      </c>
      <c r="R284" s="23">
        <f>IF(P284&lt;&gt;"Baobá","",IF(OR(L284="Laranja",L284="Laranja/Azul"),"Alumnos",IF(Y284="Sí","Alumnos","Graduados+")))</f>
        <v/>
      </c>
      <c r="S284" s="23">
        <f>IF(P284="","",IF(P284="Adulto",IF(OR(Q284="",Q284="N/A"),"⚠ Corda no compite Adulto",P284&amp;"-"&amp;Q284&amp;" · "&amp;M284),IF(P284="Baobá",IF(R284="","⚠ Sin clasificar Baobá",P284&amp;"-"&amp;R284&amp;" · "&amp;M284),IF(P284="Juvenil",IF(AND(OR(L284="Crua",L284="Crua/Amarela"),Y284&lt;&gt;"Sí"),"⚠ Juvenil necesita Amarela+",P284&amp;" · "&amp;M284),P284&amp;" · "&amp;M284))))</f>
        <v/>
      </c>
      <c r="T284" s="23" t="n"/>
      <c r="U284" s="22" t="inlineStr">
        <is>
          <t>Sí</t>
        </is>
      </c>
      <c r="V284" s="22" t="n"/>
      <c r="W284" s="22" t="n"/>
      <c r="X284" s="22" t="n"/>
      <c r="Y284" s="22" t="inlineStr">
        <is>
          <t>No</t>
        </is>
      </c>
      <c r="Z284" s="22" t="inlineStr">
        <is>
          <t>XXL</t>
        </is>
      </c>
      <c r="AA284" s="22" t="n">
        <v>35</v>
      </c>
      <c r="AB284" s="22" t="inlineStr">
        <is>
          <t>Pagado</t>
        </is>
      </c>
      <c r="AC284" s="22" t="n"/>
      <c r="AD284" s="23">
        <f>IF(D284&lt;&gt;"","P"&amp;TEXT(ROW()-4,"0000"),"")</f>
        <v/>
      </c>
    </row>
    <row r="285" ht="14.25" customHeight="1" s="72">
      <c r="A285" s="22" t="inlineStr">
        <is>
          <t>2025-09-21 09:14:22</t>
        </is>
      </c>
      <c r="B285" s="22" t="n"/>
      <c r="C285" s="22" t="n"/>
      <c r="D285" s="22" t="inlineStr">
        <is>
          <t>Catalina</t>
        </is>
      </c>
      <c r="E285" s="22" t="inlineStr">
        <is>
          <t>Richter</t>
        </is>
      </c>
      <c r="F285" s="22" t="inlineStr">
        <is>
          <t>Cigarra</t>
        </is>
      </c>
      <c r="G285" s="23">
        <f>IF(F285&lt;&gt;"",F285,IF(AND(D285="",E285=""),"",TRIM(D285&amp;" "&amp;E285)))</f>
        <v/>
      </c>
      <c r="H285" s="22" t="n"/>
      <c r="I285" s="22" t="inlineStr">
        <is>
          <t>+34 663 907 439</t>
        </is>
      </c>
      <c r="J285" s="22" t="inlineStr">
        <is>
          <t>Hamburgo-Alemania</t>
        </is>
      </c>
      <c r="K285" s="22" t="inlineStr">
        <is>
          <t>Professor Tigre</t>
        </is>
      </c>
      <c r="L285" s="22" t="inlineStr">
        <is>
          <t>Roxa</t>
        </is>
      </c>
      <c r="M285" s="22" t="inlineStr">
        <is>
          <t>Femenino</t>
        </is>
      </c>
      <c r="N285" s="78" t="n">
        <v>31547</v>
      </c>
      <c r="O285" s="23">
        <f>IF(N285="","",DATEDIF(N285,TODAY(),"Y"))</f>
        <v/>
      </c>
      <c r="P285" s="23">
        <f>IF(O285="","",IF(O285&lt;=11,"Infantil",IF(O285&lt;=17,"Juvenil",IF(O285&lt;=44,"Adulto","Baobá"))))</f>
        <v/>
      </c>
      <c r="Q285" s="23">
        <f>IF(P285&lt;&gt;"Adulto","",IF(OR(L285="Marrom",L285="Marrom/Vermelha"),"A",IF(OR(L285="Roxa",L285="Roxa/Marrom"),"B",IF(OR(L285="Verde",L285="Verde/Roxa"),"C",IF(OR(L285="Azul",L285="Azul/Verde"),"D",IF(OR(L285="Laranja",L285="Laranja/Azul"),"E",IF(Y285="Sí","E","N/A")))))))</f>
        <v/>
      </c>
      <c r="R285" s="23">
        <f>IF(P285&lt;&gt;"Baobá","",IF(OR(L285="Laranja",L285="Laranja/Azul"),"Alumnos",IF(Y285="Sí","Alumnos","Graduados+")))</f>
        <v/>
      </c>
      <c r="S285" s="23">
        <f>IF(P285="","",IF(P285="Adulto",IF(OR(Q285="",Q285="N/A"),"⚠ Corda no compite Adulto",P285&amp;"-"&amp;Q285&amp;" · "&amp;M285),IF(P285="Baobá",IF(R285="","⚠ Sin clasificar Baobá",P285&amp;"-"&amp;R285&amp;" · "&amp;M285),IF(P285="Juvenil",IF(AND(OR(L285="Crua",L285="Crua/Amarela"),Y285&lt;&gt;"Sí"),"⚠ Juvenil necesita Amarela+",P285&amp;" · "&amp;M285),P285&amp;" · "&amp;M285))))</f>
        <v/>
      </c>
      <c r="T285" s="23" t="n"/>
      <c r="U285" s="22" t="inlineStr">
        <is>
          <t>Sí</t>
        </is>
      </c>
      <c r="V285" s="22" t="n"/>
      <c r="W285" s="22" t="n"/>
      <c r="X285" s="22" t="n"/>
      <c r="Y285" s="22" t="inlineStr">
        <is>
          <t>No</t>
        </is>
      </c>
      <c r="Z285" s="22" t="inlineStr">
        <is>
          <t>XS</t>
        </is>
      </c>
      <c r="AA285" s="22" t="n">
        <v>35</v>
      </c>
      <c r="AB285" s="22" t="inlineStr">
        <is>
          <t>Pagado</t>
        </is>
      </c>
      <c r="AC285" s="22" t="n"/>
      <c r="AD285" s="23">
        <f>IF(D285&lt;&gt;"","P"&amp;TEXT(ROW()-4,"0000"),"")</f>
        <v/>
      </c>
    </row>
    <row r="286" ht="14.25" customHeight="1" s="72">
      <c r="A286" s="22" t="inlineStr">
        <is>
          <t>2025-08-16 08:55:40</t>
        </is>
      </c>
      <c r="B286" s="22" t="n"/>
      <c r="C286" s="22" t="n"/>
      <c r="D286" s="22" t="inlineStr">
        <is>
          <t>Rosa</t>
        </is>
      </c>
      <c r="E286" s="22" t="inlineStr">
        <is>
          <t>Lima</t>
        </is>
      </c>
      <c r="F286" s="22" t="inlineStr">
        <is>
          <t>Harpia</t>
        </is>
      </c>
      <c r="G286" s="23">
        <f>IF(F286&lt;&gt;"",F286,IF(AND(D286="",E286=""),"",TRIM(D286&amp;" "&amp;E286)))</f>
        <v/>
      </c>
      <c r="H286" s="22" t="n"/>
      <c r="I286" s="22" t="inlineStr">
        <is>
          <t>+34 670 299 612</t>
        </is>
      </c>
      <c r="J286" s="22" t="inlineStr">
        <is>
          <t>Porto Alegre-Brasil</t>
        </is>
      </c>
      <c r="K286" s="22" t="inlineStr">
        <is>
          <t>Mestre Sucuri</t>
        </is>
      </c>
      <c r="L286" s="22" t="inlineStr">
        <is>
          <t>Marrom</t>
        </is>
      </c>
      <c r="M286" s="22" t="inlineStr">
        <is>
          <t>Femenino</t>
        </is>
      </c>
      <c r="N286" s="78" t="n">
        <v>32277</v>
      </c>
      <c r="O286" s="23">
        <f>IF(N286="","",DATEDIF(N286,TODAY(),"Y"))</f>
        <v/>
      </c>
      <c r="P286" s="23">
        <f>IF(O286="","",IF(O286&lt;=11,"Infantil",IF(O286&lt;=17,"Juvenil",IF(O286&lt;=44,"Adulto","Baobá"))))</f>
        <v/>
      </c>
      <c r="Q286" s="23">
        <f>IF(P286&lt;&gt;"Adulto","",IF(OR(L286="Marrom",L286="Marrom/Vermelha"),"A",IF(OR(L286="Roxa",L286="Roxa/Marrom"),"B",IF(OR(L286="Verde",L286="Verde/Roxa"),"C",IF(OR(L286="Azul",L286="Azul/Verde"),"D",IF(OR(L286="Laranja",L286="Laranja/Azul"),"E",IF(Y286="Sí","E","N/A")))))))</f>
        <v/>
      </c>
      <c r="R286" s="23">
        <f>IF(P286&lt;&gt;"Baobá","",IF(OR(L286="Laranja",L286="Laranja/Azul"),"Alumnos",IF(Y286="Sí","Alumnos","Graduados+")))</f>
        <v/>
      </c>
      <c r="S286" s="23">
        <f>IF(P286="","",IF(P286="Adulto",IF(OR(Q286="",Q286="N/A"),"⚠ Corda no compite Adulto",P286&amp;"-"&amp;Q286&amp;" · "&amp;M286),IF(P286="Baobá",IF(R286="","⚠ Sin clasificar Baobá",P286&amp;"-"&amp;R286&amp;" · "&amp;M286),IF(P286="Juvenil",IF(AND(OR(L286="Crua",L286="Crua/Amarela"),Y286&lt;&gt;"Sí"),"⚠ Juvenil necesita Amarela+",P286&amp;" · "&amp;M286),P286&amp;" · "&amp;M286))))</f>
        <v/>
      </c>
      <c r="T286" s="23" t="n"/>
      <c r="U286" s="22" t="inlineStr">
        <is>
          <t>Sí</t>
        </is>
      </c>
      <c r="V286" s="22" t="n"/>
      <c r="W286" s="22" t="n"/>
      <c r="X286" s="22" t="n"/>
      <c r="Y286" s="22" t="inlineStr">
        <is>
          <t>No</t>
        </is>
      </c>
      <c r="Z286" s="22" t="inlineStr">
        <is>
          <t>S</t>
        </is>
      </c>
      <c r="AA286" s="22" t="n">
        <v>35</v>
      </c>
      <c r="AB286" s="22" t="inlineStr">
        <is>
          <t>Pagado</t>
        </is>
      </c>
      <c r="AC286" s="22" t="n"/>
      <c r="AD286" s="23">
        <f>IF(D286&lt;&gt;"","P"&amp;TEXT(ROW()-4,"0000"),"")</f>
        <v/>
      </c>
    </row>
    <row r="287" ht="14.25" customHeight="1" s="72">
      <c r="A287" s="22" t="inlineStr">
        <is>
          <t>2025-08-28 21:09:08</t>
        </is>
      </c>
      <c r="B287" s="22" t="n"/>
      <c r="C287" s="22" t="n"/>
      <c r="D287" s="22" t="inlineStr">
        <is>
          <t>Laura</t>
        </is>
      </c>
      <c r="E287" s="22" t="inlineStr">
        <is>
          <t>Esposito</t>
        </is>
      </c>
      <c r="F287" s="22" t="inlineStr">
        <is>
          <t>Búfalo</t>
        </is>
      </c>
      <c r="G287" s="23">
        <f>IF(F287&lt;&gt;"",F287,IF(AND(D287="",E287=""),"",TRIM(D287&amp;" "&amp;E287)))</f>
        <v/>
      </c>
      <c r="H287" s="22" t="n"/>
      <c r="I287" s="22" t="inlineStr">
        <is>
          <t>+34 662 683 568</t>
        </is>
      </c>
      <c r="J287" s="22" t="inlineStr">
        <is>
          <t>Manaus-Brasil</t>
        </is>
      </c>
      <c r="K287" s="22" t="inlineStr">
        <is>
          <t>Professor Borboleta</t>
        </is>
      </c>
      <c r="L287" s="22" t="inlineStr">
        <is>
          <t>Marrom</t>
        </is>
      </c>
      <c r="M287" s="22" t="inlineStr">
        <is>
          <t>Femenino</t>
        </is>
      </c>
      <c r="N287" s="78" t="n">
        <v>30035</v>
      </c>
      <c r="O287" s="23">
        <f>IF(N287="","",DATEDIF(N287,TODAY(),"Y"))</f>
        <v/>
      </c>
      <c r="P287" s="23">
        <f>IF(O287="","",IF(O287&lt;=11,"Infantil",IF(O287&lt;=17,"Juvenil",IF(O287&lt;=44,"Adulto","Baobá"))))</f>
        <v/>
      </c>
      <c r="Q287" s="23">
        <f>IF(P287&lt;&gt;"Adulto","",IF(OR(L287="Marrom",L287="Marrom/Vermelha"),"A",IF(OR(L287="Roxa",L287="Roxa/Marrom"),"B",IF(OR(L287="Verde",L287="Verde/Roxa"),"C",IF(OR(L287="Azul",L287="Azul/Verde"),"D",IF(OR(L287="Laranja",L287="Laranja/Azul"),"E",IF(Y287="Sí","E","N/A")))))))</f>
        <v/>
      </c>
      <c r="R287" s="23">
        <f>IF(P287&lt;&gt;"Baobá","",IF(OR(L287="Laranja",L287="Laranja/Azul"),"Alumnos",IF(Y287="Sí","Alumnos","Graduados+")))</f>
        <v/>
      </c>
      <c r="S287" s="23">
        <f>IF(P287="","",IF(P287="Adulto",IF(OR(Q287="",Q287="N/A"),"⚠ Corda no compite Adulto",P287&amp;"-"&amp;Q287&amp;" · "&amp;M287),IF(P287="Baobá",IF(R287="","⚠ Sin clasificar Baobá",P287&amp;"-"&amp;R287&amp;" · "&amp;M287),IF(P287="Juvenil",IF(AND(OR(L287="Crua",L287="Crua/Amarela"),Y287&lt;&gt;"Sí"),"⚠ Juvenil necesita Amarela+",P287&amp;" · "&amp;M287),P287&amp;" · "&amp;M287))))</f>
        <v/>
      </c>
      <c r="T287" s="23" t="n"/>
      <c r="U287" s="22" t="inlineStr">
        <is>
          <t>Sí</t>
        </is>
      </c>
      <c r="V287" s="22" t="n"/>
      <c r="W287" s="22" t="n"/>
      <c r="X287" s="22" t="n"/>
      <c r="Y287" s="22" t="inlineStr">
        <is>
          <t>No</t>
        </is>
      </c>
      <c r="Z287" s="22" t="inlineStr">
        <is>
          <t>M</t>
        </is>
      </c>
      <c r="AA287" s="22" t="n">
        <v>35</v>
      </c>
      <c r="AB287" s="22" t="inlineStr">
        <is>
          <t>Pagado</t>
        </is>
      </c>
      <c r="AC287" s="22" t="n"/>
      <c r="AD287" s="23">
        <f>IF(D287&lt;&gt;"","P"&amp;TEXT(ROW()-4,"0000"),"")</f>
        <v/>
      </c>
    </row>
    <row r="288" ht="14.25" customHeight="1" s="72">
      <c r="A288" s="22" t="inlineStr">
        <is>
          <t>2025-08-16 13:40:11</t>
        </is>
      </c>
      <c r="B288" s="22" t="n"/>
      <c r="C288" s="22" t="n"/>
      <c r="D288" s="22" t="inlineStr">
        <is>
          <t>Elisa</t>
        </is>
      </c>
      <c r="E288" s="22" t="inlineStr">
        <is>
          <t>Alves</t>
        </is>
      </c>
      <c r="F288" s="22" t="inlineStr">
        <is>
          <t>Lagosta</t>
        </is>
      </c>
      <c r="G288" s="23">
        <f>IF(F288&lt;&gt;"",F288,IF(AND(D288="",E288=""),"",TRIM(D288&amp;" "&amp;E288)))</f>
        <v/>
      </c>
      <c r="H288" s="22" t="n"/>
      <c r="I288" s="22" t="inlineStr">
        <is>
          <t>+34 610 562 380</t>
        </is>
      </c>
      <c r="J288" s="22" t="inlineStr">
        <is>
          <t>Valencia-España</t>
        </is>
      </c>
      <c r="K288" s="22" t="inlineStr">
        <is>
          <t>Professor Gavião</t>
        </is>
      </c>
      <c r="L288" s="22" t="inlineStr">
        <is>
          <t>Verde</t>
        </is>
      </c>
      <c r="M288" s="22" t="inlineStr">
        <is>
          <t>Femenino</t>
        </is>
      </c>
      <c r="N288" s="78" t="n">
        <v>31487</v>
      </c>
      <c r="O288" s="23">
        <f>IF(N288="","",DATEDIF(N288,TODAY(),"Y"))</f>
        <v/>
      </c>
      <c r="P288" s="23">
        <f>IF(O288="","",IF(O288&lt;=11,"Infantil",IF(O288&lt;=17,"Juvenil",IF(O288&lt;=44,"Adulto","Baobá"))))</f>
        <v/>
      </c>
      <c r="Q288" s="23">
        <f>IF(P288&lt;&gt;"Adulto","",IF(OR(L288="Marrom",L288="Marrom/Vermelha"),"A",IF(OR(L288="Roxa",L288="Roxa/Marrom"),"B",IF(OR(L288="Verde",L288="Verde/Roxa"),"C",IF(OR(L288="Azul",L288="Azul/Verde"),"D",IF(OR(L288="Laranja",L288="Laranja/Azul"),"E",IF(Y288="Sí","E","N/A")))))))</f>
        <v/>
      </c>
      <c r="R288" s="23">
        <f>IF(P288&lt;&gt;"Baobá","",IF(OR(L288="Laranja",L288="Laranja/Azul"),"Alumnos",IF(Y288="Sí","Alumnos","Graduados+")))</f>
        <v/>
      </c>
      <c r="S288" s="23">
        <f>IF(P288="","",IF(P288="Adulto",IF(OR(Q288="",Q288="N/A"),"⚠ Corda no compite Adulto",P288&amp;"-"&amp;Q288&amp;" · "&amp;M288),IF(P288="Baobá",IF(R288="","⚠ Sin clasificar Baobá",P288&amp;"-"&amp;R288&amp;" · "&amp;M288),IF(P288="Juvenil",IF(AND(OR(L288="Crua",L288="Crua/Amarela"),Y288&lt;&gt;"Sí"),"⚠ Juvenil necesita Amarela+",P288&amp;" · "&amp;M288),P288&amp;" · "&amp;M288))))</f>
        <v/>
      </c>
      <c r="T288" s="23" t="n"/>
      <c r="U288" s="22" t="inlineStr">
        <is>
          <t>Sí</t>
        </is>
      </c>
      <c r="V288" s="22" t="n"/>
      <c r="W288" s="22" t="n"/>
      <c r="X288" s="22" t="n"/>
      <c r="Y288" s="22" t="inlineStr">
        <is>
          <t>No</t>
        </is>
      </c>
      <c r="Z288" s="22" t="inlineStr">
        <is>
          <t>L</t>
        </is>
      </c>
      <c r="AA288" s="22" t="n">
        <v>35</v>
      </c>
      <c r="AB288" s="22" t="inlineStr">
        <is>
          <t>Pagado</t>
        </is>
      </c>
      <c r="AC288" s="22" t="n"/>
      <c r="AD288" s="23">
        <f>IF(D288&lt;&gt;"","P"&amp;TEXT(ROW()-4,"0000"),"")</f>
        <v/>
      </c>
    </row>
    <row r="289" ht="14.25" customHeight="1" s="72">
      <c r="A289" s="22" t="inlineStr">
        <is>
          <t>2025-08-05 17:27:40</t>
        </is>
      </c>
      <c r="B289" s="22" t="n"/>
      <c r="C289" s="22" t="n"/>
      <c r="D289" s="22" t="inlineStr">
        <is>
          <t>Amaia</t>
        </is>
      </c>
      <c r="E289" s="22" t="inlineStr">
        <is>
          <t>Martin</t>
        </is>
      </c>
      <c r="F289" s="22" t="inlineStr">
        <is>
          <t>Cágado</t>
        </is>
      </c>
      <c r="G289" s="23">
        <f>IF(F289&lt;&gt;"",F289,IF(AND(D289="",E289=""),"",TRIM(D289&amp;" "&amp;E289)))</f>
        <v/>
      </c>
      <c r="H289" s="22" t="n"/>
      <c r="I289" s="22" t="inlineStr">
        <is>
          <t>+34 664 588 492</t>
        </is>
      </c>
      <c r="J289" s="22" t="inlineStr">
        <is>
          <t>São Paulo-Brasil</t>
        </is>
      </c>
      <c r="K289" s="22" t="inlineStr">
        <is>
          <t>Mestre Pastinha</t>
        </is>
      </c>
      <c r="L289" s="22" t="inlineStr">
        <is>
          <t>Verde</t>
        </is>
      </c>
      <c r="M289" s="22" t="inlineStr">
        <is>
          <t>Femenino</t>
        </is>
      </c>
      <c r="N289" s="78" t="n">
        <v>31891</v>
      </c>
      <c r="O289" s="23">
        <f>IF(N289="","",DATEDIF(N289,TODAY(),"Y"))</f>
        <v/>
      </c>
      <c r="P289" s="23">
        <f>IF(O289="","",IF(O289&lt;=11,"Infantil",IF(O289&lt;=17,"Juvenil",IF(O289&lt;=44,"Adulto","Baobá"))))</f>
        <v/>
      </c>
      <c r="Q289" s="23">
        <f>IF(P289&lt;&gt;"Adulto","",IF(OR(L289="Marrom",L289="Marrom/Vermelha"),"A",IF(OR(L289="Roxa",L289="Roxa/Marrom"),"B",IF(OR(L289="Verde",L289="Verde/Roxa"),"C",IF(OR(L289="Azul",L289="Azul/Verde"),"D",IF(OR(L289="Laranja",L289="Laranja/Azul"),"E",IF(Y289="Sí","E","N/A")))))))</f>
        <v/>
      </c>
      <c r="R289" s="23">
        <f>IF(P289&lt;&gt;"Baobá","",IF(OR(L289="Laranja",L289="Laranja/Azul"),"Alumnos",IF(Y289="Sí","Alumnos","Graduados+")))</f>
        <v/>
      </c>
      <c r="S289" s="23">
        <f>IF(P289="","",IF(P289="Adulto",IF(OR(Q289="",Q289="N/A"),"⚠ Corda no compite Adulto",P289&amp;"-"&amp;Q289&amp;" · "&amp;M289),IF(P289="Baobá",IF(R289="","⚠ Sin clasificar Baobá",P289&amp;"-"&amp;R289&amp;" · "&amp;M289),IF(P289="Juvenil",IF(AND(OR(L289="Crua",L289="Crua/Amarela"),Y289&lt;&gt;"Sí"),"⚠ Juvenil necesita Amarela+",P289&amp;" · "&amp;M289),P289&amp;" · "&amp;M289))))</f>
        <v/>
      </c>
      <c r="T289" s="23" t="n"/>
      <c r="U289" s="22" t="inlineStr">
        <is>
          <t>Sí</t>
        </is>
      </c>
      <c r="V289" s="22" t="n"/>
      <c r="W289" s="22" t="n"/>
      <c r="X289" s="22" t="n"/>
      <c r="Y289" s="22" t="inlineStr">
        <is>
          <t>No</t>
        </is>
      </c>
      <c r="Z289" s="22" t="inlineStr">
        <is>
          <t>XL</t>
        </is>
      </c>
      <c r="AA289" s="22" t="n">
        <v>35</v>
      </c>
      <c r="AB289" s="22" t="inlineStr">
        <is>
          <t>Pagado</t>
        </is>
      </c>
      <c r="AC289" s="22" t="n"/>
      <c r="AD289" s="23">
        <f>IF(D289&lt;&gt;"","P"&amp;TEXT(ROW()-4,"0000"),"")</f>
        <v/>
      </c>
    </row>
    <row r="290" ht="14.25" customHeight="1" s="72">
      <c r="A290" s="22" t="inlineStr">
        <is>
          <t>2025-09-01 22:20:48</t>
        </is>
      </c>
      <c r="B290" s="22" t="n"/>
      <c r="C290" s="22" t="n"/>
      <c r="D290" s="22" t="inlineStr">
        <is>
          <t>Manon</t>
        </is>
      </c>
      <c r="E290" s="22" t="inlineStr">
        <is>
          <t>González</t>
        </is>
      </c>
      <c r="F290" s="22" t="inlineStr">
        <is>
          <t>Mosquito</t>
        </is>
      </c>
      <c r="G290" s="23">
        <f>IF(F290&lt;&gt;"",F290,IF(AND(D290="",E290=""),"",TRIM(D290&amp;" "&amp;E290)))</f>
        <v/>
      </c>
      <c r="H290" s="22" t="n"/>
      <c r="I290" s="22" t="inlineStr">
        <is>
          <t>+34 612 792 104</t>
        </is>
      </c>
      <c r="J290" s="22" t="inlineStr">
        <is>
          <t>Lisboa-Portugal</t>
        </is>
      </c>
      <c r="K290" s="22" t="inlineStr">
        <is>
          <t>Mestre Onça</t>
        </is>
      </c>
      <c r="L290" s="22" t="inlineStr">
        <is>
          <t>Verde</t>
        </is>
      </c>
      <c r="M290" s="22" t="inlineStr">
        <is>
          <t>Femenino</t>
        </is>
      </c>
      <c r="N290" s="78" t="n">
        <v>30112</v>
      </c>
      <c r="O290" s="23">
        <f>IF(N290="","",DATEDIF(N290,TODAY(),"Y"))</f>
        <v/>
      </c>
      <c r="P290" s="23">
        <f>IF(O290="","",IF(O290&lt;=11,"Infantil",IF(O290&lt;=17,"Juvenil",IF(O290&lt;=44,"Adulto","Baobá"))))</f>
        <v/>
      </c>
      <c r="Q290" s="23">
        <f>IF(P290&lt;&gt;"Adulto","",IF(OR(L290="Marrom",L290="Marrom/Vermelha"),"A",IF(OR(L290="Roxa",L290="Roxa/Marrom"),"B",IF(OR(L290="Verde",L290="Verde/Roxa"),"C",IF(OR(L290="Azul",L290="Azul/Verde"),"D",IF(OR(L290="Laranja",L290="Laranja/Azul"),"E",IF(Y290="Sí","E","N/A")))))))</f>
        <v/>
      </c>
      <c r="R290" s="23">
        <f>IF(P290&lt;&gt;"Baobá","",IF(OR(L290="Laranja",L290="Laranja/Azul"),"Alumnos",IF(Y290="Sí","Alumnos","Graduados+")))</f>
        <v/>
      </c>
      <c r="S290" s="23">
        <f>IF(P290="","",IF(P290="Adulto",IF(OR(Q290="",Q290="N/A"),"⚠ Corda no compite Adulto",P290&amp;"-"&amp;Q290&amp;" · "&amp;M290),IF(P290="Baobá",IF(R290="","⚠ Sin clasificar Baobá",P290&amp;"-"&amp;R290&amp;" · "&amp;M290),IF(P290="Juvenil",IF(AND(OR(L290="Crua",L290="Crua/Amarela"),Y290&lt;&gt;"Sí"),"⚠ Juvenil necesita Amarela+",P290&amp;" · "&amp;M290),P290&amp;" · "&amp;M290))))</f>
        <v/>
      </c>
      <c r="T290" s="23" t="n"/>
      <c r="U290" s="22" t="inlineStr">
        <is>
          <t>Sí</t>
        </is>
      </c>
      <c r="V290" s="22" t="n"/>
      <c r="W290" s="22" t="n"/>
      <c r="X290" s="22" t="n"/>
      <c r="Y290" s="22" t="inlineStr">
        <is>
          <t>No</t>
        </is>
      </c>
      <c r="Z290" s="22" t="inlineStr">
        <is>
          <t>XXL</t>
        </is>
      </c>
      <c r="AA290" s="22" t="n">
        <v>35</v>
      </c>
      <c r="AB290" s="22" t="inlineStr">
        <is>
          <t>Pagado</t>
        </is>
      </c>
      <c r="AC290" s="22" t="n"/>
      <c r="AD290" s="23">
        <f>IF(D290&lt;&gt;"","P"&amp;TEXT(ROW()-4,"0000"),"")</f>
        <v/>
      </c>
    </row>
    <row r="291" ht="14.25" customHeight="1" s="72">
      <c r="A291" s="22" t="inlineStr">
        <is>
          <t>2025-08-04 14:32:37</t>
        </is>
      </c>
      <c r="B291" s="22" t="n"/>
      <c r="C291" s="22" t="n"/>
      <c r="D291" s="22" t="inlineStr">
        <is>
          <t>Viviane</t>
        </is>
      </c>
      <c r="E291" s="22" t="inlineStr">
        <is>
          <t>López</t>
        </is>
      </c>
      <c r="F291" s="22" t="inlineStr">
        <is>
          <t>Macaco</t>
        </is>
      </c>
      <c r="G291" s="23">
        <f>IF(F291&lt;&gt;"",F291,IF(AND(D291="",E291=""),"",TRIM(D291&amp;" "&amp;E291)))</f>
        <v/>
      </c>
      <c r="H291" s="22" t="n"/>
      <c r="I291" s="22" t="inlineStr">
        <is>
          <t>+34 618 943 146</t>
        </is>
      </c>
      <c r="J291" s="22" t="inlineStr">
        <is>
          <t>Paris-Francia</t>
        </is>
      </c>
      <c r="K291" s="22" t="inlineStr">
        <is>
          <t>Mestre Coruja</t>
        </is>
      </c>
      <c r="L291" s="22" t="inlineStr">
        <is>
          <t>Azul</t>
        </is>
      </c>
      <c r="M291" s="22" t="inlineStr">
        <is>
          <t>Femenino</t>
        </is>
      </c>
      <c r="N291" s="78" t="n">
        <v>33224</v>
      </c>
      <c r="O291" s="23">
        <f>IF(N291="","",DATEDIF(N291,TODAY(),"Y"))</f>
        <v/>
      </c>
      <c r="P291" s="23">
        <f>IF(O291="","",IF(O291&lt;=11,"Infantil",IF(O291&lt;=17,"Juvenil",IF(O291&lt;=44,"Adulto","Baobá"))))</f>
        <v/>
      </c>
      <c r="Q291" s="23">
        <f>IF(P291&lt;&gt;"Adulto","",IF(OR(L291="Marrom",L291="Marrom/Vermelha"),"A",IF(OR(L291="Roxa",L291="Roxa/Marrom"),"B",IF(OR(L291="Verde",L291="Verde/Roxa"),"C",IF(OR(L291="Azul",L291="Azul/Verde"),"D",IF(OR(L291="Laranja",L291="Laranja/Azul"),"E",IF(Y291="Sí","E","N/A")))))))</f>
        <v/>
      </c>
      <c r="R291" s="23">
        <f>IF(P291&lt;&gt;"Baobá","",IF(OR(L291="Laranja",L291="Laranja/Azul"),"Alumnos",IF(Y291="Sí","Alumnos","Graduados+")))</f>
        <v/>
      </c>
      <c r="S291" s="23">
        <f>IF(P291="","",IF(P291="Adulto",IF(OR(Q291="",Q291="N/A"),"⚠ Corda no compite Adulto",P291&amp;"-"&amp;Q291&amp;" · "&amp;M291),IF(P291="Baobá",IF(R291="","⚠ Sin clasificar Baobá",P291&amp;"-"&amp;R291&amp;" · "&amp;M291),IF(P291="Juvenil",IF(AND(OR(L291="Crua",L291="Crua/Amarela"),Y291&lt;&gt;"Sí"),"⚠ Juvenil necesita Amarela+",P291&amp;" · "&amp;M291),P291&amp;" · "&amp;M291))))</f>
        <v/>
      </c>
      <c r="T291" s="23" t="n"/>
      <c r="U291" s="22" t="inlineStr">
        <is>
          <t>Sí</t>
        </is>
      </c>
      <c r="V291" s="22" t="n"/>
      <c r="W291" s="22" t="n"/>
      <c r="X291" s="22" t="n"/>
      <c r="Y291" s="22" t="inlineStr">
        <is>
          <t>No</t>
        </is>
      </c>
      <c r="Z291" s="22" t="inlineStr">
        <is>
          <t>XS</t>
        </is>
      </c>
      <c r="AA291" s="22" t="n">
        <v>35</v>
      </c>
      <c r="AB291" s="22" t="inlineStr">
        <is>
          <t>Pagado</t>
        </is>
      </c>
      <c r="AC291" s="22" t="n"/>
      <c r="AD291" s="23">
        <f>IF(D291&lt;&gt;"","P"&amp;TEXT(ROW()-4,"0000"),"")</f>
        <v/>
      </c>
    </row>
    <row r="292" ht="14.25" customHeight="1" s="72">
      <c r="A292" s="22" t="inlineStr">
        <is>
          <t>2025-10-17 13:27:56</t>
        </is>
      </c>
      <c r="B292" s="22" t="n"/>
      <c r="C292" s="22" t="n"/>
      <c r="D292" s="22" t="inlineStr">
        <is>
          <t>Claudia</t>
        </is>
      </c>
      <c r="E292" s="22" t="inlineStr">
        <is>
          <t>Barbosa</t>
        </is>
      </c>
      <c r="F292" s="22" t="inlineStr">
        <is>
          <t>Urubu-Rei</t>
        </is>
      </c>
      <c r="G292" s="23">
        <f>IF(F292&lt;&gt;"",F292,IF(AND(D292="",E292=""),"",TRIM(D292&amp;" "&amp;E292)))</f>
        <v/>
      </c>
      <c r="H292" s="22" t="n"/>
      <c r="I292" s="22" t="inlineStr">
        <is>
          <t>+34 653 601 467</t>
        </is>
      </c>
      <c r="J292" s="22" t="inlineStr">
        <is>
          <t>Bilbao-España</t>
        </is>
      </c>
      <c r="K292" s="22" t="inlineStr">
        <is>
          <t>Professor Gavião</t>
        </is>
      </c>
      <c r="L292" s="22" t="inlineStr">
        <is>
          <t>Laranja</t>
        </is>
      </c>
      <c r="M292" s="22" t="inlineStr">
        <is>
          <t>Femenino</t>
        </is>
      </c>
      <c r="N292" s="78" t="n">
        <v>33611</v>
      </c>
      <c r="O292" s="23">
        <f>IF(N292="","",DATEDIF(N292,TODAY(),"Y"))</f>
        <v/>
      </c>
      <c r="P292" s="23">
        <f>IF(O292="","",IF(O292&lt;=11,"Infantil",IF(O292&lt;=17,"Juvenil",IF(O292&lt;=44,"Adulto","Baobá"))))</f>
        <v/>
      </c>
      <c r="Q292" s="23">
        <f>IF(P292&lt;&gt;"Adulto","",IF(OR(L292="Marrom",L292="Marrom/Vermelha"),"A",IF(OR(L292="Roxa",L292="Roxa/Marrom"),"B",IF(OR(L292="Verde",L292="Verde/Roxa"),"C",IF(OR(L292="Azul",L292="Azul/Verde"),"D",IF(OR(L292="Laranja",L292="Laranja/Azul"),"E",IF(Y292="Sí","E","N/A")))))))</f>
        <v/>
      </c>
      <c r="R292" s="23">
        <f>IF(P292&lt;&gt;"Baobá","",IF(OR(L292="Laranja",L292="Laranja/Azul"),"Alumnos",IF(Y292="Sí","Alumnos","Graduados+")))</f>
        <v/>
      </c>
      <c r="S292" s="23">
        <f>IF(P292="","",IF(P292="Adulto",IF(OR(Q292="",Q292="N/A"),"⚠ Corda no compite Adulto",P292&amp;"-"&amp;Q292&amp;" · "&amp;M292),IF(P292="Baobá",IF(R292="","⚠ Sin clasificar Baobá",P292&amp;"-"&amp;R292&amp;" · "&amp;M292),IF(P292="Juvenil",IF(AND(OR(L292="Crua",L292="Crua/Amarela"),Y292&lt;&gt;"Sí"),"⚠ Juvenil necesita Amarela+",P292&amp;" · "&amp;M292),P292&amp;" · "&amp;M292))))</f>
        <v/>
      </c>
      <c r="T292" s="23" t="n"/>
      <c r="U292" s="22" t="inlineStr">
        <is>
          <t>Sí</t>
        </is>
      </c>
      <c r="V292" s="22" t="n"/>
      <c r="W292" s="22" t="n"/>
      <c r="X292" s="22" t="n"/>
      <c r="Y292" s="22" t="inlineStr">
        <is>
          <t>No</t>
        </is>
      </c>
      <c r="Z292" s="22" t="inlineStr">
        <is>
          <t>S</t>
        </is>
      </c>
      <c r="AA292" s="22" t="n">
        <v>35</v>
      </c>
      <c r="AB292" s="22" t="inlineStr">
        <is>
          <t>Pagado</t>
        </is>
      </c>
      <c r="AC292" s="22" t="n"/>
      <c r="AD292" s="23">
        <f>IF(D292&lt;&gt;"","P"&amp;TEXT(ROW()-4,"0000"),"")</f>
        <v/>
      </c>
    </row>
    <row r="293" ht="14.25" customHeight="1" s="72">
      <c r="A293" s="22" t="n"/>
      <c r="B293" s="22" t="n"/>
      <c r="C293" s="22" t="n"/>
      <c r="D293" s="22" t="n"/>
      <c r="E293" s="22" t="n"/>
      <c r="F293" s="22" t="n"/>
      <c r="G293" s="23" t="n"/>
      <c r="H293" s="22" t="n"/>
      <c r="I293" s="22" t="n"/>
      <c r="J293" s="22" t="n"/>
      <c r="K293" s="22" t="n"/>
      <c r="L293" s="22" t="n"/>
      <c r="M293" s="22" t="n"/>
      <c r="N293" s="22" t="n"/>
      <c r="O293" s="23" t="n"/>
      <c r="P293" s="23" t="n"/>
      <c r="Q293" s="23" t="n"/>
      <c r="R293" s="23" t="n"/>
      <c r="S293" s="23" t="n"/>
      <c r="T293" s="23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3" t="n"/>
    </row>
    <row r="294" ht="14.25" customHeight="1" s="72">
      <c r="A294" s="22" t="n"/>
      <c r="B294" s="22" t="n"/>
      <c r="C294" s="22" t="n"/>
      <c r="D294" s="22" t="n"/>
      <c r="E294" s="22" t="n"/>
      <c r="F294" s="22" t="n"/>
      <c r="G294" s="23" t="n"/>
      <c r="H294" s="22" t="n"/>
      <c r="I294" s="22" t="n"/>
      <c r="J294" s="22" t="n"/>
      <c r="K294" s="22" t="n"/>
      <c r="L294" s="22" t="n"/>
      <c r="M294" s="22" t="n"/>
      <c r="N294" s="22" t="n"/>
      <c r="O294" s="23" t="n"/>
      <c r="P294" s="23" t="n"/>
      <c r="Q294" s="23" t="n"/>
      <c r="R294" s="23" t="n"/>
      <c r="S294" s="23" t="n"/>
      <c r="T294" s="23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3" t="n"/>
    </row>
    <row r="295" ht="14.25" customHeight="1" s="72">
      <c r="A295" s="22" t="n"/>
      <c r="B295" s="22" t="n"/>
      <c r="C295" s="22" t="n"/>
      <c r="D295" s="22" t="n"/>
      <c r="E295" s="22" t="n"/>
      <c r="F295" s="22" t="n"/>
      <c r="G295" s="23" t="n"/>
      <c r="H295" s="22" t="n"/>
      <c r="I295" s="22" t="n"/>
      <c r="J295" s="22" t="n"/>
      <c r="K295" s="22" t="n"/>
      <c r="L295" s="22" t="n"/>
      <c r="M295" s="22" t="n"/>
      <c r="N295" s="22" t="n"/>
      <c r="O295" s="23" t="n"/>
      <c r="P295" s="23" t="n"/>
      <c r="Q295" s="23" t="n"/>
      <c r="R295" s="23" t="n"/>
      <c r="S295" s="23" t="n"/>
      <c r="T295" s="23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3" t="n"/>
    </row>
    <row r="296" ht="14.25" customHeight="1" s="72">
      <c r="A296" s="22" t="n"/>
      <c r="B296" s="22" t="n"/>
      <c r="C296" s="22" t="n"/>
      <c r="D296" s="22" t="n"/>
      <c r="E296" s="22" t="n"/>
      <c r="F296" s="22" t="n"/>
      <c r="G296" s="23" t="n"/>
      <c r="H296" s="22" t="n"/>
      <c r="I296" s="22" t="n"/>
      <c r="J296" s="22" t="n"/>
      <c r="K296" s="22" t="n"/>
      <c r="L296" s="22" t="n"/>
      <c r="M296" s="22" t="n"/>
      <c r="N296" s="22" t="n"/>
      <c r="O296" s="23" t="n"/>
      <c r="P296" s="23" t="n"/>
      <c r="Q296" s="23" t="n"/>
      <c r="R296" s="23" t="n"/>
      <c r="S296" s="23" t="n"/>
      <c r="T296" s="23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3" t="n"/>
    </row>
    <row r="297" ht="14.25" customHeight="1" s="72">
      <c r="A297" s="22" t="n"/>
      <c r="B297" s="22" t="n"/>
      <c r="C297" s="22" t="n"/>
      <c r="D297" s="22" t="n"/>
      <c r="E297" s="22" t="n"/>
      <c r="F297" s="22" t="n"/>
      <c r="G297" s="23" t="n"/>
      <c r="H297" s="22" t="n"/>
      <c r="I297" s="22" t="n"/>
      <c r="J297" s="22" t="n"/>
      <c r="K297" s="22" t="n"/>
      <c r="L297" s="22" t="n"/>
      <c r="M297" s="22" t="n"/>
      <c r="N297" s="22" t="n"/>
      <c r="O297" s="23" t="n"/>
      <c r="P297" s="23" t="n"/>
      <c r="Q297" s="23" t="n"/>
      <c r="R297" s="23" t="n"/>
      <c r="S297" s="23" t="n"/>
      <c r="T297" s="23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3" t="n"/>
    </row>
    <row r="298" ht="14.25" customHeight="1" s="72">
      <c r="A298" s="22" t="n"/>
      <c r="B298" s="22" t="n"/>
      <c r="C298" s="22" t="n"/>
      <c r="D298" s="22" t="n"/>
      <c r="E298" s="22" t="n"/>
      <c r="F298" s="22" t="n"/>
      <c r="G298" s="23" t="n"/>
      <c r="H298" s="22" t="n"/>
      <c r="I298" s="22" t="n"/>
      <c r="J298" s="22" t="n"/>
      <c r="K298" s="22" t="n"/>
      <c r="L298" s="22" t="n"/>
      <c r="M298" s="22" t="n"/>
      <c r="N298" s="22" t="n"/>
      <c r="O298" s="23" t="n"/>
      <c r="P298" s="23" t="n"/>
      <c r="Q298" s="23" t="n"/>
      <c r="R298" s="23" t="n"/>
      <c r="S298" s="23" t="n"/>
      <c r="T298" s="23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3" t="n"/>
    </row>
    <row r="299" ht="14.25" customHeight="1" s="72">
      <c r="A299" s="22" t="n"/>
      <c r="B299" s="22" t="n"/>
      <c r="C299" s="22" t="n"/>
      <c r="D299" s="22" t="n"/>
      <c r="E299" s="22" t="n"/>
      <c r="F299" s="22" t="n"/>
      <c r="G299" s="23" t="n"/>
      <c r="H299" s="22" t="n"/>
      <c r="I299" s="22" t="n"/>
      <c r="J299" s="22" t="n"/>
      <c r="K299" s="22" t="n"/>
      <c r="L299" s="22" t="n"/>
      <c r="M299" s="22" t="n"/>
      <c r="N299" s="22" t="n"/>
      <c r="O299" s="23" t="n"/>
      <c r="P299" s="23" t="n"/>
      <c r="Q299" s="23" t="n"/>
      <c r="R299" s="23" t="n"/>
      <c r="S299" s="23" t="n"/>
      <c r="T299" s="23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3" t="n"/>
    </row>
    <row r="300" ht="14.25" customHeight="1" s="72">
      <c r="A300" s="22" t="n"/>
      <c r="B300" s="22" t="n"/>
      <c r="C300" s="22" t="n"/>
      <c r="D300" s="22" t="n"/>
      <c r="E300" s="22" t="n"/>
      <c r="F300" s="22" t="n"/>
      <c r="G300" s="23" t="n"/>
      <c r="H300" s="22" t="n"/>
      <c r="I300" s="22" t="n"/>
      <c r="J300" s="22" t="n"/>
      <c r="K300" s="22" t="n"/>
      <c r="L300" s="22" t="n"/>
      <c r="M300" s="22" t="n"/>
      <c r="N300" s="22" t="n"/>
      <c r="O300" s="23" t="n"/>
      <c r="P300" s="23" t="n"/>
      <c r="Q300" s="23" t="n"/>
      <c r="R300" s="23" t="n"/>
      <c r="S300" s="23" t="n"/>
      <c r="T300" s="23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3" t="n"/>
    </row>
    <row r="301" ht="14.25" customHeight="1" s="72">
      <c r="A301" s="22" t="n"/>
      <c r="B301" s="22" t="n"/>
      <c r="C301" s="22" t="n"/>
      <c r="D301" s="22" t="n"/>
      <c r="E301" s="22" t="n"/>
      <c r="F301" s="22" t="n"/>
      <c r="G301" s="23" t="n"/>
      <c r="H301" s="22" t="n"/>
      <c r="I301" s="22" t="n"/>
      <c r="J301" s="22" t="n"/>
      <c r="K301" s="22" t="n"/>
      <c r="L301" s="22" t="n"/>
      <c r="M301" s="22" t="n"/>
      <c r="N301" s="22" t="n"/>
      <c r="O301" s="23" t="n"/>
      <c r="P301" s="23" t="n"/>
      <c r="Q301" s="23" t="n"/>
      <c r="R301" s="23" t="n"/>
      <c r="S301" s="23" t="n"/>
      <c r="T301" s="23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3" t="n"/>
    </row>
    <row r="302" ht="14.25" customHeight="1" s="72">
      <c r="A302" s="22" t="n"/>
      <c r="B302" s="22" t="n"/>
      <c r="C302" s="22" t="n"/>
      <c r="D302" s="22" t="n"/>
      <c r="E302" s="22" t="n"/>
      <c r="F302" s="22" t="n"/>
      <c r="G302" s="23" t="n"/>
      <c r="H302" s="22" t="n"/>
      <c r="I302" s="22" t="n"/>
      <c r="J302" s="22" t="n"/>
      <c r="K302" s="22" t="n"/>
      <c r="L302" s="22" t="n"/>
      <c r="M302" s="22" t="n"/>
      <c r="N302" s="22" t="n"/>
      <c r="O302" s="23" t="n"/>
      <c r="P302" s="23" t="n"/>
      <c r="Q302" s="23" t="n"/>
      <c r="R302" s="23" t="n"/>
      <c r="S302" s="23" t="n"/>
      <c r="T302" s="23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3" t="n"/>
    </row>
    <row r="303" ht="14.25" customHeight="1" s="72">
      <c r="A303" s="22" t="n"/>
      <c r="B303" s="22" t="n"/>
      <c r="C303" s="22" t="n"/>
      <c r="D303" s="22" t="n"/>
      <c r="E303" s="22" t="n"/>
      <c r="F303" s="22" t="n"/>
      <c r="G303" s="23" t="n"/>
      <c r="H303" s="22" t="n"/>
      <c r="I303" s="22" t="n"/>
      <c r="J303" s="22" t="n"/>
      <c r="K303" s="22" t="n"/>
      <c r="L303" s="22" t="n"/>
      <c r="M303" s="22" t="n"/>
      <c r="N303" s="22" t="n"/>
      <c r="O303" s="23" t="n"/>
      <c r="P303" s="23" t="n"/>
      <c r="Q303" s="23" t="n"/>
      <c r="R303" s="23" t="n"/>
      <c r="S303" s="23" t="n"/>
      <c r="T303" s="23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3" t="n"/>
    </row>
    <row r="304" ht="14.25" customHeight="1" s="72">
      <c r="A304" s="22" t="n"/>
      <c r="B304" s="22" t="n"/>
      <c r="C304" s="22" t="n"/>
      <c r="D304" s="22" t="n"/>
      <c r="E304" s="22" t="n"/>
      <c r="F304" s="22" t="n"/>
      <c r="G304" s="23" t="n"/>
      <c r="H304" s="22" t="n"/>
      <c r="I304" s="22" t="n"/>
      <c r="J304" s="22" t="n"/>
      <c r="K304" s="22" t="n"/>
      <c r="L304" s="22" t="n"/>
      <c r="M304" s="22" t="n"/>
      <c r="N304" s="22" t="n"/>
      <c r="O304" s="23" t="n"/>
      <c r="P304" s="23" t="n"/>
      <c r="Q304" s="23" t="n"/>
      <c r="R304" s="23" t="n"/>
      <c r="S304" s="23" t="n"/>
      <c r="T304" s="23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3" t="n"/>
    </row>
    <row r="305" ht="14.25" customHeight="1" s="72">
      <c r="A305" s="22" t="n"/>
      <c r="B305" s="22" t="n"/>
      <c r="C305" s="22" t="n"/>
      <c r="D305" s="22" t="n"/>
      <c r="E305" s="22" t="n"/>
      <c r="F305" s="22" t="n"/>
      <c r="G305" s="23" t="n"/>
      <c r="H305" s="22" t="n"/>
      <c r="I305" s="22" t="n"/>
      <c r="J305" s="22" t="n"/>
      <c r="K305" s="22" t="n"/>
      <c r="L305" s="22" t="n"/>
      <c r="M305" s="22" t="n"/>
      <c r="N305" s="22" t="n"/>
      <c r="O305" s="23" t="n"/>
      <c r="P305" s="23" t="n"/>
      <c r="Q305" s="23" t="n"/>
      <c r="R305" s="23" t="n"/>
      <c r="S305" s="23" t="n"/>
      <c r="T305" s="23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3" t="n"/>
    </row>
    <row r="306" ht="14.25" customHeight="1" s="72">
      <c r="A306" s="22" t="n"/>
      <c r="B306" s="22" t="n"/>
      <c r="C306" s="22" t="n"/>
      <c r="D306" s="22" t="n"/>
      <c r="E306" s="22" t="n"/>
      <c r="F306" s="22" t="n"/>
      <c r="G306" s="23" t="n"/>
      <c r="H306" s="22" t="n"/>
      <c r="I306" s="22" t="n"/>
      <c r="J306" s="22" t="n"/>
      <c r="K306" s="22" t="n"/>
      <c r="L306" s="22" t="n"/>
      <c r="M306" s="22" t="n"/>
      <c r="N306" s="22" t="n"/>
      <c r="O306" s="23" t="n"/>
      <c r="P306" s="23" t="n"/>
      <c r="Q306" s="23" t="n"/>
      <c r="R306" s="23" t="n"/>
      <c r="S306" s="23" t="n"/>
      <c r="T306" s="23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3" t="n"/>
    </row>
    <row r="307" ht="14.25" customHeight="1" s="72">
      <c r="A307" s="22" t="n"/>
      <c r="B307" s="22" t="n"/>
      <c r="C307" s="22" t="n"/>
      <c r="D307" s="22" t="n"/>
      <c r="E307" s="22" t="n"/>
      <c r="F307" s="22" t="n"/>
      <c r="G307" s="23" t="n"/>
      <c r="H307" s="22" t="n"/>
      <c r="I307" s="22" t="n"/>
      <c r="J307" s="22" t="n"/>
      <c r="K307" s="22" t="n"/>
      <c r="L307" s="22" t="n"/>
      <c r="M307" s="22" t="n"/>
      <c r="N307" s="22" t="n"/>
      <c r="O307" s="23" t="n"/>
      <c r="P307" s="23" t="n"/>
      <c r="Q307" s="23" t="n"/>
      <c r="R307" s="23" t="n"/>
      <c r="S307" s="23" t="n"/>
      <c r="T307" s="23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3" t="n"/>
    </row>
    <row r="308" ht="14.25" customHeight="1" s="72">
      <c r="A308" s="22" t="n"/>
      <c r="B308" s="22" t="n"/>
      <c r="C308" s="22" t="n"/>
      <c r="D308" s="22" t="n"/>
      <c r="E308" s="22" t="n"/>
      <c r="F308" s="22" t="n"/>
      <c r="G308" s="23" t="n"/>
      <c r="H308" s="22" t="n"/>
      <c r="I308" s="22" t="n"/>
      <c r="J308" s="22" t="n"/>
      <c r="K308" s="22" t="n"/>
      <c r="L308" s="22" t="n"/>
      <c r="M308" s="22" t="n"/>
      <c r="N308" s="22" t="n"/>
      <c r="O308" s="23" t="n"/>
      <c r="P308" s="23" t="n"/>
      <c r="Q308" s="23" t="n"/>
      <c r="R308" s="23" t="n"/>
      <c r="S308" s="23" t="n"/>
      <c r="T308" s="23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3" t="n"/>
    </row>
    <row r="309" ht="14.25" customHeight="1" s="72">
      <c r="A309" s="22" t="n"/>
      <c r="B309" s="22" t="n"/>
      <c r="C309" s="22" t="n"/>
      <c r="D309" s="22" t="n"/>
      <c r="E309" s="22" t="n"/>
      <c r="F309" s="22" t="n"/>
      <c r="G309" s="23" t="n"/>
      <c r="H309" s="22" t="n"/>
      <c r="I309" s="22" t="n"/>
      <c r="J309" s="22" t="n"/>
      <c r="K309" s="22" t="n"/>
      <c r="L309" s="22" t="n"/>
      <c r="M309" s="22" t="n"/>
      <c r="N309" s="22" t="n"/>
      <c r="O309" s="23" t="n"/>
      <c r="P309" s="23" t="n"/>
      <c r="Q309" s="23" t="n"/>
      <c r="R309" s="23" t="n"/>
      <c r="S309" s="23" t="n"/>
      <c r="T309" s="23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3" t="n"/>
    </row>
    <row r="310" ht="14.25" customHeight="1" s="72">
      <c r="A310" s="22" t="n"/>
      <c r="B310" s="22" t="n"/>
      <c r="C310" s="22" t="n"/>
      <c r="D310" s="22" t="n"/>
      <c r="E310" s="22" t="n"/>
      <c r="F310" s="22" t="n"/>
      <c r="G310" s="23" t="n"/>
      <c r="H310" s="22" t="n"/>
      <c r="I310" s="22" t="n"/>
      <c r="J310" s="22" t="n"/>
      <c r="K310" s="22" t="n"/>
      <c r="L310" s="22" t="n"/>
      <c r="M310" s="22" t="n"/>
      <c r="N310" s="22" t="n"/>
      <c r="O310" s="23" t="n"/>
      <c r="P310" s="23" t="n"/>
      <c r="Q310" s="23" t="n"/>
      <c r="R310" s="23" t="n"/>
      <c r="S310" s="23" t="n"/>
      <c r="T310" s="23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3" t="n"/>
    </row>
    <row r="311" ht="14.25" customHeight="1" s="72">
      <c r="A311" s="22" t="n"/>
      <c r="B311" s="22" t="n"/>
      <c r="C311" s="22" t="n"/>
      <c r="D311" s="22" t="n"/>
      <c r="E311" s="22" t="n"/>
      <c r="F311" s="22" t="n"/>
      <c r="G311" s="23" t="n"/>
      <c r="H311" s="22" t="n"/>
      <c r="I311" s="22" t="n"/>
      <c r="J311" s="22" t="n"/>
      <c r="K311" s="22" t="n"/>
      <c r="L311" s="22" t="n"/>
      <c r="M311" s="22" t="n"/>
      <c r="N311" s="22" t="n"/>
      <c r="O311" s="23" t="n"/>
      <c r="P311" s="23" t="n"/>
      <c r="Q311" s="23" t="n"/>
      <c r="R311" s="23" t="n"/>
      <c r="S311" s="23" t="n"/>
      <c r="T311" s="23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3" t="n"/>
    </row>
    <row r="312" ht="14.25" customHeight="1" s="72">
      <c r="A312" s="22" t="n"/>
      <c r="B312" s="22" t="n"/>
      <c r="C312" s="22" t="n"/>
      <c r="D312" s="22" t="n"/>
      <c r="E312" s="22" t="n"/>
      <c r="F312" s="22" t="n"/>
      <c r="G312" s="23" t="n"/>
      <c r="H312" s="22" t="n"/>
      <c r="I312" s="22" t="n"/>
      <c r="J312" s="22" t="n"/>
      <c r="K312" s="22" t="n"/>
      <c r="L312" s="22" t="n"/>
      <c r="M312" s="22" t="n"/>
      <c r="N312" s="22" t="n"/>
      <c r="O312" s="23" t="n"/>
      <c r="P312" s="23" t="n"/>
      <c r="Q312" s="23" t="n"/>
      <c r="R312" s="23" t="n"/>
      <c r="S312" s="23" t="n"/>
      <c r="T312" s="23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3" t="n"/>
    </row>
    <row r="313" ht="14.25" customHeight="1" s="72">
      <c r="A313" s="22" t="n"/>
      <c r="B313" s="22" t="n"/>
      <c r="C313" s="22" t="n"/>
      <c r="D313" s="22" t="n"/>
      <c r="E313" s="22" t="n"/>
      <c r="F313" s="22" t="n"/>
      <c r="G313" s="23" t="n"/>
      <c r="H313" s="22" t="n"/>
      <c r="I313" s="22" t="n"/>
      <c r="J313" s="22" t="n"/>
      <c r="K313" s="22" t="n"/>
      <c r="L313" s="22" t="n"/>
      <c r="M313" s="22" t="n"/>
      <c r="N313" s="22" t="n"/>
      <c r="O313" s="23" t="n"/>
      <c r="P313" s="23" t="n"/>
      <c r="Q313" s="23" t="n"/>
      <c r="R313" s="23" t="n"/>
      <c r="S313" s="23" t="n"/>
      <c r="T313" s="23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3" t="n"/>
    </row>
    <row r="314" ht="14.25" customHeight="1" s="72">
      <c r="A314" s="22" t="n"/>
      <c r="B314" s="22" t="n"/>
      <c r="C314" s="22" t="n"/>
      <c r="D314" s="22" t="n"/>
      <c r="E314" s="22" t="n"/>
      <c r="F314" s="22" t="n"/>
      <c r="G314" s="23" t="n"/>
      <c r="H314" s="22" t="n"/>
      <c r="I314" s="22" t="n"/>
      <c r="J314" s="22" t="n"/>
      <c r="K314" s="22" t="n"/>
      <c r="L314" s="22" t="n"/>
      <c r="M314" s="22" t="n"/>
      <c r="N314" s="22" t="n"/>
      <c r="O314" s="23" t="n"/>
      <c r="P314" s="23" t="n"/>
      <c r="Q314" s="23" t="n"/>
      <c r="R314" s="23" t="n"/>
      <c r="S314" s="23" t="n"/>
      <c r="T314" s="23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3" t="n"/>
    </row>
    <row r="315" ht="14.25" customHeight="1" s="72">
      <c r="A315" s="22" t="n"/>
      <c r="B315" s="22" t="n"/>
      <c r="C315" s="22" t="n"/>
      <c r="D315" s="22" t="n"/>
      <c r="E315" s="22" t="n"/>
      <c r="F315" s="22" t="n"/>
      <c r="G315" s="23" t="n"/>
      <c r="H315" s="22" t="n"/>
      <c r="I315" s="22" t="n"/>
      <c r="J315" s="22" t="n"/>
      <c r="K315" s="22" t="n"/>
      <c r="L315" s="22" t="n"/>
      <c r="M315" s="22" t="n"/>
      <c r="N315" s="22" t="n"/>
      <c r="O315" s="23" t="n"/>
      <c r="P315" s="23" t="n"/>
      <c r="Q315" s="23" t="n"/>
      <c r="R315" s="23" t="n"/>
      <c r="S315" s="23" t="n"/>
      <c r="T315" s="23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3" t="n"/>
    </row>
    <row r="316" ht="14.25" customHeight="1" s="72">
      <c r="A316" s="22" t="n"/>
      <c r="B316" s="22" t="n"/>
      <c r="C316" s="22" t="n"/>
      <c r="D316" s="22" t="n"/>
      <c r="E316" s="22" t="n"/>
      <c r="F316" s="22" t="n"/>
      <c r="G316" s="23" t="n"/>
      <c r="H316" s="22" t="n"/>
      <c r="I316" s="22" t="n"/>
      <c r="J316" s="22" t="n"/>
      <c r="K316" s="22" t="n"/>
      <c r="L316" s="22" t="n"/>
      <c r="M316" s="22" t="n"/>
      <c r="N316" s="22" t="n"/>
      <c r="O316" s="23" t="n"/>
      <c r="P316" s="23" t="n"/>
      <c r="Q316" s="23" t="n"/>
      <c r="R316" s="23" t="n"/>
      <c r="S316" s="23" t="n"/>
      <c r="T316" s="23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3" t="n"/>
    </row>
    <row r="317" ht="14.25" customHeight="1" s="72">
      <c r="A317" s="22" t="n"/>
      <c r="B317" s="22" t="n"/>
      <c r="C317" s="22" t="n"/>
      <c r="D317" s="22" t="n"/>
      <c r="E317" s="22" t="n"/>
      <c r="F317" s="22" t="n"/>
      <c r="G317" s="23" t="n"/>
      <c r="H317" s="22" t="n"/>
      <c r="I317" s="22" t="n"/>
      <c r="J317" s="22" t="n"/>
      <c r="K317" s="22" t="n"/>
      <c r="L317" s="22" t="n"/>
      <c r="M317" s="22" t="n"/>
      <c r="N317" s="22" t="n"/>
      <c r="O317" s="23" t="n"/>
      <c r="P317" s="23" t="n"/>
      <c r="Q317" s="23" t="n"/>
      <c r="R317" s="23" t="n"/>
      <c r="S317" s="23" t="n"/>
      <c r="T317" s="23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3" t="n"/>
    </row>
    <row r="318" ht="14.25" customHeight="1" s="72">
      <c r="A318" s="22" t="n"/>
      <c r="B318" s="22" t="n"/>
      <c r="C318" s="22" t="n"/>
      <c r="D318" s="22" t="n"/>
      <c r="E318" s="22" t="n"/>
      <c r="F318" s="22" t="n"/>
      <c r="G318" s="23" t="n"/>
      <c r="H318" s="22" t="n"/>
      <c r="I318" s="22" t="n"/>
      <c r="J318" s="22" t="n"/>
      <c r="K318" s="22" t="n"/>
      <c r="L318" s="22" t="n"/>
      <c r="M318" s="22" t="n"/>
      <c r="N318" s="22" t="n"/>
      <c r="O318" s="23" t="n"/>
      <c r="P318" s="23" t="n"/>
      <c r="Q318" s="23" t="n"/>
      <c r="R318" s="23" t="n"/>
      <c r="S318" s="23" t="n"/>
      <c r="T318" s="23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3" t="n"/>
    </row>
    <row r="319" ht="14.25" customHeight="1" s="72">
      <c r="A319" s="22" t="n"/>
      <c r="B319" s="22" t="n"/>
      <c r="C319" s="22" t="n"/>
      <c r="D319" s="22" t="n"/>
      <c r="E319" s="22" t="n"/>
      <c r="F319" s="22" t="n"/>
      <c r="G319" s="23" t="n"/>
      <c r="H319" s="22" t="n"/>
      <c r="I319" s="22" t="n"/>
      <c r="J319" s="22" t="n"/>
      <c r="K319" s="22" t="n"/>
      <c r="L319" s="22" t="n"/>
      <c r="M319" s="22" t="n"/>
      <c r="N319" s="22" t="n"/>
      <c r="O319" s="23" t="n"/>
      <c r="P319" s="23" t="n"/>
      <c r="Q319" s="23" t="n"/>
      <c r="R319" s="23" t="n"/>
      <c r="S319" s="23" t="n"/>
      <c r="T319" s="23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3" t="n"/>
    </row>
    <row r="320" ht="14.25" customHeight="1" s="72">
      <c r="A320" s="22" t="n"/>
      <c r="B320" s="22" t="n"/>
      <c r="C320" s="22" t="n"/>
      <c r="D320" s="22" t="n"/>
      <c r="E320" s="22" t="n"/>
      <c r="F320" s="22" t="n"/>
      <c r="G320" s="23" t="n"/>
      <c r="H320" s="22" t="n"/>
      <c r="I320" s="22" t="n"/>
      <c r="J320" s="22" t="n"/>
      <c r="K320" s="22" t="n"/>
      <c r="L320" s="22" t="n"/>
      <c r="M320" s="22" t="n"/>
      <c r="N320" s="22" t="n"/>
      <c r="O320" s="23" t="n"/>
      <c r="P320" s="23" t="n"/>
      <c r="Q320" s="23" t="n"/>
      <c r="R320" s="23" t="n"/>
      <c r="S320" s="23" t="n"/>
      <c r="T320" s="23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3" t="n"/>
    </row>
    <row r="321" ht="14.25" customHeight="1" s="72">
      <c r="A321" s="22" t="n"/>
      <c r="B321" s="22" t="n"/>
      <c r="C321" s="22" t="n"/>
      <c r="D321" s="22" t="n"/>
      <c r="E321" s="22" t="n"/>
      <c r="F321" s="22" t="n"/>
      <c r="G321" s="23" t="n"/>
      <c r="H321" s="22" t="n"/>
      <c r="I321" s="22" t="n"/>
      <c r="J321" s="22" t="n"/>
      <c r="K321" s="22" t="n"/>
      <c r="L321" s="22" t="n"/>
      <c r="M321" s="22" t="n"/>
      <c r="N321" s="22" t="n"/>
      <c r="O321" s="23" t="n"/>
      <c r="P321" s="23" t="n"/>
      <c r="Q321" s="23" t="n"/>
      <c r="R321" s="23" t="n"/>
      <c r="S321" s="23" t="n"/>
      <c r="T321" s="23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3" t="n"/>
    </row>
    <row r="322" ht="14.25" customHeight="1" s="72">
      <c r="A322" s="22" t="n"/>
      <c r="B322" s="22" t="n"/>
      <c r="C322" s="22" t="n"/>
      <c r="D322" s="22" t="n"/>
      <c r="E322" s="22" t="n"/>
      <c r="F322" s="22" t="n"/>
      <c r="G322" s="23" t="n"/>
      <c r="H322" s="22" t="n"/>
      <c r="I322" s="22" t="n"/>
      <c r="J322" s="22" t="n"/>
      <c r="K322" s="22" t="n"/>
      <c r="L322" s="22" t="n"/>
      <c r="M322" s="22" t="n"/>
      <c r="N322" s="22" t="n"/>
      <c r="O322" s="23" t="n"/>
      <c r="P322" s="23" t="n"/>
      <c r="Q322" s="23" t="n"/>
      <c r="R322" s="23" t="n"/>
      <c r="S322" s="23" t="n"/>
      <c r="T322" s="23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3" t="n"/>
    </row>
    <row r="323" ht="14.25" customHeight="1" s="72">
      <c r="A323" s="22" t="n"/>
      <c r="B323" s="22" t="n"/>
      <c r="C323" s="22" t="n"/>
      <c r="D323" s="22" t="n"/>
      <c r="E323" s="22" t="n"/>
      <c r="F323" s="22" t="n"/>
      <c r="G323" s="23" t="n"/>
      <c r="H323" s="22" t="n"/>
      <c r="I323" s="22" t="n"/>
      <c r="J323" s="22" t="n"/>
      <c r="K323" s="22" t="n"/>
      <c r="L323" s="22" t="n"/>
      <c r="M323" s="22" t="n"/>
      <c r="N323" s="22" t="n"/>
      <c r="O323" s="23" t="n"/>
      <c r="P323" s="23" t="n"/>
      <c r="Q323" s="23" t="n"/>
      <c r="R323" s="23" t="n"/>
      <c r="S323" s="23" t="n"/>
      <c r="T323" s="23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3" t="n"/>
    </row>
    <row r="324" ht="14.25" customHeight="1" s="72">
      <c r="A324" s="22" t="n"/>
      <c r="B324" s="22" t="n"/>
      <c r="C324" s="22" t="n"/>
      <c r="D324" s="22" t="n"/>
      <c r="E324" s="22" t="n"/>
      <c r="F324" s="22" t="n"/>
      <c r="G324" s="23" t="n"/>
      <c r="H324" s="22" t="n"/>
      <c r="I324" s="22" t="n"/>
      <c r="J324" s="22" t="n"/>
      <c r="K324" s="22" t="n"/>
      <c r="L324" s="22" t="n"/>
      <c r="M324" s="22" t="n"/>
      <c r="N324" s="22" t="n"/>
      <c r="O324" s="23" t="n"/>
      <c r="P324" s="23" t="n"/>
      <c r="Q324" s="23" t="n"/>
      <c r="R324" s="23" t="n"/>
      <c r="S324" s="23" t="n"/>
      <c r="T324" s="23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3" t="n"/>
    </row>
    <row r="325" ht="14.25" customHeight="1" s="72">
      <c r="A325" s="22" t="n"/>
      <c r="B325" s="22" t="n"/>
      <c r="C325" s="22" t="n"/>
      <c r="D325" s="22" t="n"/>
      <c r="E325" s="22" t="n"/>
      <c r="F325" s="22" t="n"/>
      <c r="G325" s="23" t="n"/>
      <c r="H325" s="22" t="n"/>
      <c r="I325" s="22" t="n"/>
      <c r="J325" s="22" t="n"/>
      <c r="K325" s="22" t="n"/>
      <c r="L325" s="22" t="n"/>
      <c r="M325" s="22" t="n"/>
      <c r="N325" s="22" t="n"/>
      <c r="O325" s="23" t="n"/>
      <c r="P325" s="23" t="n"/>
      <c r="Q325" s="23" t="n"/>
      <c r="R325" s="23" t="n"/>
      <c r="S325" s="23" t="n"/>
      <c r="T325" s="23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3" t="n"/>
    </row>
    <row r="326" ht="14.25" customHeight="1" s="72">
      <c r="A326" s="22" t="n"/>
      <c r="B326" s="22" t="n"/>
      <c r="C326" s="22" t="n"/>
      <c r="D326" s="22" t="n"/>
      <c r="E326" s="22" t="n"/>
      <c r="F326" s="22" t="n"/>
      <c r="G326" s="23" t="n"/>
      <c r="H326" s="22" t="n"/>
      <c r="I326" s="22" t="n"/>
      <c r="J326" s="22" t="n"/>
      <c r="K326" s="22" t="n"/>
      <c r="L326" s="22" t="n"/>
      <c r="M326" s="22" t="n"/>
      <c r="N326" s="22" t="n"/>
      <c r="O326" s="23" t="n"/>
      <c r="P326" s="23" t="n"/>
      <c r="Q326" s="23" t="n"/>
      <c r="R326" s="23" t="n"/>
      <c r="S326" s="23" t="n"/>
      <c r="T326" s="23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3" t="n"/>
    </row>
    <row r="327" ht="14.25" customHeight="1" s="72">
      <c r="A327" s="22" t="n"/>
      <c r="B327" s="22" t="n"/>
      <c r="C327" s="22" t="n"/>
      <c r="D327" s="22" t="n"/>
      <c r="E327" s="22" t="n"/>
      <c r="F327" s="22" t="n"/>
      <c r="G327" s="23" t="n"/>
      <c r="H327" s="22" t="n"/>
      <c r="I327" s="22" t="n"/>
      <c r="J327" s="22" t="n"/>
      <c r="K327" s="22" t="n"/>
      <c r="L327" s="22" t="n"/>
      <c r="M327" s="22" t="n"/>
      <c r="N327" s="22" t="n"/>
      <c r="O327" s="23" t="n"/>
      <c r="P327" s="23" t="n"/>
      <c r="Q327" s="23" t="n"/>
      <c r="R327" s="23" t="n"/>
      <c r="S327" s="23" t="n"/>
      <c r="T327" s="23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3" t="n"/>
    </row>
    <row r="328" ht="14.25" customHeight="1" s="72">
      <c r="A328" s="22" t="n"/>
      <c r="B328" s="22" t="n"/>
      <c r="C328" s="22" t="n"/>
      <c r="D328" s="22" t="n"/>
      <c r="E328" s="22" t="n"/>
      <c r="F328" s="22" t="n"/>
      <c r="G328" s="23" t="n"/>
      <c r="H328" s="22" t="n"/>
      <c r="I328" s="22" t="n"/>
      <c r="J328" s="22" t="n"/>
      <c r="K328" s="22" t="n"/>
      <c r="L328" s="22" t="n"/>
      <c r="M328" s="22" t="n"/>
      <c r="N328" s="22" t="n"/>
      <c r="O328" s="23" t="n"/>
      <c r="P328" s="23" t="n"/>
      <c r="Q328" s="23" t="n"/>
      <c r="R328" s="23" t="n"/>
      <c r="S328" s="23" t="n"/>
      <c r="T328" s="23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3" t="n"/>
    </row>
    <row r="329" ht="14.25" customHeight="1" s="72">
      <c r="A329" s="22" t="n"/>
      <c r="B329" s="22" t="n"/>
      <c r="C329" s="22" t="n"/>
      <c r="D329" s="22" t="n"/>
      <c r="E329" s="22" t="n"/>
      <c r="F329" s="22" t="n"/>
      <c r="G329" s="23" t="n"/>
      <c r="H329" s="22" t="n"/>
      <c r="I329" s="22" t="n"/>
      <c r="J329" s="22" t="n"/>
      <c r="K329" s="22" t="n"/>
      <c r="L329" s="22" t="n"/>
      <c r="M329" s="22" t="n"/>
      <c r="N329" s="22" t="n"/>
      <c r="O329" s="23" t="n"/>
      <c r="P329" s="23" t="n"/>
      <c r="Q329" s="23" t="n"/>
      <c r="R329" s="23" t="n"/>
      <c r="S329" s="23" t="n"/>
      <c r="T329" s="23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3" t="n"/>
    </row>
    <row r="330" ht="14.25" customHeight="1" s="72">
      <c r="A330" s="22" t="n"/>
      <c r="B330" s="22" t="n"/>
      <c r="C330" s="22" t="n"/>
      <c r="D330" s="22" t="n"/>
      <c r="E330" s="22" t="n"/>
      <c r="F330" s="22" t="n"/>
      <c r="G330" s="23" t="n"/>
      <c r="H330" s="22" t="n"/>
      <c r="I330" s="22" t="n"/>
      <c r="J330" s="22" t="n"/>
      <c r="K330" s="22" t="n"/>
      <c r="L330" s="22" t="n"/>
      <c r="M330" s="22" t="n"/>
      <c r="N330" s="22" t="n"/>
      <c r="O330" s="23" t="n"/>
      <c r="P330" s="23" t="n"/>
      <c r="Q330" s="23" t="n"/>
      <c r="R330" s="23" t="n"/>
      <c r="S330" s="23" t="n"/>
      <c r="T330" s="23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3" t="n"/>
    </row>
    <row r="331" ht="14.25" customHeight="1" s="72">
      <c r="A331" s="22" t="n"/>
      <c r="B331" s="22" t="n"/>
      <c r="C331" s="22" t="n"/>
      <c r="D331" s="22" t="n"/>
      <c r="E331" s="22" t="n"/>
      <c r="F331" s="22" t="n"/>
      <c r="G331" s="23" t="n"/>
      <c r="H331" s="22" t="n"/>
      <c r="I331" s="22" t="n"/>
      <c r="J331" s="22" t="n"/>
      <c r="K331" s="22" t="n"/>
      <c r="L331" s="22" t="n"/>
      <c r="M331" s="22" t="n"/>
      <c r="N331" s="22" t="n"/>
      <c r="O331" s="23" t="n"/>
      <c r="P331" s="23" t="n"/>
      <c r="Q331" s="23" t="n"/>
      <c r="R331" s="23" t="n"/>
      <c r="S331" s="23" t="n"/>
      <c r="T331" s="23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3" t="n"/>
    </row>
    <row r="332" ht="14.25" customHeight="1" s="72">
      <c r="A332" s="22" t="n"/>
      <c r="B332" s="22" t="n"/>
      <c r="C332" s="22" t="n"/>
      <c r="D332" s="22" t="n"/>
      <c r="E332" s="22" t="n"/>
      <c r="F332" s="22" t="n"/>
      <c r="G332" s="23" t="n"/>
      <c r="H332" s="22" t="n"/>
      <c r="I332" s="22" t="n"/>
      <c r="J332" s="22" t="n"/>
      <c r="K332" s="22" t="n"/>
      <c r="L332" s="22" t="n"/>
      <c r="M332" s="22" t="n"/>
      <c r="N332" s="22" t="n"/>
      <c r="O332" s="23" t="n"/>
      <c r="P332" s="23" t="n"/>
      <c r="Q332" s="23" t="n"/>
      <c r="R332" s="23" t="n"/>
      <c r="S332" s="23" t="n"/>
      <c r="T332" s="23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3" t="n"/>
    </row>
    <row r="333" ht="14.25" customHeight="1" s="72">
      <c r="A333" s="22" t="n"/>
      <c r="B333" s="22" t="n"/>
      <c r="C333" s="22" t="n"/>
      <c r="D333" s="22" t="n"/>
      <c r="E333" s="22" t="n"/>
      <c r="F333" s="22" t="n"/>
      <c r="G333" s="23" t="n"/>
      <c r="H333" s="22" t="n"/>
      <c r="I333" s="22" t="n"/>
      <c r="J333" s="22" t="n"/>
      <c r="K333" s="22" t="n"/>
      <c r="L333" s="22" t="n"/>
      <c r="M333" s="22" t="n"/>
      <c r="N333" s="22" t="n"/>
      <c r="O333" s="23" t="n"/>
      <c r="P333" s="23" t="n"/>
      <c r="Q333" s="23" t="n"/>
      <c r="R333" s="23" t="n"/>
      <c r="S333" s="23" t="n"/>
      <c r="T333" s="23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3" t="n"/>
    </row>
    <row r="334" ht="14.25" customHeight="1" s="72">
      <c r="A334" s="22" t="n"/>
      <c r="B334" s="22" t="n"/>
      <c r="C334" s="22" t="n"/>
      <c r="D334" s="22" t="n"/>
      <c r="E334" s="22" t="n"/>
      <c r="F334" s="22" t="n"/>
      <c r="G334" s="23" t="n"/>
      <c r="H334" s="22" t="n"/>
      <c r="I334" s="22" t="n"/>
      <c r="J334" s="22" t="n"/>
      <c r="K334" s="22" t="n"/>
      <c r="L334" s="22" t="n"/>
      <c r="M334" s="22" t="n"/>
      <c r="N334" s="22" t="n"/>
      <c r="O334" s="23" t="n"/>
      <c r="P334" s="23" t="n"/>
      <c r="Q334" s="23" t="n"/>
      <c r="R334" s="23" t="n"/>
      <c r="S334" s="23" t="n"/>
      <c r="T334" s="23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3" t="n"/>
    </row>
    <row r="335" ht="14.25" customHeight="1" s="72">
      <c r="A335" s="22" t="n"/>
      <c r="B335" s="22" t="n"/>
      <c r="C335" s="22" t="n"/>
      <c r="D335" s="22" t="n"/>
      <c r="E335" s="22" t="n"/>
      <c r="F335" s="22" t="n"/>
      <c r="G335" s="23" t="n"/>
      <c r="H335" s="22" t="n"/>
      <c r="I335" s="22" t="n"/>
      <c r="J335" s="22" t="n"/>
      <c r="K335" s="22" t="n"/>
      <c r="L335" s="22" t="n"/>
      <c r="M335" s="22" t="n"/>
      <c r="N335" s="22" t="n"/>
      <c r="O335" s="23" t="n"/>
      <c r="P335" s="23" t="n"/>
      <c r="Q335" s="23" t="n"/>
      <c r="R335" s="23" t="n"/>
      <c r="S335" s="23" t="n"/>
      <c r="T335" s="23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3" t="n"/>
    </row>
    <row r="336" ht="14.25" customHeight="1" s="72">
      <c r="A336" s="22" t="n"/>
      <c r="B336" s="22" t="n"/>
      <c r="C336" s="22" t="n"/>
      <c r="D336" s="22" t="n"/>
      <c r="E336" s="22" t="n"/>
      <c r="F336" s="22" t="n"/>
      <c r="G336" s="23" t="n"/>
      <c r="H336" s="22" t="n"/>
      <c r="I336" s="22" t="n"/>
      <c r="J336" s="22" t="n"/>
      <c r="K336" s="22" t="n"/>
      <c r="L336" s="22" t="n"/>
      <c r="M336" s="22" t="n"/>
      <c r="N336" s="22" t="n"/>
      <c r="O336" s="23" t="n"/>
      <c r="P336" s="23" t="n"/>
      <c r="Q336" s="23" t="n"/>
      <c r="R336" s="23" t="n"/>
      <c r="S336" s="23" t="n"/>
      <c r="T336" s="23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3" t="n"/>
    </row>
    <row r="337" ht="14.25" customHeight="1" s="72">
      <c r="A337" s="22" t="n"/>
      <c r="B337" s="22" t="n"/>
      <c r="C337" s="22" t="n"/>
      <c r="D337" s="22" t="n"/>
      <c r="E337" s="22" t="n"/>
      <c r="F337" s="22" t="n"/>
      <c r="G337" s="23" t="n"/>
      <c r="H337" s="22" t="n"/>
      <c r="I337" s="22" t="n"/>
      <c r="J337" s="22" t="n"/>
      <c r="K337" s="22" t="n"/>
      <c r="L337" s="22" t="n"/>
      <c r="M337" s="22" t="n"/>
      <c r="N337" s="22" t="n"/>
      <c r="O337" s="23" t="n"/>
      <c r="P337" s="23" t="n"/>
      <c r="Q337" s="23" t="n"/>
      <c r="R337" s="23" t="n"/>
      <c r="S337" s="23" t="n"/>
      <c r="T337" s="23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3" t="n"/>
    </row>
    <row r="338" ht="14.25" customHeight="1" s="72">
      <c r="A338" s="22" t="n"/>
      <c r="B338" s="22" t="n"/>
      <c r="C338" s="22" t="n"/>
      <c r="D338" s="22" t="n"/>
      <c r="E338" s="22" t="n"/>
      <c r="F338" s="22" t="n"/>
      <c r="G338" s="23" t="n"/>
      <c r="H338" s="22" t="n"/>
      <c r="I338" s="22" t="n"/>
      <c r="J338" s="22" t="n"/>
      <c r="K338" s="22" t="n"/>
      <c r="L338" s="22" t="n"/>
      <c r="M338" s="22" t="n"/>
      <c r="N338" s="22" t="n"/>
      <c r="O338" s="23" t="n"/>
      <c r="P338" s="23" t="n"/>
      <c r="Q338" s="23" t="n"/>
      <c r="R338" s="23" t="n"/>
      <c r="S338" s="23" t="n"/>
      <c r="T338" s="23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3" t="n"/>
    </row>
    <row r="339" ht="14.25" customHeight="1" s="72">
      <c r="A339" s="22" t="n"/>
      <c r="B339" s="22" t="n"/>
      <c r="C339" s="22" t="n"/>
      <c r="D339" s="22" t="n"/>
      <c r="E339" s="22" t="n"/>
      <c r="F339" s="22" t="n"/>
      <c r="G339" s="23" t="n"/>
      <c r="H339" s="22" t="n"/>
      <c r="I339" s="22" t="n"/>
      <c r="J339" s="22" t="n"/>
      <c r="K339" s="22" t="n"/>
      <c r="L339" s="22" t="n"/>
      <c r="M339" s="22" t="n"/>
      <c r="N339" s="22" t="n"/>
      <c r="O339" s="23" t="n"/>
      <c r="P339" s="23" t="n"/>
      <c r="Q339" s="23" t="n"/>
      <c r="R339" s="23" t="n"/>
      <c r="S339" s="23" t="n"/>
      <c r="T339" s="23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3" t="n"/>
    </row>
    <row r="340" ht="14.25" customHeight="1" s="72">
      <c r="A340" s="22" t="n"/>
      <c r="B340" s="22" t="n"/>
      <c r="C340" s="22" t="n"/>
      <c r="D340" s="22" t="n"/>
      <c r="E340" s="22" t="n"/>
      <c r="F340" s="22" t="n"/>
      <c r="G340" s="23" t="n"/>
      <c r="H340" s="22" t="n"/>
      <c r="I340" s="22" t="n"/>
      <c r="J340" s="22" t="n"/>
      <c r="K340" s="22" t="n"/>
      <c r="L340" s="22" t="n"/>
      <c r="M340" s="22" t="n"/>
      <c r="N340" s="22" t="n"/>
      <c r="O340" s="23" t="n"/>
      <c r="P340" s="23" t="n"/>
      <c r="Q340" s="23" t="n"/>
      <c r="R340" s="23" t="n"/>
      <c r="S340" s="23" t="n"/>
      <c r="T340" s="23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3" t="n"/>
    </row>
    <row r="341" ht="14.25" customHeight="1" s="72">
      <c r="A341" s="22" t="n"/>
      <c r="B341" s="22" t="n"/>
      <c r="C341" s="22" t="n"/>
      <c r="D341" s="22" t="n"/>
      <c r="E341" s="22" t="n"/>
      <c r="F341" s="22" t="n"/>
      <c r="G341" s="23" t="n"/>
      <c r="H341" s="22" t="n"/>
      <c r="I341" s="22" t="n"/>
      <c r="J341" s="22" t="n"/>
      <c r="K341" s="22" t="n"/>
      <c r="L341" s="22" t="n"/>
      <c r="M341" s="22" t="n"/>
      <c r="N341" s="22" t="n"/>
      <c r="O341" s="23" t="n"/>
      <c r="P341" s="23" t="n"/>
      <c r="Q341" s="23" t="n"/>
      <c r="R341" s="23" t="n"/>
      <c r="S341" s="23" t="n"/>
      <c r="T341" s="23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3" t="n"/>
    </row>
    <row r="342" ht="14.25" customHeight="1" s="72">
      <c r="A342" s="22" t="n"/>
      <c r="B342" s="22" t="n"/>
      <c r="C342" s="22" t="n"/>
      <c r="D342" s="22" t="n"/>
      <c r="E342" s="22" t="n"/>
      <c r="F342" s="22" t="n"/>
      <c r="G342" s="23" t="n"/>
      <c r="H342" s="22" t="n"/>
      <c r="I342" s="22" t="n"/>
      <c r="J342" s="22" t="n"/>
      <c r="K342" s="22" t="n"/>
      <c r="L342" s="22" t="n"/>
      <c r="M342" s="22" t="n"/>
      <c r="N342" s="22" t="n"/>
      <c r="O342" s="23" t="n"/>
      <c r="P342" s="23" t="n"/>
      <c r="Q342" s="23" t="n"/>
      <c r="R342" s="23" t="n"/>
      <c r="S342" s="23" t="n"/>
      <c r="T342" s="23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3" t="n"/>
    </row>
    <row r="343" ht="14.25" customHeight="1" s="72">
      <c r="A343" s="22" t="n"/>
      <c r="B343" s="22" t="n"/>
      <c r="C343" s="22" t="n"/>
      <c r="D343" s="22" t="n"/>
      <c r="E343" s="22" t="n"/>
      <c r="F343" s="22" t="n"/>
      <c r="G343" s="23" t="n"/>
      <c r="H343" s="22" t="n"/>
      <c r="I343" s="22" t="n"/>
      <c r="J343" s="22" t="n"/>
      <c r="K343" s="22" t="n"/>
      <c r="L343" s="22" t="n"/>
      <c r="M343" s="22" t="n"/>
      <c r="N343" s="22" t="n"/>
      <c r="O343" s="23" t="n"/>
      <c r="P343" s="23" t="n"/>
      <c r="Q343" s="23" t="n"/>
      <c r="R343" s="23" t="n"/>
      <c r="S343" s="23" t="n"/>
      <c r="T343" s="23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3" t="n"/>
    </row>
    <row r="344" ht="14.25" customHeight="1" s="72">
      <c r="A344" s="22" t="n"/>
      <c r="B344" s="22" t="n"/>
      <c r="C344" s="22" t="n"/>
      <c r="D344" s="22" t="n"/>
      <c r="E344" s="22" t="n"/>
      <c r="F344" s="22" t="n"/>
      <c r="G344" s="23" t="n"/>
      <c r="H344" s="22" t="n"/>
      <c r="I344" s="22" t="n"/>
      <c r="J344" s="22" t="n"/>
      <c r="K344" s="22" t="n"/>
      <c r="L344" s="22" t="n"/>
      <c r="M344" s="22" t="n"/>
      <c r="N344" s="22" t="n"/>
      <c r="O344" s="23" t="n"/>
      <c r="P344" s="23" t="n"/>
      <c r="Q344" s="23" t="n"/>
      <c r="R344" s="23" t="n"/>
      <c r="S344" s="23" t="n"/>
      <c r="T344" s="23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3" t="n"/>
    </row>
    <row r="345" ht="14.25" customHeight="1" s="72">
      <c r="A345" s="22" t="n"/>
      <c r="B345" s="22" t="n"/>
      <c r="C345" s="22" t="n"/>
      <c r="D345" s="22" t="n"/>
      <c r="E345" s="22" t="n"/>
      <c r="F345" s="22" t="n"/>
      <c r="G345" s="23" t="n"/>
      <c r="H345" s="22" t="n"/>
      <c r="I345" s="22" t="n"/>
      <c r="J345" s="22" t="n"/>
      <c r="K345" s="22" t="n"/>
      <c r="L345" s="22" t="n"/>
      <c r="M345" s="22" t="n"/>
      <c r="N345" s="22" t="n"/>
      <c r="O345" s="23" t="n"/>
      <c r="P345" s="23" t="n"/>
      <c r="Q345" s="23" t="n"/>
      <c r="R345" s="23" t="n"/>
      <c r="S345" s="23" t="n"/>
      <c r="T345" s="23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3" t="n"/>
    </row>
    <row r="346" ht="14.25" customHeight="1" s="72">
      <c r="A346" s="22" t="n"/>
      <c r="B346" s="22" t="n"/>
      <c r="C346" s="22" t="n"/>
      <c r="D346" s="22" t="n"/>
      <c r="E346" s="22" t="n"/>
      <c r="F346" s="22" t="n"/>
      <c r="G346" s="23" t="n"/>
      <c r="H346" s="22" t="n"/>
      <c r="I346" s="22" t="n"/>
      <c r="J346" s="22" t="n"/>
      <c r="K346" s="22" t="n"/>
      <c r="L346" s="22" t="n"/>
      <c r="M346" s="22" t="n"/>
      <c r="N346" s="22" t="n"/>
      <c r="O346" s="23" t="n"/>
      <c r="P346" s="23" t="n"/>
      <c r="Q346" s="23" t="n"/>
      <c r="R346" s="23" t="n"/>
      <c r="S346" s="23" t="n"/>
      <c r="T346" s="23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3" t="n"/>
    </row>
    <row r="347" ht="14.25" customHeight="1" s="72">
      <c r="A347" s="22" t="n"/>
      <c r="B347" s="22" t="n"/>
      <c r="C347" s="22" t="n"/>
      <c r="D347" s="22" t="n"/>
      <c r="E347" s="22" t="n"/>
      <c r="F347" s="22" t="n"/>
      <c r="G347" s="23" t="n"/>
      <c r="H347" s="22" t="n"/>
      <c r="I347" s="22" t="n"/>
      <c r="J347" s="22" t="n"/>
      <c r="K347" s="22" t="n"/>
      <c r="L347" s="22" t="n"/>
      <c r="M347" s="22" t="n"/>
      <c r="N347" s="22" t="n"/>
      <c r="O347" s="23" t="n"/>
      <c r="P347" s="23" t="n"/>
      <c r="Q347" s="23" t="n"/>
      <c r="R347" s="23" t="n"/>
      <c r="S347" s="23" t="n"/>
      <c r="T347" s="23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3" t="n"/>
    </row>
    <row r="348" ht="14.25" customHeight="1" s="72">
      <c r="A348" s="22" t="n"/>
      <c r="B348" s="22" t="n"/>
      <c r="C348" s="22" t="n"/>
      <c r="D348" s="22" t="n"/>
      <c r="E348" s="22" t="n"/>
      <c r="F348" s="22" t="n"/>
      <c r="G348" s="23" t="n"/>
      <c r="H348" s="22" t="n"/>
      <c r="I348" s="22" t="n"/>
      <c r="J348" s="22" t="n"/>
      <c r="K348" s="22" t="n"/>
      <c r="L348" s="22" t="n"/>
      <c r="M348" s="22" t="n"/>
      <c r="N348" s="22" t="n"/>
      <c r="O348" s="23" t="n"/>
      <c r="P348" s="23" t="n"/>
      <c r="Q348" s="23" t="n"/>
      <c r="R348" s="23" t="n"/>
      <c r="S348" s="23" t="n"/>
      <c r="T348" s="23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3" t="n"/>
    </row>
    <row r="349" ht="14.25" customHeight="1" s="72">
      <c r="A349" s="22" t="n"/>
      <c r="B349" s="22" t="n"/>
      <c r="C349" s="22" t="n"/>
      <c r="D349" s="22" t="n"/>
      <c r="E349" s="22" t="n"/>
      <c r="F349" s="22" t="n"/>
      <c r="G349" s="23" t="n"/>
      <c r="H349" s="22" t="n"/>
      <c r="I349" s="22" t="n"/>
      <c r="J349" s="22" t="n"/>
      <c r="K349" s="22" t="n"/>
      <c r="L349" s="22" t="n"/>
      <c r="M349" s="22" t="n"/>
      <c r="N349" s="22" t="n"/>
      <c r="O349" s="23" t="n"/>
      <c r="P349" s="23" t="n"/>
      <c r="Q349" s="23" t="n"/>
      <c r="R349" s="23" t="n"/>
      <c r="S349" s="23" t="n"/>
      <c r="T349" s="23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3" t="n"/>
    </row>
    <row r="350" ht="14.25" customHeight="1" s="72">
      <c r="A350" s="22" t="n"/>
      <c r="B350" s="22" t="n"/>
      <c r="C350" s="22" t="n"/>
      <c r="D350" s="22" t="n"/>
      <c r="E350" s="22" t="n"/>
      <c r="F350" s="22" t="n"/>
      <c r="G350" s="23" t="n"/>
      <c r="H350" s="22" t="n"/>
      <c r="I350" s="22" t="n"/>
      <c r="J350" s="22" t="n"/>
      <c r="K350" s="22" t="n"/>
      <c r="L350" s="22" t="n"/>
      <c r="M350" s="22" t="n"/>
      <c r="N350" s="22" t="n"/>
      <c r="O350" s="23" t="n"/>
      <c r="P350" s="23" t="n"/>
      <c r="Q350" s="23" t="n"/>
      <c r="R350" s="23" t="n"/>
      <c r="S350" s="23" t="n"/>
      <c r="T350" s="23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3" t="n"/>
    </row>
    <row r="351" ht="14.25" customHeight="1" s="72">
      <c r="A351" s="22" t="n"/>
      <c r="B351" s="22" t="n"/>
      <c r="C351" s="22" t="n"/>
      <c r="D351" s="22" t="n"/>
      <c r="E351" s="22" t="n"/>
      <c r="F351" s="22" t="n"/>
      <c r="G351" s="23" t="n"/>
      <c r="H351" s="22" t="n"/>
      <c r="I351" s="22" t="n"/>
      <c r="J351" s="22" t="n"/>
      <c r="K351" s="22" t="n"/>
      <c r="L351" s="22" t="n"/>
      <c r="M351" s="22" t="n"/>
      <c r="N351" s="22" t="n"/>
      <c r="O351" s="23" t="n"/>
      <c r="P351" s="23" t="n"/>
      <c r="Q351" s="23" t="n"/>
      <c r="R351" s="23" t="n"/>
      <c r="S351" s="23" t="n"/>
      <c r="T351" s="23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3" t="n"/>
    </row>
    <row r="352" ht="14.25" customHeight="1" s="72">
      <c r="A352" s="22" t="n"/>
      <c r="B352" s="22" t="n"/>
      <c r="C352" s="22" t="n"/>
      <c r="D352" s="22" t="n"/>
      <c r="E352" s="22" t="n"/>
      <c r="F352" s="22" t="n"/>
      <c r="G352" s="23" t="n"/>
      <c r="H352" s="22" t="n"/>
      <c r="I352" s="22" t="n"/>
      <c r="J352" s="22" t="n"/>
      <c r="K352" s="22" t="n"/>
      <c r="L352" s="22" t="n"/>
      <c r="M352" s="22" t="n"/>
      <c r="N352" s="22" t="n"/>
      <c r="O352" s="23" t="n"/>
      <c r="P352" s="23" t="n"/>
      <c r="Q352" s="23" t="n"/>
      <c r="R352" s="23" t="n"/>
      <c r="S352" s="23" t="n"/>
      <c r="T352" s="23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3" t="n"/>
    </row>
    <row r="353" ht="14.25" customHeight="1" s="72">
      <c r="A353" s="22" t="n"/>
      <c r="B353" s="22" t="n"/>
      <c r="C353" s="22" t="n"/>
      <c r="D353" s="22" t="n"/>
      <c r="E353" s="22" t="n"/>
      <c r="F353" s="22" t="n"/>
      <c r="G353" s="23" t="n"/>
      <c r="H353" s="22" t="n"/>
      <c r="I353" s="22" t="n"/>
      <c r="J353" s="22" t="n"/>
      <c r="K353" s="22" t="n"/>
      <c r="L353" s="22" t="n"/>
      <c r="M353" s="22" t="n"/>
      <c r="N353" s="22" t="n"/>
      <c r="O353" s="23" t="n"/>
      <c r="P353" s="23" t="n"/>
      <c r="Q353" s="23" t="n"/>
      <c r="R353" s="23" t="n"/>
      <c r="S353" s="23" t="n"/>
      <c r="T353" s="23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3" t="n"/>
    </row>
    <row r="354" ht="14.25" customHeight="1" s="72">
      <c r="A354" s="22" t="n"/>
      <c r="B354" s="22" t="n"/>
      <c r="C354" s="22" t="n"/>
      <c r="D354" s="22" t="n"/>
      <c r="E354" s="22" t="n"/>
      <c r="F354" s="22" t="n"/>
      <c r="G354" s="23" t="n"/>
      <c r="H354" s="22" t="n"/>
      <c r="I354" s="22" t="n"/>
      <c r="J354" s="22" t="n"/>
      <c r="K354" s="22" t="n"/>
      <c r="L354" s="22" t="n"/>
      <c r="M354" s="22" t="n"/>
      <c r="N354" s="22" t="n"/>
      <c r="O354" s="23" t="n"/>
      <c r="P354" s="23" t="n"/>
      <c r="Q354" s="23" t="n"/>
      <c r="R354" s="23" t="n"/>
      <c r="S354" s="23" t="n"/>
      <c r="T354" s="23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3" t="n"/>
    </row>
    <row r="355" ht="14.25" customHeight="1" s="72">
      <c r="A355" s="22" t="n"/>
      <c r="B355" s="22" t="n"/>
      <c r="C355" s="22" t="n"/>
      <c r="D355" s="22" t="n"/>
      <c r="E355" s="22" t="n"/>
      <c r="F355" s="22" t="n"/>
      <c r="G355" s="23" t="n"/>
      <c r="H355" s="22" t="n"/>
      <c r="I355" s="22" t="n"/>
      <c r="J355" s="22" t="n"/>
      <c r="K355" s="22" t="n"/>
      <c r="L355" s="22" t="n"/>
      <c r="M355" s="22" t="n"/>
      <c r="N355" s="22" t="n"/>
      <c r="O355" s="23" t="n"/>
      <c r="P355" s="23" t="n"/>
      <c r="Q355" s="23" t="n"/>
      <c r="R355" s="23" t="n"/>
      <c r="S355" s="23" t="n"/>
      <c r="T355" s="23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3" t="n"/>
    </row>
    <row r="356" ht="14.25" customHeight="1" s="72">
      <c r="A356" s="22" t="n"/>
      <c r="B356" s="22" t="n"/>
      <c r="C356" s="22" t="n"/>
      <c r="D356" s="22" t="n"/>
      <c r="E356" s="22" t="n"/>
      <c r="F356" s="22" t="n"/>
      <c r="G356" s="23" t="n"/>
      <c r="H356" s="22" t="n"/>
      <c r="I356" s="22" t="n"/>
      <c r="J356" s="22" t="n"/>
      <c r="K356" s="22" t="n"/>
      <c r="L356" s="22" t="n"/>
      <c r="M356" s="22" t="n"/>
      <c r="N356" s="22" t="n"/>
      <c r="O356" s="23" t="n"/>
      <c r="P356" s="23" t="n"/>
      <c r="Q356" s="23" t="n"/>
      <c r="R356" s="23" t="n"/>
      <c r="S356" s="23" t="n"/>
      <c r="T356" s="23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3" t="n"/>
    </row>
    <row r="357" ht="14.25" customHeight="1" s="72">
      <c r="A357" s="22" t="n"/>
      <c r="B357" s="22" t="n"/>
      <c r="C357" s="22" t="n"/>
      <c r="D357" s="22" t="n"/>
      <c r="E357" s="22" t="n"/>
      <c r="F357" s="22" t="n"/>
      <c r="G357" s="23" t="n"/>
      <c r="H357" s="22" t="n"/>
      <c r="I357" s="22" t="n"/>
      <c r="J357" s="22" t="n"/>
      <c r="K357" s="22" t="n"/>
      <c r="L357" s="22" t="n"/>
      <c r="M357" s="22" t="n"/>
      <c r="N357" s="22" t="n"/>
      <c r="O357" s="23" t="n"/>
      <c r="P357" s="23" t="n"/>
      <c r="Q357" s="23" t="n"/>
      <c r="R357" s="23" t="n"/>
      <c r="S357" s="23" t="n"/>
      <c r="T357" s="23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3" t="n"/>
    </row>
    <row r="358" ht="14.25" customHeight="1" s="72">
      <c r="A358" s="22" t="n"/>
      <c r="B358" s="22" t="n"/>
      <c r="C358" s="22" t="n"/>
      <c r="D358" s="22" t="n"/>
      <c r="E358" s="22" t="n"/>
      <c r="F358" s="22" t="n"/>
      <c r="G358" s="23" t="n"/>
      <c r="H358" s="22" t="n"/>
      <c r="I358" s="22" t="n"/>
      <c r="J358" s="22" t="n"/>
      <c r="K358" s="22" t="n"/>
      <c r="L358" s="22" t="n"/>
      <c r="M358" s="22" t="n"/>
      <c r="N358" s="22" t="n"/>
      <c r="O358" s="23" t="n"/>
      <c r="P358" s="23" t="n"/>
      <c r="Q358" s="23" t="n"/>
      <c r="R358" s="23" t="n"/>
      <c r="S358" s="23" t="n"/>
      <c r="T358" s="23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3" t="n"/>
    </row>
    <row r="359" ht="14.25" customHeight="1" s="72">
      <c r="A359" s="22" t="n"/>
      <c r="B359" s="22" t="n"/>
      <c r="C359" s="22" t="n"/>
      <c r="D359" s="22" t="n"/>
      <c r="E359" s="22" t="n"/>
      <c r="F359" s="22" t="n"/>
      <c r="G359" s="23" t="n"/>
      <c r="H359" s="22" t="n"/>
      <c r="I359" s="22" t="n"/>
      <c r="J359" s="22" t="n"/>
      <c r="K359" s="22" t="n"/>
      <c r="L359" s="22" t="n"/>
      <c r="M359" s="22" t="n"/>
      <c r="N359" s="22" t="n"/>
      <c r="O359" s="23" t="n"/>
      <c r="P359" s="23" t="n"/>
      <c r="Q359" s="23" t="n"/>
      <c r="R359" s="23" t="n"/>
      <c r="S359" s="23" t="n"/>
      <c r="T359" s="23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3" t="n"/>
    </row>
    <row r="360" ht="14.25" customHeight="1" s="72">
      <c r="A360" s="22" t="n"/>
      <c r="B360" s="22" t="n"/>
      <c r="C360" s="22" t="n"/>
      <c r="D360" s="22" t="n"/>
      <c r="E360" s="22" t="n"/>
      <c r="F360" s="22" t="n"/>
      <c r="G360" s="23" t="n"/>
      <c r="H360" s="22" t="n"/>
      <c r="I360" s="22" t="n"/>
      <c r="J360" s="22" t="n"/>
      <c r="K360" s="22" t="n"/>
      <c r="L360" s="22" t="n"/>
      <c r="M360" s="22" t="n"/>
      <c r="N360" s="22" t="n"/>
      <c r="O360" s="23" t="n"/>
      <c r="P360" s="23" t="n"/>
      <c r="Q360" s="23" t="n"/>
      <c r="R360" s="23" t="n"/>
      <c r="S360" s="23" t="n"/>
      <c r="T360" s="23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3" t="n"/>
    </row>
    <row r="361" ht="14.25" customHeight="1" s="72">
      <c r="A361" s="22" t="n"/>
      <c r="B361" s="22" t="n"/>
      <c r="C361" s="22" t="n"/>
      <c r="D361" s="22" t="n"/>
      <c r="E361" s="22" t="n"/>
      <c r="F361" s="22" t="n"/>
      <c r="G361" s="23" t="n"/>
      <c r="H361" s="22" t="n"/>
      <c r="I361" s="22" t="n"/>
      <c r="J361" s="22" t="n"/>
      <c r="K361" s="22" t="n"/>
      <c r="L361" s="22" t="n"/>
      <c r="M361" s="22" t="n"/>
      <c r="N361" s="22" t="n"/>
      <c r="O361" s="23" t="n"/>
      <c r="P361" s="23" t="n"/>
      <c r="Q361" s="23" t="n"/>
      <c r="R361" s="23" t="n"/>
      <c r="S361" s="23" t="n"/>
      <c r="T361" s="23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3" t="n"/>
    </row>
    <row r="362" ht="14.25" customHeight="1" s="72">
      <c r="A362" s="22" t="n"/>
      <c r="B362" s="22" t="n"/>
      <c r="C362" s="22" t="n"/>
      <c r="D362" s="22" t="n"/>
      <c r="E362" s="22" t="n"/>
      <c r="F362" s="22" t="n"/>
      <c r="G362" s="23" t="n"/>
      <c r="H362" s="22" t="n"/>
      <c r="I362" s="22" t="n"/>
      <c r="J362" s="22" t="n"/>
      <c r="K362" s="22" t="n"/>
      <c r="L362" s="22" t="n"/>
      <c r="M362" s="22" t="n"/>
      <c r="N362" s="22" t="n"/>
      <c r="O362" s="23" t="n"/>
      <c r="P362" s="23" t="n"/>
      <c r="Q362" s="23" t="n"/>
      <c r="R362" s="23" t="n"/>
      <c r="S362" s="23" t="n"/>
      <c r="T362" s="23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3" t="n"/>
    </row>
    <row r="363" ht="14.25" customHeight="1" s="72">
      <c r="A363" s="22" t="n"/>
      <c r="B363" s="22" t="n"/>
      <c r="C363" s="22" t="n"/>
      <c r="D363" s="22" t="n"/>
      <c r="E363" s="22" t="n"/>
      <c r="F363" s="22" t="n"/>
      <c r="G363" s="23" t="n"/>
      <c r="H363" s="22" t="n"/>
      <c r="I363" s="22" t="n"/>
      <c r="J363" s="22" t="n"/>
      <c r="K363" s="22" t="n"/>
      <c r="L363" s="22" t="n"/>
      <c r="M363" s="22" t="n"/>
      <c r="N363" s="22" t="n"/>
      <c r="O363" s="23" t="n"/>
      <c r="P363" s="23" t="n"/>
      <c r="Q363" s="23" t="n"/>
      <c r="R363" s="23" t="n"/>
      <c r="S363" s="23" t="n"/>
      <c r="T363" s="23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3" t="n"/>
    </row>
    <row r="364" ht="14.25" customHeight="1" s="72">
      <c r="A364" s="22" t="n"/>
      <c r="B364" s="22" t="n"/>
      <c r="C364" s="22" t="n"/>
      <c r="D364" s="22" t="n"/>
      <c r="E364" s="22" t="n"/>
      <c r="F364" s="22" t="n"/>
      <c r="G364" s="23" t="n"/>
      <c r="H364" s="22" t="n"/>
      <c r="I364" s="22" t="n"/>
      <c r="J364" s="22" t="n"/>
      <c r="K364" s="22" t="n"/>
      <c r="L364" s="22" t="n"/>
      <c r="M364" s="22" t="n"/>
      <c r="N364" s="22" t="n"/>
      <c r="O364" s="23" t="n"/>
      <c r="P364" s="23" t="n"/>
      <c r="Q364" s="23" t="n"/>
      <c r="R364" s="23" t="n"/>
      <c r="S364" s="23" t="n"/>
      <c r="T364" s="23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3" t="n"/>
    </row>
    <row r="365" ht="14.25" customHeight="1" s="72">
      <c r="A365" s="22" t="n"/>
      <c r="B365" s="22" t="n"/>
      <c r="C365" s="22" t="n"/>
      <c r="D365" s="22" t="n"/>
      <c r="E365" s="22" t="n"/>
      <c r="F365" s="22" t="n"/>
      <c r="G365" s="23" t="n"/>
      <c r="H365" s="22" t="n"/>
      <c r="I365" s="22" t="n"/>
      <c r="J365" s="22" t="n"/>
      <c r="K365" s="22" t="n"/>
      <c r="L365" s="22" t="n"/>
      <c r="M365" s="22" t="n"/>
      <c r="N365" s="22" t="n"/>
      <c r="O365" s="23" t="n"/>
      <c r="P365" s="23" t="n"/>
      <c r="Q365" s="23" t="n"/>
      <c r="R365" s="23" t="n"/>
      <c r="S365" s="23" t="n"/>
      <c r="T365" s="23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3" t="n"/>
    </row>
    <row r="366" ht="14.25" customHeight="1" s="72">
      <c r="A366" s="22" t="n"/>
      <c r="B366" s="22" t="n"/>
      <c r="C366" s="22" t="n"/>
      <c r="D366" s="22" t="n"/>
      <c r="E366" s="22" t="n"/>
      <c r="F366" s="22" t="n"/>
      <c r="G366" s="23" t="n"/>
      <c r="H366" s="22" t="n"/>
      <c r="I366" s="22" t="n"/>
      <c r="J366" s="22" t="n"/>
      <c r="K366" s="22" t="n"/>
      <c r="L366" s="22" t="n"/>
      <c r="M366" s="22" t="n"/>
      <c r="N366" s="22" t="n"/>
      <c r="O366" s="23" t="n"/>
      <c r="P366" s="23" t="n"/>
      <c r="Q366" s="23" t="n"/>
      <c r="R366" s="23" t="n"/>
      <c r="S366" s="23" t="n"/>
      <c r="T366" s="23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3" t="n"/>
    </row>
    <row r="367" ht="14.25" customHeight="1" s="72">
      <c r="A367" s="22" t="n"/>
      <c r="B367" s="22" t="n"/>
      <c r="C367" s="22" t="n"/>
      <c r="D367" s="22" t="n"/>
      <c r="E367" s="22" t="n"/>
      <c r="F367" s="22" t="n"/>
      <c r="G367" s="23" t="n"/>
      <c r="H367" s="22" t="n"/>
      <c r="I367" s="22" t="n"/>
      <c r="J367" s="22" t="n"/>
      <c r="K367" s="22" t="n"/>
      <c r="L367" s="22" t="n"/>
      <c r="M367" s="22" t="n"/>
      <c r="N367" s="22" t="n"/>
      <c r="O367" s="23" t="n"/>
      <c r="P367" s="23" t="n"/>
      <c r="Q367" s="23" t="n"/>
      <c r="R367" s="23" t="n"/>
      <c r="S367" s="23" t="n"/>
      <c r="T367" s="23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3" t="n"/>
    </row>
    <row r="368" ht="14.25" customHeight="1" s="72">
      <c r="A368" s="22" t="n"/>
      <c r="B368" s="22" t="n"/>
      <c r="C368" s="22" t="n"/>
      <c r="D368" s="22" t="n"/>
      <c r="E368" s="22" t="n"/>
      <c r="F368" s="22" t="n"/>
      <c r="G368" s="23" t="n"/>
      <c r="H368" s="22" t="n"/>
      <c r="I368" s="22" t="n"/>
      <c r="J368" s="22" t="n"/>
      <c r="K368" s="22" t="n"/>
      <c r="L368" s="22" t="n"/>
      <c r="M368" s="22" t="n"/>
      <c r="N368" s="22" t="n"/>
      <c r="O368" s="23" t="n"/>
      <c r="P368" s="23" t="n"/>
      <c r="Q368" s="23" t="n"/>
      <c r="R368" s="23" t="n"/>
      <c r="S368" s="23" t="n"/>
      <c r="T368" s="23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3" t="n"/>
    </row>
    <row r="369" ht="14.25" customHeight="1" s="72">
      <c r="A369" s="22" t="n"/>
      <c r="B369" s="22" t="n"/>
      <c r="C369" s="22" t="n"/>
      <c r="D369" s="22" t="n"/>
      <c r="E369" s="22" t="n"/>
      <c r="F369" s="22" t="n"/>
      <c r="G369" s="23" t="n"/>
      <c r="H369" s="22" t="n"/>
      <c r="I369" s="22" t="n"/>
      <c r="J369" s="22" t="n"/>
      <c r="K369" s="22" t="n"/>
      <c r="L369" s="22" t="n"/>
      <c r="M369" s="22" t="n"/>
      <c r="N369" s="22" t="n"/>
      <c r="O369" s="23" t="n"/>
      <c r="P369" s="23" t="n"/>
      <c r="Q369" s="23" t="n"/>
      <c r="R369" s="23" t="n"/>
      <c r="S369" s="23" t="n"/>
      <c r="T369" s="23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3" t="n"/>
    </row>
    <row r="370" ht="14.25" customHeight="1" s="72">
      <c r="A370" s="22" t="n"/>
      <c r="B370" s="22" t="n"/>
      <c r="C370" s="22" t="n"/>
      <c r="D370" s="22" t="n"/>
      <c r="E370" s="22" t="n"/>
      <c r="F370" s="22" t="n"/>
      <c r="G370" s="23" t="n"/>
      <c r="H370" s="22" t="n"/>
      <c r="I370" s="22" t="n"/>
      <c r="J370" s="22" t="n"/>
      <c r="K370" s="22" t="n"/>
      <c r="L370" s="22" t="n"/>
      <c r="M370" s="22" t="n"/>
      <c r="N370" s="22" t="n"/>
      <c r="O370" s="23" t="n"/>
      <c r="P370" s="23" t="n"/>
      <c r="Q370" s="23" t="n"/>
      <c r="R370" s="23" t="n"/>
      <c r="S370" s="23" t="n"/>
      <c r="T370" s="23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3" t="n"/>
    </row>
    <row r="371" ht="14.25" customHeight="1" s="72">
      <c r="A371" s="22" t="n"/>
      <c r="B371" s="22" t="n"/>
      <c r="C371" s="22" t="n"/>
      <c r="D371" s="22" t="n"/>
      <c r="E371" s="22" t="n"/>
      <c r="F371" s="22" t="n"/>
      <c r="G371" s="23" t="n"/>
      <c r="H371" s="22" t="n"/>
      <c r="I371" s="22" t="n"/>
      <c r="J371" s="22" t="n"/>
      <c r="K371" s="22" t="n"/>
      <c r="L371" s="22" t="n"/>
      <c r="M371" s="22" t="n"/>
      <c r="N371" s="22" t="n"/>
      <c r="O371" s="23" t="n"/>
      <c r="P371" s="23" t="n"/>
      <c r="Q371" s="23" t="n"/>
      <c r="R371" s="23" t="n"/>
      <c r="S371" s="23" t="n"/>
      <c r="T371" s="23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3" t="n"/>
    </row>
    <row r="372" ht="14.25" customHeight="1" s="72">
      <c r="A372" s="22" t="n"/>
      <c r="B372" s="22" t="n"/>
      <c r="C372" s="22" t="n"/>
      <c r="D372" s="22" t="n"/>
      <c r="E372" s="22" t="n"/>
      <c r="F372" s="22" t="n"/>
      <c r="G372" s="23" t="n"/>
      <c r="H372" s="22" t="n"/>
      <c r="I372" s="22" t="n"/>
      <c r="J372" s="22" t="n"/>
      <c r="K372" s="22" t="n"/>
      <c r="L372" s="22" t="n"/>
      <c r="M372" s="22" t="n"/>
      <c r="N372" s="22" t="n"/>
      <c r="O372" s="23" t="n"/>
      <c r="P372" s="23" t="n"/>
      <c r="Q372" s="23" t="n"/>
      <c r="R372" s="23" t="n"/>
      <c r="S372" s="23" t="n"/>
      <c r="T372" s="23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3" t="n"/>
    </row>
    <row r="373" ht="14.25" customHeight="1" s="72">
      <c r="A373" s="22" t="n"/>
      <c r="B373" s="22" t="n"/>
      <c r="C373" s="22" t="n"/>
      <c r="D373" s="22" t="n"/>
      <c r="E373" s="22" t="n"/>
      <c r="F373" s="22" t="n"/>
      <c r="G373" s="23" t="n"/>
      <c r="H373" s="22" t="n"/>
      <c r="I373" s="22" t="n"/>
      <c r="J373" s="22" t="n"/>
      <c r="K373" s="22" t="n"/>
      <c r="L373" s="22" t="n"/>
      <c r="M373" s="22" t="n"/>
      <c r="N373" s="22" t="n"/>
      <c r="O373" s="23" t="n"/>
      <c r="P373" s="23" t="n"/>
      <c r="Q373" s="23" t="n"/>
      <c r="R373" s="23" t="n"/>
      <c r="S373" s="23" t="n"/>
      <c r="T373" s="23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3" t="n"/>
    </row>
    <row r="374" ht="14.25" customHeight="1" s="72">
      <c r="A374" s="22" t="n"/>
      <c r="B374" s="22" t="n"/>
      <c r="C374" s="22" t="n"/>
      <c r="D374" s="22" t="n"/>
      <c r="E374" s="22" t="n"/>
      <c r="F374" s="22" t="n"/>
      <c r="G374" s="23" t="n"/>
      <c r="H374" s="22" t="n"/>
      <c r="I374" s="22" t="n"/>
      <c r="J374" s="22" t="n"/>
      <c r="K374" s="22" t="n"/>
      <c r="L374" s="22" t="n"/>
      <c r="M374" s="22" t="n"/>
      <c r="N374" s="22" t="n"/>
      <c r="O374" s="23" t="n"/>
      <c r="P374" s="23" t="n"/>
      <c r="Q374" s="23" t="n"/>
      <c r="R374" s="23" t="n"/>
      <c r="S374" s="23" t="n"/>
      <c r="T374" s="23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3" t="n"/>
    </row>
    <row r="375" ht="14.25" customHeight="1" s="72">
      <c r="A375" s="22" t="n"/>
      <c r="B375" s="22" t="n"/>
      <c r="C375" s="22" t="n"/>
      <c r="D375" s="22" t="n"/>
      <c r="E375" s="22" t="n"/>
      <c r="F375" s="22" t="n"/>
      <c r="G375" s="23" t="n"/>
      <c r="H375" s="22" t="n"/>
      <c r="I375" s="22" t="n"/>
      <c r="J375" s="22" t="n"/>
      <c r="K375" s="22" t="n"/>
      <c r="L375" s="22" t="n"/>
      <c r="M375" s="22" t="n"/>
      <c r="N375" s="22" t="n"/>
      <c r="O375" s="23" t="n"/>
      <c r="P375" s="23" t="n"/>
      <c r="Q375" s="23" t="n"/>
      <c r="R375" s="23" t="n"/>
      <c r="S375" s="23" t="n"/>
      <c r="T375" s="23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3" t="n"/>
    </row>
    <row r="376" ht="14.25" customHeight="1" s="72">
      <c r="A376" s="22" t="n"/>
      <c r="B376" s="22" t="n"/>
      <c r="C376" s="22" t="n"/>
      <c r="D376" s="22" t="n"/>
      <c r="E376" s="22" t="n"/>
      <c r="F376" s="22" t="n"/>
      <c r="G376" s="23" t="n"/>
      <c r="H376" s="22" t="n"/>
      <c r="I376" s="22" t="n"/>
      <c r="J376" s="22" t="n"/>
      <c r="K376" s="22" t="n"/>
      <c r="L376" s="22" t="n"/>
      <c r="M376" s="22" t="n"/>
      <c r="N376" s="22" t="n"/>
      <c r="O376" s="23" t="n"/>
      <c r="P376" s="23" t="n"/>
      <c r="Q376" s="23" t="n"/>
      <c r="R376" s="23" t="n"/>
      <c r="S376" s="23" t="n"/>
      <c r="T376" s="23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3" t="n"/>
    </row>
    <row r="377" ht="14.25" customHeight="1" s="72">
      <c r="A377" s="22" t="n"/>
      <c r="B377" s="22" t="n"/>
      <c r="C377" s="22" t="n"/>
      <c r="D377" s="22" t="n"/>
      <c r="E377" s="22" t="n"/>
      <c r="F377" s="22" t="n"/>
      <c r="G377" s="23" t="n"/>
      <c r="H377" s="22" t="n"/>
      <c r="I377" s="22" t="n"/>
      <c r="J377" s="22" t="n"/>
      <c r="K377" s="22" t="n"/>
      <c r="L377" s="22" t="n"/>
      <c r="M377" s="22" t="n"/>
      <c r="N377" s="22" t="n"/>
      <c r="O377" s="23" t="n"/>
      <c r="P377" s="23" t="n"/>
      <c r="Q377" s="23" t="n"/>
      <c r="R377" s="23" t="n"/>
      <c r="S377" s="23" t="n"/>
      <c r="T377" s="23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3" t="n"/>
    </row>
    <row r="378" ht="14.25" customHeight="1" s="72">
      <c r="A378" s="22" t="n"/>
      <c r="B378" s="22" t="n"/>
      <c r="C378" s="22" t="n"/>
      <c r="D378" s="22" t="n"/>
      <c r="E378" s="22" t="n"/>
      <c r="F378" s="22" t="n"/>
      <c r="G378" s="23" t="n"/>
      <c r="H378" s="22" t="n"/>
      <c r="I378" s="22" t="n"/>
      <c r="J378" s="22" t="n"/>
      <c r="K378" s="22" t="n"/>
      <c r="L378" s="22" t="n"/>
      <c r="M378" s="22" t="n"/>
      <c r="N378" s="22" t="n"/>
      <c r="O378" s="23" t="n"/>
      <c r="P378" s="23" t="n"/>
      <c r="Q378" s="23" t="n"/>
      <c r="R378" s="23" t="n"/>
      <c r="S378" s="23" t="n"/>
      <c r="T378" s="23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3" t="n"/>
    </row>
    <row r="379" ht="14.25" customHeight="1" s="72">
      <c r="A379" s="22" t="n"/>
      <c r="B379" s="22" t="n"/>
      <c r="C379" s="22" t="n"/>
      <c r="D379" s="22" t="n"/>
      <c r="E379" s="22" t="n"/>
      <c r="F379" s="22" t="n"/>
      <c r="G379" s="23" t="n"/>
      <c r="H379" s="22" t="n"/>
      <c r="I379" s="22" t="n"/>
      <c r="J379" s="22" t="n"/>
      <c r="K379" s="22" t="n"/>
      <c r="L379" s="22" t="n"/>
      <c r="M379" s="22" t="n"/>
      <c r="N379" s="22" t="n"/>
      <c r="O379" s="23" t="n"/>
      <c r="P379" s="23" t="n"/>
      <c r="Q379" s="23" t="n"/>
      <c r="R379" s="23" t="n"/>
      <c r="S379" s="23" t="n"/>
      <c r="T379" s="23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3" t="n"/>
    </row>
    <row r="380" ht="14.25" customHeight="1" s="72">
      <c r="A380" s="22" t="n"/>
      <c r="B380" s="22" t="n"/>
      <c r="C380" s="22" t="n"/>
      <c r="D380" s="22" t="n"/>
      <c r="E380" s="22" t="n"/>
      <c r="F380" s="22" t="n"/>
      <c r="G380" s="23" t="n"/>
      <c r="H380" s="22" t="n"/>
      <c r="I380" s="22" t="n"/>
      <c r="J380" s="22" t="n"/>
      <c r="K380" s="22" t="n"/>
      <c r="L380" s="22" t="n"/>
      <c r="M380" s="22" t="n"/>
      <c r="N380" s="22" t="n"/>
      <c r="O380" s="23" t="n"/>
      <c r="P380" s="23" t="n"/>
      <c r="Q380" s="23" t="n"/>
      <c r="R380" s="23" t="n"/>
      <c r="S380" s="23" t="n"/>
      <c r="T380" s="23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3" t="n"/>
    </row>
    <row r="381" ht="14.25" customHeight="1" s="72">
      <c r="A381" s="22" t="n"/>
      <c r="B381" s="22" t="n"/>
      <c r="C381" s="22" t="n"/>
      <c r="D381" s="22" t="n"/>
      <c r="E381" s="22" t="n"/>
      <c r="F381" s="22" t="n"/>
      <c r="G381" s="23" t="n"/>
      <c r="H381" s="22" t="n"/>
      <c r="I381" s="22" t="n"/>
      <c r="J381" s="22" t="n"/>
      <c r="K381" s="22" t="n"/>
      <c r="L381" s="22" t="n"/>
      <c r="M381" s="22" t="n"/>
      <c r="N381" s="22" t="n"/>
      <c r="O381" s="23" t="n"/>
      <c r="P381" s="23" t="n"/>
      <c r="Q381" s="23" t="n"/>
      <c r="R381" s="23" t="n"/>
      <c r="S381" s="23" t="n"/>
      <c r="T381" s="23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3" t="n"/>
    </row>
    <row r="382" ht="14.25" customHeight="1" s="72">
      <c r="A382" s="22" t="n"/>
      <c r="B382" s="22" t="n"/>
      <c r="C382" s="22" t="n"/>
      <c r="D382" s="22" t="n"/>
      <c r="E382" s="22" t="n"/>
      <c r="F382" s="22" t="n"/>
      <c r="G382" s="23" t="n"/>
      <c r="H382" s="22" t="n"/>
      <c r="I382" s="22" t="n"/>
      <c r="J382" s="22" t="n"/>
      <c r="K382" s="22" t="n"/>
      <c r="L382" s="22" t="n"/>
      <c r="M382" s="22" t="n"/>
      <c r="N382" s="22" t="n"/>
      <c r="O382" s="23" t="n"/>
      <c r="P382" s="23" t="n"/>
      <c r="Q382" s="23" t="n"/>
      <c r="R382" s="23" t="n"/>
      <c r="S382" s="23" t="n"/>
      <c r="T382" s="23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3" t="n"/>
    </row>
    <row r="383" ht="14.25" customHeight="1" s="72">
      <c r="A383" s="22" t="n"/>
      <c r="B383" s="22" t="n"/>
      <c r="C383" s="22" t="n"/>
      <c r="D383" s="22" t="n"/>
      <c r="E383" s="22" t="n"/>
      <c r="F383" s="22" t="n"/>
      <c r="G383" s="23" t="n"/>
      <c r="H383" s="22" t="n"/>
      <c r="I383" s="22" t="n"/>
      <c r="J383" s="22" t="n"/>
      <c r="K383" s="22" t="n"/>
      <c r="L383" s="22" t="n"/>
      <c r="M383" s="22" t="n"/>
      <c r="N383" s="22" t="n"/>
      <c r="O383" s="23" t="n"/>
      <c r="P383" s="23" t="n"/>
      <c r="Q383" s="23" t="n"/>
      <c r="R383" s="23" t="n"/>
      <c r="S383" s="23" t="n"/>
      <c r="T383" s="23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3" t="n"/>
    </row>
    <row r="384" ht="14.25" customHeight="1" s="72">
      <c r="A384" s="22" t="n"/>
      <c r="B384" s="22" t="n"/>
      <c r="C384" s="22" t="n"/>
      <c r="D384" s="22" t="n"/>
      <c r="E384" s="22" t="n"/>
      <c r="F384" s="22" t="n"/>
      <c r="G384" s="23" t="n"/>
      <c r="H384" s="22" t="n"/>
      <c r="I384" s="22" t="n"/>
      <c r="J384" s="22" t="n"/>
      <c r="K384" s="22" t="n"/>
      <c r="L384" s="22" t="n"/>
      <c r="M384" s="22" t="n"/>
      <c r="N384" s="22" t="n"/>
      <c r="O384" s="23" t="n"/>
      <c r="P384" s="23" t="n"/>
      <c r="Q384" s="23" t="n"/>
      <c r="R384" s="23" t="n"/>
      <c r="S384" s="23" t="n"/>
      <c r="T384" s="23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3" t="n"/>
    </row>
    <row r="385" ht="14.25" customHeight="1" s="72">
      <c r="A385" s="22" t="n"/>
      <c r="B385" s="22" t="n"/>
      <c r="C385" s="22" t="n"/>
      <c r="D385" s="22" t="n"/>
      <c r="E385" s="22" t="n"/>
      <c r="F385" s="22" t="n"/>
      <c r="G385" s="23" t="n"/>
      <c r="H385" s="22" t="n"/>
      <c r="I385" s="22" t="n"/>
      <c r="J385" s="22" t="n"/>
      <c r="K385" s="22" t="n"/>
      <c r="L385" s="22" t="n"/>
      <c r="M385" s="22" t="n"/>
      <c r="N385" s="22" t="n"/>
      <c r="O385" s="23" t="n"/>
      <c r="P385" s="23" t="n"/>
      <c r="Q385" s="23" t="n"/>
      <c r="R385" s="23" t="n"/>
      <c r="S385" s="23" t="n"/>
      <c r="T385" s="23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3" t="n"/>
    </row>
    <row r="386" ht="14.25" customHeight="1" s="72">
      <c r="A386" s="22" t="n"/>
      <c r="B386" s="22" t="n"/>
      <c r="C386" s="22" t="n"/>
      <c r="D386" s="22" t="n"/>
      <c r="E386" s="22" t="n"/>
      <c r="F386" s="22" t="n"/>
      <c r="G386" s="23" t="n"/>
      <c r="H386" s="22" t="n"/>
      <c r="I386" s="22" t="n"/>
      <c r="J386" s="22" t="n"/>
      <c r="K386" s="22" t="n"/>
      <c r="L386" s="22" t="n"/>
      <c r="M386" s="22" t="n"/>
      <c r="N386" s="22" t="n"/>
      <c r="O386" s="23" t="n"/>
      <c r="P386" s="23" t="n"/>
      <c r="Q386" s="23" t="n"/>
      <c r="R386" s="23" t="n"/>
      <c r="S386" s="23" t="n"/>
      <c r="T386" s="23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3" t="n"/>
    </row>
    <row r="387" ht="14.25" customHeight="1" s="72">
      <c r="A387" s="22" t="n"/>
      <c r="B387" s="22" t="n"/>
      <c r="C387" s="22" t="n"/>
      <c r="D387" s="22" t="n"/>
      <c r="E387" s="22" t="n"/>
      <c r="F387" s="22" t="n"/>
      <c r="G387" s="23" t="n"/>
      <c r="H387" s="22" t="n"/>
      <c r="I387" s="22" t="n"/>
      <c r="J387" s="22" t="n"/>
      <c r="K387" s="22" t="n"/>
      <c r="L387" s="22" t="n"/>
      <c r="M387" s="22" t="n"/>
      <c r="N387" s="22" t="n"/>
      <c r="O387" s="23" t="n"/>
      <c r="P387" s="23" t="n"/>
      <c r="Q387" s="23" t="n"/>
      <c r="R387" s="23" t="n"/>
      <c r="S387" s="23" t="n"/>
      <c r="T387" s="23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3" t="n"/>
    </row>
    <row r="388" ht="14.25" customHeight="1" s="72">
      <c r="A388" s="22" t="n"/>
      <c r="B388" s="22" t="n"/>
      <c r="C388" s="22" t="n"/>
      <c r="D388" s="22" t="n"/>
      <c r="E388" s="22" t="n"/>
      <c r="F388" s="22" t="n"/>
      <c r="G388" s="23" t="n"/>
      <c r="H388" s="22" t="n"/>
      <c r="I388" s="22" t="n"/>
      <c r="J388" s="22" t="n"/>
      <c r="K388" s="22" t="n"/>
      <c r="L388" s="22" t="n"/>
      <c r="M388" s="22" t="n"/>
      <c r="N388" s="22" t="n"/>
      <c r="O388" s="23" t="n"/>
      <c r="P388" s="23" t="n"/>
      <c r="Q388" s="23" t="n"/>
      <c r="R388" s="23" t="n"/>
      <c r="S388" s="23" t="n"/>
      <c r="T388" s="23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3" t="n"/>
    </row>
    <row r="389" ht="14.25" customHeight="1" s="72">
      <c r="A389" s="22" t="n"/>
      <c r="B389" s="22" t="n"/>
      <c r="C389" s="22" t="n"/>
      <c r="D389" s="22" t="n"/>
      <c r="E389" s="22" t="n"/>
      <c r="F389" s="22" t="n"/>
      <c r="G389" s="23" t="n"/>
      <c r="H389" s="22" t="n"/>
      <c r="I389" s="22" t="n"/>
      <c r="J389" s="22" t="n"/>
      <c r="K389" s="22" t="n"/>
      <c r="L389" s="22" t="n"/>
      <c r="M389" s="22" t="n"/>
      <c r="N389" s="22" t="n"/>
      <c r="O389" s="23" t="n"/>
      <c r="P389" s="23" t="n"/>
      <c r="Q389" s="23" t="n"/>
      <c r="R389" s="23" t="n"/>
      <c r="S389" s="23" t="n"/>
      <c r="T389" s="23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3" t="n"/>
    </row>
    <row r="390" ht="14.25" customHeight="1" s="72">
      <c r="A390" s="22" t="n"/>
      <c r="B390" s="22" t="n"/>
      <c r="C390" s="22" t="n"/>
      <c r="D390" s="22" t="n"/>
      <c r="E390" s="22" t="n"/>
      <c r="F390" s="22" t="n"/>
      <c r="G390" s="23" t="n"/>
      <c r="H390" s="22" t="n"/>
      <c r="I390" s="22" t="n"/>
      <c r="J390" s="22" t="n"/>
      <c r="K390" s="22" t="n"/>
      <c r="L390" s="22" t="n"/>
      <c r="M390" s="22" t="n"/>
      <c r="N390" s="22" t="n"/>
      <c r="O390" s="23" t="n"/>
      <c r="P390" s="23" t="n"/>
      <c r="Q390" s="23" t="n"/>
      <c r="R390" s="23" t="n"/>
      <c r="S390" s="23" t="n"/>
      <c r="T390" s="23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3" t="n"/>
    </row>
    <row r="391" ht="14.25" customHeight="1" s="72">
      <c r="A391" s="22" t="n"/>
      <c r="B391" s="22" t="n"/>
      <c r="C391" s="22" t="n"/>
      <c r="D391" s="22" t="n"/>
      <c r="E391" s="22" t="n"/>
      <c r="F391" s="22" t="n"/>
      <c r="G391" s="23" t="n"/>
      <c r="H391" s="22" t="n"/>
      <c r="I391" s="22" t="n"/>
      <c r="J391" s="22" t="n"/>
      <c r="K391" s="22" t="n"/>
      <c r="L391" s="22" t="n"/>
      <c r="M391" s="22" t="n"/>
      <c r="N391" s="22" t="n"/>
      <c r="O391" s="23" t="n"/>
      <c r="P391" s="23" t="n"/>
      <c r="Q391" s="23" t="n"/>
      <c r="R391" s="23" t="n"/>
      <c r="S391" s="23" t="n"/>
      <c r="T391" s="23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3" t="n"/>
    </row>
    <row r="392" ht="14.25" customHeight="1" s="72">
      <c r="A392" s="22" t="n"/>
      <c r="B392" s="22" t="n"/>
      <c r="C392" s="22" t="n"/>
      <c r="D392" s="22" t="n"/>
      <c r="E392" s="22" t="n"/>
      <c r="F392" s="22" t="n"/>
      <c r="G392" s="23" t="n"/>
      <c r="H392" s="22" t="n"/>
      <c r="I392" s="22" t="n"/>
      <c r="J392" s="22" t="n"/>
      <c r="K392" s="22" t="n"/>
      <c r="L392" s="22" t="n"/>
      <c r="M392" s="22" t="n"/>
      <c r="N392" s="22" t="n"/>
      <c r="O392" s="23" t="n"/>
      <c r="P392" s="23" t="n"/>
      <c r="Q392" s="23" t="n"/>
      <c r="R392" s="23" t="n"/>
      <c r="S392" s="23" t="n"/>
      <c r="T392" s="23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3" t="n"/>
    </row>
    <row r="393" ht="14.25" customHeight="1" s="72">
      <c r="A393" s="22" t="n"/>
      <c r="B393" s="22" t="n"/>
      <c r="C393" s="22" t="n"/>
      <c r="D393" s="22" t="n"/>
      <c r="E393" s="22" t="n"/>
      <c r="F393" s="22" t="n"/>
      <c r="G393" s="23" t="n"/>
      <c r="H393" s="22" t="n"/>
      <c r="I393" s="22" t="n"/>
      <c r="J393" s="22" t="n"/>
      <c r="K393" s="22" t="n"/>
      <c r="L393" s="22" t="n"/>
      <c r="M393" s="22" t="n"/>
      <c r="N393" s="22" t="n"/>
      <c r="O393" s="23" t="n"/>
      <c r="P393" s="23" t="n"/>
      <c r="Q393" s="23" t="n"/>
      <c r="R393" s="23" t="n"/>
      <c r="S393" s="23" t="n"/>
      <c r="T393" s="23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3" t="n"/>
    </row>
    <row r="394" ht="14.25" customHeight="1" s="72">
      <c r="A394" s="22" t="n"/>
      <c r="B394" s="22" t="n"/>
      <c r="C394" s="22" t="n"/>
      <c r="D394" s="22" t="n"/>
      <c r="E394" s="22" t="n"/>
      <c r="F394" s="22" t="n"/>
      <c r="G394" s="23" t="n"/>
      <c r="H394" s="22" t="n"/>
      <c r="I394" s="22" t="n"/>
      <c r="J394" s="22" t="n"/>
      <c r="K394" s="22" t="n"/>
      <c r="L394" s="22" t="n"/>
      <c r="M394" s="22" t="n"/>
      <c r="N394" s="22" t="n"/>
      <c r="O394" s="23" t="n"/>
      <c r="P394" s="23" t="n"/>
      <c r="Q394" s="23" t="n"/>
      <c r="R394" s="23" t="n"/>
      <c r="S394" s="23" t="n"/>
      <c r="T394" s="23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3" t="n"/>
    </row>
    <row r="395" ht="14.25" customHeight="1" s="72">
      <c r="A395" s="22" t="n"/>
      <c r="B395" s="22" t="n"/>
      <c r="C395" s="22" t="n"/>
      <c r="D395" s="22" t="n"/>
      <c r="E395" s="22" t="n"/>
      <c r="F395" s="22" t="n"/>
      <c r="G395" s="23" t="n"/>
      <c r="H395" s="22" t="n"/>
      <c r="I395" s="22" t="n"/>
      <c r="J395" s="22" t="n"/>
      <c r="K395" s="22" t="n"/>
      <c r="L395" s="22" t="n"/>
      <c r="M395" s="22" t="n"/>
      <c r="N395" s="22" t="n"/>
      <c r="O395" s="23" t="n"/>
      <c r="P395" s="23" t="n"/>
      <c r="Q395" s="23" t="n"/>
      <c r="R395" s="23" t="n"/>
      <c r="S395" s="23" t="n"/>
      <c r="T395" s="23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3" t="n"/>
    </row>
    <row r="396" ht="14.25" customHeight="1" s="72">
      <c r="A396" s="22" t="n"/>
      <c r="B396" s="22" t="n"/>
      <c r="C396" s="22" t="n"/>
      <c r="D396" s="22" t="n"/>
      <c r="E396" s="22" t="n"/>
      <c r="F396" s="22" t="n"/>
      <c r="G396" s="23" t="n"/>
      <c r="H396" s="22" t="n"/>
      <c r="I396" s="22" t="n"/>
      <c r="J396" s="22" t="n"/>
      <c r="K396" s="22" t="n"/>
      <c r="L396" s="22" t="n"/>
      <c r="M396" s="22" t="n"/>
      <c r="N396" s="22" t="n"/>
      <c r="O396" s="23" t="n"/>
      <c r="P396" s="23" t="n"/>
      <c r="Q396" s="23" t="n"/>
      <c r="R396" s="23" t="n"/>
      <c r="S396" s="23" t="n"/>
      <c r="T396" s="23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3" t="n"/>
    </row>
    <row r="397" ht="14.25" customHeight="1" s="72">
      <c r="A397" s="22" t="n"/>
      <c r="B397" s="22" t="n"/>
      <c r="C397" s="22" t="n"/>
      <c r="D397" s="22" t="n"/>
      <c r="E397" s="22" t="n"/>
      <c r="F397" s="22" t="n"/>
      <c r="G397" s="23" t="n"/>
      <c r="H397" s="22" t="n"/>
      <c r="I397" s="22" t="n"/>
      <c r="J397" s="22" t="n"/>
      <c r="K397" s="22" t="n"/>
      <c r="L397" s="22" t="n"/>
      <c r="M397" s="22" t="n"/>
      <c r="N397" s="22" t="n"/>
      <c r="O397" s="23" t="n"/>
      <c r="P397" s="23" t="n"/>
      <c r="Q397" s="23" t="n"/>
      <c r="R397" s="23" t="n"/>
      <c r="S397" s="23" t="n"/>
      <c r="T397" s="23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3" t="n"/>
    </row>
    <row r="398" ht="14.25" customHeight="1" s="72">
      <c r="A398" s="22" t="n"/>
      <c r="B398" s="22" t="n"/>
      <c r="C398" s="22" t="n"/>
      <c r="D398" s="22" t="n"/>
      <c r="E398" s="22" t="n"/>
      <c r="F398" s="22" t="n"/>
      <c r="G398" s="23" t="n"/>
      <c r="H398" s="22" t="n"/>
      <c r="I398" s="22" t="n"/>
      <c r="J398" s="22" t="n"/>
      <c r="K398" s="22" t="n"/>
      <c r="L398" s="22" t="n"/>
      <c r="M398" s="22" t="n"/>
      <c r="N398" s="22" t="n"/>
      <c r="O398" s="23" t="n"/>
      <c r="P398" s="23" t="n"/>
      <c r="Q398" s="23" t="n"/>
      <c r="R398" s="23" t="n"/>
      <c r="S398" s="23" t="n"/>
      <c r="T398" s="23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3" t="n"/>
    </row>
    <row r="399" ht="14.25" customHeight="1" s="72">
      <c r="A399" s="22" t="n"/>
      <c r="B399" s="22" t="n"/>
      <c r="C399" s="22" t="n"/>
      <c r="D399" s="22" t="n"/>
      <c r="E399" s="22" t="n"/>
      <c r="F399" s="22" t="n"/>
      <c r="G399" s="23" t="n"/>
      <c r="H399" s="22" t="n"/>
      <c r="I399" s="22" t="n"/>
      <c r="J399" s="22" t="n"/>
      <c r="K399" s="22" t="n"/>
      <c r="L399" s="22" t="n"/>
      <c r="M399" s="22" t="n"/>
      <c r="N399" s="22" t="n"/>
      <c r="O399" s="23" t="n"/>
      <c r="P399" s="23" t="n"/>
      <c r="Q399" s="23" t="n"/>
      <c r="R399" s="23" t="n"/>
      <c r="S399" s="23" t="n"/>
      <c r="T399" s="23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3" t="n"/>
    </row>
    <row r="400" ht="14.25" customHeight="1" s="72">
      <c r="A400" s="22" t="n"/>
      <c r="B400" s="22" t="n"/>
      <c r="C400" s="22" t="n"/>
      <c r="D400" s="22" t="n"/>
      <c r="E400" s="22" t="n"/>
      <c r="F400" s="22" t="n"/>
      <c r="G400" s="23" t="n"/>
      <c r="H400" s="22" t="n"/>
      <c r="I400" s="22" t="n"/>
      <c r="J400" s="22" t="n"/>
      <c r="K400" s="22" t="n"/>
      <c r="L400" s="22" t="n"/>
      <c r="M400" s="22" t="n"/>
      <c r="N400" s="22" t="n"/>
      <c r="O400" s="23" t="n"/>
      <c r="P400" s="23" t="n"/>
      <c r="Q400" s="23" t="n"/>
      <c r="R400" s="23" t="n"/>
      <c r="S400" s="23" t="n"/>
      <c r="T400" s="23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3" t="n"/>
    </row>
    <row r="401" ht="14.25" customHeight="1" s="72">
      <c r="A401" s="22" t="n"/>
      <c r="B401" s="22" t="n"/>
      <c r="C401" s="22" t="n"/>
      <c r="D401" s="22" t="n"/>
      <c r="E401" s="22" t="n"/>
      <c r="F401" s="22" t="n"/>
      <c r="G401" s="23" t="n"/>
      <c r="H401" s="22" t="n"/>
      <c r="I401" s="22" t="n"/>
      <c r="J401" s="22" t="n"/>
      <c r="K401" s="22" t="n"/>
      <c r="L401" s="22" t="n"/>
      <c r="M401" s="22" t="n"/>
      <c r="N401" s="22" t="n"/>
      <c r="O401" s="23" t="n"/>
      <c r="P401" s="23" t="n"/>
      <c r="Q401" s="23" t="n"/>
      <c r="R401" s="23" t="n"/>
      <c r="S401" s="23" t="n"/>
      <c r="T401" s="23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3" t="n"/>
    </row>
    <row r="402" ht="14.25" customHeight="1" s="72">
      <c r="A402" s="22" t="n"/>
      <c r="B402" s="22" t="n"/>
      <c r="C402" s="22" t="n"/>
      <c r="D402" s="22" t="n"/>
      <c r="E402" s="22" t="n"/>
      <c r="F402" s="22" t="n"/>
      <c r="G402" s="23" t="n"/>
      <c r="H402" s="22" t="n"/>
      <c r="I402" s="22" t="n"/>
      <c r="J402" s="22" t="n"/>
      <c r="K402" s="22" t="n"/>
      <c r="L402" s="22" t="n"/>
      <c r="M402" s="22" t="n"/>
      <c r="N402" s="22" t="n"/>
      <c r="O402" s="23" t="n"/>
      <c r="P402" s="23" t="n"/>
      <c r="Q402" s="23" t="n"/>
      <c r="R402" s="23" t="n"/>
      <c r="S402" s="23" t="n"/>
      <c r="T402" s="23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3" t="n"/>
    </row>
    <row r="403" ht="14.25" customHeight="1" s="72">
      <c r="A403" s="22" t="n"/>
      <c r="B403" s="22" t="n"/>
      <c r="C403" s="22" t="n"/>
      <c r="D403" s="22" t="n"/>
      <c r="E403" s="22" t="n"/>
      <c r="F403" s="22" t="n"/>
      <c r="G403" s="23" t="n"/>
      <c r="H403" s="22" t="n"/>
      <c r="I403" s="22" t="n"/>
      <c r="J403" s="22" t="n"/>
      <c r="K403" s="22" t="n"/>
      <c r="L403" s="22" t="n"/>
      <c r="M403" s="22" t="n"/>
      <c r="N403" s="22" t="n"/>
      <c r="O403" s="23" t="n"/>
      <c r="P403" s="23" t="n"/>
      <c r="Q403" s="23" t="n"/>
      <c r="R403" s="23" t="n"/>
      <c r="S403" s="23" t="n"/>
      <c r="T403" s="23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3" t="n"/>
    </row>
    <row r="404" ht="14.25" customHeight="1" s="72">
      <c r="A404" s="22" t="n"/>
      <c r="B404" s="22" t="n"/>
      <c r="C404" s="22" t="n"/>
      <c r="D404" s="22" t="n"/>
      <c r="E404" s="22" t="n"/>
      <c r="F404" s="22" t="n"/>
      <c r="G404" s="23" t="n"/>
      <c r="H404" s="22" t="n"/>
      <c r="I404" s="22" t="n"/>
      <c r="J404" s="22" t="n"/>
      <c r="K404" s="22" t="n"/>
      <c r="L404" s="22" t="n"/>
      <c r="M404" s="22" t="n"/>
      <c r="N404" s="22" t="n"/>
      <c r="O404" s="23" t="n"/>
      <c r="P404" s="23" t="n"/>
      <c r="Q404" s="23" t="n"/>
      <c r="R404" s="23" t="n"/>
      <c r="S404" s="23" t="n"/>
      <c r="T404" s="23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3" t="n"/>
    </row>
    <row r="405" ht="14.25" customHeight="1" s="72">
      <c r="A405" s="22" t="n"/>
      <c r="B405" s="22" t="n"/>
      <c r="C405" s="22" t="n"/>
      <c r="D405" s="22" t="n"/>
      <c r="E405" s="22" t="n"/>
      <c r="F405" s="22" t="n"/>
      <c r="G405" s="23" t="n"/>
      <c r="H405" s="22" t="n"/>
      <c r="I405" s="22" t="n"/>
      <c r="J405" s="22" t="n"/>
      <c r="K405" s="22" t="n"/>
      <c r="L405" s="22" t="n"/>
      <c r="M405" s="22" t="n"/>
      <c r="N405" s="22" t="n"/>
      <c r="O405" s="23" t="n"/>
      <c r="P405" s="23" t="n"/>
      <c r="Q405" s="23" t="n"/>
      <c r="R405" s="23" t="n"/>
      <c r="S405" s="23" t="n"/>
      <c r="T405" s="23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3" t="n"/>
    </row>
    <row r="406" ht="14.25" customHeight="1" s="72">
      <c r="A406" s="22" t="n"/>
      <c r="B406" s="22" t="n"/>
      <c r="C406" s="22" t="n"/>
      <c r="D406" s="22" t="n"/>
      <c r="E406" s="22" t="n"/>
      <c r="F406" s="22" t="n"/>
      <c r="G406" s="23" t="n"/>
      <c r="H406" s="22" t="n"/>
      <c r="I406" s="22" t="n"/>
      <c r="J406" s="22" t="n"/>
      <c r="K406" s="22" t="n"/>
      <c r="L406" s="22" t="n"/>
      <c r="M406" s="22" t="n"/>
      <c r="N406" s="22" t="n"/>
      <c r="O406" s="23" t="n"/>
      <c r="P406" s="23" t="n"/>
      <c r="Q406" s="23" t="n"/>
      <c r="R406" s="23" t="n"/>
      <c r="S406" s="23" t="n"/>
      <c r="T406" s="23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3" t="n"/>
    </row>
    <row r="407" ht="14.25" customHeight="1" s="72">
      <c r="A407" s="22" t="n"/>
      <c r="B407" s="22" t="n"/>
      <c r="C407" s="22" t="n"/>
      <c r="D407" s="22" t="n"/>
      <c r="E407" s="22" t="n"/>
      <c r="F407" s="22" t="n"/>
      <c r="G407" s="23" t="n"/>
      <c r="H407" s="22" t="n"/>
      <c r="I407" s="22" t="n"/>
      <c r="J407" s="22" t="n"/>
      <c r="K407" s="22" t="n"/>
      <c r="L407" s="22" t="n"/>
      <c r="M407" s="22" t="n"/>
      <c r="N407" s="22" t="n"/>
      <c r="O407" s="23" t="n"/>
      <c r="P407" s="23" t="n"/>
      <c r="Q407" s="23" t="n"/>
      <c r="R407" s="23" t="n"/>
      <c r="S407" s="23" t="n"/>
      <c r="T407" s="23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3" t="n"/>
    </row>
    <row r="408" ht="14.25" customHeight="1" s="72">
      <c r="A408" s="22" t="n"/>
      <c r="B408" s="22" t="n"/>
      <c r="C408" s="22" t="n"/>
      <c r="D408" s="22" t="n"/>
      <c r="E408" s="22" t="n"/>
      <c r="F408" s="22" t="n"/>
      <c r="G408" s="23" t="n"/>
      <c r="H408" s="22" t="n"/>
      <c r="I408" s="22" t="n"/>
      <c r="J408" s="22" t="n"/>
      <c r="K408" s="22" t="n"/>
      <c r="L408" s="22" t="n"/>
      <c r="M408" s="22" t="n"/>
      <c r="N408" s="22" t="n"/>
      <c r="O408" s="23" t="n"/>
      <c r="P408" s="23" t="n"/>
      <c r="Q408" s="23" t="n"/>
      <c r="R408" s="23" t="n"/>
      <c r="S408" s="23" t="n"/>
      <c r="T408" s="23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3" t="n"/>
    </row>
    <row r="409" ht="14.25" customHeight="1" s="72">
      <c r="A409" s="22" t="n"/>
      <c r="B409" s="22" t="n"/>
      <c r="C409" s="22" t="n"/>
      <c r="D409" s="22" t="n"/>
      <c r="E409" s="22" t="n"/>
      <c r="F409" s="22" t="n"/>
      <c r="G409" s="23" t="n"/>
      <c r="H409" s="22" t="n"/>
      <c r="I409" s="22" t="n"/>
      <c r="J409" s="22" t="n"/>
      <c r="K409" s="22" t="n"/>
      <c r="L409" s="22" t="n"/>
      <c r="M409" s="22" t="n"/>
      <c r="N409" s="22" t="n"/>
      <c r="O409" s="23" t="n"/>
      <c r="P409" s="23" t="n"/>
      <c r="Q409" s="23" t="n"/>
      <c r="R409" s="23" t="n"/>
      <c r="S409" s="23" t="n"/>
      <c r="T409" s="23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3" t="n"/>
    </row>
    <row r="410" ht="14.25" customHeight="1" s="72">
      <c r="A410" s="22" t="n"/>
      <c r="B410" s="22" t="n"/>
      <c r="C410" s="22" t="n"/>
      <c r="D410" s="22" t="n"/>
      <c r="E410" s="22" t="n"/>
      <c r="F410" s="22" t="n"/>
      <c r="G410" s="23" t="n"/>
      <c r="H410" s="22" t="n"/>
      <c r="I410" s="22" t="n"/>
      <c r="J410" s="22" t="n"/>
      <c r="K410" s="22" t="n"/>
      <c r="L410" s="22" t="n"/>
      <c r="M410" s="22" t="n"/>
      <c r="N410" s="22" t="n"/>
      <c r="O410" s="23" t="n"/>
      <c r="P410" s="23" t="n"/>
      <c r="Q410" s="23" t="n"/>
      <c r="R410" s="23" t="n"/>
      <c r="S410" s="23" t="n"/>
      <c r="T410" s="23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3" t="n"/>
    </row>
    <row r="411" ht="14.25" customHeight="1" s="72">
      <c r="A411" s="22" t="n"/>
      <c r="B411" s="22" t="n"/>
      <c r="C411" s="22" t="n"/>
      <c r="D411" s="22" t="n"/>
      <c r="E411" s="22" t="n"/>
      <c r="F411" s="22" t="n"/>
      <c r="G411" s="23" t="n"/>
      <c r="H411" s="22" t="n"/>
      <c r="I411" s="22" t="n"/>
      <c r="J411" s="22" t="n"/>
      <c r="K411" s="22" t="n"/>
      <c r="L411" s="22" t="n"/>
      <c r="M411" s="22" t="n"/>
      <c r="N411" s="22" t="n"/>
      <c r="O411" s="23" t="n"/>
      <c r="P411" s="23" t="n"/>
      <c r="Q411" s="23" t="n"/>
      <c r="R411" s="23" t="n"/>
      <c r="S411" s="23" t="n"/>
      <c r="T411" s="23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3" t="n"/>
    </row>
    <row r="412" ht="14.25" customHeight="1" s="72">
      <c r="A412" s="22" t="n"/>
      <c r="B412" s="22" t="n"/>
      <c r="C412" s="22" t="n"/>
      <c r="D412" s="22" t="n"/>
      <c r="E412" s="22" t="n"/>
      <c r="F412" s="22" t="n"/>
      <c r="G412" s="23" t="n"/>
      <c r="H412" s="22" t="n"/>
      <c r="I412" s="22" t="n"/>
      <c r="J412" s="22" t="n"/>
      <c r="K412" s="22" t="n"/>
      <c r="L412" s="22" t="n"/>
      <c r="M412" s="22" t="n"/>
      <c r="N412" s="22" t="n"/>
      <c r="O412" s="23" t="n"/>
      <c r="P412" s="23" t="n"/>
      <c r="Q412" s="23" t="n"/>
      <c r="R412" s="23" t="n"/>
      <c r="S412" s="23" t="n"/>
      <c r="T412" s="23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3" t="n"/>
    </row>
    <row r="413" ht="14.25" customHeight="1" s="72">
      <c r="A413" s="22" t="n"/>
      <c r="B413" s="22" t="n"/>
      <c r="C413" s="22" t="n"/>
      <c r="D413" s="22" t="n"/>
      <c r="E413" s="22" t="n"/>
      <c r="F413" s="22" t="n"/>
      <c r="G413" s="23" t="n"/>
      <c r="H413" s="22" t="n"/>
      <c r="I413" s="22" t="n"/>
      <c r="J413" s="22" t="n"/>
      <c r="K413" s="22" t="n"/>
      <c r="L413" s="22" t="n"/>
      <c r="M413" s="22" t="n"/>
      <c r="N413" s="22" t="n"/>
      <c r="O413" s="23" t="n"/>
      <c r="P413" s="23" t="n"/>
      <c r="Q413" s="23" t="n"/>
      <c r="R413" s="23" t="n"/>
      <c r="S413" s="23" t="n"/>
      <c r="T413" s="23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3" t="n"/>
    </row>
    <row r="414" ht="14.25" customHeight="1" s="72">
      <c r="A414" s="22" t="n"/>
      <c r="B414" s="22" t="n"/>
      <c r="C414" s="22" t="n"/>
      <c r="D414" s="22" t="n"/>
      <c r="E414" s="22" t="n"/>
      <c r="F414" s="22" t="n"/>
      <c r="G414" s="23" t="n"/>
      <c r="H414" s="22" t="n"/>
      <c r="I414" s="22" t="n"/>
      <c r="J414" s="22" t="n"/>
      <c r="K414" s="22" t="n"/>
      <c r="L414" s="22" t="n"/>
      <c r="M414" s="22" t="n"/>
      <c r="N414" s="22" t="n"/>
      <c r="O414" s="23" t="n"/>
      <c r="P414" s="23" t="n"/>
      <c r="Q414" s="23" t="n"/>
      <c r="R414" s="23" t="n"/>
      <c r="S414" s="23" t="n"/>
      <c r="T414" s="23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3" t="n"/>
    </row>
    <row r="415" ht="14.25" customHeight="1" s="72">
      <c r="A415" s="22" t="n"/>
      <c r="B415" s="22" t="n"/>
      <c r="C415" s="22" t="n"/>
      <c r="D415" s="22" t="n"/>
      <c r="E415" s="22" t="n"/>
      <c r="F415" s="22" t="n"/>
      <c r="G415" s="23" t="n"/>
      <c r="H415" s="22" t="n"/>
      <c r="I415" s="22" t="n"/>
      <c r="J415" s="22" t="n"/>
      <c r="K415" s="22" t="n"/>
      <c r="L415" s="22" t="n"/>
      <c r="M415" s="22" t="n"/>
      <c r="N415" s="22" t="n"/>
      <c r="O415" s="23" t="n"/>
      <c r="P415" s="23" t="n"/>
      <c r="Q415" s="23" t="n"/>
      <c r="R415" s="23" t="n"/>
      <c r="S415" s="23" t="n"/>
      <c r="T415" s="23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3" t="n"/>
    </row>
    <row r="416" ht="14.25" customHeight="1" s="72">
      <c r="A416" s="22" t="n"/>
      <c r="B416" s="22" t="n"/>
      <c r="C416" s="22" t="n"/>
      <c r="D416" s="22" t="n"/>
      <c r="E416" s="22" t="n"/>
      <c r="F416" s="22" t="n"/>
      <c r="G416" s="23" t="n"/>
      <c r="H416" s="22" t="n"/>
      <c r="I416" s="22" t="n"/>
      <c r="J416" s="22" t="n"/>
      <c r="K416" s="22" t="n"/>
      <c r="L416" s="22" t="n"/>
      <c r="M416" s="22" t="n"/>
      <c r="N416" s="22" t="n"/>
      <c r="O416" s="23" t="n"/>
      <c r="P416" s="23" t="n"/>
      <c r="Q416" s="23" t="n"/>
      <c r="R416" s="23" t="n"/>
      <c r="S416" s="23" t="n"/>
      <c r="T416" s="23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3" t="n"/>
    </row>
    <row r="417" ht="14.25" customHeight="1" s="72">
      <c r="A417" s="22" t="n"/>
      <c r="B417" s="22" t="n"/>
      <c r="C417" s="22" t="n"/>
      <c r="D417" s="22" t="n"/>
      <c r="E417" s="22" t="n"/>
      <c r="F417" s="22" t="n"/>
      <c r="G417" s="23" t="n"/>
      <c r="H417" s="22" t="n"/>
      <c r="I417" s="22" t="n"/>
      <c r="J417" s="22" t="n"/>
      <c r="K417" s="22" t="n"/>
      <c r="L417" s="22" t="n"/>
      <c r="M417" s="22" t="n"/>
      <c r="N417" s="22" t="n"/>
      <c r="O417" s="23" t="n"/>
      <c r="P417" s="23" t="n"/>
      <c r="Q417" s="23" t="n"/>
      <c r="R417" s="23" t="n"/>
      <c r="S417" s="23" t="n"/>
      <c r="T417" s="23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3" t="n"/>
    </row>
    <row r="418" ht="14.25" customHeight="1" s="72">
      <c r="A418" s="22" t="n"/>
      <c r="B418" s="22" t="n"/>
      <c r="C418" s="22" t="n"/>
      <c r="D418" s="22" t="n"/>
      <c r="E418" s="22" t="n"/>
      <c r="F418" s="22" t="n"/>
      <c r="G418" s="23" t="n"/>
      <c r="H418" s="22" t="n"/>
      <c r="I418" s="22" t="n"/>
      <c r="J418" s="22" t="n"/>
      <c r="K418" s="22" t="n"/>
      <c r="L418" s="22" t="n"/>
      <c r="M418" s="22" t="n"/>
      <c r="N418" s="22" t="n"/>
      <c r="O418" s="23" t="n"/>
      <c r="P418" s="23" t="n"/>
      <c r="Q418" s="23" t="n"/>
      <c r="R418" s="23" t="n"/>
      <c r="S418" s="23" t="n"/>
      <c r="T418" s="23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3" t="n"/>
    </row>
    <row r="419" ht="14.25" customHeight="1" s="72">
      <c r="A419" s="22" t="n"/>
      <c r="B419" s="22" t="n"/>
      <c r="C419" s="22" t="n"/>
      <c r="D419" s="22" t="n"/>
      <c r="E419" s="22" t="n"/>
      <c r="F419" s="22" t="n"/>
      <c r="G419" s="23" t="n"/>
      <c r="H419" s="22" t="n"/>
      <c r="I419" s="22" t="n"/>
      <c r="J419" s="22" t="n"/>
      <c r="K419" s="22" t="n"/>
      <c r="L419" s="22" t="n"/>
      <c r="M419" s="22" t="n"/>
      <c r="N419" s="22" t="n"/>
      <c r="O419" s="23" t="n"/>
      <c r="P419" s="23" t="n"/>
      <c r="Q419" s="23" t="n"/>
      <c r="R419" s="23" t="n"/>
      <c r="S419" s="23" t="n"/>
      <c r="T419" s="23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3" t="n"/>
    </row>
    <row r="420" ht="14.25" customHeight="1" s="72">
      <c r="A420" s="22" t="n"/>
      <c r="B420" s="22" t="n"/>
      <c r="C420" s="22" t="n"/>
      <c r="D420" s="22" t="n"/>
      <c r="E420" s="22" t="n"/>
      <c r="F420" s="22" t="n"/>
      <c r="G420" s="23" t="n"/>
      <c r="H420" s="22" t="n"/>
      <c r="I420" s="22" t="n"/>
      <c r="J420" s="22" t="n"/>
      <c r="K420" s="22" t="n"/>
      <c r="L420" s="22" t="n"/>
      <c r="M420" s="22" t="n"/>
      <c r="N420" s="22" t="n"/>
      <c r="O420" s="23" t="n"/>
      <c r="P420" s="23" t="n"/>
      <c r="Q420" s="23" t="n"/>
      <c r="R420" s="23" t="n"/>
      <c r="S420" s="23" t="n"/>
      <c r="T420" s="23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3" t="n"/>
    </row>
    <row r="421" ht="14.25" customHeight="1" s="72">
      <c r="A421" s="22" t="n"/>
      <c r="B421" s="22" t="n"/>
      <c r="C421" s="22" t="n"/>
      <c r="D421" s="22" t="n"/>
      <c r="E421" s="22" t="n"/>
      <c r="F421" s="22" t="n"/>
      <c r="G421" s="23" t="n"/>
      <c r="H421" s="22" t="n"/>
      <c r="I421" s="22" t="n"/>
      <c r="J421" s="22" t="n"/>
      <c r="K421" s="22" t="n"/>
      <c r="L421" s="22" t="n"/>
      <c r="M421" s="22" t="n"/>
      <c r="N421" s="22" t="n"/>
      <c r="O421" s="23" t="n"/>
      <c r="P421" s="23" t="n"/>
      <c r="Q421" s="23" t="n"/>
      <c r="R421" s="23" t="n"/>
      <c r="S421" s="23" t="n"/>
      <c r="T421" s="23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3" t="n"/>
    </row>
    <row r="422" ht="14.25" customHeight="1" s="72">
      <c r="A422" s="22" t="n"/>
      <c r="B422" s="22" t="n"/>
      <c r="C422" s="22" t="n"/>
      <c r="D422" s="22" t="n"/>
      <c r="E422" s="22" t="n"/>
      <c r="F422" s="22" t="n"/>
      <c r="G422" s="23" t="n"/>
      <c r="H422" s="22" t="n"/>
      <c r="I422" s="22" t="n"/>
      <c r="J422" s="22" t="n"/>
      <c r="K422" s="22" t="n"/>
      <c r="L422" s="22" t="n"/>
      <c r="M422" s="22" t="n"/>
      <c r="N422" s="22" t="n"/>
      <c r="O422" s="23" t="n"/>
      <c r="P422" s="23" t="n"/>
      <c r="Q422" s="23" t="n"/>
      <c r="R422" s="23" t="n"/>
      <c r="S422" s="23" t="n"/>
      <c r="T422" s="23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3" t="n"/>
    </row>
    <row r="423" ht="14.25" customHeight="1" s="72">
      <c r="A423" s="22" t="n"/>
      <c r="B423" s="22" t="n"/>
      <c r="C423" s="22" t="n"/>
      <c r="D423" s="22" t="n"/>
      <c r="E423" s="22" t="n"/>
      <c r="F423" s="22" t="n"/>
      <c r="G423" s="23" t="n"/>
      <c r="H423" s="22" t="n"/>
      <c r="I423" s="22" t="n"/>
      <c r="J423" s="22" t="n"/>
      <c r="K423" s="22" t="n"/>
      <c r="L423" s="22" t="n"/>
      <c r="M423" s="22" t="n"/>
      <c r="N423" s="22" t="n"/>
      <c r="O423" s="23" t="n"/>
      <c r="P423" s="23" t="n"/>
      <c r="Q423" s="23" t="n"/>
      <c r="R423" s="23" t="n"/>
      <c r="S423" s="23" t="n"/>
      <c r="T423" s="23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3" t="n"/>
    </row>
    <row r="424" ht="14.25" customHeight="1" s="72">
      <c r="A424" s="22" t="n"/>
      <c r="B424" s="22" t="n"/>
      <c r="C424" s="22" t="n"/>
      <c r="D424" s="22" t="n"/>
      <c r="E424" s="22" t="n"/>
      <c r="F424" s="22" t="n"/>
      <c r="G424" s="23" t="n"/>
      <c r="H424" s="22" t="n"/>
      <c r="I424" s="22" t="n"/>
      <c r="J424" s="22" t="n"/>
      <c r="K424" s="22" t="n"/>
      <c r="L424" s="22" t="n"/>
      <c r="M424" s="22" t="n"/>
      <c r="N424" s="22" t="n"/>
      <c r="O424" s="23" t="n"/>
      <c r="P424" s="23" t="n"/>
      <c r="Q424" s="23" t="n"/>
      <c r="R424" s="23" t="n"/>
      <c r="S424" s="23" t="n"/>
      <c r="T424" s="23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3" t="n"/>
    </row>
    <row r="425" ht="14.25" customHeight="1" s="72">
      <c r="A425" s="22" t="n"/>
      <c r="B425" s="22" t="n"/>
      <c r="C425" s="22" t="n"/>
      <c r="D425" s="22" t="n"/>
      <c r="E425" s="22" t="n"/>
      <c r="F425" s="22" t="n"/>
      <c r="G425" s="23" t="n"/>
      <c r="H425" s="22" t="n"/>
      <c r="I425" s="22" t="n"/>
      <c r="J425" s="22" t="n"/>
      <c r="K425" s="22" t="n"/>
      <c r="L425" s="22" t="n"/>
      <c r="M425" s="22" t="n"/>
      <c r="N425" s="22" t="n"/>
      <c r="O425" s="23" t="n"/>
      <c r="P425" s="23" t="n"/>
      <c r="Q425" s="23" t="n"/>
      <c r="R425" s="23" t="n"/>
      <c r="S425" s="23" t="n"/>
      <c r="T425" s="23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3" t="n"/>
    </row>
    <row r="426" ht="14.25" customHeight="1" s="72">
      <c r="A426" s="22" t="n"/>
      <c r="B426" s="22" t="n"/>
      <c r="C426" s="22" t="n"/>
      <c r="D426" s="22" t="n"/>
      <c r="E426" s="22" t="n"/>
      <c r="F426" s="22" t="n"/>
      <c r="G426" s="23" t="n"/>
      <c r="H426" s="22" t="n"/>
      <c r="I426" s="22" t="n"/>
      <c r="J426" s="22" t="n"/>
      <c r="K426" s="22" t="n"/>
      <c r="L426" s="22" t="n"/>
      <c r="M426" s="22" t="n"/>
      <c r="N426" s="22" t="n"/>
      <c r="O426" s="23" t="n"/>
      <c r="P426" s="23" t="n"/>
      <c r="Q426" s="23" t="n"/>
      <c r="R426" s="23" t="n"/>
      <c r="S426" s="23" t="n"/>
      <c r="T426" s="23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3" t="n"/>
    </row>
    <row r="427" ht="14.25" customHeight="1" s="72">
      <c r="A427" s="22" t="n"/>
      <c r="B427" s="22" t="n"/>
      <c r="C427" s="22" t="n"/>
      <c r="D427" s="22" t="n"/>
      <c r="E427" s="22" t="n"/>
      <c r="F427" s="22" t="n"/>
      <c r="G427" s="23" t="n"/>
      <c r="H427" s="22" t="n"/>
      <c r="I427" s="22" t="n"/>
      <c r="J427" s="22" t="n"/>
      <c r="K427" s="22" t="n"/>
      <c r="L427" s="22" t="n"/>
      <c r="M427" s="22" t="n"/>
      <c r="N427" s="22" t="n"/>
      <c r="O427" s="23" t="n"/>
      <c r="P427" s="23" t="n"/>
      <c r="Q427" s="23" t="n"/>
      <c r="R427" s="23" t="n"/>
      <c r="S427" s="23" t="n"/>
      <c r="T427" s="23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3" t="n"/>
    </row>
    <row r="428" ht="14.25" customHeight="1" s="72">
      <c r="A428" s="22" t="n"/>
      <c r="B428" s="22" t="n"/>
      <c r="C428" s="22" t="n"/>
      <c r="D428" s="22" t="n"/>
      <c r="E428" s="22" t="n"/>
      <c r="F428" s="22" t="n"/>
      <c r="G428" s="23" t="n"/>
      <c r="H428" s="22" t="n"/>
      <c r="I428" s="22" t="n"/>
      <c r="J428" s="22" t="n"/>
      <c r="K428" s="22" t="n"/>
      <c r="L428" s="22" t="n"/>
      <c r="M428" s="22" t="n"/>
      <c r="N428" s="22" t="n"/>
      <c r="O428" s="23" t="n"/>
      <c r="P428" s="23" t="n"/>
      <c r="Q428" s="23" t="n"/>
      <c r="R428" s="23" t="n"/>
      <c r="S428" s="23" t="n"/>
      <c r="T428" s="23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3" t="n"/>
    </row>
    <row r="429" ht="14.25" customHeight="1" s="72">
      <c r="A429" s="22" t="n"/>
      <c r="B429" s="22" t="n"/>
      <c r="C429" s="22" t="n"/>
      <c r="D429" s="22" t="n"/>
      <c r="E429" s="22" t="n"/>
      <c r="F429" s="22" t="n"/>
      <c r="G429" s="23" t="n"/>
      <c r="H429" s="22" t="n"/>
      <c r="I429" s="22" t="n"/>
      <c r="J429" s="22" t="n"/>
      <c r="K429" s="22" t="n"/>
      <c r="L429" s="22" t="n"/>
      <c r="M429" s="22" t="n"/>
      <c r="N429" s="22" t="n"/>
      <c r="O429" s="23" t="n"/>
      <c r="P429" s="23" t="n"/>
      <c r="Q429" s="23" t="n"/>
      <c r="R429" s="23" t="n"/>
      <c r="S429" s="23" t="n"/>
      <c r="T429" s="23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3" t="n"/>
    </row>
    <row r="430" ht="14.25" customHeight="1" s="72">
      <c r="A430" s="22" t="n"/>
      <c r="B430" s="22" t="n"/>
      <c r="C430" s="22" t="n"/>
      <c r="D430" s="22" t="n"/>
      <c r="E430" s="22" t="n"/>
      <c r="F430" s="22" t="n"/>
      <c r="G430" s="23" t="n"/>
      <c r="H430" s="22" t="n"/>
      <c r="I430" s="22" t="n"/>
      <c r="J430" s="22" t="n"/>
      <c r="K430" s="22" t="n"/>
      <c r="L430" s="22" t="n"/>
      <c r="M430" s="22" t="n"/>
      <c r="N430" s="22" t="n"/>
      <c r="O430" s="23" t="n"/>
      <c r="P430" s="23" t="n"/>
      <c r="Q430" s="23" t="n"/>
      <c r="R430" s="23" t="n"/>
      <c r="S430" s="23" t="n"/>
      <c r="T430" s="23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3" t="n"/>
    </row>
    <row r="431" ht="14.25" customHeight="1" s="72">
      <c r="A431" s="22" t="n"/>
      <c r="B431" s="22" t="n"/>
      <c r="C431" s="22" t="n"/>
      <c r="D431" s="22" t="n"/>
      <c r="E431" s="22" t="n"/>
      <c r="F431" s="22" t="n"/>
      <c r="G431" s="23" t="n"/>
      <c r="H431" s="22" t="n"/>
      <c r="I431" s="22" t="n"/>
      <c r="J431" s="22" t="n"/>
      <c r="K431" s="22" t="n"/>
      <c r="L431" s="22" t="n"/>
      <c r="M431" s="22" t="n"/>
      <c r="N431" s="22" t="n"/>
      <c r="O431" s="23" t="n"/>
      <c r="P431" s="23" t="n"/>
      <c r="Q431" s="23" t="n"/>
      <c r="R431" s="23" t="n"/>
      <c r="S431" s="23" t="n"/>
      <c r="T431" s="23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3" t="n"/>
    </row>
    <row r="432" ht="14.25" customHeight="1" s="72">
      <c r="A432" s="22" t="n"/>
      <c r="B432" s="22" t="n"/>
      <c r="C432" s="22" t="n"/>
      <c r="D432" s="22" t="n"/>
      <c r="E432" s="22" t="n"/>
      <c r="F432" s="22" t="n"/>
      <c r="G432" s="23" t="n"/>
      <c r="H432" s="22" t="n"/>
      <c r="I432" s="22" t="n"/>
      <c r="J432" s="22" t="n"/>
      <c r="K432" s="22" t="n"/>
      <c r="L432" s="22" t="n"/>
      <c r="M432" s="22" t="n"/>
      <c r="N432" s="22" t="n"/>
      <c r="O432" s="23" t="n"/>
      <c r="P432" s="23" t="n"/>
      <c r="Q432" s="23" t="n"/>
      <c r="R432" s="23" t="n"/>
      <c r="S432" s="23" t="n"/>
      <c r="T432" s="23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3" t="n"/>
    </row>
    <row r="433" ht="14.25" customHeight="1" s="72">
      <c r="A433" s="22" t="n"/>
      <c r="B433" s="22" t="n"/>
      <c r="C433" s="22" t="n"/>
      <c r="D433" s="22" t="n"/>
      <c r="E433" s="22" t="n"/>
      <c r="F433" s="22" t="n"/>
      <c r="G433" s="23" t="n"/>
      <c r="H433" s="22" t="n"/>
      <c r="I433" s="22" t="n"/>
      <c r="J433" s="22" t="n"/>
      <c r="K433" s="22" t="n"/>
      <c r="L433" s="22" t="n"/>
      <c r="M433" s="22" t="n"/>
      <c r="N433" s="22" t="n"/>
      <c r="O433" s="23" t="n"/>
      <c r="P433" s="23" t="n"/>
      <c r="Q433" s="23" t="n"/>
      <c r="R433" s="23" t="n"/>
      <c r="S433" s="23" t="n"/>
      <c r="T433" s="23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3" t="n"/>
    </row>
    <row r="434" ht="14.25" customHeight="1" s="72">
      <c r="A434" s="22" t="n"/>
      <c r="B434" s="22" t="n"/>
      <c r="C434" s="22" t="n"/>
      <c r="D434" s="22" t="n"/>
      <c r="E434" s="22" t="n"/>
      <c r="F434" s="22" t="n"/>
      <c r="G434" s="23" t="n"/>
      <c r="H434" s="22" t="n"/>
      <c r="I434" s="22" t="n"/>
      <c r="J434" s="22" t="n"/>
      <c r="K434" s="22" t="n"/>
      <c r="L434" s="22" t="n"/>
      <c r="M434" s="22" t="n"/>
      <c r="N434" s="22" t="n"/>
      <c r="O434" s="23" t="n"/>
      <c r="P434" s="23" t="n"/>
      <c r="Q434" s="23" t="n"/>
      <c r="R434" s="23" t="n"/>
      <c r="S434" s="23" t="n"/>
      <c r="T434" s="23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3" t="n"/>
    </row>
    <row r="435" ht="14.25" customHeight="1" s="72">
      <c r="A435" s="22" t="n"/>
      <c r="B435" s="22" t="n"/>
      <c r="C435" s="22" t="n"/>
      <c r="D435" s="22" t="n"/>
      <c r="E435" s="22" t="n"/>
      <c r="F435" s="22" t="n"/>
      <c r="G435" s="23" t="n"/>
      <c r="H435" s="22" t="n"/>
      <c r="I435" s="22" t="n"/>
      <c r="J435" s="22" t="n"/>
      <c r="K435" s="22" t="n"/>
      <c r="L435" s="22" t="n"/>
      <c r="M435" s="22" t="n"/>
      <c r="N435" s="22" t="n"/>
      <c r="O435" s="23" t="n"/>
      <c r="P435" s="23" t="n"/>
      <c r="Q435" s="23" t="n"/>
      <c r="R435" s="23" t="n"/>
      <c r="S435" s="23" t="n"/>
      <c r="T435" s="23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3" t="n"/>
    </row>
    <row r="436" ht="14.25" customHeight="1" s="72">
      <c r="A436" s="22" t="n"/>
      <c r="B436" s="22" t="n"/>
      <c r="C436" s="22" t="n"/>
      <c r="D436" s="22" t="n"/>
      <c r="E436" s="22" t="n"/>
      <c r="F436" s="22" t="n"/>
      <c r="G436" s="23" t="n"/>
      <c r="H436" s="22" t="n"/>
      <c r="I436" s="22" t="n"/>
      <c r="J436" s="22" t="n"/>
      <c r="K436" s="22" t="n"/>
      <c r="L436" s="22" t="n"/>
      <c r="M436" s="22" t="n"/>
      <c r="N436" s="22" t="n"/>
      <c r="O436" s="23" t="n"/>
      <c r="P436" s="23" t="n"/>
      <c r="Q436" s="23" t="n"/>
      <c r="R436" s="23" t="n"/>
      <c r="S436" s="23" t="n"/>
      <c r="T436" s="23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3" t="n"/>
    </row>
    <row r="437" ht="14.25" customHeight="1" s="72">
      <c r="A437" s="22" t="n"/>
      <c r="B437" s="22" t="n"/>
      <c r="C437" s="22" t="n"/>
      <c r="D437" s="22" t="n"/>
      <c r="E437" s="22" t="n"/>
      <c r="F437" s="22" t="n"/>
      <c r="G437" s="23" t="n"/>
      <c r="H437" s="22" t="n"/>
      <c r="I437" s="22" t="n"/>
      <c r="J437" s="22" t="n"/>
      <c r="K437" s="22" t="n"/>
      <c r="L437" s="22" t="n"/>
      <c r="M437" s="22" t="n"/>
      <c r="N437" s="22" t="n"/>
      <c r="O437" s="23" t="n"/>
      <c r="P437" s="23" t="n"/>
      <c r="Q437" s="23" t="n"/>
      <c r="R437" s="23" t="n"/>
      <c r="S437" s="23" t="n"/>
      <c r="T437" s="23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3" t="n"/>
    </row>
    <row r="438" ht="14.25" customHeight="1" s="72">
      <c r="A438" s="22" t="n"/>
      <c r="B438" s="22" t="n"/>
      <c r="C438" s="22" t="n"/>
      <c r="D438" s="22" t="n"/>
      <c r="E438" s="22" t="n"/>
      <c r="F438" s="22" t="n"/>
      <c r="G438" s="23" t="n"/>
      <c r="H438" s="22" t="n"/>
      <c r="I438" s="22" t="n"/>
      <c r="J438" s="22" t="n"/>
      <c r="K438" s="22" t="n"/>
      <c r="L438" s="22" t="n"/>
      <c r="M438" s="22" t="n"/>
      <c r="N438" s="22" t="n"/>
      <c r="O438" s="23" t="n"/>
      <c r="P438" s="23" t="n"/>
      <c r="Q438" s="23" t="n"/>
      <c r="R438" s="23" t="n"/>
      <c r="S438" s="23" t="n"/>
      <c r="T438" s="23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3" t="n"/>
    </row>
    <row r="439" ht="14.25" customHeight="1" s="72">
      <c r="A439" s="22" t="n"/>
      <c r="B439" s="22" t="n"/>
      <c r="C439" s="22" t="n"/>
      <c r="D439" s="22" t="n"/>
      <c r="E439" s="22" t="n"/>
      <c r="F439" s="22" t="n"/>
      <c r="G439" s="23" t="n"/>
      <c r="H439" s="22" t="n"/>
      <c r="I439" s="22" t="n"/>
      <c r="J439" s="22" t="n"/>
      <c r="K439" s="22" t="n"/>
      <c r="L439" s="22" t="n"/>
      <c r="M439" s="22" t="n"/>
      <c r="N439" s="22" t="n"/>
      <c r="O439" s="23" t="n"/>
      <c r="P439" s="23" t="n"/>
      <c r="Q439" s="23" t="n"/>
      <c r="R439" s="23" t="n"/>
      <c r="S439" s="23" t="n"/>
      <c r="T439" s="23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3" t="n"/>
    </row>
    <row r="440" ht="14.25" customHeight="1" s="72">
      <c r="A440" s="22" t="n"/>
      <c r="B440" s="22" t="n"/>
      <c r="C440" s="22" t="n"/>
      <c r="D440" s="22" t="n"/>
      <c r="E440" s="22" t="n"/>
      <c r="F440" s="22" t="n"/>
      <c r="G440" s="23" t="n"/>
      <c r="H440" s="22" t="n"/>
      <c r="I440" s="22" t="n"/>
      <c r="J440" s="22" t="n"/>
      <c r="K440" s="22" t="n"/>
      <c r="L440" s="22" t="n"/>
      <c r="M440" s="22" t="n"/>
      <c r="N440" s="22" t="n"/>
      <c r="O440" s="23" t="n"/>
      <c r="P440" s="23" t="n"/>
      <c r="Q440" s="23" t="n"/>
      <c r="R440" s="23" t="n"/>
      <c r="S440" s="23" t="n"/>
      <c r="T440" s="23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3" t="n"/>
    </row>
    <row r="441" ht="14.25" customHeight="1" s="72">
      <c r="A441" s="22" t="n"/>
      <c r="B441" s="22" t="n"/>
      <c r="C441" s="22" t="n"/>
      <c r="D441" s="22" t="n"/>
      <c r="E441" s="22" t="n"/>
      <c r="F441" s="22" t="n"/>
      <c r="G441" s="23" t="n"/>
      <c r="H441" s="22" t="n"/>
      <c r="I441" s="22" t="n"/>
      <c r="J441" s="22" t="n"/>
      <c r="K441" s="22" t="n"/>
      <c r="L441" s="22" t="n"/>
      <c r="M441" s="22" t="n"/>
      <c r="N441" s="22" t="n"/>
      <c r="O441" s="23" t="n"/>
      <c r="P441" s="23" t="n"/>
      <c r="Q441" s="23" t="n"/>
      <c r="R441" s="23" t="n"/>
      <c r="S441" s="23" t="n"/>
      <c r="T441" s="23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3" t="n"/>
    </row>
    <row r="442" ht="14.25" customHeight="1" s="72">
      <c r="A442" s="22" t="n"/>
      <c r="B442" s="22" t="n"/>
      <c r="C442" s="22" t="n"/>
      <c r="D442" s="22" t="n"/>
      <c r="E442" s="22" t="n"/>
      <c r="F442" s="22" t="n"/>
      <c r="G442" s="23" t="n"/>
      <c r="H442" s="22" t="n"/>
      <c r="I442" s="22" t="n"/>
      <c r="J442" s="22" t="n"/>
      <c r="K442" s="22" t="n"/>
      <c r="L442" s="22" t="n"/>
      <c r="M442" s="22" t="n"/>
      <c r="N442" s="22" t="n"/>
      <c r="O442" s="23" t="n"/>
      <c r="P442" s="23" t="n"/>
      <c r="Q442" s="23" t="n"/>
      <c r="R442" s="23" t="n"/>
      <c r="S442" s="23" t="n"/>
      <c r="T442" s="23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3" t="n"/>
    </row>
    <row r="443" ht="14.25" customHeight="1" s="72">
      <c r="A443" s="22" t="n"/>
      <c r="B443" s="22" t="n"/>
      <c r="C443" s="22" t="n"/>
      <c r="D443" s="22" t="n"/>
      <c r="E443" s="22" t="n"/>
      <c r="F443" s="22" t="n"/>
      <c r="G443" s="23" t="n"/>
      <c r="H443" s="22" t="n"/>
      <c r="I443" s="22" t="n"/>
      <c r="J443" s="22" t="n"/>
      <c r="K443" s="22" t="n"/>
      <c r="L443" s="22" t="n"/>
      <c r="M443" s="22" t="n"/>
      <c r="N443" s="22" t="n"/>
      <c r="O443" s="23" t="n"/>
      <c r="P443" s="23" t="n"/>
      <c r="Q443" s="23" t="n"/>
      <c r="R443" s="23" t="n"/>
      <c r="S443" s="23" t="n"/>
      <c r="T443" s="23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3" t="n"/>
    </row>
    <row r="444" ht="14.25" customHeight="1" s="72">
      <c r="A444" s="22" t="n"/>
      <c r="B444" s="22" t="n"/>
      <c r="C444" s="22" t="n"/>
      <c r="D444" s="22" t="n"/>
      <c r="E444" s="22" t="n"/>
      <c r="F444" s="22" t="n"/>
      <c r="G444" s="23" t="n"/>
      <c r="H444" s="22" t="n"/>
      <c r="I444" s="22" t="n"/>
      <c r="J444" s="22" t="n"/>
      <c r="K444" s="22" t="n"/>
      <c r="L444" s="22" t="n"/>
      <c r="M444" s="22" t="n"/>
      <c r="N444" s="22" t="n"/>
      <c r="O444" s="23" t="n"/>
      <c r="P444" s="23" t="n"/>
      <c r="Q444" s="23" t="n"/>
      <c r="R444" s="23" t="n"/>
      <c r="S444" s="23" t="n"/>
      <c r="T444" s="23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3" t="n"/>
    </row>
    <row r="445" ht="14.25" customHeight="1" s="72">
      <c r="A445" s="22" t="n"/>
      <c r="B445" s="22" t="n"/>
      <c r="C445" s="22" t="n"/>
      <c r="D445" s="22" t="n"/>
      <c r="E445" s="22" t="n"/>
      <c r="F445" s="22" t="n"/>
      <c r="G445" s="23" t="n"/>
      <c r="H445" s="22" t="n"/>
      <c r="I445" s="22" t="n"/>
      <c r="J445" s="22" t="n"/>
      <c r="K445" s="22" t="n"/>
      <c r="L445" s="22" t="n"/>
      <c r="M445" s="22" t="n"/>
      <c r="N445" s="22" t="n"/>
      <c r="O445" s="23" t="n"/>
      <c r="P445" s="23" t="n"/>
      <c r="Q445" s="23" t="n"/>
      <c r="R445" s="23" t="n"/>
      <c r="S445" s="23" t="n"/>
      <c r="T445" s="23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3" t="n"/>
    </row>
    <row r="446" ht="14.25" customHeight="1" s="72">
      <c r="A446" s="22" t="n"/>
      <c r="B446" s="22" t="n"/>
      <c r="C446" s="22" t="n"/>
      <c r="D446" s="22" t="n"/>
      <c r="E446" s="22" t="n"/>
      <c r="F446" s="22" t="n"/>
      <c r="G446" s="23" t="n"/>
      <c r="H446" s="22" t="n"/>
      <c r="I446" s="22" t="n"/>
      <c r="J446" s="22" t="n"/>
      <c r="K446" s="22" t="n"/>
      <c r="L446" s="22" t="n"/>
      <c r="M446" s="22" t="n"/>
      <c r="N446" s="22" t="n"/>
      <c r="O446" s="23" t="n"/>
      <c r="P446" s="23" t="n"/>
      <c r="Q446" s="23" t="n"/>
      <c r="R446" s="23" t="n"/>
      <c r="S446" s="23" t="n"/>
      <c r="T446" s="23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3" t="n"/>
    </row>
    <row r="447" ht="14.25" customHeight="1" s="72">
      <c r="A447" s="22" t="n"/>
      <c r="B447" s="22" t="n"/>
      <c r="C447" s="22" t="n"/>
      <c r="D447" s="22" t="n"/>
      <c r="E447" s="22" t="n"/>
      <c r="F447" s="22" t="n"/>
      <c r="G447" s="23" t="n"/>
      <c r="H447" s="22" t="n"/>
      <c r="I447" s="22" t="n"/>
      <c r="J447" s="22" t="n"/>
      <c r="K447" s="22" t="n"/>
      <c r="L447" s="22" t="n"/>
      <c r="M447" s="22" t="n"/>
      <c r="N447" s="22" t="n"/>
      <c r="O447" s="23" t="n"/>
      <c r="P447" s="23" t="n"/>
      <c r="Q447" s="23" t="n"/>
      <c r="R447" s="23" t="n"/>
      <c r="S447" s="23" t="n"/>
      <c r="T447" s="23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3" t="n"/>
    </row>
    <row r="448" ht="14.25" customHeight="1" s="72">
      <c r="A448" s="22" t="n"/>
      <c r="B448" s="22" t="n"/>
      <c r="C448" s="22" t="n"/>
      <c r="D448" s="22" t="n"/>
      <c r="E448" s="22" t="n"/>
      <c r="F448" s="22" t="n"/>
      <c r="G448" s="23" t="n"/>
      <c r="H448" s="22" t="n"/>
      <c r="I448" s="22" t="n"/>
      <c r="J448" s="22" t="n"/>
      <c r="K448" s="22" t="n"/>
      <c r="L448" s="22" t="n"/>
      <c r="M448" s="22" t="n"/>
      <c r="N448" s="22" t="n"/>
      <c r="O448" s="23" t="n"/>
      <c r="P448" s="23" t="n"/>
      <c r="Q448" s="23" t="n"/>
      <c r="R448" s="23" t="n"/>
      <c r="S448" s="23" t="n"/>
      <c r="T448" s="23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3" t="n"/>
    </row>
    <row r="449" ht="14.25" customHeight="1" s="72">
      <c r="A449" s="22" t="n"/>
      <c r="B449" s="22" t="n"/>
      <c r="C449" s="22" t="n"/>
      <c r="D449" s="22" t="n"/>
      <c r="E449" s="22" t="n"/>
      <c r="F449" s="22" t="n"/>
      <c r="G449" s="23" t="n"/>
      <c r="H449" s="22" t="n"/>
      <c r="I449" s="22" t="n"/>
      <c r="J449" s="22" t="n"/>
      <c r="K449" s="22" t="n"/>
      <c r="L449" s="22" t="n"/>
      <c r="M449" s="22" t="n"/>
      <c r="N449" s="22" t="n"/>
      <c r="O449" s="23" t="n"/>
      <c r="P449" s="23" t="n"/>
      <c r="Q449" s="23" t="n"/>
      <c r="R449" s="23" t="n"/>
      <c r="S449" s="23" t="n"/>
      <c r="T449" s="23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3" t="n"/>
    </row>
    <row r="450" ht="14.25" customHeight="1" s="72">
      <c r="A450" s="22" t="n"/>
      <c r="B450" s="22" t="n"/>
      <c r="C450" s="22" t="n"/>
      <c r="D450" s="22" t="n"/>
      <c r="E450" s="22" t="n"/>
      <c r="F450" s="22" t="n"/>
      <c r="G450" s="23" t="n"/>
      <c r="H450" s="22" t="n"/>
      <c r="I450" s="22" t="n"/>
      <c r="J450" s="22" t="n"/>
      <c r="K450" s="22" t="n"/>
      <c r="L450" s="22" t="n"/>
      <c r="M450" s="22" t="n"/>
      <c r="N450" s="22" t="n"/>
      <c r="O450" s="23" t="n"/>
      <c r="P450" s="23" t="n"/>
      <c r="Q450" s="23" t="n"/>
      <c r="R450" s="23" t="n"/>
      <c r="S450" s="23" t="n"/>
      <c r="T450" s="23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3" t="n"/>
    </row>
    <row r="451" ht="14.25" customHeight="1" s="72">
      <c r="A451" s="22" t="n"/>
      <c r="B451" s="22" t="n"/>
      <c r="C451" s="22" t="n"/>
      <c r="D451" s="22" t="n"/>
      <c r="E451" s="22" t="n"/>
      <c r="F451" s="22" t="n"/>
      <c r="G451" s="23" t="n"/>
      <c r="H451" s="22" t="n"/>
      <c r="I451" s="22" t="n"/>
      <c r="J451" s="22" t="n"/>
      <c r="K451" s="22" t="n"/>
      <c r="L451" s="22" t="n"/>
      <c r="M451" s="22" t="n"/>
      <c r="N451" s="22" t="n"/>
      <c r="O451" s="23" t="n"/>
      <c r="P451" s="23" t="n"/>
      <c r="Q451" s="23" t="n"/>
      <c r="R451" s="23" t="n"/>
      <c r="S451" s="23" t="n"/>
      <c r="T451" s="23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3" t="n"/>
    </row>
    <row r="452" ht="14.25" customHeight="1" s="72">
      <c r="A452" s="22" t="n"/>
      <c r="B452" s="22" t="n"/>
      <c r="C452" s="22" t="n"/>
      <c r="D452" s="22" t="n"/>
      <c r="E452" s="22" t="n"/>
      <c r="F452" s="22" t="n"/>
      <c r="G452" s="23" t="n"/>
      <c r="H452" s="22" t="n"/>
      <c r="I452" s="22" t="n"/>
      <c r="J452" s="22" t="n"/>
      <c r="K452" s="22" t="n"/>
      <c r="L452" s="22" t="n"/>
      <c r="M452" s="22" t="n"/>
      <c r="N452" s="22" t="n"/>
      <c r="O452" s="23" t="n"/>
      <c r="P452" s="23" t="n"/>
      <c r="Q452" s="23" t="n"/>
      <c r="R452" s="23" t="n"/>
      <c r="S452" s="23" t="n"/>
      <c r="T452" s="23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3" t="n"/>
    </row>
    <row r="453" ht="14.25" customHeight="1" s="72">
      <c r="A453" s="22" t="n"/>
      <c r="B453" s="22" t="n"/>
      <c r="C453" s="22" t="n"/>
      <c r="D453" s="22" t="n"/>
      <c r="E453" s="22" t="n"/>
      <c r="F453" s="22" t="n"/>
      <c r="G453" s="23" t="n"/>
      <c r="H453" s="22" t="n"/>
      <c r="I453" s="22" t="n"/>
      <c r="J453" s="22" t="n"/>
      <c r="K453" s="22" t="n"/>
      <c r="L453" s="22" t="n"/>
      <c r="M453" s="22" t="n"/>
      <c r="N453" s="22" t="n"/>
      <c r="O453" s="23" t="n"/>
      <c r="P453" s="23" t="n"/>
      <c r="Q453" s="23" t="n"/>
      <c r="R453" s="23" t="n"/>
      <c r="S453" s="23" t="n"/>
      <c r="T453" s="23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3" t="n"/>
    </row>
    <row r="454" ht="14.25" customHeight="1" s="72">
      <c r="A454" s="22" t="n"/>
      <c r="B454" s="22" t="n"/>
      <c r="C454" s="22" t="n"/>
      <c r="D454" s="22" t="n"/>
      <c r="E454" s="22" t="n"/>
      <c r="F454" s="22" t="n"/>
      <c r="G454" s="23" t="n"/>
      <c r="H454" s="22" t="n"/>
      <c r="I454" s="22" t="n"/>
      <c r="J454" s="22" t="n"/>
      <c r="K454" s="22" t="n"/>
      <c r="L454" s="22" t="n"/>
      <c r="M454" s="22" t="n"/>
      <c r="N454" s="22" t="n"/>
      <c r="O454" s="23" t="n"/>
      <c r="P454" s="23" t="n"/>
      <c r="Q454" s="23" t="n"/>
      <c r="R454" s="23" t="n"/>
      <c r="S454" s="23" t="n"/>
      <c r="T454" s="23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3" t="n"/>
    </row>
    <row r="455" ht="14.25" customHeight="1" s="72">
      <c r="A455" s="22" t="n"/>
      <c r="B455" s="22" t="n"/>
      <c r="C455" s="22" t="n"/>
      <c r="D455" s="22" t="n"/>
      <c r="E455" s="22" t="n"/>
      <c r="F455" s="22" t="n"/>
      <c r="G455" s="23" t="n"/>
      <c r="H455" s="22" t="n"/>
      <c r="I455" s="22" t="n"/>
      <c r="J455" s="22" t="n"/>
      <c r="K455" s="22" t="n"/>
      <c r="L455" s="22" t="n"/>
      <c r="M455" s="22" t="n"/>
      <c r="N455" s="22" t="n"/>
      <c r="O455" s="23" t="n"/>
      <c r="P455" s="23" t="n"/>
      <c r="Q455" s="23" t="n"/>
      <c r="R455" s="23" t="n"/>
      <c r="S455" s="23" t="n"/>
      <c r="T455" s="23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3" t="n"/>
    </row>
    <row r="456" ht="14.25" customHeight="1" s="72">
      <c r="A456" s="22" t="n"/>
      <c r="B456" s="22" t="n"/>
      <c r="C456" s="22" t="n"/>
      <c r="D456" s="22" t="n"/>
      <c r="E456" s="22" t="n"/>
      <c r="F456" s="22" t="n"/>
      <c r="G456" s="23" t="n"/>
      <c r="H456" s="22" t="n"/>
      <c r="I456" s="22" t="n"/>
      <c r="J456" s="22" t="n"/>
      <c r="K456" s="22" t="n"/>
      <c r="L456" s="22" t="n"/>
      <c r="M456" s="22" t="n"/>
      <c r="N456" s="22" t="n"/>
      <c r="O456" s="23" t="n"/>
      <c r="P456" s="23" t="n"/>
      <c r="Q456" s="23" t="n"/>
      <c r="R456" s="23" t="n"/>
      <c r="S456" s="23" t="n"/>
      <c r="T456" s="23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3" t="n"/>
    </row>
    <row r="457" ht="14.25" customHeight="1" s="72">
      <c r="A457" s="22" t="n"/>
      <c r="B457" s="22" t="n"/>
      <c r="C457" s="22" t="n"/>
      <c r="D457" s="22" t="n"/>
      <c r="E457" s="22" t="n"/>
      <c r="F457" s="22" t="n"/>
      <c r="G457" s="23" t="n"/>
      <c r="H457" s="22" t="n"/>
      <c r="I457" s="22" t="n"/>
      <c r="J457" s="22" t="n"/>
      <c r="K457" s="22" t="n"/>
      <c r="L457" s="22" t="n"/>
      <c r="M457" s="22" t="n"/>
      <c r="N457" s="22" t="n"/>
      <c r="O457" s="23" t="n"/>
      <c r="P457" s="23" t="n"/>
      <c r="Q457" s="23" t="n"/>
      <c r="R457" s="23" t="n"/>
      <c r="S457" s="23" t="n"/>
      <c r="T457" s="23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3" t="n"/>
    </row>
    <row r="458" ht="14.25" customHeight="1" s="72">
      <c r="A458" s="22" t="n"/>
      <c r="B458" s="22" t="n"/>
      <c r="C458" s="22" t="n"/>
      <c r="D458" s="22" t="n"/>
      <c r="E458" s="22" t="n"/>
      <c r="F458" s="22" t="n"/>
      <c r="G458" s="23" t="n"/>
      <c r="H458" s="22" t="n"/>
      <c r="I458" s="22" t="n"/>
      <c r="J458" s="22" t="n"/>
      <c r="K458" s="22" t="n"/>
      <c r="L458" s="22" t="n"/>
      <c r="M458" s="22" t="n"/>
      <c r="N458" s="22" t="n"/>
      <c r="O458" s="23" t="n"/>
      <c r="P458" s="23" t="n"/>
      <c r="Q458" s="23" t="n"/>
      <c r="R458" s="23" t="n"/>
      <c r="S458" s="23" t="n"/>
      <c r="T458" s="23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3" t="n"/>
    </row>
    <row r="459" ht="14.25" customHeight="1" s="72">
      <c r="A459" s="22" t="n"/>
      <c r="B459" s="22" t="n"/>
      <c r="C459" s="22" t="n"/>
      <c r="D459" s="22" t="n"/>
      <c r="E459" s="22" t="n"/>
      <c r="F459" s="22" t="n"/>
      <c r="G459" s="23" t="n"/>
      <c r="H459" s="22" t="n"/>
      <c r="I459" s="22" t="n"/>
      <c r="J459" s="22" t="n"/>
      <c r="K459" s="22" t="n"/>
      <c r="L459" s="22" t="n"/>
      <c r="M459" s="22" t="n"/>
      <c r="N459" s="22" t="n"/>
      <c r="O459" s="23" t="n"/>
      <c r="P459" s="23" t="n"/>
      <c r="Q459" s="23" t="n"/>
      <c r="R459" s="23" t="n"/>
      <c r="S459" s="23" t="n"/>
      <c r="T459" s="23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3" t="n"/>
    </row>
    <row r="460" ht="14.25" customHeight="1" s="72">
      <c r="A460" s="22" t="n"/>
      <c r="B460" s="22" t="n"/>
      <c r="C460" s="22" t="n"/>
      <c r="D460" s="22" t="n"/>
      <c r="E460" s="22" t="n"/>
      <c r="F460" s="22" t="n"/>
      <c r="G460" s="23" t="n"/>
      <c r="H460" s="22" t="n"/>
      <c r="I460" s="22" t="n"/>
      <c r="J460" s="22" t="n"/>
      <c r="K460" s="22" t="n"/>
      <c r="L460" s="22" t="n"/>
      <c r="M460" s="22" t="n"/>
      <c r="N460" s="22" t="n"/>
      <c r="O460" s="23" t="n"/>
      <c r="P460" s="23" t="n"/>
      <c r="Q460" s="23" t="n"/>
      <c r="R460" s="23" t="n"/>
      <c r="S460" s="23" t="n"/>
      <c r="T460" s="23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3" t="n"/>
    </row>
    <row r="461" ht="14.25" customHeight="1" s="72">
      <c r="A461" s="22" t="n"/>
      <c r="B461" s="22" t="n"/>
      <c r="C461" s="22" t="n"/>
      <c r="D461" s="22" t="n"/>
      <c r="E461" s="22" t="n"/>
      <c r="F461" s="22" t="n"/>
      <c r="G461" s="23" t="n"/>
      <c r="H461" s="22" t="n"/>
      <c r="I461" s="22" t="n"/>
      <c r="J461" s="22" t="n"/>
      <c r="K461" s="22" t="n"/>
      <c r="L461" s="22" t="n"/>
      <c r="M461" s="22" t="n"/>
      <c r="N461" s="22" t="n"/>
      <c r="O461" s="23" t="n"/>
      <c r="P461" s="23" t="n"/>
      <c r="Q461" s="23" t="n"/>
      <c r="R461" s="23" t="n"/>
      <c r="S461" s="23" t="n"/>
      <c r="T461" s="23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3" t="n"/>
    </row>
    <row r="462" ht="14.25" customHeight="1" s="72">
      <c r="A462" s="22" t="n"/>
      <c r="B462" s="22" t="n"/>
      <c r="C462" s="22" t="n"/>
      <c r="D462" s="22" t="n"/>
      <c r="E462" s="22" t="n"/>
      <c r="F462" s="22" t="n"/>
      <c r="G462" s="23" t="n"/>
      <c r="H462" s="22" t="n"/>
      <c r="I462" s="22" t="n"/>
      <c r="J462" s="22" t="n"/>
      <c r="K462" s="22" t="n"/>
      <c r="L462" s="22" t="n"/>
      <c r="M462" s="22" t="n"/>
      <c r="N462" s="22" t="n"/>
      <c r="O462" s="23" t="n"/>
      <c r="P462" s="23" t="n"/>
      <c r="Q462" s="23" t="n"/>
      <c r="R462" s="23" t="n"/>
      <c r="S462" s="23" t="n"/>
      <c r="T462" s="23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3" t="n"/>
    </row>
    <row r="463" ht="14.25" customHeight="1" s="72">
      <c r="A463" s="22" t="n"/>
      <c r="B463" s="22" t="n"/>
      <c r="C463" s="22" t="n"/>
      <c r="D463" s="22" t="n"/>
      <c r="E463" s="22" t="n"/>
      <c r="F463" s="22" t="n"/>
      <c r="G463" s="23" t="n"/>
      <c r="H463" s="22" t="n"/>
      <c r="I463" s="22" t="n"/>
      <c r="J463" s="22" t="n"/>
      <c r="K463" s="22" t="n"/>
      <c r="L463" s="22" t="n"/>
      <c r="M463" s="22" t="n"/>
      <c r="N463" s="22" t="n"/>
      <c r="O463" s="23" t="n"/>
      <c r="P463" s="23" t="n"/>
      <c r="Q463" s="23" t="n"/>
      <c r="R463" s="23" t="n"/>
      <c r="S463" s="23" t="n"/>
      <c r="T463" s="23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3" t="n"/>
    </row>
    <row r="464" ht="14.25" customHeight="1" s="72">
      <c r="A464" s="22" t="n"/>
      <c r="B464" s="22" t="n"/>
      <c r="C464" s="22" t="n"/>
      <c r="D464" s="22" t="n"/>
      <c r="E464" s="22" t="n"/>
      <c r="F464" s="22" t="n"/>
      <c r="G464" s="23" t="n"/>
      <c r="H464" s="22" t="n"/>
      <c r="I464" s="22" t="n"/>
      <c r="J464" s="22" t="n"/>
      <c r="K464" s="22" t="n"/>
      <c r="L464" s="22" t="n"/>
      <c r="M464" s="22" t="n"/>
      <c r="N464" s="22" t="n"/>
      <c r="O464" s="23" t="n"/>
      <c r="P464" s="23" t="n"/>
      <c r="Q464" s="23" t="n"/>
      <c r="R464" s="23" t="n"/>
      <c r="S464" s="23" t="n"/>
      <c r="T464" s="23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3" t="n"/>
    </row>
    <row r="465" ht="14.25" customHeight="1" s="72">
      <c r="A465" s="22" t="n"/>
      <c r="B465" s="22" t="n"/>
      <c r="C465" s="22" t="n"/>
      <c r="D465" s="22" t="n"/>
      <c r="E465" s="22" t="n"/>
      <c r="F465" s="22" t="n"/>
      <c r="G465" s="23" t="n"/>
      <c r="H465" s="22" t="n"/>
      <c r="I465" s="22" t="n"/>
      <c r="J465" s="22" t="n"/>
      <c r="K465" s="22" t="n"/>
      <c r="L465" s="22" t="n"/>
      <c r="M465" s="22" t="n"/>
      <c r="N465" s="22" t="n"/>
      <c r="O465" s="23" t="n"/>
      <c r="P465" s="23" t="n"/>
      <c r="Q465" s="23" t="n"/>
      <c r="R465" s="23" t="n"/>
      <c r="S465" s="23" t="n"/>
      <c r="T465" s="23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3" t="n"/>
    </row>
    <row r="466" ht="14.25" customHeight="1" s="72">
      <c r="A466" s="22" t="n"/>
      <c r="B466" s="22" t="n"/>
      <c r="C466" s="22" t="n"/>
      <c r="D466" s="22" t="n"/>
      <c r="E466" s="22" t="n"/>
      <c r="F466" s="22" t="n"/>
      <c r="G466" s="23" t="n"/>
      <c r="H466" s="22" t="n"/>
      <c r="I466" s="22" t="n"/>
      <c r="J466" s="22" t="n"/>
      <c r="K466" s="22" t="n"/>
      <c r="L466" s="22" t="n"/>
      <c r="M466" s="22" t="n"/>
      <c r="N466" s="22" t="n"/>
      <c r="O466" s="23" t="n"/>
      <c r="P466" s="23" t="n"/>
      <c r="Q466" s="23" t="n"/>
      <c r="R466" s="23" t="n"/>
      <c r="S466" s="23" t="n"/>
      <c r="T466" s="23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3" t="n"/>
    </row>
    <row r="467" ht="14.25" customHeight="1" s="72">
      <c r="A467" s="22" t="n"/>
      <c r="B467" s="22" t="n"/>
      <c r="C467" s="22" t="n"/>
      <c r="D467" s="22" t="n"/>
      <c r="E467" s="22" t="n"/>
      <c r="F467" s="22" t="n"/>
      <c r="G467" s="23" t="n"/>
      <c r="H467" s="22" t="n"/>
      <c r="I467" s="22" t="n"/>
      <c r="J467" s="22" t="n"/>
      <c r="K467" s="22" t="n"/>
      <c r="L467" s="22" t="n"/>
      <c r="M467" s="22" t="n"/>
      <c r="N467" s="22" t="n"/>
      <c r="O467" s="23" t="n"/>
      <c r="P467" s="23" t="n"/>
      <c r="Q467" s="23" t="n"/>
      <c r="R467" s="23" t="n"/>
      <c r="S467" s="23" t="n"/>
      <c r="T467" s="23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3" t="n"/>
    </row>
    <row r="468" ht="14.25" customHeight="1" s="72">
      <c r="A468" s="22" t="n"/>
      <c r="B468" s="22" t="n"/>
      <c r="C468" s="22" t="n"/>
      <c r="D468" s="22" t="n"/>
      <c r="E468" s="22" t="n"/>
      <c r="F468" s="22" t="n"/>
      <c r="G468" s="23" t="n"/>
      <c r="H468" s="22" t="n"/>
      <c r="I468" s="22" t="n"/>
      <c r="J468" s="22" t="n"/>
      <c r="K468" s="22" t="n"/>
      <c r="L468" s="22" t="n"/>
      <c r="M468" s="22" t="n"/>
      <c r="N468" s="22" t="n"/>
      <c r="O468" s="23" t="n"/>
      <c r="P468" s="23" t="n"/>
      <c r="Q468" s="23" t="n"/>
      <c r="R468" s="23" t="n"/>
      <c r="S468" s="23" t="n"/>
      <c r="T468" s="23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3" t="n"/>
    </row>
    <row r="469" ht="14.25" customHeight="1" s="72">
      <c r="A469" s="22" t="n"/>
      <c r="B469" s="22" t="n"/>
      <c r="C469" s="22" t="n"/>
      <c r="D469" s="22" t="n"/>
      <c r="E469" s="22" t="n"/>
      <c r="F469" s="22" t="n"/>
      <c r="G469" s="23" t="n"/>
      <c r="H469" s="22" t="n"/>
      <c r="I469" s="22" t="n"/>
      <c r="J469" s="22" t="n"/>
      <c r="K469" s="22" t="n"/>
      <c r="L469" s="22" t="n"/>
      <c r="M469" s="22" t="n"/>
      <c r="N469" s="22" t="n"/>
      <c r="O469" s="23" t="n"/>
      <c r="P469" s="23" t="n"/>
      <c r="Q469" s="23" t="n"/>
      <c r="R469" s="23" t="n"/>
      <c r="S469" s="23" t="n"/>
      <c r="T469" s="23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3" t="n"/>
    </row>
    <row r="470" ht="14.25" customHeight="1" s="72">
      <c r="A470" s="22" t="n"/>
      <c r="B470" s="22" t="n"/>
      <c r="C470" s="22" t="n"/>
      <c r="D470" s="22" t="n"/>
      <c r="E470" s="22" t="n"/>
      <c r="F470" s="22" t="n"/>
      <c r="G470" s="23" t="n"/>
      <c r="H470" s="22" t="n"/>
      <c r="I470" s="22" t="n"/>
      <c r="J470" s="22" t="n"/>
      <c r="K470" s="22" t="n"/>
      <c r="L470" s="22" t="n"/>
      <c r="M470" s="22" t="n"/>
      <c r="N470" s="22" t="n"/>
      <c r="O470" s="23" t="n"/>
      <c r="P470" s="23" t="n"/>
      <c r="Q470" s="23" t="n"/>
      <c r="R470" s="23" t="n"/>
      <c r="S470" s="23" t="n"/>
      <c r="T470" s="23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3" t="n"/>
    </row>
    <row r="471" ht="14.25" customHeight="1" s="72">
      <c r="A471" s="22" t="n"/>
      <c r="B471" s="22" t="n"/>
      <c r="C471" s="22" t="n"/>
      <c r="D471" s="22" t="n"/>
      <c r="E471" s="22" t="n"/>
      <c r="F471" s="22" t="n"/>
      <c r="G471" s="23" t="n"/>
      <c r="H471" s="22" t="n"/>
      <c r="I471" s="22" t="n"/>
      <c r="J471" s="22" t="n"/>
      <c r="K471" s="22" t="n"/>
      <c r="L471" s="22" t="n"/>
      <c r="M471" s="22" t="n"/>
      <c r="N471" s="22" t="n"/>
      <c r="O471" s="23" t="n"/>
      <c r="P471" s="23" t="n"/>
      <c r="Q471" s="23" t="n"/>
      <c r="R471" s="23" t="n"/>
      <c r="S471" s="23" t="n"/>
      <c r="T471" s="23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3" t="n"/>
    </row>
    <row r="472" ht="14.25" customHeight="1" s="72">
      <c r="A472" s="22" t="n"/>
      <c r="B472" s="22" t="n"/>
      <c r="C472" s="22" t="n"/>
      <c r="D472" s="22" t="n"/>
      <c r="E472" s="22" t="n"/>
      <c r="F472" s="22" t="n"/>
      <c r="G472" s="23" t="n"/>
      <c r="H472" s="22" t="n"/>
      <c r="I472" s="22" t="n"/>
      <c r="J472" s="22" t="n"/>
      <c r="K472" s="22" t="n"/>
      <c r="L472" s="22" t="n"/>
      <c r="M472" s="22" t="n"/>
      <c r="N472" s="22" t="n"/>
      <c r="O472" s="23" t="n"/>
      <c r="P472" s="23" t="n"/>
      <c r="Q472" s="23" t="n"/>
      <c r="R472" s="23" t="n"/>
      <c r="S472" s="23" t="n"/>
      <c r="T472" s="23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3" t="n"/>
    </row>
    <row r="473" ht="14.25" customHeight="1" s="72">
      <c r="A473" s="22" t="n"/>
      <c r="B473" s="22" t="n"/>
      <c r="C473" s="22" t="n"/>
      <c r="D473" s="22" t="n"/>
      <c r="E473" s="22" t="n"/>
      <c r="F473" s="22" t="n"/>
      <c r="G473" s="23" t="n"/>
      <c r="H473" s="22" t="n"/>
      <c r="I473" s="22" t="n"/>
      <c r="J473" s="22" t="n"/>
      <c r="K473" s="22" t="n"/>
      <c r="L473" s="22" t="n"/>
      <c r="M473" s="22" t="n"/>
      <c r="N473" s="22" t="n"/>
      <c r="O473" s="23" t="n"/>
      <c r="P473" s="23" t="n"/>
      <c r="Q473" s="23" t="n"/>
      <c r="R473" s="23" t="n"/>
      <c r="S473" s="23" t="n"/>
      <c r="T473" s="23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3" t="n"/>
    </row>
    <row r="474" ht="14.25" customHeight="1" s="72">
      <c r="A474" s="22" t="n"/>
      <c r="B474" s="22" t="n"/>
      <c r="C474" s="22" t="n"/>
      <c r="D474" s="22" t="n"/>
      <c r="E474" s="22" t="n"/>
      <c r="F474" s="22" t="n"/>
      <c r="G474" s="23" t="n"/>
      <c r="H474" s="22" t="n"/>
      <c r="I474" s="22" t="n"/>
      <c r="J474" s="22" t="n"/>
      <c r="K474" s="22" t="n"/>
      <c r="L474" s="22" t="n"/>
      <c r="M474" s="22" t="n"/>
      <c r="N474" s="22" t="n"/>
      <c r="O474" s="23" t="n"/>
      <c r="P474" s="23" t="n"/>
      <c r="Q474" s="23" t="n"/>
      <c r="R474" s="23" t="n"/>
      <c r="S474" s="23" t="n"/>
      <c r="T474" s="23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3" t="n"/>
    </row>
    <row r="475" ht="14.25" customHeight="1" s="72">
      <c r="A475" s="22" t="n"/>
      <c r="B475" s="22" t="n"/>
      <c r="C475" s="22" t="n"/>
      <c r="D475" s="22" t="n"/>
      <c r="E475" s="22" t="n"/>
      <c r="F475" s="22" t="n"/>
      <c r="G475" s="23" t="n"/>
      <c r="H475" s="22" t="n"/>
      <c r="I475" s="22" t="n"/>
      <c r="J475" s="22" t="n"/>
      <c r="K475" s="22" t="n"/>
      <c r="L475" s="22" t="n"/>
      <c r="M475" s="22" t="n"/>
      <c r="N475" s="22" t="n"/>
      <c r="O475" s="23" t="n"/>
      <c r="P475" s="23" t="n"/>
      <c r="Q475" s="23" t="n"/>
      <c r="R475" s="23" t="n"/>
      <c r="S475" s="23" t="n"/>
      <c r="T475" s="23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3" t="n"/>
    </row>
    <row r="476" ht="14.25" customHeight="1" s="72">
      <c r="A476" s="22" t="n"/>
      <c r="B476" s="22" t="n"/>
      <c r="C476" s="22" t="n"/>
      <c r="D476" s="22" t="n"/>
      <c r="E476" s="22" t="n"/>
      <c r="F476" s="22" t="n"/>
      <c r="G476" s="23" t="n"/>
      <c r="H476" s="22" t="n"/>
      <c r="I476" s="22" t="n"/>
      <c r="J476" s="22" t="n"/>
      <c r="K476" s="22" t="n"/>
      <c r="L476" s="22" t="n"/>
      <c r="M476" s="22" t="n"/>
      <c r="N476" s="22" t="n"/>
      <c r="O476" s="23" t="n"/>
      <c r="P476" s="23" t="n"/>
      <c r="Q476" s="23" t="n"/>
      <c r="R476" s="23" t="n"/>
      <c r="S476" s="23" t="n"/>
      <c r="T476" s="23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3" t="n"/>
    </row>
    <row r="477" ht="14.25" customHeight="1" s="72">
      <c r="A477" s="22" t="n"/>
      <c r="B477" s="22" t="n"/>
      <c r="C477" s="22" t="n"/>
      <c r="D477" s="22" t="n"/>
      <c r="E477" s="22" t="n"/>
      <c r="F477" s="22" t="n"/>
      <c r="G477" s="23" t="n"/>
      <c r="H477" s="22" t="n"/>
      <c r="I477" s="22" t="n"/>
      <c r="J477" s="22" t="n"/>
      <c r="K477" s="22" t="n"/>
      <c r="L477" s="22" t="n"/>
      <c r="M477" s="22" t="n"/>
      <c r="N477" s="22" t="n"/>
      <c r="O477" s="23" t="n"/>
      <c r="P477" s="23" t="n"/>
      <c r="Q477" s="23" t="n"/>
      <c r="R477" s="23" t="n"/>
      <c r="S477" s="23" t="n"/>
      <c r="T477" s="23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3" t="n"/>
    </row>
    <row r="478" ht="14.25" customHeight="1" s="72">
      <c r="A478" s="22" t="n"/>
      <c r="B478" s="22" t="n"/>
      <c r="C478" s="22" t="n"/>
      <c r="D478" s="22" t="n"/>
      <c r="E478" s="22" t="n"/>
      <c r="F478" s="22" t="n"/>
      <c r="G478" s="23" t="n"/>
      <c r="H478" s="22" t="n"/>
      <c r="I478" s="22" t="n"/>
      <c r="J478" s="22" t="n"/>
      <c r="K478" s="22" t="n"/>
      <c r="L478" s="22" t="n"/>
      <c r="M478" s="22" t="n"/>
      <c r="N478" s="22" t="n"/>
      <c r="O478" s="23" t="n"/>
      <c r="P478" s="23" t="n"/>
      <c r="Q478" s="23" t="n"/>
      <c r="R478" s="23" t="n"/>
      <c r="S478" s="23" t="n"/>
      <c r="T478" s="23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3" t="n"/>
    </row>
    <row r="479" ht="14.25" customHeight="1" s="72">
      <c r="A479" s="22" t="n"/>
      <c r="B479" s="22" t="n"/>
      <c r="C479" s="22" t="n"/>
      <c r="D479" s="22" t="n"/>
      <c r="E479" s="22" t="n"/>
      <c r="F479" s="22" t="n"/>
      <c r="G479" s="23" t="n"/>
      <c r="H479" s="22" t="n"/>
      <c r="I479" s="22" t="n"/>
      <c r="J479" s="22" t="n"/>
      <c r="K479" s="22" t="n"/>
      <c r="L479" s="22" t="n"/>
      <c r="M479" s="22" t="n"/>
      <c r="N479" s="22" t="n"/>
      <c r="O479" s="23" t="n"/>
      <c r="P479" s="23" t="n"/>
      <c r="Q479" s="23" t="n"/>
      <c r="R479" s="23" t="n"/>
      <c r="S479" s="23" t="n"/>
      <c r="T479" s="23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3" t="n"/>
    </row>
    <row r="480" ht="14.25" customHeight="1" s="72">
      <c r="A480" s="22" t="n"/>
      <c r="B480" s="22" t="n"/>
      <c r="C480" s="22" t="n"/>
      <c r="D480" s="22" t="n"/>
      <c r="E480" s="22" t="n"/>
      <c r="F480" s="22" t="n"/>
      <c r="G480" s="23" t="n"/>
      <c r="H480" s="22" t="n"/>
      <c r="I480" s="22" t="n"/>
      <c r="J480" s="22" t="n"/>
      <c r="K480" s="22" t="n"/>
      <c r="L480" s="22" t="n"/>
      <c r="M480" s="22" t="n"/>
      <c r="N480" s="22" t="n"/>
      <c r="O480" s="23" t="n"/>
      <c r="P480" s="23" t="n"/>
      <c r="Q480" s="23" t="n"/>
      <c r="R480" s="23" t="n"/>
      <c r="S480" s="23" t="n"/>
      <c r="T480" s="23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3" t="n"/>
    </row>
    <row r="481" ht="14.25" customHeight="1" s="72">
      <c r="A481" s="22" t="n"/>
      <c r="B481" s="22" t="n"/>
      <c r="C481" s="22" t="n"/>
      <c r="D481" s="22" t="n"/>
      <c r="E481" s="22" t="n"/>
      <c r="F481" s="22" t="n"/>
      <c r="G481" s="23" t="n"/>
      <c r="H481" s="22" t="n"/>
      <c r="I481" s="22" t="n"/>
      <c r="J481" s="22" t="n"/>
      <c r="K481" s="22" t="n"/>
      <c r="L481" s="22" t="n"/>
      <c r="M481" s="22" t="n"/>
      <c r="N481" s="22" t="n"/>
      <c r="O481" s="23" t="n"/>
      <c r="P481" s="23" t="n"/>
      <c r="Q481" s="23" t="n"/>
      <c r="R481" s="23" t="n"/>
      <c r="S481" s="23" t="n"/>
      <c r="T481" s="23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3" t="n"/>
    </row>
    <row r="482" ht="14.25" customHeight="1" s="72">
      <c r="A482" s="22" t="n"/>
      <c r="B482" s="22" t="n"/>
      <c r="C482" s="22" t="n"/>
      <c r="D482" s="22" t="n"/>
      <c r="E482" s="22" t="n"/>
      <c r="F482" s="22" t="n"/>
      <c r="G482" s="23" t="n"/>
      <c r="H482" s="22" t="n"/>
      <c r="I482" s="22" t="n"/>
      <c r="J482" s="22" t="n"/>
      <c r="K482" s="22" t="n"/>
      <c r="L482" s="22" t="n"/>
      <c r="M482" s="22" t="n"/>
      <c r="N482" s="22" t="n"/>
      <c r="O482" s="23" t="n"/>
      <c r="P482" s="23" t="n"/>
      <c r="Q482" s="23" t="n"/>
      <c r="R482" s="23" t="n"/>
      <c r="S482" s="23" t="n"/>
      <c r="T482" s="23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3" t="n"/>
    </row>
    <row r="483" ht="14.25" customHeight="1" s="72">
      <c r="A483" s="22" t="n"/>
      <c r="B483" s="22" t="n"/>
      <c r="C483" s="22" t="n"/>
      <c r="D483" s="22" t="n"/>
      <c r="E483" s="22" t="n"/>
      <c r="F483" s="22" t="n"/>
      <c r="G483" s="23" t="n"/>
      <c r="H483" s="22" t="n"/>
      <c r="I483" s="22" t="n"/>
      <c r="J483" s="22" t="n"/>
      <c r="K483" s="22" t="n"/>
      <c r="L483" s="22" t="n"/>
      <c r="M483" s="22" t="n"/>
      <c r="N483" s="22" t="n"/>
      <c r="O483" s="23" t="n"/>
      <c r="P483" s="23" t="n"/>
      <c r="Q483" s="23" t="n"/>
      <c r="R483" s="23" t="n"/>
      <c r="S483" s="23" t="n"/>
      <c r="T483" s="23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3" t="n"/>
    </row>
    <row r="484" ht="14.25" customHeight="1" s="72">
      <c r="A484" s="22" t="n"/>
      <c r="B484" s="22" t="n"/>
      <c r="C484" s="22" t="n"/>
      <c r="D484" s="22" t="n"/>
      <c r="E484" s="22" t="n"/>
      <c r="F484" s="22" t="n"/>
      <c r="G484" s="23" t="n"/>
      <c r="H484" s="22" t="n"/>
      <c r="I484" s="22" t="n"/>
      <c r="J484" s="22" t="n"/>
      <c r="K484" s="22" t="n"/>
      <c r="L484" s="22" t="n"/>
      <c r="M484" s="22" t="n"/>
      <c r="N484" s="22" t="n"/>
      <c r="O484" s="23" t="n"/>
      <c r="P484" s="23" t="n"/>
      <c r="Q484" s="23" t="n"/>
      <c r="R484" s="23" t="n"/>
      <c r="S484" s="23" t="n"/>
      <c r="T484" s="23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3" t="n"/>
    </row>
    <row r="485" ht="14.25" customHeight="1" s="72">
      <c r="A485" s="22" t="n"/>
      <c r="B485" s="22" t="n"/>
      <c r="C485" s="22" t="n"/>
      <c r="D485" s="22" t="n"/>
      <c r="E485" s="22" t="n"/>
      <c r="F485" s="22" t="n"/>
      <c r="G485" s="23" t="n"/>
      <c r="H485" s="22" t="n"/>
      <c r="I485" s="22" t="n"/>
      <c r="J485" s="22" t="n"/>
      <c r="K485" s="22" t="n"/>
      <c r="L485" s="22" t="n"/>
      <c r="M485" s="22" t="n"/>
      <c r="N485" s="22" t="n"/>
      <c r="O485" s="23" t="n"/>
      <c r="P485" s="23" t="n"/>
      <c r="Q485" s="23" t="n"/>
      <c r="R485" s="23" t="n"/>
      <c r="S485" s="23" t="n"/>
      <c r="T485" s="23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3" t="n"/>
    </row>
    <row r="486" ht="14.25" customHeight="1" s="72">
      <c r="A486" s="22" t="n"/>
      <c r="B486" s="22" t="n"/>
      <c r="C486" s="22" t="n"/>
      <c r="D486" s="22" t="n"/>
      <c r="E486" s="22" t="n"/>
      <c r="F486" s="22" t="n"/>
      <c r="G486" s="23" t="n"/>
      <c r="H486" s="22" t="n"/>
      <c r="I486" s="22" t="n"/>
      <c r="J486" s="22" t="n"/>
      <c r="K486" s="22" t="n"/>
      <c r="L486" s="22" t="n"/>
      <c r="M486" s="22" t="n"/>
      <c r="N486" s="22" t="n"/>
      <c r="O486" s="23" t="n"/>
      <c r="P486" s="23" t="n"/>
      <c r="Q486" s="23" t="n"/>
      <c r="R486" s="23" t="n"/>
      <c r="S486" s="23" t="n"/>
      <c r="T486" s="23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3" t="n"/>
    </row>
    <row r="487" ht="14.25" customHeight="1" s="72">
      <c r="A487" s="22" t="n"/>
      <c r="B487" s="22" t="n"/>
      <c r="C487" s="22" t="n"/>
      <c r="D487" s="22" t="n"/>
      <c r="E487" s="22" t="n"/>
      <c r="F487" s="22" t="n"/>
      <c r="G487" s="23" t="n"/>
      <c r="H487" s="22" t="n"/>
      <c r="I487" s="22" t="n"/>
      <c r="J487" s="22" t="n"/>
      <c r="K487" s="22" t="n"/>
      <c r="L487" s="22" t="n"/>
      <c r="M487" s="22" t="n"/>
      <c r="N487" s="22" t="n"/>
      <c r="O487" s="23" t="n"/>
      <c r="P487" s="23" t="n"/>
      <c r="Q487" s="23" t="n"/>
      <c r="R487" s="23" t="n"/>
      <c r="S487" s="23" t="n"/>
      <c r="T487" s="23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3" t="n"/>
    </row>
    <row r="488" ht="14.25" customHeight="1" s="72">
      <c r="A488" s="22" t="n"/>
      <c r="B488" s="22" t="n"/>
      <c r="C488" s="22" t="n"/>
      <c r="D488" s="22" t="n"/>
      <c r="E488" s="22" t="n"/>
      <c r="F488" s="22" t="n"/>
      <c r="G488" s="23" t="n"/>
      <c r="H488" s="22" t="n"/>
      <c r="I488" s="22" t="n"/>
      <c r="J488" s="22" t="n"/>
      <c r="K488" s="22" t="n"/>
      <c r="L488" s="22" t="n"/>
      <c r="M488" s="22" t="n"/>
      <c r="N488" s="22" t="n"/>
      <c r="O488" s="23" t="n"/>
      <c r="P488" s="23" t="n"/>
      <c r="Q488" s="23" t="n"/>
      <c r="R488" s="23" t="n"/>
      <c r="S488" s="23" t="n"/>
      <c r="T488" s="23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3" t="n"/>
    </row>
    <row r="489" ht="14.25" customHeight="1" s="72">
      <c r="A489" s="22" t="n"/>
      <c r="B489" s="22" t="n"/>
      <c r="C489" s="22" t="n"/>
      <c r="D489" s="22" t="n"/>
      <c r="E489" s="22" t="n"/>
      <c r="F489" s="22" t="n"/>
      <c r="G489" s="23" t="n"/>
      <c r="H489" s="22" t="n"/>
      <c r="I489" s="22" t="n"/>
      <c r="J489" s="22" t="n"/>
      <c r="K489" s="22" t="n"/>
      <c r="L489" s="22" t="n"/>
      <c r="M489" s="22" t="n"/>
      <c r="N489" s="22" t="n"/>
      <c r="O489" s="23" t="n"/>
      <c r="P489" s="23" t="n"/>
      <c r="Q489" s="23" t="n"/>
      <c r="R489" s="23" t="n"/>
      <c r="S489" s="23" t="n"/>
      <c r="T489" s="23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3" t="n"/>
    </row>
    <row r="490" ht="14.25" customHeight="1" s="72">
      <c r="A490" s="22" t="n"/>
      <c r="B490" s="22" t="n"/>
      <c r="C490" s="22" t="n"/>
      <c r="D490" s="22" t="n"/>
      <c r="E490" s="22" t="n"/>
      <c r="F490" s="22" t="n"/>
      <c r="G490" s="23" t="n"/>
      <c r="H490" s="22" t="n"/>
      <c r="I490" s="22" t="n"/>
      <c r="J490" s="22" t="n"/>
      <c r="K490" s="22" t="n"/>
      <c r="L490" s="22" t="n"/>
      <c r="M490" s="22" t="n"/>
      <c r="N490" s="22" t="n"/>
      <c r="O490" s="23" t="n"/>
      <c r="P490" s="23" t="n"/>
      <c r="Q490" s="23" t="n"/>
      <c r="R490" s="23" t="n"/>
      <c r="S490" s="23" t="n"/>
      <c r="T490" s="23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3" t="n"/>
    </row>
    <row r="491" ht="14.25" customHeight="1" s="72">
      <c r="A491" s="22" t="n"/>
      <c r="B491" s="22" t="n"/>
      <c r="C491" s="22" t="n"/>
      <c r="D491" s="22" t="n"/>
      <c r="E491" s="22" t="n"/>
      <c r="F491" s="22" t="n"/>
      <c r="G491" s="23" t="n"/>
      <c r="H491" s="22" t="n"/>
      <c r="I491" s="22" t="n"/>
      <c r="J491" s="22" t="n"/>
      <c r="K491" s="22" t="n"/>
      <c r="L491" s="22" t="n"/>
      <c r="M491" s="22" t="n"/>
      <c r="N491" s="22" t="n"/>
      <c r="O491" s="23" t="n"/>
      <c r="P491" s="23" t="n"/>
      <c r="Q491" s="23" t="n"/>
      <c r="R491" s="23" t="n"/>
      <c r="S491" s="23" t="n"/>
      <c r="T491" s="23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3" t="n"/>
    </row>
    <row r="492" ht="14.25" customHeight="1" s="72">
      <c r="A492" s="22" t="n"/>
      <c r="B492" s="22" t="n"/>
      <c r="C492" s="22" t="n"/>
      <c r="D492" s="22" t="n"/>
      <c r="E492" s="22" t="n"/>
      <c r="F492" s="22" t="n"/>
      <c r="G492" s="23" t="n"/>
      <c r="H492" s="22" t="n"/>
      <c r="I492" s="22" t="n"/>
      <c r="J492" s="22" t="n"/>
      <c r="K492" s="22" t="n"/>
      <c r="L492" s="22" t="n"/>
      <c r="M492" s="22" t="n"/>
      <c r="N492" s="22" t="n"/>
      <c r="O492" s="23" t="n"/>
      <c r="P492" s="23" t="n"/>
      <c r="Q492" s="23" t="n"/>
      <c r="R492" s="23" t="n"/>
      <c r="S492" s="23" t="n"/>
      <c r="T492" s="23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3" t="n"/>
    </row>
    <row r="493" ht="14.25" customHeight="1" s="72">
      <c r="A493" s="22" t="n"/>
      <c r="B493" s="22" t="n"/>
      <c r="C493" s="22" t="n"/>
      <c r="D493" s="22" t="n"/>
      <c r="E493" s="22" t="n"/>
      <c r="F493" s="22" t="n"/>
      <c r="G493" s="23" t="n"/>
      <c r="H493" s="22" t="n"/>
      <c r="I493" s="22" t="n"/>
      <c r="J493" s="22" t="n"/>
      <c r="K493" s="22" t="n"/>
      <c r="L493" s="22" t="n"/>
      <c r="M493" s="22" t="n"/>
      <c r="N493" s="22" t="n"/>
      <c r="O493" s="23" t="n"/>
      <c r="P493" s="23" t="n"/>
      <c r="Q493" s="23" t="n"/>
      <c r="R493" s="23" t="n"/>
      <c r="S493" s="23" t="n"/>
      <c r="T493" s="23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3" t="n"/>
    </row>
    <row r="494" ht="14.25" customHeight="1" s="72">
      <c r="A494" s="22" t="n"/>
      <c r="B494" s="22" t="n"/>
      <c r="C494" s="22" t="n"/>
      <c r="D494" s="22" t="n"/>
      <c r="E494" s="22" t="n"/>
      <c r="F494" s="22" t="n"/>
      <c r="G494" s="23" t="n"/>
      <c r="H494" s="22" t="n"/>
      <c r="I494" s="22" t="n"/>
      <c r="J494" s="22" t="n"/>
      <c r="K494" s="22" t="n"/>
      <c r="L494" s="22" t="n"/>
      <c r="M494" s="22" t="n"/>
      <c r="N494" s="22" t="n"/>
      <c r="O494" s="23" t="n"/>
      <c r="P494" s="23" t="n"/>
      <c r="Q494" s="23" t="n"/>
      <c r="R494" s="23" t="n"/>
      <c r="S494" s="23" t="n"/>
      <c r="T494" s="23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3" t="n"/>
    </row>
    <row r="495" ht="14.25" customHeight="1" s="72">
      <c r="A495" s="22" t="n"/>
      <c r="B495" s="22" t="n"/>
      <c r="C495" s="22" t="n"/>
      <c r="D495" s="22" t="n"/>
      <c r="E495" s="22" t="n"/>
      <c r="F495" s="22" t="n"/>
      <c r="G495" s="23" t="n"/>
      <c r="H495" s="22" t="n"/>
      <c r="I495" s="22" t="n"/>
      <c r="J495" s="22" t="n"/>
      <c r="K495" s="22" t="n"/>
      <c r="L495" s="22" t="n"/>
      <c r="M495" s="22" t="n"/>
      <c r="N495" s="22" t="n"/>
      <c r="O495" s="23" t="n"/>
      <c r="P495" s="23" t="n"/>
      <c r="Q495" s="23" t="n"/>
      <c r="R495" s="23" t="n"/>
      <c r="S495" s="23" t="n"/>
      <c r="T495" s="23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3" t="n"/>
    </row>
    <row r="496" ht="14.25" customHeight="1" s="72">
      <c r="A496" s="22" t="n"/>
      <c r="B496" s="22" t="n"/>
      <c r="C496" s="22" t="n"/>
      <c r="D496" s="22" t="n"/>
      <c r="E496" s="22" t="n"/>
      <c r="F496" s="22" t="n"/>
      <c r="G496" s="23" t="n"/>
      <c r="H496" s="22" t="n"/>
      <c r="I496" s="22" t="n"/>
      <c r="J496" s="22" t="n"/>
      <c r="K496" s="22" t="n"/>
      <c r="L496" s="22" t="n"/>
      <c r="M496" s="22" t="n"/>
      <c r="N496" s="22" t="n"/>
      <c r="O496" s="23" t="n"/>
      <c r="P496" s="23" t="n"/>
      <c r="Q496" s="23" t="n"/>
      <c r="R496" s="23" t="n"/>
      <c r="S496" s="23" t="n"/>
      <c r="T496" s="23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3" t="n"/>
    </row>
    <row r="497" ht="14.25" customHeight="1" s="72">
      <c r="A497" s="22" t="n"/>
      <c r="B497" s="22" t="n"/>
      <c r="C497" s="22" t="n"/>
      <c r="D497" s="22" t="n"/>
      <c r="E497" s="22" t="n"/>
      <c r="F497" s="22" t="n"/>
      <c r="G497" s="23" t="n"/>
      <c r="H497" s="22" t="n"/>
      <c r="I497" s="22" t="n"/>
      <c r="J497" s="22" t="n"/>
      <c r="K497" s="22" t="n"/>
      <c r="L497" s="22" t="n"/>
      <c r="M497" s="22" t="n"/>
      <c r="N497" s="22" t="n"/>
      <c r="O497" s="23" t="n"/>
      <c r="P497" s="23" t="n"/>
      <c r="Q497" s="23" t="n"/>
      <c r="R497" s="23" t="n"/>
      <c r="S497" s="23" t="n"/>
      <c r="T497" s="23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3" t="n"/>
    </row>
    <row r="498" ht="14.25" customHeight="1" s="72">
      <c r="A498" s="22" t="n"/>
      <c r="B498" s="22" t="n"/>
      <c r="C498" s="22" t="n"/>
      <c r="D498" s="22" t="n"/>
      <c r="E498" s="22" t="n"/>
      <c r="F498" s="22" t="n"/>
      <c r="G498" s="23" t="n"/>
      <c r="H498" s="22" t="n"/>
      <c r="I498" s="22" t="n"/>
      <c r="J498" s="22" t="n"/>
      <c r="K498" s="22" t="n"/>
      <c r="L498" s="22" t="n"/>
      <c r="M498" s="22" t="n"/>
      <c r="N498" s="22" t="n"/>
      <c r="O498" s="23" t="n"/>
      <c r="P498" s="23" t="n"/>
      <c r="Q498" s="23" t="n"/>
      <c r="R498" s="23" t="n"/>
      <c r="S498" s="23" t="n"/>
      <c r="T498" s="23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3" t="n"/>
    </row>
    <row r="499" ht="14.25" customHeight="1" s="72">
      <c r="A499" s="22" t="n"/>
      <c r="B499" s="22" t="n"/>
      <c r="C499" s="22" t="n"/>
      <c r="D499" s="22" t="n"/>
      <c r="E499" s="22" t="n"/>
      <c r="F499" s="22" t="n"/>
      <c r="G499" s="23" t="n"/>
      <c r="H499" s="22" t="n"/>
      <c r="I499" s="22" t="n"/>
      <c r="J499" s="22" t="n"/>
      <c r="K499" s="22" t="n"/>
      <c r="L499" s="22" t="n"/>
      <c r="M499" s="22" t="n"/>
      <c r="N499" s="22" t="n"/>
      <c r="O499" s="23" t="n"/>
      <c r="P499" s="23" t="n"/>
      <c r="Q499" s="23" t="n"/>
      <c r="R499" s="23" t="n"/>
      <c r="S499" s="23" t="n"/>
      <c r="T499" s="23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3" t="n"/>
    </row>
    <row r="500" ht="14.25" customHeight="1" s="72">
      <c r="A500" s="22" t="n"/>
      <c r="B500" s="22" t="n"/>
      <c r="C500" s="22" t="n"/>
      <c r="D500" s="22" t="n"/>
      <c r="E500" s="22" t="n"/>
      <c r="F500" s="22" t="n"/>
      <c r="G500" s="23" t="n"/>
      <c r="H500" s="22" t="n"/>
      <c r="I500" s="22" t="n"/>
      <c r="J500" s="22" t="n"/>
      <c r="K500" s="22" t="n"/>
      <c r="L500" s="22" t="n"/>
      <c r="M500" s="22" t="n"/>
      <c r="N500" s="22" t="n"/>
      <c r="O500" s="23" t="n"/>
      <c r="P500" s="23" t="n"/>
      <c r="Q500" s="23" t="n"/>
      <c r="R500" s="23" t="n"/>
      <c r="S500" s="23" t="n"/>
      <c r="T500" s="23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3" t="n"/>
    </row>
    <row r="501" ht="14.25" customHeight="1" s="72">
      <c r="A501" s="22" t="n"/>
      <c r="B501" s="22" t="n"/>
      <c r="C501" s="22" t="n"/>
      <c r="D501" s="22" t="n"/>
      <c r="E501" s="22" t="n"/>
      <c r="F501" s="22" t="n"/>
      <c r="G501" s="23" t="n"/>
      <c r="H501" s="22" t="n"/>
      <c r="I501" s="22" t="n"/>
      <c r="J501" s="22" t="n"/>
      <c r="K501" s="22" t="n"/>
      <c r="L501" s="22" t="n"/>
      <c r="M501" s="22" t="n"/>
      <c r="N501" s="22" t="n"/>
      <c r="O501" s="23" t="n"/>
      <c r="P501" s="23" t="n"/>
      <c r="Q501" s="23" t="n"/>
      <c r="R501" s="23" t="n"/>
      <c r="S501" s="23" t="n"/>
      <c r="T501" s="23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3" t="n"/>
    </row>
    <row r="502" ht="14.25" customHeight="1" s="72">
      <c r="A502" s="22" t="n"/>
      <c r="B502" s="22" t="n"/>
      <c r="C502" s="22" t="n"/>
      <c r="D502" s="22" t="n"/>
      <c r="E502" s="22" t="n"/>
      <c r="F502" s="22" t="n"/>
      <c r="G502" s="23" t="n"/>
      <c r="H502" s="22" t="n"/>
      <c r="I502" s="22" t="n"/>
      <c r="J502" s="22" t="n"/>
      <c r="K502" s="22" t="n"/>
      <c r="L502" s="22" t="n"/>
      <c r="M502" s="22" t="n"/>
      <c r="N502" s="22" t="n"/>
      <c r="O502" s="23" t="n"/>
      <c r="P502" s="23" t="n"/>
      <c r="Q502" s="23" t="n"/>
      <c r="R502" s="23" t="n"/>
      <c r="S502" s="23" t="n"/>
      <c r="T502" s="23" t="n"/>
      <c r="U502" s="22" t="n"/>
      <c r="V502" s="22" t="n"/>
      <c r="W502" s="22" t="n"/>
      <c r="X502" s="22" t="n"/>
      <c r="Y502" s="22" t="n"/>
      <c r="Z502" s="22" t="n"/>
      <c r="AA502" s="22" t="n"/>
      <c r="AB502" s="22" t="n"/>
      <c r="AC502" s="22" t="n"/>
      <c r="AD502" s="23" t="n"/>
    </row>
    <row r="503" ht="14.25" customHeight="1" s="72">
      <c r="A503" s="22" t="n"/>
      <c r="B503" s="22" t="n"/>
      <c r="C503" s="22" t="n"/>
      <c r="D503" s="22" t="n"/>
      <c r="E503" s="22" t="n"/>
      <c r="F503" s="22" t="n"/>
      <c r="G503" s="23" t="n"/>
      <c r="H503" s="22" t="n"/>
      <c r="I503" s="22" t="n"/>
      <c r="J503" s="22" t="n"/>
      <c r="K503" s="22" t="n"/>
      <c r="L503" s="22" t="n"/>
      <c r="M503" s="22" t="n"/>
      <c r="N503" s="22" t="n"/>
      <c r="O503" s="23" t="n"/>
      <c r="P503" s="23" t="n"/>
      <c r="Q503" s="23" t="n"/>
      <c r="R503" s="23" t="n"/>
      <c r="S503" s="23" t="n"/>
      <c r="T503" s="23" t="n"/>
      <c r="U503" s="22" t="n"/>
      <c r="V503" s="22" t="n"/>
      <c r="W503" s="22" t="n"/>
      <c r="X503" s="22" t="n"/>
      <c r="Y503" s="22" t="n"/>
      <c r="Z503" s="22" t="n"/>
      <c r="AA503" s="22" t="n"/>
      <c r="AB503" s="22" t="n"/>
      <c r="AC503" s="22" t="n"/>
      <c r="AD503" s="23" t="n"/>
    </row>
    <row r="504" ht="14.25" customHeight="1" s="72">
      <c r="A504" s="22" t="n"/>
      <c r="B504" s="22" t="n"/>
      <c r="C504" s="22" t="n"/>
      <c r="D504" s="22" t="n"/>
      <c r="E504" s="22" t="n"/>
      <c r="F504" s="22" t="n"/>
      <c r="G504" s="23" t="n"/>
      <c r="H504" s="22" t="n"/>
      <c r="I504" s="22" t="n"/>
      <c r="J504" s="22" t="n"/>
      <c r="K504" s="22" t="n"/>
      <c r="L504" s="22" t="n"/>
      <c r="M504" s="22" t="n"/>
      <c r="N504" s="22" t="n"/>
      <c r="O504" s="23" t="n"/>
      <c r="P504" s="23" t="n"/>
      <c r="Q504" s="23" t="n"/>
      <c r="R504" s="23" t="n"/>
      <c r="S504" s="23" t="n"/>
      <c r="T504" s="23" t="n"/>
      <c r="U504" s="22" t="n"/>
      <c r="V504" s="22" t="n"/>
      <c r="W504" s="22" t="n"/>
      <c r="X504" s="22" t="n"/>
      <c r="Y504" s="22" t="n"/>
      <c r="Z504" s="22" t="n"/>
      <c r="AA504" s="22" t="n"/>
      <c r="AB504" s="22" t="n"/>
      <c r="AC504" s="22" t="n"/>
      <c r="AD504" s="23" t="n"/>
    </row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2">
    <mergeCell ref="A2:AC2"/>
    <mergeCell ref="A1:AC1"/>
  </mergeCells>
  <dataValidations count="5">
    <dataValidation sqref="M5:M504" showDropDown="0" showInputMessage="0" showErrorMessage="0" allowBlank="1" type="list">
      <formula1>"Masculino,Femenino"</formula1>
    </dataValidation>
    <dataValidation sqref="U5:V504 Y5:Y504" showDropDown="0" showInputMessage="0" showErrorMessage="0" allowBlank="1" type="list">
      <formula1>"Sí,No"</formula1>
    </dataValidation>
    <dataValidation sqref="AB5:AB504" showDropDown="0" showInputMessage="0" showErrorMessage="0" allowBlank="1" type="list">
      <formula1>"Pendiente,Pagado,Beca,Invitado,Revisar"</formula1>
    </dataValidation>
    <dataValidation sqref="L5:L504" showDropDown="0" showInputMessage="0" showErrorMessage="0" allowBlank="1" type="list">
      <formula1>CONFIG!$B$22:$B$35</formula1>
    </dataValidation>
    <dataValidation sqref="W5:W504" showDropDown="0" showInputMessage="0" showErrorMessage="0" allowBlank="1" type="list">
      <formula1>"Interpretación,Composición,Sólo Instrumento,Bateranga"</formula1>
    </dataValidation>
  </dataValidation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7" customWidth="1" style="72" min="1" max="1"/>
    <col width="14" customWidth="1" style="72" min="2" max="2"/>
    <col width="9" customWidth="1" style="72" min="3" max="3"/>
    <col width="36" customWidth="1" style="72" min="4" max="4"/>
    <col width="22" customWidth="1" style="72" min="5" max="5"/>
    <col width="16" customWidth="1" style="72" min="6" max="6"/>
    <col width="6" customWidth="1" style="72" min="7" max="7"/>
    <col width="11" customWidth="1" style="72" min="8" max="8"/>
    <col width="7" customWidth="1" style="72" min="9" max="9"/>
    <col width="18" customWidth="1" style="72" min="10" max="10"/>
    <col width="16" customWidth="1" style="72" min="11" max="11"/>
    <col width="13" customWidth="1" style="72" min="12" max="12"/>
    <col width="15" customWidth="1" style="72" min="13" max="13"/>
    <col width="18" customWidth="1" style="72" min="14" max="14"/>
    <col width="24" customWidth="1" style="72" min="15" max="15"/>
    <col width="12" customWidth="1" style="72" min="16" max="16"/>
    <col width="8" customWidth="1" style="72" min="17" max="17"/>
    <col width="10" customWidth="1" style="72" min="18" max="18"/>
    <col width="8.710000000000001" customWidth="1" style="72" min="19" max="26"/>
  </cols>
  <sheetData>
    <row r="1" ht="25.5" customHeight="1" s="72">
      <c r="A1" s="74" t="inlineStr">
        <is>
          <t>PARTICIPANTES · Tabla normalizada (lectura)</t>
        </is>
      </c>
    </row>
    <row r="2" ht="14.25" customHeight="1" s="72"/>
    <row r="3" ht="14.25" customHeight="1" s="72"/>
    <row r="4" ht="14.25" customHeight="1" s="72">
      <c r="A4" s="15" t="inlineStr">
        <is>
          <t>orden</t>
        </is>
      </c>
      <c r="B4" s="15" t="inlineStr">
        <is>
          <t>id_participante</t>
        </is>
      </c>
      <c r="C4" s="15" t="inlineStr">
        <is>
          <t>id_llave</t>
        </is>
      </c>
      <c r="D4" s="15" t="inlineStr">
        <is>
          <t>categoria_final</t>
        </is>
      </c>
      <c r="E4" s="15" t="inlineStr">
        <is>
          <t>nombre_mostrar</t>
        </is>
      </c>
      <c r="F4" s="15" t="inlineStr">
        <is>
          <t>corda</t>
        </is>
      </c>
      <c r="G4" s="15" t="inlineStr">
        <is>
          <t>orden_corda</t>
        </is>
      </c>
      <c r="H4" s="15" t="inlineStr">
        <is>
          <t>genero</t>
        </is>
      </c>
      <c r="I4" s="15" t="inlineStr">
        <is>
          <t>edad</t>
        </is>
      </c>
      <c r="J4" s="15" t="inlineStr">
        <is>
          <t>ciudad_pais</t>
        </is>
      </c>
      <c r="K4" s="15" t="inlineStr">
        <is>
          <t>profesor</t>
        </is>
      </c>
      <c r="L4" s="15" t="inlineStr">
        <is>
          <t>compite_jogo</t>
        </is>
      </c>
      <c r="M4" s="15" t="inlineStr">
        <is>
          <t>compite_festival</t>
        </is>
      </c>
      <c r="N4" s="15" t="inlineStr">
        <is>
          <t>categoria_festival</t>
        </is>
      </c>
      <c r="O4" s="15" t="inlineStr">
        <is>
          <t>miembros_grupo</t>
        </is>
      </c>
      <c r="P4" s="15" t="inlineStr">
        <is>
          <t>estado_pago</t>
        </is>
      </c>
      <c r="Q4" s="15" t="inlineStr">
        <is>
          <t>activo</t>
        </is>
      </c>
      <c r="R4" s="15" t="inlineStr">
        <is>
          <t>rank_score</t>
        </is>
      </c>
    </row>
    <row r="5" ht="14.25" customHeight="1" s="72">
      <c r="A5" s="23">
        <f>IF(INSCRITOS_FORM!D5&lt;&gt;"",ROW()-4,"")</f>
        <v/>
      </c>
      <c r="B5" s="23">
        <f>INSCRITOS_FORM!AD5</f>
        <v/>
      </c>
      <c r="C5" s="23">
        <f>INSCRITOS_FORM!T5</f>
        <v/>
      </c>
      <c r="D5" s="23">
        <f>INSCRITOS_FORM!S5</f>
        <v/>
      </c>
      <c r="E5" s="23">
        <f>INSCRITOS_FORM!G5</f>
        <v/>
      </c>
      <c r="F5" s="23">
        <f>INSCRITOS_FORM!L5</f>
        <v/>
      </c>
      <c r="G5" s="23">
        <f t="array" ref="G5">IFERROR(INDEX(CONFIG!$A$22:$A$35,MATCH(F5,CONFIG!$B$22:$B$35,0)),0)</f>
        <v/>
      </c>
      <c r="H5" s="23">
        <f>INSCRITOS_FORM!M5</f>
        <v/>
      </c>
      <c r="I5" s="23">
        <f>INSCRITOS_FORM!O5</f>
        <v/>
      </c>
      <c r="J5" s="23">
        <f>INSCRITOS_FORM!J5</f>
        <v/>
      </c>
      <c r="K5" s="23">
        <f>INSCRITOS_FORM!K5</f>
        <v/>
      </c>
      <c r="L5" s="23">
        <f>INSCRITOS_FORM!U5</f>
        <v/>
      </c>
      <c r="M5" s="23">
        <f>INSCRITOS_FORM!V5</f>
        <v/>
      </c>
      <c r="N5" s="23">
        <f>INSCRITOS_FORM!W5</f>
        <v/>
      </c>
      <c r="O5" s="23">
        <f>INSCRITOS_FORM!X5</f>
        <v/>
      </c>
      <c r="P5" s="23">
        <f>INSCRITOS_FORM!AB5</f>
        <v/>
      </c>
      <c r="Q5" s="23">
        <f>IF(B5="","",IF(AND(OR(P5="Pagado",P5="Beca",P5="Invitado"),OR(L5="Sí",M5="Sí")),"Sí","No"))</f>
        <v/>
      </c>
      <c r="R5" s="23">
        <f>IF(AND(C5=TORNEO_ACTIVO!$B$3,Q5="Sí"),G5*10000-A5,-1)</f>
        <v/>
      </c>
    </row>
    <row r="6" ht="14.25" customHeight="1" s="72">
      <c r="A6" s="23">
        <f>IF(INSCRITOS_FORM!D6&lt;&gt;"",ROW()-4,"")</f>
        <v/>
      </c>
      <c r="B6" s="23">
        <f>INSCRITOS_FORM!AD6</f>
        <v/>
      </c>
      <c r="C6" s="23">
        <f>INSCRITOS_FORM!T6</f>
        <v/>
      </c>
      <c r="D6" s="23">
        <f>INSCRITOS_FORM!S6</f>
        <v/>
      </c>
      <c r="E6" s="23">
        <f>INSCRITOS_FORM!G6</f>
        <v/>
      </c>
      <c r="F6" s="23">
        <f>INSCRITOS_FORM!L6</f>
        <v/>
      </c>
      <c r="G6" s="23">
        <f t="array" ref="G6">IFERROR(INDEX(CONFIG!$A$22:$A$35,MATCH(F6,CONFIG!$B$22:$B$35,0)),0)</f>
        <v/>
      </c>
      <c r="H6" s="23">
        <f>INSCRITOS_FORM!M6</f>
        <v/>
      </c>
      <c r="I6" s="23">
        <f>INSCRITOS_FORM!O6</f>
        <v/>
      </c>
      <c r="J6" s="23">
        <f>INSCRITOS_FORM!J6</f>
        <v/>
      </c>
      <c r="K6" s="23">
        <f>INSCRITOS_FORM!K6</f>
        <v/>
      </c>
      <c r="L6" s="23">
        <f>INSCRITOS_FORM!U6</f>
        <v/>
      </c>
      <c r="M6" s="23">
        <f>INSCRITOS_FORM!V6</f>
        <v/>
      </c>
      <c r="N6" s="23">
        <f>INSCRITOS_FORM!W6</f>
        <v/>
      </c>
      <c r="O6" s="23">
        <f>INSCRITOS_FORM!X6</f>
        <v/>
      </c>
      <c r="P6" s="23">
        <f>INSCRITOS_FORM!AB6</f>
        <v/>
      </c>
      <c r="Q6" s="23">
        <f>IF(B6="","",IF(AND(OR(P6="Pagado",P6="Beca",P6="Invitado"),OR(L6="Sí",M6="Sí")),"Sí","No"))</f>
        <v/>
      </c>
      <c r="R6" s="23">
        <f>IF(AND(C6=TORNEO_ACTIVO!$B$3,Q6="Sí"),G6*10000-A6,-1)</f>
        <v/>
      </c>
    </row>
    <row r="7" ht="14.25" customHeight="1" s="72">
      <c r="A7" s="23">
        <f>IF(INSCRITOS_FORM!D7&lt;&gt;"",ROW()-4,"")</f>
        <v/>
      </c>
      <c r="B7" s="23">
        <f>INSCRITOS_FORM!AD7</f>
        <v/>
      </c>
      <c r="C7" s="23">
        <f>INSCRITOS_FORM!T7</f>
        <v/>
      </c>
      <c r="D7" s="23">
        <f>INSCRITOS_FORM!S7</f>
        <v/>
      </c>
      <c r="E7" s="23">
        <f>INSCRITOS_FORM!G7</f>
        <v/>
      </c>
      <c r="F7" s="23">
        <f>INSCRITOS_FORM!L7</f>
        <v/>
      </c>
      <c r="G7" s="23">
        <f t="array" ref="G7">IFERROR(INDEX(CONFIG!$A$22:$A$35,MATCH(F7,CONFIG!$B$22:$B$35,0)),0)</f>
        <v/>
      </c>
      <c r="H7" s="23">
        <f>INSCRITOS_FORM!M7</f>
        <v/>
      </c>
      <c r="I7" s="23">
        <f>INSCRITOS_FORM!O7</f>
        <v/>
      </c>
      <c r="J7" s="23">
        <f>INSCRITOS_FORM!J7</f>
        <v/>
      </c>
      <c r="K7" s="23">
        <f>INSCRITOS_FORM!K7</f>
        <v/>
      </c>
      <c r="L7" s="23">
        <f>INSCRITOS_FORM!U7</f>
        <v/>
      </c>
      <c r="M7" s="23">
        <f>INSCRITOS_FORM!V7</f>
        <v/>
      </c>
      <c r="N7" s="23">
        <f>INSCRITOS_FORM!W7</f>
        <v/>
      </c>
      <c r="O7" s="23">
        <f>INSCRITOS_FORM!X7</f>
        <v/>
      </c>
      <c r="P7" s="23">
        <f>INSCRITOS_FORM!AB7</f>
        <v/>
      </c>
      <c r="Q7" s="23">
        <f>IF(B7="","",IF(AND(OR(P7="Pagado",P7="Beca",P7="Invitado"),OR(L7="Sí",M7="Sí")),"Sí","No"))</f>
        <v/>
      </c>
      <c r="R7" s="23">
        <f>IF(AND(C7=TORNEO_ACTIVO!$B$3,Q7="Sí"),G7*10000-A7,-1)</f>
        <v/>
      </c>
    </row>
    <row r="8" ht="14.25" customHeight="1" s="72">
      <c r="A8" s="23">
        <f>IF(INSCRITOS_FORM!D8&lt;&gt;"",ROW()-4,"")</f>
        <v/>
      </c>
      <c r="B8" s="23">
        <f>INSCRITOS_FORM!AD8</f>
        <v/>
      </c>
      <c r="C8" s="23">
        <f>INSCRITOS_FORM!T8</f>
        <v/>
      </c>
      <c r="D8" s="23">
        <f>INSCRITOS_FORM!S8</f>
        <v/>
      </c>
      <c r="E8" s="23">
        <f>INSCRITOS_FORM!G8</f>
        <v/>
      </c>
      <c r="F8" s="23">
        <f>INSCRITOS_FORM!L8</f>
        <v/>
      </c>
      <c r="G8" s="23">
        <f t="array" ref="G8">IFERROR(INDEX(CONFIG!$A$22:$A$35,MATCH(F8,CONFIG!$B$22:$B$35,0)),0)</f>
        <v/>
      </c>
      <c r="H8" s="23">
        <f>INSCRITOS_FORM!M8</f>
        <v/>
      </c>
      <c r="I8" s="23">
        <f>INSCRITOS_FORM!O8</f>
        <v/>
      </c>
      <c r="J8" s="23">
        <f>INSCRITOS_FORM!J8</f>
        <v/>
      </c>
      <c r="K8" s="23">
        <f>INSCRITOS_FORM!K8</f>
        <v/>
      </c>
      <c r="L8" s="23">
        <f>INSCRITOS_FORM!U8</f>
        <v/>
      </c>
      <c r="M8" s="23">
        <f>INSCRITOS_FORM!V8</f>
        <v/>
      </c>
      <c r="N8" s="23">
        <f>INSCRITOS_FORM!W8</f>
        <v/>
      </c>
      <c r="O8" s="23">
        <f>INSCRITOS_FORM!X8</f>
        <v/>
      </c>
      <c r="P8" s="23">
        <f>INSCRITOS_FORM!AB8</f>
        <v/>
      </c>
      <c r="Q8" s="23">
        <f>IF(B8="","",IF(AND(OR(P8="Pagado",P8="Beca",P8="Invitado"),OR(L8="Sí",M8="Sí")),"Sí","No"))</f>
        <v/>
      </c>
      <c r="R8" s="23">
        <f>IF(AND(C8=TORNEO_ACTIVO!$B$3,Q8="Sí"),G8*10000-A8,-1)</f>
        <v/>
      </c>
    </row>
    <row r="9" ht="14.25" customHeight="1" s="72">
      <c r="A9" s="23">
        <f>IF(INSCRITOS_FORM!D9&lt;&gt;"",ROW()-4,"")</f>
        <v/>
      </c>
      <c r="B9" s="23">
        <f>INSCRITOS_FORM!AD9</f>
        <v/>
      </c>
      <c r="C9" s="23">
        <f>INSCRITOS_FORM!T9</f>
        <v/>
      </c>
      <c r="D9" s="23">
        <f>INSCRITOS_FORM!S9</f>
        <v/>
      </c>
      <c r="E9" s="23">
        <f>INSCRITOS_FORM!G9</f>
        <v/>
      </c>
      <c r="F9" s="23">
        <f>INSCRITOS_FORM!L9</f>
        <v/>
      </c>
      <c r="G9" s="23">
        <f t="array" ref="G9">IFERROR(INDEX(CONFIG!$A$22:$A$35,MATCH(F9,CONFIG!$B$22:$B$35,0)),0)</f>
        <v/>
      </c>
      <c r="H9" s="23">
        <f>INSCRITOS_FORM!M9</f>
        <v/>
      </c>
      <c r="I9" s="23">
        <f>INSCRITOS_FORM!O9</f>
        <v/>
      </c>
      <c r="J9" s="23">
        <f>INSCRITOS_FORM!J9</f>
        <v/>
      </c>
      <c r="K9" s="23">
        <f>INSCRITOS_FORM!K9</f>
        <v/>
      </c>
      <c r="L9" s="23">
        <f>INSCRITOS_FORM!U9</f>
        <v/>
      </c>
      <c r="M9" s="23">
        <f>INSCRITOS_FORM!V9</f>
        <v/>
      </c>
      <c r="N9" s="23">
        <f>INSCRITOS_FORM!W9</f>
        <v/>
      </c>
      <c r="O9" s="23">
        <f>INSCRITOS_FORM!X9</f>
        <v/>
      </c>
      <c r="P9" s="23">
        <f>INSCRITOS_FORM!AB9</f>
        <v/>
      </c>
      <c r="Q9" s="23">
        <f>IF(B9="","",IF(AND(OR(P9="Pagado",P9="Beca",P9="Invitado"),OR(L9="Sí",M9="Sí")),"Sí","No"))</f>
        <v/>
      </c>
      <c r="R9" s="23">
        <f>IF(AND(C9=TORNEO_ACTIVO!$B$3,Q9="Sí"),G9*10000-A9,-1)</f>
        <v/>
      </c>
    </row>
    <row r="10" ht="14.25" customHeight="1" s="72">
      <c r="A10" s="23">
        <f>IF(INSCRITOS_FORM!D10&lt;&gt;"",ROW()-4,"")</f>
        <v/>
      </c>
      <c r="B10" s="23">
        <f>INSCRITOS_FORM!AD10</f>
        <v/>
      </c>
      <c r="C10" s="23">
        <f>INSCRITOS_FORM!T10</f>
        <v/>
      </c>
      <c r="D10" s="23">
        <f>INSCRITOS_FORM!S10</f>
        <v/>
      </c>
      <c r="E10" s="23">
        <f>INSCRITOS_FORM!G10</f>
        <v/>
      </c>
      <c r="F10" s="23">
        <f>INSCRITOS_FORM!L10</f>
        <v/>
      </c>
      <c r="G10" s="23">
        <f t="array" ref="G10">IFERROR(INDEX(CONFIG!$A$22:$A$35,MATCH(F10,CONFIG!$B$22:$B$35,0)),0)</f>
        <v/>
      </c>
      <c r="H10" s="23">
        <f>INSCRITOS_FORM!M10</f>
        <v/>
      </c>
      <c r="I10" s="23">
        <f>INSCRITOS_FORM!O10</f>
        <v/>
      </c>
      <c r="J10" s="23">
        <f>INSCRITOS_FORM!J10</f>
        <v/>
      </c>
      <c r="K10" s="23">
        <f>INSCRITOS_FORM!K10</f>
        <v/>
      </c>
      <c r="L10" s="23">
        <f>INSCRITOS_FORM!U10</f>
        <v/>
      </c>
      <c r="M10" s="23">
        <f>INSCRITOS_FORM!V10</f>
        <v/>
      </c>
      <c r="N10" s="23">
        <f>INSCRITOS_FORM!W10</f>
        <v/>
      </c>
      <c r="O10" s="23">
        <f>INSCRITOS_FORM!X10</f>
        <v/>
      </c>
      <c r="P10" s="23">
        <f>INSCRITOS_FORM!AB10</f>
        <v/>
      </c>
      <c r="Q10" s="23">
        <f>IF(B10="","",IF(AND(OR(P10="Pagado",P10="Beca",P10="Invitado"),OR(L10="Sí",M10="Sí")),"Sí","No"))</f>
        <v/>
      </c>
      <c r="R10" s="23">
        <f>IF(AND(C10=TORNEO_ACTIVO!$B$3,Q10="Sí"),G10*10000-A10,-1)</f>
        <v/>
      </c>
    </row>
    <row r="11" ht="14.25" customHeight="1" s="72">
      <c r="A11" s="23">
        <f>IF(INSCRITOS_FORM!D11&lt;&gt;"",ROW()-4,"")</f>
        <v/>
      </c>
      <c r="B11" s="23">
        <f>INSCRITOS_FORM!AD11</f>
        <v/>
      </c>
      <c r="C11" s="23">
        <f>INSCRITOS_FORM!T11</f>
        <v/>
      </c>
      <c r="D11" s="23">
        <f>INSCRITOS_FORM!S11</f>
        <v/>
      </c>
      <c r="E11" s="23">
        <f>INSCRITOS_FORM!G11</f>
        <v/>
      </c>
      <c r="F11" s="23">
        <f>INSCRITOS_FORM!L11</f>
        <v/>
      </c>
      <c r="G11" s="23">
        <f t="array" ref="G11">IFERROR(INDEX(CONFIG!$A$22:$A$35,MATCH(F11,CONFIG!$B$22:$B$35,0)),0)</f>
        <v/>
      </c>
      <c r="H11" s="23">
        <f>INSCRITOS_FORM!M11</f>
        <v/>
      </c>
      <c r="I11" s="23">
        <f>INSCRITOS_FORM!O11</f>
        <v/>
      </c>
      <c r="J11" s="23">
        <f>INSCRITOS_FORM!J11</f>
        <v/>
      </c>
      <c r="K11" s="23">
        <f>INSCRITOS_FORM!K11</f>
        <v/>
      </c>
      <c r="L11" s="23">
        <f>INSCRITOS_FORM!U11</f>
        <v/>
      </c>
      <c r="M11" s="23">
        <f>INSCRITOS_FORM!V11</f>
        <v/>
      </c>
      <c r="N11" s="23">
        <f>INSCRITOS_FORM!W11</f>
        <v/>
      </c>
      <c r="O11" s="23">
        <f>INSCRITOS_FORM!X11</f>
        <v/>
      </c>
      <c r="P11" s="23">
        <f>INSCRITOS_FORM!AB11</f>
        <v/>
      </c>
      <c r="Q11" s="23">
        <f>IF(B11="","",IF(AND(OR(P11="Pagado",P11="Beca",P11="Invitado"),OR(L11="Sí",M11="Sí")),"Sí","No"))</f>
        <v/>
      </c>
      <c r="R11" s="23">
        <f>IF(AND(C11=TORNEO_ACTIVO!$B$3,Q11="Sí"),G11*10000-A11,-1)</f>
        <v/>
      </c>
    </row>
    <row r="12" ht="14.25" customHeight="1" s="72">
      <c r="A12" s="23">
        <f>IF(INSCRITOS_FORM!D12&lt;&gt;"",ROW()-4,"")</f>
        <v/>
      </c>
      <c r="B12" s="23">
        <f>INSCRITOS_FORM!AD12</f>
        <v/>
      </c>
      <c r="C12" s="23">
        <f>INSCRITOS_FORM!T12</f>
        <v/>
      </c>
      <c r="D12" s="23">
        <f>INSCRITOS_FORM!S12</f>
        <v/>
      </c>
      <c r="E12" s="23">
        <f>INSCRITOS_FORM!G12</f>
        <v/>
      </c>
      <c r="F12" s="23">
        <f>INSCRITOS_FORM!L12</f>
        <v/>
      </c>
      <c r="G12" s="23">
        <f t="array" ref="G12">IFERROR(INDEX(CONFIG!$A$22:$A$35,MATCH(F12,CONFIG!$B$22:$B$35,0)),0)</f>
        <v/>
      </c>
      <c r="H12" s="23">
        <f>INSCRITOS_FORM!M12</f>
        <v/>
      </c>
      <c r="I12" s="23">
        <f>INSCRITOS_FORM!O12</f>
        <v/>
      </c>
      <c r="J12" s="23">
        <f>INSCRITOS_FORM!J12</f>
        <v/>
      </c>
      <c r="K12" s="23">
        <f>INSCRITOS_FORM!K12</f>
        <v/>
      </c>
      <c r="L12" s="23">
        <f>INSCRITOS_FORM!U12</f>
        <v/>
      </c>
      <c r="M12" s="23">
        <f>INSCRITOS_FORM!V12</f>
        <v/>
      </c>
      <c r="N12" s="23">
        <f>INSCRITOS_FORM!W12</f>
        <v/>
      </c>
      <c r="O12" s="23">
        <f>INSCRITOS_FORM!X12</f>
        <v/>
      </c>
      <c r="P12" s="23">
        <f>INSCRITOS_FORM!AB12</f>
        <v/>
      </c>
      <c r="Q12" s="23">
        <f>IF(B12="","",IF(AND(OR(P12="Pagado",P12="Beca",P12="Invitado"),OR(L12="Sí",M12="Sí")),"Sí","No"))</f>
        <v/>
      </c>
      <c r="R12" s="23">
        <f>IF(AND(C12=TORNEO_ACTIVO!$B$3,Q12="Sí"),G12*10000-A12,-1)</f>
        <v/>
      </c>
    </row>
    <row r="13" ht="14.25" customHeight="1" s="72">
      <c r="A13" s="23">
        <f>IF(INSCRITOS_FORM!D13&lt;&gt;"",ROW()-4,"")</f>
        <v/>
      </c>
      <c r="B13" s="23">
        <f>INSCRITOS_FORM!AD13</f>
        <v/>
      </c>
      <c r="C13" s="23">
        <f>INSCRITOS_FORM!T13</f>
        <v/>
      </c>
      <c r="D13" s="23">
        <f>INSCRITOS_FORM!S13</f>
        <v/>
      </c>
      <c r="E13" s="23">
        <f>INSCRITOS_FORM!G13</f>
        <v/>
      </c>
      <c r="F13" s="23">
        <f>INSCRITOS_FORM!L13</f>
        <v/>
      </c>
      <c r="G13" s="23">
        <f t="array" ref="G13">IFERROR(INDEX(CONFIG!$A$22:$A$35,MATCH(F13,CONFIG!$B$22:$B$35,0)),0)</f>
        <v/>
      </c>
      <c r="H13" s="23">
        <f>INSCRITOS_FORM!M13</f>
        <v/>
      </c>
      <c r="I13" s="23">
        <f>INSCRITOS_FORM!O13</f>
        <v/>
      </c>
      <c r="J13" s="23">
        <f>INSCRITOS_FORM!J13</f>
        <v/>
      </c>
      <c r="K13" s="23">
        <f>INSCRITOS_FORM!K13</f>
        <v/>
      </c>
      <c r="L13" s="23">
        <f>INSCRITOS_FORM!U13</f>
        <v/>
      </c>
      <c r="M13" s="23">
        <f>INSCRITOS_FORM!V13</f>
        <v/>
      </c>
      <c r="N13" s="23">
        <f>INSCRITOS_FORM!W13</f>
        <v/>
      </c>
      <c r="O13" s="23">
        <f>INSCRITOS_FORM!X13</f>
        <v/>
      </c>
      <c r="P13" s="23">
        <f>INSCRITOS_FORM!AB13</f>
        <v/>
      </c>
      <c r="Q13" s="23">
        <f>IF(B13="","",IF(AND(OR(P13="Pagado",P13="Beca",P13="Invitado"),OR(L13="Sí",M13="Sí")),"Sí","No"))</f>
        <v/>
      </c>
      <c r="R13" s="23">
        <f>IF(AND(C13=TORNEO_ACTIVO!$B$3,Q13="Sí"),G13*10000-A13,-1)</f>
        <v/>
      </c>
    </row>
    <row r="14" ht="14.25" customHeight="1" s="72">
      <c r="A14" s="23">
        <f>IF(INSCRITOS_FORM!D14&lt;&gt;"",ROW()-4,"")</f>
        <v/>
      </c>
      <c r="B14" s="23">
        <f>INSCRITOS_FORM!AD14</f>
        <v/>
      </c>
      <c r="C14" s="23">
        <f>INSCRITOS_FORM!T14</f>
        <v/>
      </c>
      <c r="D14" s="23">
        <f>INSCRITOS_FORM!S14</f>
        <v/>
      </c>
      <c r="E14" s="23">
        <f>INSCRITOS_FORM!G14</f>
        <v/>
      </c>
      <c r="F14" s="23">
        <f>INSCRITOS_FORM!L14</f>
        <v/>
      </c>
      <c r="G14" s="23">
        <f t="array" ref="G14">IFERROR(INDEX(CONFIG!$A$22:$A$35,MATCH(F14,CONFIG!$B$22:$B$35,0)),0)</f>
        <v/>
      </c>
      <c r="H14" s="23">
        <f>INSCRITOS_FORM!M14</f>
        <v/>
      </c>
      <c r="I14" s="23">
        <f>INSCRITOS_FORM!O14</f>
        <v/>
      </c>
      <c r="J14" s="23">
        <f>INSCRITOS_FORM!J14</f>
        <v/>
      </c>
      <c r="K14" s="23">
        <f>INSCRITOS_FORM!K14</f>
        <v/>
      </c>
      <c r="L14" s="23">
        <f>INSCRITOS_FORM!U14</f>
        <v/>
      </c>
      <c r="M14" s="23">
        <f>INSCRITOS_FORM!V14</f>
        <v/>
      </c>
      <c r="N14" s="23">
        <f>INSCRITOS_FORM!W14</f>
        <v/>
      </c>
      <c r="O14" s="23">
        <f>INSCRITOS_FORM!X14</f>
        <v/>
      </c>
      <c r="P14" s="23">
        <f>INSCRITOS_FORM!AB14</f>
        <v/>
      </c>
      <c r="Q14" s="23">
        <f>IF(B14="","",IF(AND(OR(P14="Pagado",P14="Beca",P14="Invitado"),OR(L14="Sí",M14="Sí")),"Sí","No"))</f>
        <v/>
      </c>
      <c r="R14" s="23">
        <f>IF(AND(C14=TORNEO_ACTIVO!$B$3,Q14="Sí"),G14*10000-A14,-1)</f>
        <v/>
      </c>
    </row>
    <row r="15" ht="14.25" customHeight="1" s="72">
      <c r="A15" s="23">
        <f>IF(INSCRITOS_FORM!D15&lt;&gt;"",ROW()-4,"")</f>
        <v/>
      </c>
      <c r="B15" s="23">
        <f>INSCRITOS_FORM!AD15</f>
        <v/>
      </c>
      <c r="C15" s="23">
        <f>INSCRITOS_FORM!T15</f>
        <v/>
      </c>
      <c r="D15" s="23">
        <f>INSCRITOS_FORM!S15</f>
        <v/>
      </c>
      <c r="E15" s="23">
        <f>INSCRITOS_FORM!G15</f>
        <v/>
      </c>
      <c r="F15" s="23">
        <f>INSCRITOS_FORM!L15</f>
        <v/>
      </c>
      <c r="G15" s="23">
        <f t="array" ref="G15">IFERROR(INDEX(CONFIG!$A$22:$A$35,MATCH(F15,CONFIG!$B$22:$B$35,0)),0)</f>
        <v/>
      </c>
      <c r="H15" s="23">
        <f>INSCRITOS_FORM!M15</f>
        <v/>
      </c>
      <c r="I15" s="23">
        <f>INSCRITOS_FORM!O15</f>
        <v/>
      </c>
      <c r="J15" s="23">
        <f>INSCRITOS_FORM!J15</f>
        <v/>
      </c>
      <c r="K15" s="23">
        <f>INSCRITOS_FORM!K15</f>
        <v/>
      </c>
      <c r="L15" s="23">
        <f>INSCRITOS_FORM!U15</f>
        <v/>
      </c>
      <c r="M15" s="23">
        <f>INSCRITOS_FORM!V15</f>
        <v/>
      </c>
      <c r="N15" s="23">
        <f>INSCRITOS_FORM!W15</f>
        <v/>
      </c>
      <c r="O15" s="23">
        <f>INSCRITOS_FORM!X15</f>
        <v/>
      </c>
      <c r="P15" s="23">
        <f>INSCRITOS_FORM!AB15</f>
        <v/>
      </c>
      <c r="Q15" s="23">
        <f>IF(B15="","",IF(AND(OR(P15="Pagado",P15="Beca",P15="Invitado"),OR(L15="Sí",M15="Sí")),"Sí","No"))</f>
        <v/>
      </c>
      <c r="R15" s="23">
        <f>IF(AND(C15=TORNEO_ACTIVO!$B$3,Q15="Sí"),G15*10000-A15,-1)</f>
        <v/>
      </c>
    </row>
    <row r="16" ht="14.25" customHeight="1" s="72">
      <c r="A16" s="23">
        <f>IF(INSCRITOS_FORM!D16&lt;&gt;"",ROW()-4,"")</f>
        <v/>
      </c>
      <c r="B16" s="23">
        <f>INSCRITOS_FORM!AD16</f>
        <v/>
      </c>
      <c r="C16" s="23">
        <f>INSCRITOS_FORM!T16</f>
        <v/>
      </c>
      <c r="D16" s="23">
        <f>INSCRITOS_FORM!S16</f>
        <v/>
      </c>
      <c r="E16" s="23">
        <f>INSCRITOS_FORM!G16</f>
        <v/>
      </c>
      <c r="F16" s="23">
        <f>INSCRITOS_FORM!L16</f>
        <v/>
      </c>
      <c r="G16" s="23">
        <f t="array" ref="G16">IFERROR(INDEX(CONFIG!$A$22:$A$35,MATCH(F16,CONFIG!$B$22:$B$35,0)),0)</f>
        <v/>
      </c>
      <c r="H16" s="23">
        <f>INSCRITOS_FORM!M16</f>
        <v/>
      </c>
      <c r="I16" s="23">
        <f>INSCRITOS_FORM!O16</f>
        <v/>
      </c>
      <c r="J16" s="23">
        <f>INSCRITOS_FORM!J16</f>
        <v/>
      </c>
      <c r="K16" s="23">
        <f>INSCRITOS_FORM!K16</f>
        <v/>
      </c>
      <c r="L16" s="23">
        <f>INSCRITOS_FORM!U16</f>
        <v/>
      </c>
      <c r="M16" s="23">
        <f>INSCRITOS_FORM!V16</f>
        <v/>
      </c>
      <c r="N16" s="23">
        <f>INSCRITOS_FORM!W16</f>
        <v/>
      </c>
      <c r="O16" s="23">
        <f>INSCRITOS_FORM!X16</f>
        <v/>
      </c>
      <c r="P16" s="23">
        <f>INSCRITOS_FORM!AB16</f>
        <v/>
      </c>
      <c r="Q16" s="23">
        <f>IF(B16="","",IF(AND(OR(P16="Pagado",P16="Beca",P16="Invitado"),OR(L16="Sí",M16="Sí")),"Sí","No"))</f>
        <v/>
      </c>
      <c r="R16" s="23">
        <f>IF(AND(C16=TORNEO_ACTIVO!$B$3,Q16="Sí"),G16*10000-A16,-1)</f>
        <v/>
      </c>
    </row>
    <row r="17" ht="14.25" customHeight="1" s="72">
      <c r="A17" s="23">
        <f>IF(INSCRITOS_FORM!D17&lt;&gt;"",ROW()-4,"")</f>
        <v/>
      </c>
      <c r="B17" s="23">
        <f>INSCRITOS_FORM!AD17</f>
        <v/>
      </c>
      <c r="C17" s="23">
        <f>INSCRITOS_FORM!T17</f>
        <v/>
      </c>
      <c r="D17" s="23">
        <f>INSCRITOS_FORM!S17</f>
        <v/>
      </c>
      <c r="E17" s="23">
        <f>INSCRITOS_FORM!G17</f>
        <v/>
      </c>
      <c r="F17" s="23">
        <f>INSCRITOS_FORM!L17</f>
        <v/>
      </c>
      <c r="G17" s="23">
        <f t="array" ref="G17">IFERROR(INDEX(CONFIG!$A$22:$A$35,MATCH(F17,CONFIG!$B$22:$B$35,0)),0)</f>
        <v/>
      </c>
      <c r="H17" s="23">
        <f>INSCRITOS_FORM!M17</f>
        <v/>
      </c>
      <c r="I17" s="23">
        <f>INSCRITOS_FORM!O17</f>
        <v/>
      </c>
      <c r="J17" s="23">
        <f>INSCRITOS_FORM!J17</f>
        <v/>
      </c>
      <c r="K17" s="23">
        <f>INSCRITOS_FORM!K17</f>
        <v/>
      </c>
      <c r="L17" s="23">
        <f>INSCRITOS_FORM!U17</f>
        <v/>
      </c>
      <c r="M17" s="23">
        <f>INSCRITOS_FORM!V17</f>
        <v/>
      </c>
      <c r="N17" s="23">
        <f>INSCRITOS_FORM!W17</f>
        <v/>
      </c>
      <c r="O17" s="23">
        <f>INSCRITOS_FORM!X17</f>
        <v/>
      </c>
      <c r="P17" s="23">
        <f>INSCRITOS_FORM!AB17</f>
        <v/>
      </c>
      <c r="Q17" s="23">
        <f>IF(B17="","",IF(AND(OR(P17="Pagado",P17="Beca",P17="Invitado"),OR(L17="Sí",M17="Sí")),"Sí","No"))</f>
        <v/>
      </c>
      <c r="R17" s="23">
        <f>IF(AND(C17=TORNEO_ACTIVO!$B$3,Q17="Sí"),G17*10000-A17,-1)</f>
        <v/>
      </c>
    </row>
    <row r="18" ht="14.25" customHeight="1" s="72">
      <c r="A18" s="23">
        <f>IF(INSCRITOS_FORM!D18&lt;&gt;"",ROW()-4,"")</f>
        <v/>
      </c>
      <c r="B18" s="23">
        <f>INSCRITOS_FORM!AD18</f>
        <v/>
      </c>
      <c r="C18" s="23">
        <f>INSCRITOS_FORM!T18</f>
        <v/>
      </c>
      <c r="D18" s="23">
        <f>INSCRITOS_FORM!S18</f>
        <v/>
      </c>
      <c r="E18" s="23">
        <f>INSCRITOS_FORM!G18</f>
        <v/>
      </c>
      <c r="F18" s="23">
        <f>INSCRITOS_FORM!L18</f>
        <v/>
      </c>
      <c r="G18" s="23">
        <f t="array" ref="G18">IFERROR(INDEX(CONFIG!$A$22:$A$35,MATCH(F18,CONFIG!$B$22:$B$35,0)),0)</f>
        <v/>
      </c>
      <c r="H18" s="23">
        <f>INSCRITOS_FORM!M18</f>
        <v/>
      </c>
      <c r="I18" s="23">
        <f>INSCRITOS_FORM!O18</f>
        <v/>
      </c>
      <c r="J18" s="23">
        <f>INSCRITOS_FORM!J18</f>
        <v/>
      </c>
      <c r="K18" s="23">
        <f>INSCRITOS_FORM!K18</f>
        <v/>
      </c>
      <c r="L18" s="23">
        <f>INSCRITOS_FORM!U18</f>
        <v/>
      </c>
      <c r="M18" s="23">
        <f>INSCRITOS_FORM!V18</f>
        <v/>
      </c>
      <c r="N18" s="23">
        <f>INSCRITOS_FORM!W18</f>
        <v/>
      </c>
      <c r="O18" s="23">
        <f>INSCRITOS_FORM!X18</f>
        <v/>
      </c>
      <c r="P18" s="23">
        <f>INSCRITOS_FORM!AB18</f>
        <v/>
      </c>
      <c r="Q18" s="23">
        <f>IF(B18="","",IF(AND(OR(P18="Pagado",P18="Beca",P18="Invitado"),OR(L18="Sí",M18="Sí")),"Sí","No"))</f>
        <v/>
      </c>
      <c r="R18" s="23">
        <f>IF(AND(C18=TORNEO_ACTIVO!$B$3,Q18="Sí"),G18*10000-A18,-1)</f>
        <v/>
      </c>
    </row>
    <row r="19" ht="14.25" customHeight="1" s="72">
      <c r="A19" s="23">
        <f>IF(INSCRITOS_FORM!D19&lt;&gt;"",ROW()-4,"")</f>
        <v/>
      </c>
      <c r="B19" s="23">
        <f>INSCRITOS_FORM!AD19</f>
        <v/>
      </c>
      <c r="C19" s="23">
        <f>INSCRITOS_FORM!T19</f>
        <v/>
      </c>
      <c r="D19" s="23">
        <f>INSCRITOS_FORM!S19</f>
        <v/>
      </c>
      <c r="E19" s="23">
        <f>INSCRITOS_FORM!G19</f>
        <v/>
      </c>
      <c r="F19" s="23">
        <f>INSCRITOS_FORM!L19</f>
        <v/>
      </c>
      <c r="G19" s="23">
        <f t="array" ref="G19">IFERROR(INDEX(CONFIG!$A$22:$A$35,MATCH(F19,CONFIG!$B$22:$B$35,0)),0)</f>
        <v/>
      </c>
      <c r="H19" s="23">
        <f>INSCRITOS_FORM!M19</f>
        <v/>
      </c>
      <c r="I19" s="23">
        <f>INSCRITOS_FORM!O19</f>
        <v/>
      </c>
      <c r="J19" s="23">
        <f>INSCRITOS_FORM!J19</f>
        <v/>
      </c>
      <c r="K19" s="23">
        <f>INSCRITOS_FORM!K19</f>
        <v/>
      </c>
      <c r="L19" s="23">
        <f>INSCRITOS_FORM!U19</f>
        <v/>
      </c>
      <c r="M19" s="23">
        <f>INSCRITOS_FORM!V19</f>
        <v/>
      </c>
      <c r="N19" s="23">
        <f>INSCRITOS_FORM!W19</f>
        <v/>
      </c>
      <c r="O19" s="23">
        <f>INSCRITOS_FORM!X19</f>
        <v/>
      </c>
      <c r="P19" s="23">
        <f>INSCRITOS_FORM!AB19</f>
        <v/>
      </c>
      <c r="Q19" s="23">
        <f>IF(B19="","",IF(AND(OR(P19="Pagado",P19="Beca",P19="Invitado"),OR(L19="Sí",M19="Sí")),"Sí","No"))</f>
        <v/>
      </c>
      <c r="R19" s="23">
        <f>IF(AND(C19=TORNEO_ACTIVO!$B$3,Q19="Sí"),G19*10000-A19,-1)</f>
        <v/>
      </c>
    </row>
    <row r="20" ht="14.25" customHeight="1" s="72">
      <c r="A20" s="23">
        <f>IF(INSCRITOS_FORM!D20&lt;&gt;"",ROW()-4,"")</f>
        <v/>
      </c>
      <c r="B20" s="23">
        <f>INSCRITOS_FORM!AD20</f>
        <v/>
      </c>
      <c r="C20" s="23">
        <f>INSCRITOS_FORM!T20</f>
        <v/>
      </c>
      <c r="D20" s="23">
        <f>INSCRITOS_FORM!S20</f>
        <v/>
      </c>
      <c r="E20" s="23">
        <f>INSCRITOS_FORM!G20</f>
        <v/>
      </c>
      <c r="F20" s="23">
        <f>INSCRITOS_FORM!L20</f>
        <v/>
      </c>
      <c r="G20" s="23">
        <f t="array" ref="G20">IFERROR(INDEX(CONFIG!$A$22:$A$35,MATCH(F20,CONFIG!$B$22:$B$35,0)),0)</f>
        <v/>
      </c>
      <c r="H20" s="23">
        <f>INSCRITOS_FORM!M20</f>
        <v/>
      </c>
      <c r="I20" s="23">
        <f>INSCRITOS_FORM!O20</f>
        <v/>
      </c>
      <c r="J20" s="23">
        <f>INSCRITOS_FORM!J20</f>
        <v/>
      </c>
      <c r="K20" s="23">
        <f>INSCRITOS_FORM!K20</f>
        <v/>
      </c>
      <c r="L20" s="23">
        <f>INSCRITOS_FORM!U20</f>
        <v/>
      </c>
      <c r="M20" s="23">
        <f>INSCRITOS_FORM!V20</f>
        <v/>
      </c>
      <c r="N20" s="23">
        <f>INSCRITOS_FORM!W20</f>
        <v/>
      </c>
      <c r="O20" s="23">
        <f>INSCRITOS_FORM!X20</f>
        <v/>
      </c>
      <c r="P20" s="23">
        <f>INSCRITOS_FORM!AB20</f>
        <v/>
      </c>
      <c r="Q20" s="23">
        <f>IF(B20="","",IF(AND(OR(P20="Pagado",P20="Beca",P20="Invitado"),OR(L20="Sí",M20="Sí")),"Sí","No"))</f>
        <v/>
      </c>
      <c r="R20" s="23">
        <f>IF(AND(C20=TORNEO_ACTIVO!$B$3,Q20="Sí"),G20*10000-A20,-1)</f>
        <v/>
      </c>
    </row>
    <row r="21" ht="14.25" customHeight="1" s="72">
      <c r="A21" s="23">
        <f>IF(INSCRITOS_FORM!D21&lt;&gt;"",ROW()-4,"")</f>
        <v/>
      </c>
      <c r="B21" s="23">
        <f>INSCRITOS_FORM!AD21</f>
        <v/>
      </c>
      <c r="C21" s="23">
        <f>INSCRITOS_FORM!T21</f>
        <v/>
      </c>
      <c r="D21" s="23">
        <f>INSCRITOS_FORM!S21</f>
        <v/>
      </c>
      <c r="E21" s="23">
        <f>INSCRITOS_FORM!G21</f>
        <v/>
      </c>
      <c r="F21" s="23">
        <f>INSCRITOS_FORM!L21</f>
        <v/>
      </c>
      <c r="G21" s="23">
        <f t="array" ref="G21">IFERROR(INDEX(CONFIG!$A$22:$A$35,MATCH(F21,CONFIG!$B$22:$B$35,0)),0)</f>
        <v/>
      </c>
      <c r="H21" s="23">
        <f>INSCRITOS_FORM!M21</f>
        <v/>
      </c>
      <c r="I21" s="23">
        <f>INSCRITOS_FORM!O21</f>
        <v/>
      </c>
      <c r="J21" s="23">
        <f>INSCRITOS_FORM!J21</f>
        <v/>
      </c>
      <c r="K21" s="23">
        <f>INSCRITOS_FORM!K21</f>
        <v/>
      </c>
      <c r="L21" s="23">
        <f>INSCRITOS_FORM!U21</f>
        <v/>
      </c>
      <c r="M21" s="23">
        <f>INSCRITOS_FORM!V21</f>
        <v/>
      </c>
      <c r="N21" s="23">
        <f>INSCRITOS_FORM!W21</f>
        <v/>
      </c>
      <c r="O21" s="23">
        <f>INSCRITOS_FORM!X21</f>
        <v/>
      </c>
      <c r="P21" s="23">
        <f>INSCRITOS_FORM!AB21</f>
        <v/>
      </c>
      <c r="Q21" s="23">
        <f>IF(B21="","",IF(AND(OR(P21="Pagado",P21="Beca",P21="Invitado"),OR(L21="Sí",M21="Sí")),"Sí","No"))</f>
        <v/>
      </c>
      <c r="R21" s="23">
        <f>IF(AND(C21=TORNEO_ACTIVO!$B$3,Q21="Sí"),G21*10000-A21,-1)</f>
        <v/>
      </c>
    </row>
    <row r="22" ht="14.25" customHeight="1" s="72">
      <c r="A22" s="23">
        <f>IF(INSCRITOS_FORM!D22&lt;&gt;"",ROW()-4,"")</f>
        <v/>
      </c>
      <c r="B22" s="23">
        <f>INSCRITOS_FORM!AD22</f>
        <v/>
      </c>
      <c r="C22" s="23">
        <f>INSCRITOS_FORM!T22</f>
        <v/>
      </c>
      <c r="D22" s="23">
        <f>INSCRITOS_FORM!S22</f>
        <v/>
      </c>
      <c r="E22" s="23">
        <f>INSCRITOS_FORM!G22</f>
        <v/>
      </c>
      <c r="F22" s="23">
        <f>INSCRITOS_FORM!L22</f>
        <v/>
      </c>
      <c r="G22" s="23">
        <f t="array" ref="G22">IFERROR(INDEX(CONFIG!$A$22:$A$35,MATCH(F22,CONFIG!$B$22:$B$35,0)),0)</f>
        <v/>
      </c>
      <c r="H22" s="23">
        <f>INSCRITOS_FORM!M22</f>
        <v/>
      </c>
      <c r="I22" s="23">
        <f>INSCRITOS_FORM!O22</f>
        <v/>
      </c>
      <c r="J22" s="23">
        <f>INSCRITOS_FORM!J22</f>
        <v/>
      </c>
      <c r="K22" s="23">
        <f>INSCRITOS_FORM!K22</f>
        <v/>
      </c>
      <c r="L22" s="23">
        <f>INSCRITOS_FORM!U22</f>
        <v/>
      </c>
      <c r="M22" s="23">
        <f>INSCRITOS_FORM!V22</f>
        <v/>
      </c>
      <c r="N22" s="23">
        <f>INSCRITOS_FORM!W22</f>
        <v/>
      </c>
      <c r="O22" s="23">
        <f>INSCRITOS_FORM!X22</f>
        <v/>
      </c>
      <c r="P22" s="23">
        <f>INSCRITOS_FORM!AB22</f>
        <v/>
      </c>
      <c r="Q22" s="23">
        <f>IF(B22="","",IF(AND(OR(P22="Pagado",P22="Beca",P22="Invitado"),OR(L22="Sí",M22="Sí")),"Sí","No"))</f>
        <v/>
      </c>
      <c r="R22" s="23">
        <f>IF(AND(C22=TORNEO_ACTIVO!$B$3,Q22="Sí"),G22*10000-A22,-1)</f>
        <v/>
      </c>
    </row>
    <row r="23" ht="14.25" customHeight="1" s="72">
      <c r="A23" s="23">
        <f>IF(INSCRITOS_FORM!D23&lt;&gt;"",ROW()-4,"")</f>
        <v/>
      </c>
      <c r="B23" s="23">
        <f>INSCRITOS_FORM!AD23</f>
        <v/>
      </c>
      <c r="C23" s="23">
        <f>INSCRITOS_FORM!T23</f>
        <v/>
      </c>
      <c r="D23" s="23">
        <f>INSCRITOS_FORM!S23</f>
        <v/>
      </c>
      <c r="E23" s="23">
        <f>INSCRITOS_FORM!G23</f>
        <v/>
      </c>
      <c r="F23" s="23">
        <f>INSCRITOS_FORM!L23</f>
        <v/>
      </c>
      <c r="G23" s="23">
        <f t="array" ref="G23">IFERROR(INDEX(CONFIG!$A$22:$A$35,MATCH(F23,CONFIG!$B$22:$B$35,0)),0)</f>
        <v/>
      </c>
      <c r="H23" s="23">
        <f>INSCRITOS_FORM!M23</f>
        <v/>
      </c>
      <c r="I23" s="23">
        <f>INSCRITOS_FORM!O23</f>
        <v/>
      </c>
      <c r="J23" s="23">
        <f>INSCRITOS_FORM!J23</f>
        <v/>
      </c>
      <c r="K23" s="23">
        <f>INSCRITOS_FORM!K23</f>
        <v/>
      </c>
      <c r="L23" s="23">
        <f>INSCRITOS_FORM!U23</f>
        <v/>
      </c>
      <c r="M23" s="23">
        <f>INSCRITOS_FORM!V23</f>
        <v/>
      </c>
      <c r="N23" s="23">
        <f>INSCRITOS_FORM!W23</f>
        <v/>
      </c>
      <c r="O23" s="23">
        <f>INSCRITOS_FORM!X23</f>
        <v/>
      </c>
      <c r="P23" s="23">
        <f>INSCRITOS_FORM!AB23</f>
        <v/>
      </c>
      <c r="Q23" s="23">
        <f>IF(B23="","",IF(AND(OR(P23="Pagado",P23="Beca",P23="Invitado"),OR(L23="Sí",M23="Sí")),"Sí","No"))</f>
        <v/>
      </c>
      <c r="R23" s="23">
        <f>IF(AND(C23=TORNEO_ACTIVO!$B$3,Q23="Sí"),G23*10000-A23,-1)</f>
        <v/>
      </c>
    </row>
    <row r="24" ht="14.25" customHeight="1" s="72">
      <c r="A24" s="23">
        <f>IF(INSCRITOS_FORM!D24&lt;&gt;"",ROW()-4,"")</f>
        <v/>
      </c>
      <c r="B24" s="23">
        <f>INSCRITOS_FORM!AD24</f>
        <v/>
      </c>
      <c r="C24" s="23">
        <f>INSCRITOS_FORM!T24</f>
        <v/>
      </c>
      <c r="D24" s="23">
        <f>INSCRITOS_FORM!S24</f>
        <v/>
      </c>
      <c r="E24" s="23">
        <f>INSCRITOS_FORM!G24</f>
        <v/>
      </c>
      <c r="F24" s="23">
        <f>INSCRITOS_FORM!L24</f>
        <v/>
      </c>
      <c r="G24" s="23">
        <f t="array" ref="G24">IFERROR(INDEX(CONFIG!$A$22:$A$35,MATCH(F24,CONFIG!$B$22:$B$35,0)),0)</f>
        <v/>
      </c>
      <c r="H24" s="23">
        <f>INSCRITOS_FORM!M24</f>
        <v/>
      </c>
      <c r="I24" s="23">
        <f>INSCRITOS_FORM!O24</f>
        <v/>
      </c>
      <c r="J24" s="23">
        <f>INSCRITOS_FORM!J24</f>
        <v/>
      </c>
      <c r="K24" s="23">
        <f>INSCRITOS_FORM!K24</f>
        <v/>
      </c>
      <c r="L24" s="23">
        <f>INSCRITOS_FORM!U24</f>
        <v/>
      </c>
      <c r="M24" s="23">
        <f>INSCRITOS_FORM!V24</f>
        <v/>
      </c>
      <c r="N24" s="23">
        <f>INSCRITOS_FORM!W24</f>
        <v/>
      </c>
      <c r="O24" s="23">
        <f>INSCRITOS_FORM!X24</f>
        <v/>
      </c>
      <c r="P24" s="23">
        <f>INSCRITOS_FORM!AB24</f>
        <v/>
      </c>
      <c r="Q24" s="23">
        <f>IF(B24="","",IF(AND(OR(P24="Pagado",P24="Beca",P24="Invitado"),OR(L24="Sí",M24="Sí")),"Sí","No"))</f>
        <v/>
      </c>
      <c r="R24" s="23">
        <f>IF(AND(C24=TORNEO_ACTIVO!$B$3,Q24="Sí"),G24*10000-A24,-1)</f>
        <v/>
      </c>
    </row>
    <row r="25" ht="14.25" customHeight="1" s="72">
      <c r="A25" s="23">
        <f>IF(INSCRITOS_FORM!D25&lt;&gt;"",ROW()-4,"")</f>
        <v/>
      </c>
      <c r="B25" s="23">
        <f>INSCRITOS_FORM!AD25</f>
        <v/>
      </c>
      <c r="C25" s="23">
        <f>INSCRITOS_FORM!T25</f>
        <v/>
      </c>
      <c r="D25" s="23">
        <f>INSCRITOS_FORM!S25</f>
        <v/>
      </c>
      <c r="E25" s="23">
        <f>INSCRITOS_FORM!G25</f>
        <v/>
      </c>
      <c r="F25" s="23">
        <f>INSCRITOS_FORM!L25</f>
        <v/>
      </c>
      <c r="G25" s="23">
        <f t="array" ref="G25">IFERROR(INDEX(CONFIG!$A$22:$A$35,MATCH(F25,CONFIG!$B$22:$B$35,0)),0)</f>
        <v/>
      </c>
      <c r="H25" s="23">
        <f>INSCRITOS_FORM!M25</f>
        <v/>
      </c>
      <c r="I25" s="23">
        <f>INSCRITOS_FORM!O25</f>
        <v/>
      </c>
      <c r="J25" s="23">
        <f>INSCRITOS_FORM!J25</f>
        <v/>
      </c>
      <c r="K25" s="23">
        <f>INSCRITOS_FORM!K25</f>
        <v/>
      </c>
      <c r="L25" s="23">
        <f>INSCRITOS_FORM!U25</f>
        <v/>
      </c>
      <c r="M25" s="23">
        <f>INSCRITOS_FORM!V25</f>
        <v/>
      </c>
      <c r="N25" s="23">
        <f>INSCRITOS_FORM!W25</f>
        <v/>
      </c>
      <c r="O25" s="23">
        <f>INSCRITOS_FORM!X25</f>
        <v/>
      </c>
      <c r="P25" s="23">
        <f>INSCRITOS_FORM!AB25</f>
        <v/>
      </c>
      <c r="Q25" s="23">
        <f>IF(B25="","",IF(AND(OR(P25="Pagado",P25="Beca",P25="Invitado"),OR(L25="Sí",M25="Sí")),"Sí","No"))</f>
        <v/>
      </c>
      <c r="R25" s="23">
        <f>IF(AND(C25=TORNEO_ACTIVO!$B$3,Q25="Sí"),G25*10000-A25,-1)</f>
        <v/>
      </c>
    </row>
    <row r="26" ht="14.25" customHeight="1" s="72">
      <c r="A26" s="23">
        <f>IF(INSCRITOS_FORM!D26&lt;&gt;"",ROW()-4,"")</f>
        <v/>
      </c>
      <c r="B26" s="23">
        <f>INSCRITOS_FORM!AD26</f>
        <v/>
      </c>
      <c r="C26" s="23">
        <f>INSCRITOS_FORM!T26</f>
        <v/>
      </c>
      <c r="D26" s="23">
        <f>INSCRITOS_FORM!S26</f>
        <v/>
      </c>
      <c r="E26" s="23">
        <f>INSCRITOS_FORM!G26</f>
        <v/>
      </c>
      <c r="F26" s="23">
        <f>INSCRITOS_FORM!L26</f>
        <v/>
      </c>
      <c r="G26" s="23">
        <f t="array" ref="G26">IFERROR(INDEX(CONFIG!$A$22:$A$35,MATCH(F26,CONFIG!$B$22:$B$35,0)),0)</f>
        <v/>
      </c>
      <c r="H26" s="23">
        <f>INSCRITOS_FORM!M26</f>
        <v/>
      </c>
      <c r="I26" s="23">
        <f>INSCRITOS_FORM!O26</f>
        <v/>
      </c>
      <c r="J26" s="23">
        <f>INSCRITOS_FORM!J26</f>
        <v/>
      </c>
      <c r="K26" s="23">
        <f>INSCRITOS_FORM!K26</f>
        <v/>
      </c>
      <c r="L26" s="23">
        <f>INSCRITOS_FORM!U26</f>
        <v/>
      </c>
      <c r="M26" s="23">
        <f>INSCRITOS_FORM!V26</f>
        <v/>
      </c>
      <c r="N26" s="23">
        <f>INSCRITOS_FORM!W26</f>
        <v/>
      </c>
      <c r="O26" s="23">
        <f>INSCRITOS_FORM!X26</f>
        <v/>
      </c>
      <c r="P26" s="23">
        <f>INSCRITOS_FORM!AB26</f>
        <v/>
      </c>
      <c r="Q26" s="23">
        <f>IF(B26="","",IF(AND(OR(P26="Pagado",P26="Beca",P26="Invitado"),OR(L26="Sí",M26="Sí")),"Sí","No"))</f>
        <v/>
      </c>
      <c r="R26" s="23">
        <f>IF(AND(C26=TORNEO_ACTIVO!$B$3,Q26="Sí"),G26*10000-A26,-1)</f>
        <v/>
      </c>
    </row>
    <row r="27" ht="14.25" customHeight="1" s="72">
      <c r="A27" s="23">
        <f>IF(INSCRITOS_FORM!D27&lt;&gt;"",ROW()-4,"")</f>
        <v/>
      </c>
      <c r="B27" s="23">
        <f>INSCRITOS_FORM!AD27</f>
        <v/>
      </c>
      <c r="C27" s="23">
        <f>INSCRITOS_FORM!T27</f>
        <v/>
      </c>
      <c r="D27" s="23">
        <f>INSCRITOS_FORM!S27</f>
        <v/>
      </c>
      <c r="E27" s="23">
        <f>INSCRITOS_FORM!G27</f>
        <v/>
      </c>
      <c r="F27" s="23">
        <f>INSCRITOS_FORM!L27</f>
        <v/>
      </c>
      <c r="G27" s="23">
        <f t="array" ref="G27">IFERROR(INDEX(CONFIG!$A$22:$A$35,MATCH(F27,CONFIG!$B$22:$B$35,0)),0)</f>
        <v/>
      </c>
      <c r="H27" s="23">
        <f>INSCRITOS_FORM!M27</f>
        <v/>
      </c>
      <c r="I27" s="23">
        <f>INSCRITOS_FORM!O27</f>
        <v/>
      </c>
      <c r="J27" s="23">
        <f>INSCRITOS_FORM!J27</f>
        <v/>
      </c>
      <c r="K27" s="23">
        <f>INSCRITOS_FORM!K27</f>
        <v/>
      </c>
      <c r="L27" s="23">
        <f>INSCRITOS_FORM!U27</f>
        <v/>
      </c>
      <c r="M27" s="23">
        <f>INSCRITOS_FORM!V27</f>
        <v/>
      </c>
      <c r="N27" s="23">
        <f>INSCRITOS_FORM!W27</f>
        <v/>
      </c>
      <c r="O27" s="23">
        <f>INSCRITOS_FORM!X27</f>
        <v/>
      </c>
      <c r="P27" s="23">
        <f>INSCRITOS_FORM!AB27</f>
        <v/>
      </c>
      <c r="Q27" s="23">
        <f>IF(B27="","",IF(AND(OR(P27="Pagado",P27="Beca",P27="Invitado"),OR(L27="Sí",M27="Sí")),"Sí","No"))</f>
        <v/>
      </c>
      <c r="R27" s="23">
        <f>IF(AND(C27=TORNEO_ACTIVO!$B$3,Q27="Sí"),G27*10000-A27,-1)</f>
        <v/>
      </c>
    </row>
    <row r="28" ht="14.25" customHeight="1" s="72">
      <c r="A28" s="23">
        <f>IF(INSCRITOS_FORM!D28&lt;&gt;"",ROW()-4,"")</f>
        <v/>
      </c>
      <c r="B28" s="23">
        <f>INSCRITOS_FORM!AD28</f>
        <v/>
      </c>
      <c r="C28" s="23">
        <f>INSCRITOS_FORM!T28</f>
        <v/>
      </c>
      <c r="D28" s="23">
        <f>INSCRITOS_FORM!S28</f>
        <v/>
      </c>
      <c r="E28" s="23">
        <f>INSCRITOS_FORM!G28</f>
        <v/>
      </c>
      <c r="F28" s="23">
        <f>INSCRITOS_FORM!L28</f>
        <v/>
      </c>
      <c r="G28" s="23">
        <f t="array" ref="G28">IFERROR(INDEX(CONFIG!$A$22:$A$35,MATCH(F28,CONFIG!$B$22:$B$35,0)),0)</f>
        <v/>
      </c>
      <c r="H28" s="23">
        <f>INSCRITOS_FORM!M28</f>
        <v/>
      </c>
      <c r="I28" s="23">
        <f>INSCRITOS_FORM!O28</f>
        <v/>
      </c>
      <c r="J28" s="23">
        <f>INSCRITOS_FORM!J28</f>
        <v/>
      </c>
      <c r="K28" s="23">
        <f>INSCRITOS_FORM!K28</f>
        <v/>
      </c>
      <c r="L28" s="23">
        <f>INSCRITOS_FORM!U28</f>
        <v/>
      </c>
      <c r="M28" s="23">
        <f>INSCRITOS_FORM!V28</f>
        <v/>
      </c>
      <c r="N28" s="23">
        <f>INSCRITOS_FORM!W28</f>
        <v/>
      </c>
      <c r="O28" s="23">
        <f>INSCRITOS_FORM!X28</f>
        <v/>
      </c>
      <c r="P28" s="23">
        <f>INSCRITOS_FORM!AB28</f>
        <v/>
      </c>
      <c r="Q28" s="23">
        <f>IF(B28="","",IF(AND(OR(P28="Pagado",P28="Beca",P28="Invitado"),OR(L28="Sí",M28="Sí")),"Sí","No"))</f>
        <v/>
      </c>
      <c r="R28" s="23">
        <f>IF(AND(C28=TORNEO_ACTIVO!$B$3,Q28="Sí"),G28*10000-A28,-1)</f>
        <v/>
      </c>
    </row>
    <row r="29" ht="14.25" customHeight="1" s="72">
      <c r="A29" s="23">
        <f>IF(INSCRITOS_FORM!D29&lt;&gt;"",ROW()-4,"")</f>
        <v/>
      </c>
      <c r="B29" s="23">
        <f>INSCRITOS_FORM!AD29</f>
        <v/>
      </c>
      <c r="C29" s="23">
        <f>INSCRITOS_FORM!T29</f>
        <v/>
      </c>
      <c r="D29" s="23">
        <f>INSCRITOS_FORM!S29</f>
        <v/>
      </c>
      <c r="E29" s="23">
        <f>INSCRITOS_FORM!G29</f>
        <v/>
      </c>
      <c r="F29" s="23">
        <f>INSCRITOS_FORM!L29</f>
        <v/>
      </c>
      <c r="G29" s="23">
        <f t="array" ref="G29">IFERROR(INDEX(CONFIG!$A$22:$A$35,MATCH(F29,CONFIG!$B$22:$B$35,0)),0)</f>
        <v/>
      </c>
      <c r="H29" s="23">
        <f>INSCRITOS_FORM!M29</f>
        <v/>
      </c>
      <c r="I29" s="23">
        <f>INSCRITOS_FORM!O29</f>
        <v/>
      </c>
      <c r="J29" s="23">
        <f>INSCRITOS_FORM!J29</f>
        <v/>
      </c>
      <c r="K29" s="23">
        <f>INSCRITOS_FORM!K29</f>
        <v/>
      </c>
      <c r="L29" s="23">
        <f>INSCRITOS_FORM!U29</f>
        <v/>
      </c>
      <c r="M29" s="23">
        <f>INSCRITOS_FORM!V29</f>
        <v/>
      </c>
      <c r="N29" s="23">
        <f>INSCRITOS_FORM!W29</f>
        <v/>
      </c>
      <c r="O29" s="23">
        <f>INSCRITOS_FORM!X29</f>
        <v/>
      </c>
      <c r="P29" s="23">
        <f>INSCRITOS_FORM!AB29</f>
        <v/>
      </c>
      <c r="Q29" s="23">
        <f>IF(B29="","",IF(AND(OR(P29="Pagado",P29="Beca",P29="Invitado"),OR(L29="Sí",M29="Sí")),"Sí","No"))</f>
        <v/>
      </c>
      <c r="R29" s="23">
        <f>IF(AND(C29=TORNEO_ACTIVO!$B$3,Q29="Sí"),G29*10000-A29,-1)</f>
        <v/>
      </c>
    </row>
    <row r="30" ht="14.25" customHeight="1" s="72">
      <c r="A30" s="23">
        <f>IF(INSCRITOS_FORM!D30&lt;&gt;"",ROW()-4,"")</f>
        <v/>
      </c>
      <c r="B30" s="23">
        <f>INSCRITOS_FORM!AD30</f>
        <v/>
      </c>
      <c r="C30" s="23">
        <f>INSCRITOS_FORM!T30</f>
        <v/>
      </c>
      <c r="D30" s="23">
        <f>INSCRITOS_FORM!S30</f>
        <v/>
      </c>
      <c r="E30" s="23">
        <f>INSCRITOS_FORM!G30</f>
        <v/>
      </c>
      <c r="F30" s="23">
        <f>INSCRITOS_FORM!L30</f>
        <v/>
      </c>
      <c r="G30" s="23">
        <f t="array" ref="G30">IFERROR(INDEX(CONFIG!$A$22:$A$35,MATCH(F30,CONFIG!$B$22:$B$35,0)),0)</f>
        <v/>
      </c>
      <c r="H30" s="23">
        <f>INSCRITOS_FORM!M30</f>
        <v/>
      </c>
      <c r="I30" s="23">
        <f>INSCRITOS_FORM!O30</f>
        <v/>
      </c>
      <c r="J30" s="23">
        <f>INSCRITOS_FORM!J30</f>
        <v/>
      </c>
      <c r="K30" s="23">
        <f>INSCRITOS_FORM!K30</f>
        <v/>
      </c>
      <c r="L30" s="23">
        <f>INSCRITOS_FORM!U30</f>
        <v/>
      </c>
      <c r="M30" s="23">
        <f>INSCRITOS_FORM!V30</f>
        <v/>
      </c>
      <c r="N30" s="23">
        <f>INSCRITOS_FORM!W30</f>
        <v/>
      </c>
      <c r="O30" s="23">
        <f>INSCRITOS_FORM!X30</f>
        <v/>
      </c>
      <c r="P30" s="23">
        <f>INSCRITOS_FORM!AB30</f>
        <v/>
      </c>
      <c r="Q30" s="23">
        <f>IF(B30="","",IF(AND(OR(P30="Pagado",P30="Beca",P30="Invitado"),OR(L30="Sí",M30="Sí")),"Sí","No"))</f>
        <v/>
      </c>
      <c r="R30" s="23">
        <f>IF(AND(C30=TORNEO_ACTIVO!$B$3,Q30="Sí"),G30*10000-A30,-1)</f>
        <v/>
      </c>
    </row>
    <row r="31" ht="14.25" customHeight="1" s="72">
      <c r="A31" s="23">
        <f>IF(INSCRITOS_FORM!D31&lt;&gt;"",ROW()-4,"")</f>
        <v/>
      </c>
      <c r="B31" s="23">
        <f>INSCRITOS_FORM!AD31</f>
        <v/>
      </c>
      <c r="C31" s="23">
        <f>INSCRITOS_FORM!T31</f>
        <v/>
      </c>
      <c r="D31" s="23">
        <f>INSCRITOS_FORM!S31</f>
        <v/>
      </c>
      <c r="E31" s="23">
        <f>INSCRITOS_FORM!G31</f>
        <v/>
      </c>
      <c r="F31" s="23">
        <f>INSCRITOS_FORM!L31</f>
        <v/>
      </c>
      <c r="G31" s="23">
        <f t="array" ref="G31">IFERROR(INDEX(CONFIG!$A$22:$A$35,MATCH(F31,CONFIG!$B$22:$B$35,0)),0)</f>
        <v/>
      </c>
      <c r="H31" s="23">
        <f>INSCRITOS_FORM!M31</f>
        <v/>
      </c>
      <c r="I31" s="23">
        <f>INSCRITOS_FORM!O31</f>
        <v/>
      </c>
      <c r="J31" s="23">
        <f>INSCRITOS_FORM!J31</f>
        <v/>
      </c>
      <c r="K31" s="23">
        <f>INSCRITOS_FORM!K31</f>
        <v/>
      </c>
      <c r="L31" s="23">
        <f>INSCRITOS_FORM!U31</f>
        <v/>
      </c>
      <c r="M31" s="23">
        <f>INSCRITOS_FORM!V31</f>
        <v/>
      </c>
      <c r="N31" s="23">
        <f>INSCRITOS_FORM!W31</f>
        <v/>
      </c>
      <c r="O31" s="23">
        <f>INSCRITOS_FORM!X31</f>
        <v/>
      </c>
      <c r="P31" s="23">
        <f>INSCRITOS_FORM!AB31</f>
        <v/>
      </c>
      <c r="Q31" s="23">
        <f>IF(B31="","",IF(AND(OR(P31="Pagado",P31="Beca",P31="Invitado"),OR(L31="Sí",M31="Sí")),"Sí","No"))</f>
        <v/>
      </c>
      <c r="R31" s="23">
        <f>IF(AND(C31=TORNEO_ACTIVO!$B$3,Q31="Sí"),G31*10000-A31,-1)</f>
        <v/>
      </c>
    </row>
    <row r="32" ht="14.25" customHeight="1" s="72">
      <c r="A32" s="23">
        <f>IF(INSCRITOS_FORM!D32&lt;&gt;"",ROW()-4,"")</f>
        <v/>
      </c>
      <c r="B32" s="23">
        <f>INSCRITOS_FORM!AD32</f>
        <v/>
      </c>
      <c r="C32" s="23">
        <f>INSCRITOS_FORM!T32</f>
        <v/>
      </c>
      <c r="D32" s="23">
        <f>INSCRITOS_FORM!S32</f>
        <v/>
      </c>
      <c r="E32" s="23">
        <f>INSCRITOS_FORM!G32</f>
        <v/>
      </c>
      <c r="F32" s="23">
        <f>INSCRITOS_FORM!L32</f>
        <v/>
      </c>
      <c r="G32" s="23">
        <f t="array" ref="G32">IFERROR(INDEX(CONFIG!$A$22:$A$35,MATCH(F32,CONFIG!$B$22:$B$35,0)),0)</f>
        <v/>
      </c>
      <c r="H32" s="23">
        <f>INSCRITOS_FORM!M32</f>
        <v/>
      </c>
      <c r="I32" s="23">
        <f>INSCRITOS_FORM!O32</f>
        <v/>
      </c>
      <c r="J32" s="23">
        <f>INSCRITOS_FORM!J32</f>
        <v/>
      </c>
      <c r="K32" s="23">
        <f>INSCRITOS_FORM!K32</f>
        <v/>
      </c>
      <c r="L32" s="23">
        <f>INSCRITOS_FORM!U32</f>
        <v/>
      </c>
      <c r="M32" s="23">
        <f>INSCRITOS_FORM!V32</f>
        <v/>
      </c>
      <c r="N32" s="23">
        <f>INSCRITOS_FORM!W32</f>
        <v/>
      </c>
      <c r="O32" s="23">
        <f>INSCRITOS_FORM!X32</f>
        <v/>
      </c>
      <c r="P32" s="23">
        <f>INSCRITOS_FORM!AB32</f>
        <v/>
      </c>
      <c r="Q32" s="23">
        <f>IF(B32="","",IF(AND(OR(P32="Pagado",P32="Beca",P32="Invitado"),OR(L32="Sí",M32="Sí")),"Sí","No"))</f>
        <v/>
      </c>
      <c r="R32" s="23">
        <f>IF(AND(C32=TORNEO_ACTIVO!$B$3,Q32="Sí"),G32*10000-A32,-1)</f>
        <v/>
      </c>
    </row>
    <row r="33" ht="14.25" customHeight="1" s="72">
      <c r="A33" s="23">
        <f>IF(INSCRITOS_FORM!D33&lt;&gt;"",ROW()-4,"")</f>
        <v/>
      </c>
      <c r="B33" s="23">
        <f>INSCRITOS_FORM!AD33</f>
        <v/>
      </c>
      <c r="C33" s="23">
        <f>INSCRITOS_FORM!T33</f>
        <v/>
      </c>
      <c r="D33" s="23">
        <f>INSCRITOS_FORM!S33</f>
        <v/>
      </c>
      <c r="E33" s="23">
        <f>INSCRITOS_FORM!G33</f>
        <v/>
      </c>
      <c r="F33" s="23">
        <f>INSCRITOS_FORM!L33</f>
        <v/>
      </c>
      <c r="G33" s="23">
        <f t="array" ref="G33">IFERROR(INDEX(CONFIG!$A$22:$A$35,MATCH(F33,CONFIG!$B$22:$B$35,0)),0)</f>
        <v/>
      </c>
      <c r="H33" s="23">
        <f>INSCRITOS_FORM!M33</f>
        <v/>
      </c>
      <c r="I33" s="23">
        <f>INSCRITOS_FORM!O33</f>
        <v/>
      </c>
      <c r="J33" s="23">
        <f>INSCRITOS_FORM!J33</f>
        <v/>
      </c>
      <c r="K33" s="23">
        <f>INSCRITOS_FORM!K33</f>
        <v/>
      </c>
      <c r="L33" s="23">
        <f>INSCRITOS_FORM!U33</f>
        <v/>
      </c>
      <c r="M33" s="23">
        <f>INSCRITOS_FORM!V33</f>
        <v/>
      </c>
      <c r="N33" s="23">
        <f>INSCRITOS_FORM!W33</f>
        <v/>
      </c>
      <c r="O33" s="23">
        <f>INSCRITOS_FORM!X33</f>
        <v/>
      </c>
      <c r="P33" s="23">
        <f>INSCRITOS_FORM!AB33</f>
        <v/>
      </c>
      <c r="Q33" s="23">
        <f>IF(B33="","",IF(AND(OR(P33="Pagado",P33="Beca",P33="Invitado"),OR(L33="Sí",M33="Sí")),"Sí","No"))</f>
        <v/>
      </c>
      <c r="R33" s="23">
        <f>IF(AND(C33=TORNEO_ACTIVO!$B$3,Q33="Sí"),G33*10000-A33,-1)</f>
        <v/>
      </c>
    </row>
    <row r="34" ht="14.25" customHeight="1" s="72">
      <c r="A34" s="23">
        <f>IF(INSCRITOS_FORM!D34&lt;&gt;"",ROW()-4,"")</f>
        <v/>
      </c>
      <c r="B34" s="23">
        <f>INSCRITOS_FORM!AD34</f>
        <v/>
      </c>
      <c r="C34" s="23">
        <f>INSCRITOS_FORM!T34</f>
        <v/>
      </c>
      <c r="D34" s="23">
        <f>INSCRITOS_FORM!S34</f>
        <v/>
      </c>
      <c r="E34" s="23">
        <f>INSCRITOS_FORM!G34</f>
        <v/>
      </c>
      <c r="F34" s="23">
        <f>INSCRITOS_FORM!L34</f>
        <v/>
      </c>
      <c r="G34" s="23">
        <f t="array" ref="G34">IFERROR(INDEX(CONFIG!$A$22:$A$35,MATCH(F34,CONFIG!$B$22:$B$35,0)),0)</f>
        <v/>
      </c>
      <c r="H34" s="23">
        <f>INSCRITOS_FORM!M34</f>
        <v/>
      </c>
      <c r="I34" s="23">
        <f>INSCRITOS_FORM!O34</f>
        <v/>
      </c>
      <c r="J34" s="23">
        <f>INSCRITOS_FORM!J34</f>
        <v/>
      </c>
      <c r="K34" s="23">
        <f>INSCRITOS_FORM!K34</f>
        <v/>
      </c>
      <c r="L34" s="23">
        <f>INSCRITOS_FORM!U34</f>
        <v/>
      </c>
      <c r="M34" s="23">
        <f>INSCRITOS_FORM!V34</f>
        <v/>
      </c>
      <c r="N34" s="23">
        <f>INSCRITOS_FORM!W34</f>
        <v/>
      </c>
      <c r="O34" s="23">
        <f>INSCRITOS_FORM!X34</f>
        <v/>
      </c>
      <c r="P34" s="23">
        <f>INSCRITOS_FORM!AB34</f>
        <v/>
      </c>
      <c r="Q34" s="23">
        <f>IF(B34="","",IF(AND(OR(P34="Pagado",P34="Beca",P34="Invitado"),OR(L34="Sí",M34="Sí")),"Sí","No"))</f>
        <v/>
      </c>
      <c r="R34" s="23">
        <f>IF(AND(C34=TORNEO_ACTIVO!$B$3,Q34="Sí"),G34*10000-A34,-1)</f>
        <v/>
      </c>
    </row>
    <row r="35" ht="14.25" customHeight="1" s="72">
      <c r="A35" s="23">
        <f>IF(INSCRITOS_FORM!D35&lt;&gt;"",ROW()-4,"")</f>
        <v/>
      </c>
      <c r="B35" s="23">
        <f>INSCRITOS_FORM!AD35</f>
        <v/>
      </c>
      <c r="C35" s="23">
        <f>INSCRITOS_FORM!T35</f>
        <v/>
      </c>
      <c r="D35" s="23">
        <f>INSCRITOS_FORM!S35</f>
        <v/>
      </c>
      <c r="E35" s="23">
        <f>INSCRITOS_FORM!G35</f>
        <v/>
      </c>
      <c r="F35" s="23">
        <f>INSCRITOS_FORM!L35</f>
        <v/>
      </c>
      <c r="G35" s="23">
        <f t="array" ref="G35">IFERROR(INDEX(CONFIG!$A$22:$A$35,MATCH(F35,CONFIG!$B$22:$B$35,0)),0)</f>
        <v/>
      </c>
      <c r="H35" s="23">
        <f>INSCRITOS_FORM!M35</f>
        <v/>
      </c>
      <c r="I35" s="23">
        <f>INSCRITOS_FORM!O35</f>
        <v/>
      </c>
      <c r="J35" s="23">
        <f>INSCRITOS_FORM!J35</f>
        <v/>
      </c>
      <c r="K35" s="23">
        <f>INSCRITOS_FORM!K35</f>
        <v/>
      </c>
      <c r="L35" s="23">
        <f>INSCRITOS_FORM!U35</f>
        <v/>
      </c>
      <c r="M35" s="23">
        <f>INSCRITOS_FORM!V35</f>
        <v/>
      </c>
      <c r="N35" s="23">
        <f>INSCRITOS_FORM!W35</f>
        <v/>
      </c>
      <c r="O35" s="23">
        <f>INSCRITOS_FORM!X35</f>
        <v/>
      </c>
      <c r="P35" s="23">
        <f>INSCRITOS_FORM!AB35</f>
        <v/>
      </c>
      <c r="Q35" s="23">
        <f>IF(B35="","",IF(AND(OR(P35="Pagado",P35="Beca",P35="Invitado"),OR(L35="Sí",M35="Sí")),"Sí","No"))</f>
        <v/>
      </c>
      <c r="R35" s="23">
        <f>IF(AND(C35=TORNEO_ACTIVO!$B$3,Q35="Sí"),G35*10000-A35,-1)</f>
        <v/>
      </c>
    </row>
    <row r="36" ht="14.25" customHeight="1" s="72">
      <c r="A36" s="23">
        <f>IF(INSCRITOS_FORM!D36&lt;&gt;"",ROW()-4,"")</f>
        <v/>
      </c>
      <c r="B36" s="23">
        <f>INSCRITOS_FORM!AD36</f>
        <v/>
      </c>
      <c r="C36" s="23">
        <f>INSCRITOS_FORM!T36</f>
        <v/>
      </c>
      <c r="D36" s="23">
        <f>INSCRITOS_FORM!S36</f>
        <v/>
      </c>
      <c r="E36" s="23">
        <f>INSCRITOS_FORM!G36</f>
        <v/>
      </c>
      <c r="F36" s="23">
        <f>INSCRITOS_FORM!L36</f>
        <v/>
      </c>
      <c r="G36" s="23">
        <f t="array" ref="G36">IFERROR(INDEX(CONFIG!$A$22:$A$35,MATCH(F36,CONFIG!$B$22:$B$35,0)),0)</f>
        <v/>
      </c>
      <c r="H36" s="23">
        <f>INSCRITOS_FORM!M36</f>
        <v/>
      </c>
      <c r="I36" s="23">
        <f>INSCRITOS_FORM!O36</f>
        <v/>
      </c>
      <c r="J36" s="23">
        <f>INSCRITOS_FORM!J36</f>
        <v/>
      </c>
      <c r="K36" s="23">
        <f>INSCRITOS_FORM!K36</f>
        <v/>
      </c>
      <c r="L36" s="23">
        <f>INSCRITOS_FORM!U36</f>
        <v/>
      </c>
      <c r="M36" s="23">
        <f>INSCRITOS_FORM!V36</f>
        <v/>
      </c>
      <c r="N36" s="23">
        <f>INSCRITOS_FORM!W36</f>
        <v/>
      </c>
      <c r="O36" s="23">
        <f>INSCRITOS_FORM!X36</f>
        <v/>
      </c>
      <c r="P36" s="23">
        <f>INSCRITOS_FORM!AB36</f>
        <v/>
      </c>
      <c r="Q36" s="23">
        <f>IF(B36="","",IF(AND(OR(P36="Pagado",P36="Beca",P36="Invitado"),OR(L36="Sí",M36="Sí")),"Sí","No"))</f>
        <v/>
      </c>
      <c r="R36" s="23">
        <f>IF(AND(C36=TORNEO_ACTIVO!$B$3,Q36="Sí"),G36*10000-A36,-1)</f>
        <v/>
      </c>
    </row>
    <row r="37" ht="14.25" customHeight="1" s="72">
      <c r="A37" s="23">
        <f>IF(INSCRITOS_FORM!D37&lt;&gt;"",ROW()-4,"")</f>
        <v/>
      </c>
      <c r="B37" s="23">
        <f>INSCRITOS_FORM!AD37</f>
        <v/>
      </c>
      <c r="C37" s="23">
        <f>INSCRITOS_FORM!T37</f>
        <v/>
      </c>
      <c r="D37" s="23">
        <f>INSCRITOS_FORM!S37</f>
        <v/>
      </c>
      <c r="E37" s="23">
        <f>INSCRITOS_FORM!G37</f>
        <v/>
      </c>
      <c r="F37" s="23">
        <f>INSCRITOS_FORM!L37</f>
        <v/>
      </c>
      <c r="G37" s="23">
        <f t="array" ref="G37">IFERROR(INDEX(CONFIG!$A$22:$A$35,MATCH(F37,CONFIG!$B$22:$B$35,0)),0)</f>
        <v/>
      </c>
      <c r="H37" s="23">
        <f>INSCRITOS_FORM!M37</f>
        <v/>
      </c>
      <c r="I37" s="23">
        <f>INSCRITOS_FORM!O37</f>
        <v/>
      </c>
      <c r="J37" s="23">
        <f>INSCRITOS_FORM!J37</f>
        <v/>
      </c>
      <c r="K37" s="23">
        <f>INSCRITOS_FORM!K37</f>
        <v/>
      </c>
      <c r="L37" s="23">
        <f>INSCRITOS_FORM!U37</f>
        <v/>
      </c>
      <c r="M37" s="23">
        <f>INSCRITOS_FORM!V37</f>
        <v/>
      </c>
      <c r="N37" s="23">
        <f>INSCRITOS_FORM!W37</f>
        <v/>
      </c>
      <c r="O37" s="23">
        <f>INSCRITOS_FORM!X37</f>
        <v/>
      </c>
      <c r="P37" s="23">
        <f>INSCRITOS_FORM!AB37</f>
        <v/>
      </c>
      <c r="Q37" s="23">
        <f>IF(B37="","",IF(AND(OR(P37="Pagado",P37="Beca",P37="Invitado"),OR(L37="Sí",M37="Sí")),"Sí","No"))</f>
        <v/>
      </c>
      <c r="R37" s="23">
        <f>IF(AND(C37=TORNEO_ACTIVO!$B$3,Q37="Sí"),G37*10000-A37,-1)</f>
        <v/>
      </c>
    </row>
    <row r="38" ht="14.25" customHeight="1" s="72">
      <c r="A38" s="23">
        <f>IF(INSCRITOS_FORM!D38&lt;&gt;"",ROW()-4,"")</f>
        <v/>
      </c>
      <c r="B38" s="23">
        <f>INSCRITOS_FORM!AD38</f>
        <v/>
      </c>
      <c r="C38" s="23">
        <f>INSCRITOS_FORM!T38</f>
        <v/>
      </c>
      <c r="D38" s="23">
        <f>INSCRITOS_FORM!S38</f>
        <v/>
      </c>
      <c r="E38" s="23">
        <f>INSCRITOS_FORM!G38</f>
        <v/>
      </c>
      <c r="F38" s="23">
        <f>INSCRITOS_FORM!L38</f>
        <v/>
      </c>
      <c r="G38" s="23">
        <f t="array" ref="G38">IFERROR(INDEX(CONFIG!$A$22:$A$35,MATCH(F38,CONFIG!$B$22:$B$35,0)),0)</f>
        <v/>
      </c>
      <c r="H38" s="23">
        <f>INSCRITOS_FORM!M38</f>
        <v/>
      </c>
      <c r="I38" s="23">
        <f>INSCRITOS_FORM!O38</f>
        <v/>
      </c>
      <c r="J38" s="23">
        <f>INSCRITOS_FORM!J38</f>
        <v/>
      </c>
      <c r="K38" s="23">
        <f>INSCRITOS_FORM!K38</f>
        <v/>
      </c>
      <c r="L38" s="23">
        <f>INSCRITOS_FORM!U38</f>
        <v/>
      </c>
      <c r="M38" s="23">
        <f>INSCRITOS_FORM!V38</f>
        <v/>
      </c>
      <c r="N38" s="23">
        <f>INSCRITOS_FORM!W38</f>
        <v/>
      </c>
      <c r="O38" s="23">
        <f>INSCRITOS_FORM!X38</f>
        <v/>
      </c>
      <c r="P38" s="23">
        <f>INSCRITOS_FORM!AB38</f>
        <v/>
      </c>
      <c r="Q38" s="23">
        <f>IF(B38="","",IF(AND(OR(P38="Pagado",P38="Beca",P38="Invitado"),OR(L38="Sí",M38="Sí")),"Sí","No"))</f>
        <v/>
      </c>
      <c r="R38" s="23">
        <f>IF(AND(C38=TORNEO_ACTIVO!$B$3,Q38="Sí"),G38*10000-A38,-1)</f>
        <v/>
      </c>
    </row>
    <row r="39" ht="14.25" customHeight="1" s="72">
      <c r="A39" s="23">
        <f>IF(INSCRITOS_FORM!D39&lt;&gt;"",ROW()-4,"")</f>
        <v/>
      </c>
      <c r="B39" s="23">
        <f>INSCRITOS_FORM!AD39</f>
        <v/>
      </c>
      <c r="C39" s="23">
        <f>INSCRITOS_FORM!T39</f>
        <v/>
      </c>
      <c r="D39" s="23">
        <f>INSCRITOS_FORM!S39</f>
        <v/>
      </c>
      <c r="E39" s="23">
        <f>INSCRITOS_FORM!G39</f>
        <v/>
      </c>
      <c r="F39" s="23">
        <f>INSCRITOS_FORM!L39</f>
        <v/>
      </c>
      <c r="G39" s="23">
        <f t="array" ref="G39">IFERROR(INDEX(CONFIG!$A$22:$A$35,MATCH(F39,CONFIG!$B$22:$B$35,0)),0)</f>
        <v/>
      </c>
      <c r="H39" s="23">
        <f>INSCRITOS_FORM!M39</f>
        <v/>
      </c>
      <c r="I39" s="23">
        <f>INSCRITOS_FORM!O39</f>
        <v/>
      </c>
      <c r="J39" s="23">
        <f>INSCRITOS_FORM!J39</f>
        <v/>
      </c>
      <c r="K39" s="23">
        <f>INSCRITOS_FORM!K39</f>
        <v/>
      </c>
      <c r="L39" s="23">
        <f>INSCRITOS_FORM!U39</f>
        <v/>
      </c>
      <c r="M39" s="23">
        <f>INSCRITOS_FORM!V39</f>
        <v/>
      </c>
      <c r="N39" s="23">
        <f>INSCRITOS_FORM!W39</f>
        <v/>
      </c>
      <c r="O39" s="23">
        <f>INSCRITOS_FORM!X39</f>
        <v/>
      </c>
      <c r="P39" s="23">
        <f>INSCRITOS_FORM!AB39</f>
        <v/>
      </c>
      <c r="Q39" s="23">
        <f>IF(B39="","",IF(AND(OR(P39="Pagado",P39="Beca",P39="Invitado"),OR(L39="Sí",M39="Sí")),"Sí","No"))</f>
        <v/>
      </c>
      <c r="R39" s="23">
        <f>IF(AND(C39=TORNEO_ACTIVO!$B$3,Q39="Sí"),G39*10000-A39,-1)</f>
        <v/>
      </c>
    </row>
    <row r="40" ht="14.25" customHeight="1" s="72">
      <c r="A40" s="23">
        <f>IF(INSCRITOS_FORM!D40&lt;&gt;"",ROW()-4,"")</f>
        <v/>
      </c>
      <c r="B40" s="23">
        <f>INSCRITOS_FORM!AD40</f>
        <v/>
      </c>
      <c r="C40" s="23">
        <f>INSCRITOS_FORM!T40</f>
        <v/>
      </c>
      <c r="D40" s="23">
        <f>INSCRITOS_FORM!S40</f>
        <v/>
      </c>
      <c r="E40" s="23">
        <f>INSCRITOS_FORM!G40</f>
        <v/>
      </c>
      <c r="F40" s="23">
        <f>INSCRITOS_FORM!L40</f>
        <v/>
      </c>
      <c r="G40" s="23">
        <f t="array" ref="G40">IFERROR(INDEX(CONFIG!$A$22:$A$35,MATCH(F40,CONFIG!$B$22:$B$35,0)),0)</f>
        <v/>
      </c>
      <c r="H40" s="23">
        <f>INSCRITOS_FORM!M40</f>
        <v/>
      </c>
      <c r="I40" s="23">
        <f>INSCRITOS_FORM!O40</f>
        <v/>
      </c>
      <c r="J40" s="23">
        <f>INSCRITOS_FORM!J40</f>
        <v/>
      </c>
      <c r="K40" s="23">
        <f>INSCRITOS_FORM!K40</f>
        <v/>
      </c>
      <c r="L40" s="23">
        <f>INSCRITOS_FORM!U40</f>
        <v/>
      </c>
      <c r="M40" s="23">
        <f>INSCRITOS_FORM!V40</f>
        <v/>
      </c>
      <c r="N40" s="23">
        <f>INSCRITOS_FORM!W40</f>
        <v/>
      </c>
      <c r="O40" s="23">
        <f>INSCRITOS_FORM!X40</f>
        <v/>
      </c>
      <c r="P40" s="23">
        <f>INSCRITOS_FORM!AB40</f>
        <v/>
      </c>
      <c r="Q40" s="23">
        <f>IF(B40="","",IF(AND(OR(P40="Pagado",P40="Beca",P40="Invitado"),OR(L40="Sí",M40="Sí")),"Sí","No"))</f>
        <v/>
      </c>
      <c r="R40" s="23">
        <f>IF(AND(C40=TORNEO_ACTIVO!$B$3,Q40="Sí"),G40*10000-A40,-1)</f>
        <v/>
      </c>
    </row>
    <row r="41" ht="14.25" customHeight="1" s="72">
      <c r="A41" s="23">
        <f>IF(INSCRITOS_FORM!D41&lt;&gt;"",ROW()-4,"")</f>
        <v/>
      </c>
      <c r="B41" s="23">
        <f>INSCRITOS_FORM!AD41</f>
        <v/>
      </c>
      <c r="C41" s="23">
        <f>INSCRITOS_FORM!T41</f>
        <v/>
      </c>
      <c r="D41" s="23">
        <f>INSCRITOS_FORM!S41</f>
        <v/>
      </c>
      <c r="E41" s="23">
        <f>INSCRITOS_FORM!G41</f>
        <v/>
      </c>
      <c r="F41" s="23">
        <f>INSCRITOS_FORM!L41</f>
        <v/>
      </c>
      <c r="G41" s="23">
        <f t="array" ref="G41">IFERROR(INDEX(CONFIG!$A$22:$A$35,MATCH(F41,CONFIG!$B$22:$B$35,0)),0)</f>
        <v/>
      </c>
      <c r="H41" s="23">
        <f>INSCRITOS_FORM!M41</f>
        <v/>
      </c>
      <c r="I41" s="23">
        <f>INSCRITOS_FORM!O41</f>
        <v/>
      </c>
      <c r="J41" s="23">
        <f>INSCRITOS_FORM!J41</f>
        <v/>
      </c>
      <c r="K41" s="23">
        <f>INSCRITOS_FORM!K41</f>
        <v/>
      </c>
      <c r="L41" s="23">
        <f>INSCRITOS_FORM!U41</f>
        <v/>
      </c>
      <c r="M41" s="23">
        <f>INSCRITOS_FORM!V41</f>
        <v/>
      </c>
      <c r="N41" s="23">
        <f>INSCRITOS_FORM!W41</f>
        <v/>
      </c>
      <c r="O41" s="23">
        <f>INSCRITOS_FORM!X41</f>
        <v/>
      </c>
      <c r="P41" s="23">
        <f>INSCRITOS_FORM!AB41</f>
        <v/>
      </c>
      <c r="Q41" s="23">
        <f>IF(B41="","",IF(AND(OR(P41="Pagado",P41="Beca",P41="Invitado"),OR(L41="Sí",M41="Sí")),"Sí","No"))</f>
        <v/>
      </c>
      <c r="R41" s="23">
        <f>IF(AND(C41=TORNEO_ACTIVO!$B$3,Q41="Sí"),G41*10000-A41,-1)</f>
        <v/>
      </c>
    </row>
    <row r="42" ht="14.25" customHeight="1" s="72">
      <c r="A42" s="23">
        <f>IF(INSCRITOS_FORM!D42&lt;&gt;"",ROW()-4,"")</f>
        <v/>
      </c>
      <c r="B42" s="23">
        <f>INSCRITOS_FORM!AD42</f>
        <v/>
      </c>
      <c r="C42" s="23">
        <f>INSCRITOS_FORM!T42</f>
        <v/>
      </c>
      <c r="D42" s="23">
        <f>INSCRITOS_FORM!S42</f>
        <v/>
      </c>
      <c r="E42" s="23">
        <f>INSCRITOS_FORM!G42</f>
        <v/>
      </c>
      <c r="F42" s="23">
        <f>INSCRITOS_FORM!L42</f>
        <v/>
      </c>
      <c r="G42" s="23">
        <f t="array" ref="G42">IFERROR(INDEX(CONFIG!$A$22:$A$35,MATCH(F42,CONFIG!$B$22:$B$35,0)),0)</f>
        <v/>
      </c>
      <c r="H42" s="23">
        <f>INSCRITOS_FORM!M42</f>
        <v/>
      </c>
      <c r="I42" s="23">
        <f>INSCRITOS_FORM!O42</f>
        <v/>
      </c>
      <c r="J42" s="23">
        <f>INSCRITOS_FORM!J42</f>
        <v/>
      </c>
      <c r="K42" s="23">
        <f>INSCRITOS_FORM!K42</f>
        <v/>
      </c>
      <c r="L42" s="23">
        <f>INSCRITOS_FORM!U42</f>
        <v/>
      </c>
      <c r="M42" s="23">
        <f>INSCRITOS_FORM!V42</f>
        <v/>
      </c>
      <c r="N42" s="23">
        <f>INSCRITOS_FORM!W42</f>
        <v/>
      </c>
      <c r="O42" s="23">
        <f>INSCRITOS_FORM!X42</f>
        <v/>
      </c>
      <c r="P42" s="23">
        <f>INSCRITOS_FORM!AB42</f>
        <v/>
      </c>
      <c r="Q42" s="23">
        <f>IF(B42="","",IF(AND(OR(P42="Pagado",P42="Beca",P42="Invitado"),OR(L42="Sí",M42="Sí")),"Sí","No"))</f>
        <v/>
      </c>
      <c r="R42" s="23">
        <f>IF(AND(C42=TORNEO_ACTIVO!$B$3,Q42="Sí"),G42*10000-A42,-1)</f>
        <v/>
      </c>
    </row>
    <row r="43" ht="14.25" customHeight="1" s="72">
      <c r="A43" s="23">
        <f>IF(INSCRITOS_FORM!D43&lt;&gt;"",ROW()-4,"")</f>
        <v/>
      </c>
      <c r="B43" s="23">
        <f>INSCRITOS_FORM!AD43</f>
        <v/>
      </c>
      <c r="C43" s="23">
        <f>INSCRITOS_FORM!T43</f>
        <v/>
      </c>
      <c r="D43" s="23">
        <f>INSCRITOS_FORM!S43</f>
        <v/>
      </c>
      <c r="E43" s="23">
        <f>INSCRITOS_FORM!G43</f>
        <v/>
      </c>
      <c r="F43" s="23">
        <f>INSCRITOS_FORM!L43</f>
        <v/>
      </c>
      <c r="G43" s="23">
        <f t="array" ref="G43">IFERROR(INDEX(CONFIG!$A$22:$A$35,MATCH(F43,CONFIG!$B$22:$B$35,0)),0)</f>
        <v/>
      </c>
      <c r="H43" s="23">
        <f>INSCRITOS_FORM!M43</f>
        <v/>
      </c>
      <c r="I43" s="23">
        <f>INSCRITOS_FORM!O43</f>
        <v/>
      </c>
      <c r="J43" s="23">
        <f>INSCRITOS_FORM!J43</f>
        <v/>
      </c>
      <c r="K43" s="23">
        <f>INSCRITOS_FORM!K43</f>
        <v/>
      </c>
      <c r="L43" s="23">
        <f>INSCRITOS_FORM!U43</f>
        <v/>
      </c>
      <c r="M43" s="23">
        <f>INSCRITOS_FORM!V43</f>
        <v/>
      </c>
      <c r="N43" s="23">
        <f>INSCRITOS_FORM!W43</f>
        <v/>
      </c>
      <c r="O43" s="23">
        <f>INSCRITOS_FORM!X43</f>
        <v/>
      </c>
      <c r="P43" s="23">
        <f>INSCRITOS_FORM!AB43</f>
        <v/>
      </c>
      <c r="Q43" s="23">
        <f>IF(B43="","",IF(AND(OR(P43="Pagado",P43="Beca",P43="Invitado"),OR(L43="Sí",M43="Sí")),"Sí","No"))</f>
        <v/>
      </c>
      <c r="R43" s="23">
        <f>IF(AND(C43=TORNEO_ACTIVO!$B$3,Q43="Sí"),G43*10000-A43,-1)</f>
        <v/>
      </c>
    </row>
    <row r="44" ht="14.25" customHeight="1" s="72">
      <c r="A44" s="23">
        <f>IF(INSCRITOS_FORM!D44&lt;&gt;"",ROW()-4,"")</f>
        <v/>
      </c>
      <c r="B44" s="23">
        <f>INSCRITOS_FORM!AD44</f>
        <v/>
      </c>
      <c r="C44" s="23">
        <f>INSCRITOS_FORM!T44</f>
        <v/>
      </c>
      <c r="D44" s="23">
        <f>INSCRITOS_FORM!S44</f>
        <v/>
      </c>
      <c r="E44" s="23">
        <f>INSCRITOS_FORM!G44</f>
        <v/>
      </c>
      <c r="F44" s="23">
        <f>INSCRITOS_FORM!L44</f>
        <v/>
      </c>
      <c r="G44" s="23">
        <f t="array" ref="G44">IFERROR(INDEX(CONFIG!$A$22:$A$35,MATCH(F44,CONFIG!$B$22:$B$35,0)),0)</f>
        <v/>
      </c>
      <c r="H44" s="23">
        <f>INSCRITOS_FORM!M44</f>
        <v/>
      </c>
      <c r="I44" s="23">
        <f>INSCRITOS_FORM!O44</f>
        <v/>
      </c>
      <c r="J44" s="23">
        <f>INSCRITOS_FORM!J44</f>
        <v/>
      </c>
      <c r="K44" s="23">
        <f>INSCRITOS_FORM!K44</f>
        <v/>
      </c>
      <c r="L44" s="23">
        <f>INSCRITOS_FORM!U44</f>
        <v/>
      </c>
      <c r="M44" s="23">
        <f>INSCRITOS_FORM!V44</f>
        <v/>
      </c>
      <c r="N44" s="23">
        <f>INSCRITOS_FORM!W44</f>
        <v/>
      </c>
      <c r="O44" s="23">
        <f>INSCRITOS_FORM!X44</f>
        <v/>
      </c>
      <c r="P44" s="23">
        <f>INSCRITOS_FORM!AB44</f>
        <v/>
      </c>
      <c r="Q44" s="23">
        <f>IF(B44="","",IF(AND(OR(P44="Pagado",P44="Beca",P44="Invitado"),OR(L44="Sí",M44="Sí")),"Sí","No"))</f>
        <v/>
      </c>
      <c r="R44" s="23">
        <f>IF(AND(C44=TORNEO_ACTIVO!$B$3,Q44="Sí"),G44*10000-A44,-1)</f>
        <v/>
      </c>
    </row>
    <row r="45" ht="14.25" customHeight="1" s="72">
      <c r="A45" s="23">
        <f>IF(INSCRITOS_FORM!D45&lt;&gt;"",ROW()-4,"")</f>
        <v/>
      </c>
      <c r="B45" s="23">
        <f>INSCRITOS_FORM!AD45</f>
        <v/>
      </c>
      <c r="C45" s="23">
        <f>INSCRITOS_FORM!T45</f>
        <v/>
      </c>
      <c r="D45" s="23">
        <f>INSCRITOS_FORM!S45</f>
        <v/>
      </c>
      <c r="E45" s="23">
        <f>INSCRITOS_FORM!G45</f>
        <v/>
      </c>
      <c r="F45" s="23">
        <f>INSCRITOS_FORM!L45</f>
        <v/>
      </c>
      <c r="G45" s="23">
        <f t="array" ref="G45">IFERROR(INDEX(CONFIG!$A$22:$A$35,MATCH(F45,CONFIG!$B$22:$B$35,0)),0)</f>
        <v/>
      </c>
      <c r="H45" s="23">
        <f>INSCRITOS_FORM!M45</f>
        <v/>
      </c>
      <c r="I45" s="23">
        <f>INSCRITOS_FORM!O45</f>
        <v/>
      </c>
      <c r="J45" s="23">
        <f>INSCRITOS_FORM!J45</f>
        <v/>
      </c>
      <c r="K45" s="23">
        <f>INSCRITOS_FORM!K45</f>
        <v/>
      </c>
      <c r="L45" s="23">
        <f>INSCRITOS_FORM!U45</f>
        <v/>
      </c>
      <c r="M45" s="23">
        <f>INSCRITOS_FORM!V45</f>
        <v/>
      </c>
      <c r="N45" s="23">
        <f>INSCRITOS_FORM!W45</f>
        <v/>
      </c>
      <c r="O45" s="23">
        <f>INSCRITOS_FORM!X45</f>
        <v/>
      </c>
      <c r="P45" s="23">
        <f>INSCRITOS_FORM!AB45</f>
        <v/>
      </c>
      <c r="Q45" s="23">
        <f>IF(B45="","",IF(AND(OR(P45="Pagado",P45="Beca",P45="Invitado"),OR(L45="Sí",M45="Sí")),"Sí","No"))</f>
        <v/>
      </c>
      <c r="R45" s="23">
        <f>IF(AND(C45=TORNEO_ACTIVO!$B$3,Q45="Sí"),G45*10000-A45,-1)</f>
        <v/>
      </c>
    </row>
    <row r="46" ht="14.25" customHeight="1" s="72">
      <c r="A46" s="23">
        <f>IF(INSCRITOS_FORM!D46&lt;&gt;"",ROW()-4,"")</f>
        <v/>
      </c>
      <c r="B46" s="23">
        <f>INSCRITOS_FORM!AD46</f>
        <v/>
      </c>
      <c r="C46" s="23">
        <f>INSCRITOS_FORM!T46</f>
        <v/>
      </c>
      <c r="D46" s="23">
        <f>INSCRITOS_FORM!S46</f>
        <v/>
      </c>
      <c r="E46" s="23">
        <f>INSCRITOS_FORM!G46</f>
        <v/>
      </c>
      <c r="F46" s="23">
        <f>INSCRITOS_FORM!L46</f>
        <v/>
      </c>
      <c r="G46" s="23">
        <f t="array" ref="G46">IFERROR(INDEX(CONFIG!$A$22:$A$35,MATCH(F46,CONFIG!$B$22:$B$35,0)),0)</f>
        <v/>
      </c>
      <c r="H46" s="23">
        <f>INSCRITOS_FORM!M46</f>
        <v/>
      </c>
      <c r="I46" s="23">
        <f>INSCRITOS_FORM!O46</f>
        <v/>
      </c>
      <c r="J46" s="23">
        <f>INSCRITOS_FORM!J46</f>
        <v/>
      </c>
      <c r="K46" s="23">
        <f>INSCRITOS_FORM!K46</f>
        <v/>
      </c>
      <c r="L46" s="23">
        <f>INSCRITOS_FORM!U46</f>
        <v/>
      </c>
      <c r="M46" s="23">
        <f>INSCRITOS_FORM!V46</f>
        <v/>
      </c>
      <c r="N46" s="23">
        <f>INSCRITOS_FORM!W46</f>
        <v/>
      </c>
      <c r="O46" s="23">
        <f>INSCRITOS_FORM!X46</f>
        <v/>
      </c>
      <c r="P46" s="23">
        <f>INSCRITOS_FORM!AB46</f>
        <v/>
      </c>
      <c r="Q46" s="23">
        <f>IF(B46="","",IF(AND(OR(P46="Pagado",P46="Beca",P46="Invitado"),OR(L46="Sí",M46="Sí")),"Sí","No"))</f>
        <v/>
      </c>
      <c r="R46" s="23">
        <f>IF(AND(C46=TORNEO_ACTIVO!$B$3,Q46="Sí"),G46*10000-A46,-1)</f>
        <v/>
      </c>
    </row>
    <row r="47" ht="14.25" customHeight="1" s="72">
      <c r="A47" s="23">
        <f>IF(INSCRITOS_FORM!D47&lt;&gt;"",ROW()-4,"")</f>
        <v/>
      </c>
      <c r="B47" s="23">
        <f>INSCRITOS_FORM!AD47</f>
        <v/>
      </c>
      <c r="C47" s="23">
        <f>INSCRITOS_FORM!T47</f>
        <v/>
      </c>
      <c r="D47" s="23">
        <f>INSCRITOS_FORM!S47</f>
        <v/>
      </c>
      <c r="E47" s="23">
        <f>INSCRITOS_FORM!G47</f>
        <v/>
      </c>
      <c r="F47" s="23">
        <f>INSCRITOS_FORM!L47</f>
        <v/>
      </c>
      <c r="G47" s="23">
        <f t="array" ref="G47">IFERROR(INDEX(CONFIG!$A$22:$A$35,MATCH(F47,CONFIG!$B$22:$B$35,0)),0)</f>
        <v/>
      </c>
      <c r="H47" s="23">
        <f>INSCRITOS_FORM!M47</f>
        <v/>
      </c>
      <c r="I47" s="23">
        <f>INSCRITOS_FORM!O47</f>
        <v/>
      </c>
      <c r="J47" s="23">
        <f>INSCRITOS_FORM!J47</f>
        <v/>
      </c>
      <c r="K47" s="23">
        <f>INSCRITOS_FORM!K47</f>
        <v/>
      </c>
      <c r="L47" s="23">
        <f>INSCRITOS_FORM!U47</f>
        <v/>
      </c>
      <c r="M47" s="23">
        <f>INSCRITOS_FORM!V47</f>
        <v/>
      </c>
      <c r="N47" s="23">
        <f>INSCRITOS_FORM!W47</f>
        <v/>
      </c>
      <c r="O47" s="23">
        <f>INSCRITOS_FORM!X47</f>
        <v/>
      </c>
      <c r="P47" s="23">
        <f>INSCRITOS_FORM!AB47</f>
        <v/>
      </c>
      <c r="Q47" s="23">
        <f>IF(B47="","",IF(AND(OR(P47="Pagado",P47="Beca",P47="Invitado"),OR(L47="Sí",M47="Sí")),"Sí","No"))</f>
        <v/>
      </c>
      <c r="R47" s="23">
        <f>IF(AND(C47=TORNEO_ACTIVO!$B$3,Q47="Sí"),G47*10000-A47,-1)</f>
        <v/>
      </c>
    </row>
    <row r="48" ht="14.25" customHeight="1" s="72">
      <c r="A48" s="23">
        <f>IF(INSCRITOS_FORM!D48&lt;&gt;"",ROW()-4,"")</f>
        <v/>
      </c>
      <c r="B48" s="23">
        <f>INSCRITOS_FORM!AD48</f>
        <v/>
      </c>
      <c r="C48" s="23">
        <f>INSCRITOS_FORM!T48</f>
        <v/>
      </c>
      <c r="D48" s="23">
        <f>INSCRITOS_FORM!S48</f>
        <v/>
      </c>
      <c r="E48" s="23">
        <f>INSCRITOS_FORM!G48</f>
        <v/>
      </c>
      <c r="F48" s="23">
        <f>INSCRITOS_FORM!L48</f>
        <v/>
      </c>
      <c r="G48" s="23">
        <f t="array" ref="G48">IFERROR(INDEX(CONFIG!$A$22:$A$35,MATCH(F48,CONFIG!$B$22:$B$35,0)),0)</f>
        <v/>
      </c>
      <c r="H48" s="23">
        <f>INSCRITOS_FORM!M48</f>
        <v/>
      </c>
      <c r="I48" s="23">
        <f>INSCRITOS_FORM!O48</f>
        <v/>
      </c>
      <c r="J48" s="23">
        <f>INSCRITOS_FORM!J48</f>
        <v/>
      </c>
      <c r="K48" s="23">
        <f>INSCRITOS_FORM!K48</f>
        <v/>
      </c>
      <c r="L48" s="23">
        <f>INSCRITOS_FORM!U48</f>
        <v/>
      </c>
      <c r="M48" s="23">
        <f>INSCRITOS_FORM!V48</f>
        <v/>
      </c>
      <c r="N48" s="23">
        <f>INSCRITOS_FORM!W48</f>
        <v/>
      </c>
      <c r="O48" s="23">
        <f>INSCRITOS_FORM!X48</f>
        <v/>
      </c>
      <c r="P48" s="23">
        <f>INSCRITOS_FORM!AB48</f>
        <v/>
      </c>
      <c r="Q48" s="23">
        <f>IF(B48="","",IF(AND(OR(P48="Pagado",P48="Beca",P48="Invitado"),OR(L48="Sí",M48="Sí")),"Sí","No"))</f>
        <v/>
      </c>
      <c r="R48" s="23">
        <f>IF(AND(C48=TORNEO_ACTIVO!$B$3,Q48="Sí"),G48*10000-A48,-1)</f>
        <v/>
      </c>
    </row>
    <row r="49" ht="14.25" customHeight="1" s="72">
      <c r="A49" s="23">
        <f>IF(INSCRITOS_FORM!D49&lt;&gt;"",ROW()-4,"")</f>
        <v/>
      </c>
      <c r="B49" s="23">
        <f>INSCRITOS_FORM!AD49</f>
        <v/>
      </c>
      <c r="C49" s="23">
        <f>INSCRITOS_FORM!T49</f>
        <v/>
      </c>
      <c r="D49" s="23">
        <f>INSCRITOS_FORM!S49</f>
        <v/>
      </c>
      <c r="E49" s="23">
        <f>INSCRITOS_FORM!G49</f>
        <v/>
      </c>
      <c r="F49" s="23">
        <f>INSCRITOS_FORM!L49</f>
        <v/>
      </c>
      <c r="G49" s="23">
        <f t="array" ref="G49">IFERROR(INDEX(CONFIG!$A$22:$A$35,MATCH(F49,CONFIG!$B$22:$B$35,0)),0)</f>
        <v/>
      </c>
      <c r="H49" s="23">
        <f>INSCRITOS_FORM!M49</f>
        <v/>
      </c>
      <c r="I49" s="23">
        <f>INSCRITOS_FORM!O49</f>
        <v/>
      </c>
      <c r="J49" s="23">
        <f>INSCRITOS_FORM!J49</f>
        <v/>
      </c>
      <c r="K49" s="23">
        <f>INSCRITOS_FORM!K49</f>
        <v/>
      </c>
      <c r="L49" s="23">
        <f>INSCRITOS_FORM!U49</f>
        <v/>
      </c>
      <c r="M49" s="23">
        <f>INSCRITOS_FORM!V49</f>
        <v/>
      </c>
      <c r="N49" s="23">
        <f>INSCRITOS_FORM!W49</f>
        <v/>
      </c>
      <c r="O49" s="23">
        <f>INSCRITOS_FORM!X49</f>
        <v/>
      </c>
      <c r="P49" s="23">
        <f>INSCRITOS_FORM!AB49</f>
        <v/>
      </c>
      <c r="Q49" s="23">
        <f>IF(B49="","",IF(AND(OR(P49="Pagado",P49="Beca",P49="Invitado"),OR(L49="Sí",M49="Sí")),"Sí","No"))</f>
        <v/>
      </c>
      <c r="R49" s="23">
        <f>IF(AND(C49=TORNEO_ACTIVO!$B$3,Q49="Sí"),G49*10000-A49,-1)</f>
        <v/>
      </c>
    </row>
    <row r="50" ht="14.25" customHeight="1" s="72">
      <c r="A50" s="23">
        <f>IF(INSCRITOS_FORM!D50&lt;&gt;"",ROW()-4,"")</f>
        <v/>
      </c>
      <c r="B50" s="23">
        <f>INSCRITOS_FORM!AD50</f>
        <v/>
      </c>
      <c r="C50" s="23">
        <f>INSCRITOS_FORM!T50</f>
        <v/>
      </c>
      <c r="D50" s="23">
        <f>INSCRITOS_FORM!S50</f>
        <v/>
      </c>
      <c r="E50" s="23">
        <f>INSCRITOS_FORM!G50</f>
        <v/>
      </c>
      <c r="F50" s="23">
        <f>INSCRITOS_FORM!L50</f>
        <v/>
      </c>
      <c r="G50" s="23">
        <f t="array" ref="G50">IFERROR(INDEX(CONFIG!$A$22:$A$35,MATCH(F50,CONFIG!$B$22:$B$35,0)),0)</f>
        <v/>
      </c>
      <c r="H50" s="23">
        <f>INSCRITOS_FORM!M50</f>
        <v/>
      </c>
      <c r="I50" s="23">
        <f>INSCRITOS_FORM!O50</f>
        <v/>
      </c>
      <c r="J50" s="23">
        <f>INSCRITOS_FORM!J50</f>
        <v/>
      </c>
      <c r="K50" s="23">
        <f>INSCRITOS_FORM!K50</f>
        <v/>
      </c>
      <c r="L50" s="23">
        <f>INSCRITOS_FORM!U50</f>
        <v/>
      </c>
      <c r="M50" s="23">
        <f>INSCRITOS_FORM!V50</f>
        <v/>
      </c>
      <c r="N50" s="23">
        <f>INSCRITOS_FORM!W50</f>
        <v/>
      </c>
      <c r="O50" s="23">
        <f>INSCRITOS_FORM!X50</f>
        <v/>
      </c>
      <c r="P50" s="23">
        <f>INSCRITOS_FORM!AB50</f>
        <v/>
      </c>
      <c r="Q50" s="23">
        <f>IF(B50="","",IF(AND(OR(P50="Pagado",P50="Beca",P50="Invitado"),OR(L50="Sí",M50="Sí")),"Sí","No"))</f>
        <v/>
      </c>
      <c r="R50" s="23">
        <f>IF(AND(C50=TORNEO_ACTIVO!$B$3,Q50="Sí"),G50*10000-A50,-1)</f>
        <v/>
      </c>
    </row>
    <row r="51" ht="14.25" customHeight="1" s="72">
      <c r="A51" s="23">
        <f>IF(INSCRITOS_FORM!D51&lt;&gt;"",ROW()-4,"")</f>
        <v/>
      </c>
      <c r="B51" s="23">
        <f>INSCRITOS_FORM!AD51</f>
        <v/>
      </c>
      <c r="C51" s="23">
        <f>INSCRITOS_FORM!T51</f>
        <v/>
      </c>
      <c r="D51" s="23">
        <f>INSCRITOS_FORM!S51</f>
        <v/>
      </c>
      <c r="E51" s="23">
        <f>INSCRITOS_FORM!G51</f>
        <v/>
      </c>
      <c r="F51" s="23">
        <f>INSCRITOS_FORM!L51</f>
        <v/>
      </c>
      <c r="G51" s="23">
        <f t="array" ref="G51">IFERROR(INDEX(CONFIG!$A$22:$A$35,MATCH(F51,CONFIG!$B$22:$B$35,0)),0)</f>
        <v/>
      </c>
      <c r="H51" s="23">
        <f>INSCRITOS_FORM!M51</f>
        <v/>
      </c>
      <c r="I51" s="23">
        <f>INSCRITOS_FORM!O51</f>
        <v/>
      </c>
      <c r="J51" s="23">
        <f>INSCRITOS_FORM!J51</f>
        <v/>
      </c>
      <c r="K51" s="23">
        <f>INSCRITOS_FORM!K51</f>
        <v/>
      </c>
      <c r="L51" s="23">
        <f>INSCRITOS_FORM!U51</f>
        <v/>
      </c>
      <c r="M51" s="23">
        <f>INSCRITOS_FORM!V51</f>
        <v/>
      </c>
      <c r="N51" s="23">
        <f>INSCRITOS_FORM!W51</f>
        <v/>
      </c>
      <c r="O51" s="23">
        <f>INSCRITOS_FORM!X51</f>
        <v/>
      </c>
      <c r="P51" s="23">
        <f>INSCRITOS_FORM!AB51</f>
        <v/>
      </c>
      <c r="Q51" s="23">
        <f>IF(B51="","",IF(AND(OR(P51="Pagado",P51="Beca",P51="Invitado"),OR(L51="Sí",M51="Sí")),"Sí","No"))</f>
        <v/>
      </c>
      <c r="R51" s="23">
        <f>IF(AND(C51=TORNEO_ACTIVO!$B$3,Q51="Sí"),G51*10000-A51,-1)</f>
        <v/>
      </c>
    </row>
    <row r="52" ht="14.25" customHeight="1" s="72">
      <c r="A52" s="23">
        <f>IF(INSCRITOS_FORM!D52&lt;&gt;"",ROW()-4,"")</f>
        <v/>
      </c>
      <c r="B52" s="23">
        <f>INSCRITOS_FORM!AD52</f>
        <v/>
      </c>
      <c r="C52" s="23">
        <f>INSCRITOS_FORM!T52</f>
        <v/>
      </c>
      <c r="D52" s="23">
        <f>INSCRITOS_FORM!S52</f>
        <v/>
      </c>
      <c r="E52" s="23">
        <f>INSCRITOS_FORM!G52</f>
        <v/>
      </c>
      <c r="F52" s="23">
        <f>INSCRITOS_FORM!L52</f>
        <v/>
      </c>
      <c r="G52" s="23">
        <f t="array" ref="G52">IFERROR(INDEX(CONFIG!$A$22:$A$35,MATCH(F52,CONFIG!$B$22:$B$35,0)),0)</f>
        <v/>
      </c>
      <c r="H52" s="23">
        <f>INSCRITOS_FORM!M52</f>
        <v/>
      </c>
      <c r="I52" s="23">
        <f>INSCRITOS_FORM!O52</f>
        <v/>
      </c>
      <c r="J52" s="23">
        <f>INSCRITOS_FORM!J52</f>
        <v/>
      </c>
      <c r="K52" s="23">
        <f>INSCRITOS_FORM!K52</f>
        <v/>
      </c>
      <c r="L52" s="23">
        <f>INSCRITOS_FORM!U52</f>
        <v/>
      </c>
      <c r="M52" s="23">
        <f>INSCRITOS_FORM!V52</f>
        <v/>
      </c>
      <c r="N52" s="23">
        <f>INSCRITOS_FORM!W52</f>
        <v/>
      </c>
      <c r="O52" s="23">
        <f>INSCRITOS_FORM!X52</f>
        <v/>
      </c>
      <c r="P52" s="23">
        <f>INSCRITOS_FORM!AB52</f>
        <v/>
      </c>
      <c r="Q52" s="23">
        <f>IF(B52="","",IF(AND(OR(P52="Pagado",P52="Beca",P52="Invitado"),OR(L52="Sí",M52="Sí")),"Sí","No"))</f>
        <v/>
      </c>
      <c r="R52" s="23">
        <f>IF(AND(C52=TORNEO_ACTIVO!$B$3,Q52="Sí"),G52*10000-A52,-1)</f>
        <v/>
      </c>
    </row>
    <row r="53" ht="14.25" customHeight="1" s="72">
      <c r="A53" s="23">
        <f>IF(INSCRITOS_FORM!D53&lt;&gt;"",ROW()-4,"")</f>
        <v/>
      </c>
      <c r="B53" s="23">
        <f>INSCRITOS_FORM!AD53</f>
        <v/>
      </c>
      <c r="C53" s="23">
        <f>INSCRITOS_FORM!T53</f>
        <v/>
      </c>
      <c r="D53" s="23">
        <f>INSCRITOS_FORM!S53</f>
        <v/>
      </c>
      <c r="E53" s="23">
        <f>INSCRITOS_FORM!G53</f>
        <v/>
      </c>
      <c r="F53" s="23">
        <f>INSCRITOS_FORM!L53</f>
        <v/>
      </c>
      <c r="G53" s="23">
        <f t="array" ref="G53">IFERROR(INDEX(CONFIG!$A$22:$A$35,MATCH(F53,CONFIG!$B$22:$B$35,0)),0)</f>
        <v/>
      </c>
      <c r="H53" s="23">
        <f>INSCRITOS_FORM!M53</f>
        <v/>
      </c>
      <c r="I53" s="23">
        <f>INSCRITOS_FORM!O53</f>
        <v/>
      </c>
      <c r="J53" s="23">
        <f>INSCRITOS_FORM!J53</f>
        <v/>
      </c>
      <c r="K53" s="23">
        <f>INSCRITOS_FORM!K53</f>
        <v/>
      </c>
      <c r="L53" s="23">
        <f>INSCRITOS_FORM!U53</f>
        <v/>
      </c>
      <c r="M53" s="23">
        <f>INSCRITOS_FORM!V53</f>
        <v/>
      </c>
      <c r="N53" s="23">
        <f>INSCRITOS_FORM!W53</f>
        <v/>
      </c>
      <c r="O53" s="23">
        <f>INSCRITOS_FORM!X53</f>
        <v/>
      </c>
      <c r="P53" s="23">
        <f>INSCRITOS_FORM!AB53</f>
        <v/>
      </c>
      <c r="Q53" s="23">
        <f>IF(B53="","",IF(AND(OR(P53="Pagado",P53="Beca",P53="Invitado"),OR(L53="Sí",M53="Sí")),"Sí","No"))</f>
        <v/>
      </c>
      <c r="R53" s="23">
        <f>IF(AND(C53=TORNEO_ACTIVO!$B$3,Q53="Sí"),G53*10000-A53,-1)</f>
        <v/>
      </c>
    </row>
    <row r="54" ht="14.25" customHeight="1" s="72">
      <c r="A54" s="23">
        <f>IF(INSCRITOS_FORM!D54&lt;&gt;"",ROW()-4,"")</f>
        <v/>
      </c>
      <c r="B54" s="23">
        <f>INSCRITOS_FORM!AD54</f>
        <v/>
      </c>
      <c r="C54" s="23">
        <f>INSCRITOS_FORM!T54</f>
        <v/>
      </c>
      <c r="D54" s="23">
        <f>INSCRITOS_FORM!S54</f>
        <v/>
      </c>
      <c r="E54" s="23">
        <f>INSCRITOS_FORM!G54</f>
        <v/>
      </c>
      <c r="F54" s="23">
        <f>INSCRITOS_FORM!L54</f>
        <v/>
      </c>
      <c r="G54" s="23">
        <f t="array" ref="G54">IFERROR(INDEX(CONFIG!$A$22:$A$35,MATCH(F54,CONFIG!$B$22:$B$35,0)),0)</f>
        <v/>
      </c>
      <c r="H54" s="23">
        <f>INSCRITOS_FORM!M54</f>
        <v/>
      </c>
      <c r="I54" s="23">
        <f>INSCRITOS_FORM!O54</f>
        <v/>
      </c>
      <c r="J54" s="23">
        <f>INSCRITOS_FORM!J54</f>
        <v/>
      </c>
      <c r="K54" s="23">
        <f>INSCRITOS_FORM!K54</f>
        <v/>
      </c>
      <c r="L54" s="23">
        <f>INSCRITOS_FORM!U54</f>
        <v/>
      </c>
      <c r="M54" s="23">
        <f>INSCRITOS_FORM!V54</f>
        <v/>
      </c>
      <c r="N54" s="23">
        <f>INSCRITOS_FORM!W54</f>
        <v/>
      </c>
      <c r="O54" s="23">
        <f>INSCRITOS_FORM!X54</f>
        <v/>
      </c>
      <c r="P54" s="23">
        <f>INSCRITOS_FORM!AB54</f>
        <v/>
      </c>
      <c r="Q54" s="23">
        <f>IF(B54="","",IF(AND(OR(P54="Pagado",P54="Beca",P54="Invitado"),OR(L54="Sí",M54="Sí")),"Sí","No"))</f>
        <v/>
      </c>
      <c r="R54" s="23">
        <f>IF(AND(C54=TORNEO_ACTIVO!$B$3,Q54="Sí"),G54*10000-A54,-1)</f>
        <v/>
      </c>
    </row>
    <row r="55" ht="14.25" customHeight="1" s="72">
      <c r="A55" s="23">
        <f>IF(INSCRITOS_FORM!D55&lt;&gt;"",ROW()-4,"")</f>
        <v/>
      </c>
      <c r="B55" s="23">
        <f>INSCRITOS_FORM!AD55</f>
        <v/>
      </c>
      <c r="C55" s="23">
        <f>INSCRITOS_FORM!T55</f>
        <v/>
      </c>
      <c r="D55" s="23">
        <f>INSCRITOS_FORM!S55</f>
        <v/>
      </c>
      <c r="E55" s="23">
        <f>INSCRITOS_FORM!G55</f>
        <v/>
      </c>
      <c r="F55" s="23">
        <f>INSCRITOS_FORM!L55</f>
        <v/>
      </c>
      <c r="G55" s="23">
        <f t="array" ref="G55">IFERROR(INDEX(CONFIG!$A$22:$A$35,MATCH(F55,CONFIG!$B$22:$B$35,0)),0)</f>
        <v/>
      </c>
      <c r="H55" s="23">
        <f>INSCRITOS_FORM!M55</f>
        <v/>
      </c>
      <c r="I55" s="23">
        <f>INSCRITOS_FORM!O55</f>
        <v/>
      </c>
      <c r="J55" s="23">
        <f>INSCRITOS_FORM!J55</f>
        <v/>
      </c>
      <c r="K55" s="23">
        <f>INSCRITOS_FORM!K55</f>
        <v/>
      </c>
      <c r="L55" s="23">
        <f>INSCRITOS_FORM!U55</f>
        <v/>
      </c>
      <c r="M55" s="23">
        <f>INSCRITOS_FORM!V55</f>
        <v/>
      </c>
      <c r="N55" s="23">
        <f>INSCRITOS_FORM!W55</f>
        <v/>
      </c>
      <c r="O55" s="23">
        <f>INSCRITOS_FORM!X55</f>
        <v/>
      </c>
      <c r="P55" s="23">
        <f>INSCRITOS_FORM!AB55</f>
        <v/>
      </c>
      <c r="Q55" s="23">
        <f>IF(B55="","",IF(AND(OR(P55="Pagado",P55="Beca",P55="Invitado"),OR(L55="Sí",M55="Sí")),"Sí","No"))</f>
        <v/>
      </c>
      <c r="R55" s="23">
        <f>IF(AND(C55=TORNEO_ACTIVO!$B$3,Q55="Sí"),G55*10000-A55,-1)</f>
        <v/>
      </c>
    </row>
    <row r="56" ht="14.25" customHeight="1" s="72">
      <c r="A56" s="23">
        <f>IF(INSCRITOS_FORM!D56&lt;&gt;"",ROW()-4,"")</f>
        <v/>
      </c>
      <c r="B56" s="23">
        <f>INSCRITOS_FORM!AD56</f>
        <v/>
      </c>
      <c r="C56" s="23">
        <f>INSCRITOS_FORM!T56</f>
        <v/>
      </c>
      <c r="D56" s="23">
        <f>INSCRITOS_FORM!S56</f>
        <v/>
      </c>
      <c r="E56" s="23">
        <f>INSCRITOS_FORM!G56</f>
        <v/>
      </c>
      <c r="F56" s="23">
        <f>INSCRITOS_FORM!L56</f>
        <v/>
      </c>
      <c r="G56" s="23">
        <f t="array" ref="G56">IFERROR(INDEX(CONFIG!$A$22:$A$35,MATCH(F56,CONFIG!$B$22:$B$35,0)),0)</f>
        <v/>
      </c>
      <c r="H56" s="23">
        <f>INSCRITOS_FORM!M56</f>
        <v/>
      </c>
      <c r="I56" s="23">
        <f>INSCRITOS_FORM!O56</f>
        <v/>
      </c>
      <c r="J56" s="23">
        <f>INSCRITOS_FORM!J56</f>
        <v/>
      </c>
      <c r="K56" s="23">
        <f>INSCRITOS_FORM!K56</f>
        <v/>
      </c>
      <c r="L56" s="23">
        <f>INSCRITOS_FORM!U56</f>
        <v/>
      </c>
      <c r="M56" s="23">
        <f>INSCRITOS_FORM!V56</f>
        <v/>
      </c>
      <c r="N56" s="23">
        <f>INSCRITOS_FORM!W56</f>
        <v/>
      </c>
      <c r="O56" s="23">
        <f>INSCRITOS_FORM!X56</f>
        <v/>
      </c>
      <c r="P56" s="23">
        <f>INSCRITOS_FORM!AB56</f>
        <v/>
      </c>
      <c r="Q56" s="23">
        <f>IF(B56="","",IF(AND(OR(P56="Pagado",P56="Beca",P56="Invitado"),OR(L56="Sí",M56="Sí")),"Sí","No"))</f>
        <v/>
      </c>
      <c r="R56" s="23">
        <f>IF(AND(C56=TORNEO_ACTIVO!$B$3,Q56="Sí"),G56*10000-A56,-1)</f>
        <v/>
      </c>
    </row>
    <row r="57" ht="14.25" customHeight="1" s="72">
      <c r="A57" s="23">
        <f>IF(INSCRITOS_FORM!D57&lt;&gt;"",ROW()-4,"")</f>
        <v/>
      </c>
      <c r="B57" s="23">
        <f>INSCRITOS_FORM!AD57</f>
        <v/>
      </c>
      <c r="C57" s="23">
        <f>INSCRITOS_FORM!T57</f>
        <v/>
      </c>
      <c r="D57" s="23">
        <f>INSCRITOS_FORM!S57</f>
        <v/>
      </c>
      <c r="E57" s="23">
        <f>INSCRITOS_FORM!G57</f>
        <v/>
      </c>
      <c r="F57" s="23">
        <f>INSCRITOS_FORM!L57</f>
        <v/>
      </c>
      <c r="G57" s="23">
        <f t="array" ref="G57">IFERROR(INDEX(CONFIG!$A$22:$A$35,MATCH(F57,CONFIG!$B$22:$B$35,0)),0)</f>
        <v/>
      </c>
      <c r="H57" s="23">
        <f>INSCRITOS_FORM!M57</f>
        <v/>
      </c>
      <c r="I57" s="23">
        <f>INSCRITOS_FORM!O57</f>
        <v/>
      </c>
      <c r="J57" s="23">
        <f>INSCRITOS_FORM!J57</f>
        <v/>
      </c>
      <c r="K57" s="23">
        <f>INSCRITOS_FORM!K57</f>
        <v/>
      </c>
      <c r="L57" s="23">
        <f>INSCRITOS_FORM!U57</f>
        <v/>
      </c>
      <c r="M57" s="23">
        <f>INSCRITOS_FORM!V57</f>
        <v/>
      </c>
      <c r="N57" s="23">
        <f>INSCRITOS_FORM!W57</f>
        <v/>
      </c>
      <c r="O57" s="23">
        <f>INSCRITOS_FORM!X57</f>
        <v/>
      </c>
      <c r="P57" s="23">
        <f>INSCRITOS_FORM!AB57</f>
        <v/>
      </c>
      <c r="Q57" s="23">
        <f>IF(B57="","",IF(AND(OR(P57="Pagado",P57="Beca",P57="Invitado"),OR(L57="Sí",M57="Sí")),"Sí","No"))</f>
        <v/>
      </c>
      <c r="R57" s="23">
        <f>IF(AND(C57=TORNEO_ACTIVO!$B$3,Q57="Sí"),G57*10000-A57,-1)</f>
        <v/>
      </c>
    </row>
    <row r="58" ht="14.25" customHeight="1" s="72">
      <c r="A58" s="23">
        <f>IF(INSCRITOS_FORM!D58&lt;&gt;"",ROW()-4,"")</f>
        <v/>
      </c>
      <c r="B58" s="23">
        <f>INSCRITOS_FORM!AD58</f>
        <v/>
      </c>
      <c r="C58" s="23">
        <f>INSCRITOS_FORM!T58</f>
        <v/>
      </c>
      <c r="D58" s="23">
        <f>INSCRITOS_FORM!S58</f>
        <v/>
      </c>
      <c r="E58" s="23">
        <f>INSCRITOS_FORM!G58</f>
        <v/>
      </c>
      <c r="F58" s="23">
        <f>INSCRITOS_FORM!L58</f>
        <v/>
      </c>
      <c r="G58" s="23">
        <f t="array" ref="G58">IFERROR(INDEX(CONFIG!$A$22:$A$35,MATCH(F58,CONFIG!$B$22:$B$35,0)),0)</f>
        <v/>
      </c>
      <c r="H58" s="23">
        <f>INSCRITOS_FORM!M58</f>
        <v/>
      </c>
      <c r="I58" s="23">
        <f>INSCRITOS_FORM!O58</f>
        <v/>
      </c>
      <c r="J58" s="23">
        <f>INSCRITOS_FORM!J58</f>
        <v/>
      </c>
      <c r="K58" s="23">
        <f>INSCRITOS_FORM!K58</f>
        <v/>
      </c>
      <c r="L58" s="23">
        <f>INSCRITOS_FORM!U58</f>
        <v/>
      </c>
      <c r="M58" s="23">
        <f>INSCRITOS_FORM!V58</f>
        <v/>
      </c>
      <c r="N58" s="23">
        <f>INSCRITOS_FORM!W58</f>
        <v/>
      </c>
      <c r="O58" s="23">
        <f>INSCRITOS_FORM!X58</f>
        <v/>
      </c>
      <c r="P58" s="23">
        <f>INSCRITOS_FORM!AB58</f>
        <v/>
      </c>
      <c r="Q58" s="23">
        <f>IF(B58="","",IF(AND(OR(P58="Pagado",P58="Beca",P58="Invitado"),OR(L58="Sí",M58="Sí")),"Sí","No"))</f>
        <v/>
      </c>
      <c r="R58" s="23">
        <f>IF(AND(C58=TORNEO_ACTIVO!$B$3,Q58="Sí"),G58*10000-A58,-1)</f>
        <v/>
      </c>
    </row>
    <row r="59" ht="14.25" customHeight="1" s="72">
      <c r="A59" s="23">
        <f>IF(INSCRITOS_FORM!D59&lt;&gt;"",ROW()-4,"")</f>
        <v/>
      </c>
      <c r="B59" s="23">
        <f>INSCRITOS_FORM!AD59</f>
        <v/>
      </c>
      <c r="C59" s="23">
        <f>INSCRITOS_FORM!T59</f>
        <v/>
      </c>
      <c r="D59" s="23">
        <f>INSCRITOS_FORM!S59</f>
        <v/>
      </c>
      <c r="E59" s="23">
        <f>INSCRITOS_FORM!G59</f>
        <v/>
      </c>
      <c r="F59" s="23">
        <f>INSCRITOS_FORM!L59</f>
        <v/>
      </c>
      <c r="G59" s="23">
        <f t="array" ref="G59">IFERROR(INDEX(CONFIG!$A$22:$A$35,MATCH(F59,CONFIG!$B$22:$B$35,0)),0)</f>
        <v/>
      </c>
      <c r="H59" s="23">
        <f>INSCRITOS_FORM!M59</f>
        <v/>
      </c>
      <c r="I59" s="23">
        <f>INSCRITOS_FORM!O59</f>
        <v/>
      </c>
      <c r="J59" s="23">
        <f>INSCRITOS_FORM!J59</f>
        <v/>
      </c>
      <c r="K59" s="23">
        <f>INSCRITOS_FORM!K59</f>
        <v/>
      </c>
      <c r="L59" s="23">
        <f>INSCRITOS_FORM!U59</f>
        <v/>
      </c>
      <c r="M59" s="23">
        <f>INSCRITOS_FORM!V59</f>
        <v/>
      </c>
      <c r="N59" s="23">
        <f>INSCRITOS_FORM!W59</f>
        <v/>
      </c>
      <c r="O59" s="23">
        <f>INSCRITOS_FORM!X59</f>
        <v/>
      </c>
      <c r="P59" s="23">
        <f>INSCRITOS_FORM!AB59</f>
        <v/>
      </c>
      <c r="Q59" s="23">
        <f>IF(B59="","",IF(AND(OR(P59="Pagado",P59="Beca",P59="Invitado"),OR(L59="Sí",M59="Sí")),"Sí","No"))</f>
        <v/>
      </c>
      <c r="R59" s="23">
        <f>IF(AND(C59=TORNEO_ACTIVO!$B$3,Q59="Sí"),G59*10000-A59,-1)</f>
        <v/>
      </c>
    </row>
    <row r="60" ht="14.25" customHeight="1" s="72">
      <c r="A60" s="23">
        <f>IF(INSCRITOS_FORM!D60&lt;&gt;"",ROW()-4,"")</f>
        <v/>
      </c>
      <c r="B60" s="23">
        <f>INSCRITOS_FORM!AD60</f>
        <v/>
      </c>
      <c r="C60" s="23">
        <f>INSCRITOS_FORM!T60</f>
        <v/>
      </c>
      <c r="D60" s="23">
        <f>INSCRITOS_FORM!S60</f>
        <v/>
      </c>
      <c r="E60" s="23">
        <f>INSCRITOS_FORM!G60</f>
        <v/>
      </c>
      <c r="F60" s="23">
        <f>INSCRITOS_FORM!L60</f>
        <v/>
      </c>
      <c r="G60" s="23">
        <f t="array" ref="G60">IFERROR(INDEX(CONFIG!$A$22:$A$35,MATCH(F60,CONFIG!$B$22:$B$35,0)),0)</f>
        <v/>
      </c>
      <c r="H60" s="23">
        <f>INSCRITOS_FORM!M60</f>
        <v/>
      </c>
      <c r="I60" s="23">
        <f>INSCRITOS_FORM!O60</f>
        <v/>
      </c>
      <c r="J60" s="23">
        <f>INSCRITOS_FORM!J60</f>
        <v/>
      </c>
      <c r="K60" s="23">
        <f>INSCRITOS_FORM!K60</f>
        <v/>
      </c>
      <c r="L60" s="23">
        <f>INSCRITOS_FORM!U60</f>
        <v/>
      </c>
      <c r="M60" s="23">
        <f>INSCRITOS_FORM!V60</f>
        <v/>
      </c>
      <c r="N60" s="23">
        <f>INSCRITOS_FORM!W60</f>
        <v/>
      </c>
      <c r="O60" s="23">
        <f>INSCRITOS_FORM!X60</f>
        <v/>
      </c>
      <c r="P60" s="23">
        <f>INSCRITOS_FORM!AB60</f>
        <v/>
      </c>
      <c r="Q60" s="23">
        <f>IF(B60="","",IF(AND(OR(P60="Pagado",P60="Beca",P60="Invitado"),OR(L60="Sí",M60="Sí")),"Sí","No"))</f>
        <v/>
      </c>
      <c r="R60" s="23">
        <f>IF(AND(C60=TORNEO_ACTIVO!$B$3,Q60="Sí"),G60*10000-A60,-1)</f>
        <v/>
      </c>
    </row>
    <row r="61" ht="14.25" customHeight="1" s="72">
      <c r="A61" s="23">
        <f>IF(INSCRITOS_FORM!D61&lt;&gt;"",ROW()-4,"")</f>
        <v/>
      </c>
      <c r="B61" s="23">
        <f>INSCRITOS_FORM!AD61</f>
        <v/>
      </c>
      <c r="C61" s="23">
        <f>INSCRITOS_FORM!T61</f>
        <v/>
      </c>
      <c r="D61" s="23">
        <f>INSCRITOS_FORM!S61</f>
        <v/>
      </c>
      <c r="E61" s="23">
        <f>INSCRITOS_FORM!G61</f>
        <v/>
      </c>
      <c r="F61" s="23">
        <f>INSCRITOS_FORM!L61</f>
        <v/>
      </c>
      <c r="G61" s="23">
        <f t="array" ref="G61">IFERROR(INDEX(CONFIG!$A$22:$A$35,MATCH(F61,CONFIG!$B$22:$B$35,0)),0)</f>
        <v/>
      </c>
      <c r="H61" s="23">
        <f>INSCRITOS_FORM!M61</f>
        <v/>
      </c>
      <c r="I61" s="23">
        <f>INSCRITOS_FORM!O61</f>
        <v/>
      </c>
      <c r="J61" s="23">
        <f>INSCRITOS_FORM!J61</f>
        <v/>
      </c>
      <c r="K61" s="23">
        <f>INSCRITOS_FORM!K61</f>
        <v/>
      </c>
      <c r="L61" s="23">
        <f>INSCRITOS_FORM!U61</f>
        <v/>
      </c>
      <c r="M61" s="23">
        <f>INSCRITOS_FORM!V61</f>
        <v/>
      </c>
      <c r="N61" s="23">
        <f>INSCRITOS_FORM!W61</f>
        <v/>
      </c>
      <c r="O61" s="23">
        <f>INSCRITOS_FORM!X61</f>
        <v/>
      </c>
      <c r="P61" s="23">
        <f>INSCRITOS_FORM!AB61</f>
        <v/>
      </c>
      <c r="Q61" s="23">
        <f>IF(B61="","",IF(AND(OR(P61="Pagado",P61="Beca",P61="Invitado"),OR(L61="Sí",M61="Sí")),"Sí","No"))</f>
        <v/>
      </c>
      <c r="R61" s="23">
        <f>IF(AND(C61=TORNEO_ACTIVO!$B$3,Q61="Sí"),G61*10000-A61,-1)</f>
        <v/>
      </c>
    </row>
    <row r="62" ht="14.25" customHeight="1" s="72">
      <c r="A62" s="23">
        <f>IF(INSCRITOS_FORM!D62&lt;&gt;"",ROW()-4,"")</f>
        <v/>
      </c>
      <c r="B62" s="23">
        <f>INSCRITOS_FORM!AD62</f>
        <v/>
      </c>
      <c r="C62" s="23">
        <f>INSCRITOS_FORM!T62</f>
        <v/>
      </c>
      <c r="D62" s="23">
        <f>INSCRITOS_FORM!S62</f>
        <v/>
      </c>
      <c r="E62" s="23">
        <f>INSCRITOS_FORM!G62</f>
        <v/>
      </c>
      <c r="F62" s="23">
        <f>INSCRITOS_FORM!L62</f>
        <v/>
      </c>
      <c r="G62" s="23">
        <f t="array" ref="G62">IFERROR(INDEX(CONFIG!$A$22:$A$35,MATCH(F62,CONFIG!$B$22:$B$35,0)),0)</f>
        <v/>
      </c>
      <c r="H62" s="23">
        <f>INSCRITOS_FORM!M62</f>
        <v/>
      </c>
      <c r="I62" s="23">
        <f>INSCRITOS_FORM!O62</f>
        <v/>
      </c>
      <c r="J62" s="23">
        <f>INSCRITOS_FORM!J62</f>
        <v/>
      </c>
      <c r="K62" s="23">
        <f>INSCRITOS_FORM!K62</f>
        <v/>
      </c>
      <c r="L62" s="23">
        <f>INSCRITOS_FORM!U62</f>
        <v/>
      </c>
      <c r="M62" s="23">
        <f>INSCRITOS_FORM!V62</f>
        <v/>
      </c>
      <c r="N62" s="23">
        <f>INSCRITOS_FORM!W62</f>
        <v/>
      </c>
      <c r="O62" s="23">
        <f>INSCRITOS_FORM!X62</f>
        <v/>
      </c>
      <c r="P62" s="23">
        <f>INSCRITOS_FORM!AB62</f>
        <v/>
      </c>
      <c r="Q62" s="23">
        <f>IF(B62="","",IF(AND(OR(P62="Pagado",P62="Beca",P62="Invitado"),OR(L62="Sí",M62="Sí")),"Sí","No"))</f>
        <v/>
      </c>
      <c r="R62" s="23">
        <f>IF(AND(C62=TORNEO_ACTIVO!$B$3,Q62="Sí"),G62*10000-A62,-1)</f>
        <v/>
      </c>
    </row>
    <row r="63" ht="14.25" customHeight="1" s="72">
      <c r="A63" s="23">
        <f>IF(INSCRITOS_FORM!D63&lt;&gt;"",ROW()-4,"")</f>
        <v/>
      </c>
      <c r="B63" s="23">
        <f>INSCRITOS_FORM!AD63</f>
        <v/>
      </c>
      <c r="C63" s="23">
        <f>INSCRITOS_FORM!T63</f>
        <v/>
      </c>
      <c r="D63" s="23">
        <f>INSCRITOS_FORM!S63</f>
        <v/>
      </c>
      <c r="E63" s="23">
        <f>INSCRITOS_FORM!G63</f>
        <v/>
      </c>
      <c r="F63" s="23">
        <f>INSCRITOS_FORM!L63</f>
        <v/>
      </c>
      <c r="G63" s="23">
        <f t="array" ref="G63">IFERROR(INDEX(CONFIG!$A$22:$A$35,MATCH(F63,CONFIG!$B$22:$B$35,0)),0)</f>
        <v/>
      </c>
      <c r="H63" s="23">
        <f>INSCRITOS_FORM!M63</f>
        <v/>
      </c>
      <c r="I63" s="23">
        <f>INSCRITOS_FORM!O63</f>
        <v/>
      </c>
      <c r="J63" s="23">
        <f>INSCRITOS_FORM!J63</f>
        <v/>
      </c>
      <c r="K63" s="23">
        <f>INSCRITOS_FORM!K63</f>
        <v/>
      </c>
      <c r="L63" s="23">
        <f>INSCRITOS_FORM!U63</f>
        <v/>
      </c>
      <c r="M63" s="23">
        <f>INSCRITOS_FORM!V63</f>
        <v/>
      </c>
      <c r="N63" s="23">
        <f>INSCRITOS_FORM!W63</f>
        <v/>
      </c>
      <c r="O63" s="23">
        <f>INSCRITOS_FORM!X63</f>
        <v/>
      </c>
      <c r="P63" s="23">
        <f>INSCRITOS_FORM!AB63</f>
        <v/>
      </c>
      <c r="Q63" s="23">
        <f>IF(B63="","",IF(AND(OR(P63="Pagado",P63="Beca",P63="Invitado"),OR(L63="Sí",M63="Sí")),"Sí","No"))</f>
        <v/>
      </c>
      <c r="R63" s="23">
        <f>IF(AND(C63=TORNEO_ACTIVO!$B$3,Q63="Sí"),G63*10000-A63,-1)</f>
        <v/>
      </c>
    </row>
    <row r="64" ht="14.25" customHeight="1" s="72">
      <c r="A64" s="23">
        <f>IF(INSCRITOS_FORM!D64&lt;&gt;"",ROW()-4,"")</f>
        <v/>
      </c>
      <c r="B64" s="23">
        <f>INSCRITOS_FORM!AD64</f>
        <v/>
      </c>
      <c r="C64" s="23">
        <f>INSCRITOS_FORM!T64</f>
        <v/>
      </c>
      <c r="D64" s="23">
        <f>INSCRITOS_FORM!S64</f>
        <v/>
      </c>
      <c r="E64" s="23">
        <f>INSCRITOS_FORM!G64</f>
        <v/>
      </c>
      <c r="F64" s="23">
        <f>INSCRITOS_FORM!L64</f>
        <v/>
      </c>
      <c r="G64" s="23">
        <f t="array" ref="G64">IFERROR(INDEX(CONFIG!$A$22:$A$35,MATCH(F64,CONFIG!$B$22:$B$35,0)),0)</f>
        <v/>
      </c>
      <c r="H64" s="23">
        <f>INSCRITOS_FORM!M64</f>
        <v/>
      </c>
      <c r="I64" s="23">
        <f>INSCRITOS_FORM!O64</f>
        <v/>
      </c>
      <c r="J64" s="23">
        <f>INSCRITOS_FORM!J64</f>
        <v/>
      </c>
      <c r="K64" s="23">
        <f>INSCRITOS_FORM!K64</f>
        <v/>
      </c>
      <c r="L64" s="23">
        <f>INSCRITOS_FORM!U64</f>
        <v/>
      </c>
      <c r="M64" s="23">
        <f>INSCRITOS_FORM!V64</f>
        <v/>
      </c>
      <c r="N64" s="23">
        <f>INSCRITOS_FORM!W64</f>
        <v/>
      </c>
      <c r="O64" s="23">
        <f>INSCRITOS_FORM!X64</f>
        <v/>
      </c>
      <c r="P64" s="23">
        <f>INSCRITOS_FORM!AB64</f>
        <v/>
      </c>
      <c r="Q64" s="23">
        <f>IF(B64="","",IF(AND(OR(P64="Pagado",P64="Beca",P64="Invitado"),OR(L64="Sí",M64="Sí")),"Sí","No"))</f>
        <v/>
      </c>
      <c r="R64" s="23">
        <f>IF(AND(C64=TORNEO_ACTIVO!$B$3,Q64="Sí"),G64*10000-A64,-1)</f>
        <v/>
      </c>
    </row>
    <row r="65" ht="14.25" customHeight="1" s="72">
      <c r="A65" s="23">
        <f>IF(INSCRITOS_FORM!D65&lt;&gt;"",ROW()-4,"")</f>
        <v/>
      </c>
      <c r="B65" s="23">
        <f>INSCRITOS_FORM!AD65</f>
        <v/>
      </c>
      <c r="C65" s="23">
        <f>INSCRITOS_FORM!T65</f>
        <v/>
      </c>
      <c r="D65" s="23">
        <f>INSCRITOS_FORM!S65</f>
        <v/>
      </c>
      <c r="E65" s="23">
        <f>INSCRITOS_FORM!G65</f>
        <v/>
      </c>
      <c r="F65" s="23">
        <f>INSCRITOS_FORM!L65</f>
        <v/>
      </c>
      <c r="G65" s="23">
        <f t="array" ref="G65">IFERROR(INDEX(CONFIG!$A$22:$A$35,MATCH(F65,CONFIG!$B$22:$B$35,0)),0)</f>
        <v/>
      </c>
      <c r="H65" s="23">
        <f>INSCRITOS_FORM!M65</f>
        <v/>
      </c>
      <c r="I65" s="23">
        <f>INSCRITOS_FORM!O65</f>
        <v/>
      </c>
      <c r="J65" s="23">
        <f>INSCRITOS_FORM!J65</f>
        <v/>
      </c>
      <c r="K65" s="23">
        <f>INSCRITOS_FORM!K65</f>
        <v/>
      </c>
      <c r="L65" s="23">
        <f>INSCRITOS_FORM!U65</f>
        <v/>
      </c>
      <c r="M65" s="23">
        <f>INSCRITOS_FORM!V65</f>
        <v/>
      </c>
      <c r="N65" s="23">
        <f>INSCRITOS_FORM!W65</f>
        <v/>
      </c>
      <c r="O65" s="23">
        <f>INSCRITOS_FORM!X65</f>
        <v/>
      </c>
      <c r="P65" s="23">
        <f>INSCRITOS_FORM!AB65</f>
        <v/>
      </c>
      <c r="Q65" s="23">
        <f>IF(B65="","",IF(AND(OR(P65="Pagado",P65="Beca",P65="Invitado"),OR(L65="Sí",M65="Sí")),"Sí","No"))</f>
        <v/>
      </c>
      <c r="R65" s="23">
        <f>IF(AND(C65=TORNEO_ACTIVO!$B$3,Q65="Sí"),G65*10000-A65,-1)</f>
        <v/>
      </c>
    </row>
    <row r="66" ht="14.25" customHeight="1" s="72">
      <c r="A66" s="23">
        <f>IF(INSCRITOS_FORM!D66&lt;&gt;"",ROW()-4,"")</f>
        <v/>
      </c>
      <c r="B66" s="23">
        <f>INSCRITOS_FORM!AD66</f>
        <v/>
      </c>
      <c r="C66" s="23">
        <f>INSCRITOS_FORM!T66</f>
        <v/>
      </c>
      <c r="D66" s="23">
        <f>INSCRITOS_FORM!S66</f>
        <v/>
      </c>
      <c r="E66" s="23">
        <f>INSCRITOS_FORM!G66</f>
        <v/>
      </c>
      <c r="F66" s="23">
        <f>INSCRITOS_FORM!L66</f>
        <v/>
      </c>
      <c r="G66" s="23">
        <f t="array" ref="G66">IFERROR(INDEX(CONFIG!$A$22:$A$35,MATCH(F66,CONFIG!$B$22:$B$35,0)),0)</f>
        <v/>
      </c>
      <c r="H66" s="23">
        <f>INSCRITOS_FORM!M66</f>
        <v/>
      </c>
      <c r="I66" s="23">
        <f>INSCRITOS_FORM!O66</f>
        <v/>
      </c>
      <c r="J66" s="23">
        <f>INSCRITOS_FORM!J66</f>
        <v/>
      </c>
      <c r="K66" s="23">
        <f>INSCRITOS_FORM!K66</f>
        <v/>
      </c>
      <c r="L66" s="23">
        <f>INSCRITOS_FORM!U66</f>
        <v/>
      </c>
      <c r="M66" s="23">
        <f>INSCRITOS_FORM!V66</f>
        <v/>
      </c>
      <c r="N66" s="23">
        <f>INSCRITOS_FORM!W66</f>
        <v/>
      </c>
      <c r="O66" s="23">
        <f>INSCRITOS_FORM!X66</f>
        <v/>
      </c>
      <c r="P66" s="23">
        <f>INSCRITOS_FORM!AB66</f>
        <v/>
      </c>
      <c r="Q66" s="23">
        <f>IF(B66="","",IF(AND(OR(P66="Pagado",P66="Beca",P66="Invitado"),OR(L66="Sí",M66="Sí")),"Sí","No"))</f>
        <v/>
      </c>
      <c r="R66" s="23">
        <f>IF(AND(C66=TORNEO_ACTIVO!$B$3,Q66="Sí"),G66*10000-A66,-1)</f>
        <v/>
      </c>
    </row>
    <row r="67" ht="14.25" customHeight="1" s="72">
      <c r="A67" s="23">
        <f>IF(INSCRITOS_FORM!D67&lt;&gt;"",ROW()-4,"")</f>
        <v/>
      </c>
      <c r="B67" s="23">
        <f>INSCRITOS_FORM!AD67</f>
        <v/>
      </c>
      <c r="C67" s="23">
        <f>INSCRITOS_FORM!T67</f>
        <v/>
      </c>
      <c r="D67" s="23">
        <f>INSCRITOS_FORM!S67</f>
        <v/>
      </c>
      <c r="E67" s="23">
        <f>INSCRITOS_FORM!G67</f>
        <v/>
      </c>
      <c r="F67" s="23">
        <f>INSCRITOS_FORM!L67</f>
        <v/>
      </c>
      <c r="G67" s="23">
        <f t="array" ref="G67">IFERROR(INDEX(CONFIG!$A$22:$A$35,MATCH(F67,CONFIG!$B$22:$B$35,0)),0)</f>
        <v/>
      </c>
      <c r="H67" s="23">
        <f>INSCRITOS_FORM!M67</f>
        <v/>
      </c>
      <c r="I67" s="23">
        <f>INSCRITOS_FORM!O67</f>
        <v/>
      </c>
      <c r="J67" s="23">
        <f>INSCRITOS_FORM!J67</f>
        <v/>
      </c>
      <c r="K67" s="23">
        <f>INSCRITOS_FORM!K67</f>
        <v/>
      </c>
      <c r="L67" s="23">
        <f>INSCRITOS_FORM!U67</f>
        <v/>
      </c>
      <c r="M67" s="23">
        <f>INSCRITOS_FORM!V67</f>
        <v/>
      </c>
      <c r="N67" s="23">
        <f>INSCRITOS_FORM!W67</f>
        <v/>
      </c>
      <c r="O67" s="23">
        <f>INSCRITOS_FORM!X67</f>
        <v/>
      </c>
      <c r="P67" s="23">
        <f>INSCRITOS_FORM!AB67</f>
        <v/>
      </c>
      <c r="Q67" s="23">
        <f>IF(B67="","",IF(AND(OR(P67="Pagado",P67="Beca",P67="Invitado"),OR(L67="Sí",M67="Sí")),"Sí","No"))</f>
        <v/>
      </c>
      <c r="R67" s="23">
        <f>IF(AND(C67=TORNEO_ACTIVO!$B$3,Q67="Sí"),G67*10000-A67,-1)</f>
        <v/>
      </c>
    </row>
    <row r="68" ht="14.25" customHeight="1" s="72">
      <c r="A68" s="23">
        <f>IF(INSCRITOS_FORM!D68&lt;&gt;"",ROW()-4,"")</f>
        <v/>
      </c>
      <c r="B68" s="23">
        <f>INSCRITOS_FORM!AD68</f>
        <v/>
      </c>
      <c r="C68" s="23">
        <f>INSCRITOS_FORM!T68</f>
        <v/>
      </c>
      <c r="D68" s="23">
        <f>INSCRITOS_FORM!S68</f>
        <v/>
      </c>
      <c r="E68" s="23">
        <f>INSCRITOS_FORM!G68</f>
        <v/>
      </c>
      <c r="F68" s="23">
        <f>INSCRITOS_FORM!L68</f>
        <v/>
      </c>
      <c r="G68" s="23">
        <f t="array" ref="G68">IFERROR(INDEX(CONFIG!$A$22:$A$35,MATCH(F68,CONFIG!$B$22:$B$35,0)),0)</f>
        <v/>
      </c>
      <c r="H68" s="23">
        <f>INSCRITOS_FORM!M68</f>
        <v/>
      </c>
      <c r="I68" s="23">
        <f>INSCRITOS_FORM!O68</f>
        <v/>
      </c>
      <c r="J68" s="23">
        <f>INSCRITOS_FORM!J68</f>
        <v/>
      </c>
      <c r="K68" s="23">
        <f>INSCRITOS_FORM!K68</f>
        <v/>
      </c>
      <c r="L68" s="23">
        <f>INSCRITOS_FORM!U68</f>
        <v/>
      </c>
      <c r="M68" s="23">
        <f>INSCRITOS_FORM!V68</f>
        <v/>
      </c>
      <c r="N68" s="23">
        <f>INSCRITOS_FORM!W68</f>
        <v/>
      </c>
      <c r="O68" s="23">
        <f>INSCRITOS_FORM!X68</f>
        <v/>
      </c>
      <c r="P68" s="23">
        <f>INSCRITOS_FORM!AB68</f>
        <v/>
      </c>
      <c r="Q68" s="23">
        <f>IF(B68="","",IF(AND(OR(P68="Pagado",P68="Beca",P68="Invitado"),OR(L68="Sí",M68="Sí")),"Sí","No"))</f>
        <v/>
      </c>
      <c r="R68" s="23">
        <f>IF(AND(C68=TORNEO_ACTIVO!$B$3,Q68="Sí"),G68*10000-A68,-1)</f>
        <v/>
      </c>
    </row>
    <row r="69" ht="14.25" customHeight="1" s="72">
      <c r="A69" s="23">
        <f>IF(INSCRITOS_FORM!D69&lt;&gt;"",ROW()-4,"")</f>
        <v/>
      </c>
      <c r="B69" s="23">
        <f>INSCRITOS_FORM!AD69</f>
        <v/>
      </c>
      <c r="C69" s="23">
        <f>INSCRITOS_FORM!T69</f>
        <v/>
      </c>
      <c r="D69" s="23">
        <f>INSCRITOS_FORM!S69</f>
        <v/>
      </c>
      <c r="E69" s="23">
        <f>INSCRITOS_FORM!G69</f>
        <v/>
      </c>
      <c r="F69" s="23">
        <f>INSCRITOS_FORM!L69</f>
        <v/>
      </c>
      <c r="G69" s="23">
        <f t="array" ref="G69">IFERROR(INDEX(CONFIG!$A$22:$A$35,MATCH(F69,CONFIG!$B$22:$B$35,0)),0)</f>
        <v/>
      </c>
      <c r="H69" s="23">
        <f>INSCRITOS_FORM!M69</f>
        <v/>
      </c>
      <c r="I69" s="23">
        <f>INSCRITOS_FORM!O69</f>
        <v/>
      </c>
      <c r="J69" s="23">
        <f>INSCRITOS_FORM!J69</f>
        <v/>
      </c>
      <c r="K69" s="23">
        <f>INSCRITOS_FORM!K69</f>
        <v/>
      </c>
      <c r="L69" s="23">
        <f>INSCRITOS_FORM!U69</f>
        <v/>
      </c>
      <c r="M69" s="23">
        <f>INSCRITOS_FORM!V69</f>
        <v/>
      </c>
      <c r="N69" s="23">
        <f>INSCRITOS_FORM!W69</f>
        <v/>
      </c>
      <c r="O69" s="23">
        <f>INSCRITOS_FORM!X69</f>
        <v/>
      </c>
      <c r="P69" s="23">
        <f>INSCRITOS_FORM!AB69</f>
        <v/>
      </c>
      <c r="Q69" s="23">
        <f>IF(B69="","",IF(AND(OR(P69="Pagado",P69="Beca",P69="Invitado"),OR(L69="Sí",M69="Sí")),"Sí","No"))</f>
        <v/>
      </c>
      <c r="R69" s="23">
        <f>IF(AND(C69=TORNEO_ACTIVO!$B$3,Q69="Sí"),G69*10000-A69,-1)</f>
        <v/>
      </c>
    </row>
    <row r="70" ht="14.25" customHeight="1" s="72">
      <c r="A70" s="23">
        <f>IF(INSCRITOS_FORM!D70&lt;&gt;"",ROW()-4,"")</f>
        <v/>
      </c>
      <c r="B70" s="23">
        <f>INSCRITOS_FORM!AD70</f>
        <v/>
      </c>
      <c r="C70" s="23">
        <f>INSCRITOS_FORM!T70</f>
        <v/>
      </c>
      <c r="D70" s="23">
        <f>INSCRITOS_FORM!S70</f>
        <v/>
      </c>
      <c r="E70" s="23">
        <f>INSCRITOS_FORM!G70</f>
        <v/>
      </c>
      <c r="F70" s="23">
        <f>INSCRITOS_FORM!L70</f>
        <v/>
      </c>
      <c r="G70" s="23">
        <f t="array" ref="G70">IFERROR(INDEX(CONFIG!$A$22:$A$35,MATCH(F70,CONFIG!$B$22:$B$35,0)),0)</f>
        <v/>
      </c>
      <c r="H70" s="23">
        <f>INSCRITOS_FORM!M70</f>
        <v/>
      </c>
      <c r="I70" s="23">
        <f>INSCRITOS_FORM!O70</f>
        <v/>
      </c>
      <c r="J70" s="23">
        <f>INSCRITOS_FORM!J70</f>
        <v/>
      </c>
      <c r="K70" s="23">
        <f>INSCRITOS_FORM!K70</f>
        <v/>
      </c>
      <c r="L70" s="23">
        <f>INSCRITOS_FORM!U70</f>
        <v/>
      </c>
      <c r="M70" s="23">
        <f>INSCRITOS_FORM!V70</f>
        <v/>
      </c>
      <c r="N70" s="23">
        <f>INSCRITOS_FORM!W70</f>
        <v/>
      </c>
      <c r="O70" s="23">
        <f>INSCRITOS_FORM!X70</f>
        <v/>
      </c>
      <c r="P70" s="23">
        <f>INSCRITOS_FORM!AB70</f>
        <v/>
      </c>
      <c r="Q70" s="23">
        <f>IF(B70="","",IF(AND(OR(P70="Pagado",P70="Beca",P70="Invitado"),OR(L70="Sí",M70="Sí")),"Sí","No"))</f>
        <v/>
      </c>
      <c r="R70" s="23">
        <f>IF(AND(C70=TORNEO_ACTIVO!$B$3,Q70="Sí"),G70*10000-A70,-1)</f>
        <v/>
      </c>
    </row>
    <row r="71" ht="14.25" customHeight="1" s="72">
      <c r="A71" s="23">
        <f>IF(INSCRITOS_FORM!D71&lt;&gt;"",ROW()-4,"")</f>
        <v/>
      </c>
      <c r="B71" s="23">
        <f>INSCRITOS_FORM!AD71</f>
        <v/>
      </c>
      <c r="C71" s="23">
        <f>INSCRITOS_FORM!T71</f>
        <v/>
      </c>
      <c r="D71" s="23">
        <f>INSCRITOS_FORM!S71</f>
        <v/>
      </c>
      <c r="E71" s="23">
        <f>INSCRITOS_FORM!G71</f>
        <v/>
      </c>
      <c r="F71" s="23">
        <f>INSCRITOS_FORM!L71</f>
        <v/>
      </c>
      <c r="G71" s="23">
        <f t="array" ref="G71">IFERROR(INDEX(CONFIG!$A$22:$A$35,MATCH(F71,CONFIG!$B$22:$B$35,0)),0)</f>
        <v/>
      </c>
      <c r="H71" s="23">
        <f>INSCRITOS_FORM!M71</f>
        <v/>
      </c>
      <c r="I71" s="23">
        <f>INSCRITOS_FORM!O71</f>
        <v/>
      </c>
      <c r="J71" s="23">
        <f>INSCRITOS_FORM!J71</f>
        <v/>
      </c>
      <c r="K71" s="23">
        <f>INSCRITOS_FORM!K71</f>
        <v/>
      </c>
      <c r="L71" s="23">
        <f>INSCRITOS_FORM!U71</f>
        <v/>
      </c>
      <c r="M71" s="23">
        <f>INSCRITOS_FORM!V71</f>
        <v/>
      </c>
      <c r="N71" s="23">
        <f>INSCRITOS_FORM!W71</f>
        <v/>
      </c>
      <c r="O71" s="23">
        <f>INSCRITOS_FORM!X71</f>
        <v/>
      </c>
      <c r="P71" s="23">
        <f>INSCRITOS_FORM!AB71</f>
        <v/>
      </c>
      <c r="Q71" s="23">
        <f>IF(B71="","",IF(AND(OR(P71="Pagado",P71="Beca",P71="Invitado"),OR(L71="Sí",M71="Sí")),"Sí","No"))</f>
        <v/>
      </c>
      <c r="R71" s="23">
        <f>IF(AND(C71=TORNEO_ACTIVO!$B$3,Q71="Sí"),G71*10000-A71,-1)</f>
        <v/>
      </c>
    </row>
    <row r="72" ht="14.25" customHeight="1" s="72">
      <c r="A72" s="23">
        <f>IF(INSCRITOS_FORM!D72&lt;&gt;"",ROW()-4,"")</f>
        <v/>
      </c>
      <c r="B72" s="23">
        <f>INSCRITOS_FORM!AD72</f>
        <v/>
      </c>
      <c r="C72" s="23">
        <f>INSCRITOS_FORM!T72</f>
        <v/>
      </c>
      <c r="D72" s="23">
        <f>INSCRITOS_FORM!S72</f>
        <v/>
      </c>
      <c r="E72" s="23">
        <f>INSCRITOS_FORM!G72</f>
        <v/>
      </c>
      <c r="F72" s="23">
        <f>INSCRITOS_FORM!L72</f>
        <v/>
      </c>
      <c r="G72" s="23">
        <f t="array" ref="G72">IFERROR(INDEX(CONFIG!$A$22:$A$35,MATCH(F72,CONFIG!$B$22:$B$35,0)),0)</f>
        <v/>
      </c>
      <c r="H72" s="23">
        <f>INSCRITOS_FORM!M72</f>
        <v/>
      </c>
      <c r="I72" s="23">
        <f>INSCRITOS_FORM!O72</f>
        <v/>
      </c>
      <c r="J72" s="23">
        <f>INSCRITOS_FORM!J72</f>
        <v/>
      </c>
      <c r="K72" s="23">
        <f>INSCRITOS_FORM!K72</f>
        <v/>
      </c>
      <c r="L72" s="23">
        <f>INSCRITOS_FORM!U72</f>
        <v/>
      </c>
      <c r="M72" s="23">
        <f>INSCRITOS_FORM!V72</f>
        <v/>
      </c>
      <c r="N72" s="23">
        <f>INSCRITOS_FORM!W72</f>
        <v/>
      </c>
      <c r="O72" s="23">
        <f>INSCRITOS_FORM!X72</f>
        <v/>
      </c>
      <c r="P72" s="23">
        <f>INSCRITOS_FORM!AB72</f>
        <v/>
      </c>
      <c r="Q72" s="23">
        <f>IF(B72="","",IF(AND(OR(P72="Pagado",P72="Beca",P72="Invitado"),OR(L72="Sí",M72="Sí")),"Sí","No"))</f>
        <v/>
      </c>
      <c r="R72" s="23">
        <f>IF(AND(C72=TORNEO_ACTIVO!$B$3,Q72="Sí"),G72*10000-A72,-1)</f>
        <v/>
      </c>
    </row>
    <row r="73" ht="14.25" customHeight="1" s="72">
      <c r="A73" s="23">
        <f>IF(INSCRITOS_FORM!D73&lt;&gt;"",ROW()-4,"")</f>
        <v/>
      </c>
      <c r="B73" s="23">
        <f>INSCRITOS_FORM!AD73</f>
        <v/>
      </c>
      <c r="C73" s="23">
        <f>INSCRITOS_FORM!T73</f>
        <v/>
      </c>
      <c r="D73" s="23">
        <f>INSCRITOS_FORM!S73</f>
        <v/>
      </c>
      <c r="E73" s="23">
        <f>INSCRITOS_FORM!G73</f>
        <v/>
      </c>
      <c r="F73" s="23">
        <f>INSCRITOS_FORM!L73</f>
        <v/>
      </c>
      <c r="G73" s="23">
        <f t="array" ref="G73">IFERROR(INDEX(CONFIG!$A$22:$A$35,MATCH(F73,CONFIG!$B$22:$B$35,0)),0)</f>
        <v/>
      </c>
      <c r="H73" s="23">
        <f>INSCRITOS_FORM!M73</f>
        <v/>
      </c>
      <c r="I73" s="23">
        <f>INSCRITOS_FORM!O73</f>
        <v/>
      </c>
      <c r="J73" s="23">
        <f>INSCRITOS_FORM!J73</f>
        <v/>
      </c>
      <c r="K73" s="23">
        <f>INSCRITOS_FORM!K73</f>
        <v/>
      </c>
      <c r="L73" s="23">
        <f>INSCRITOS_FORM!U73</f>
        <v/>
      </c>
      <c r="M73" s="23">
        <f>INSCRITOS_FORM!V73</f>
        <v/>
      </c>
      <c r="N73" s="23">
        <f>INSCRITOS_FORM!W73</f>
        <v/>
      </c>
      <c r="O73" s="23">
        <f>INSCRITOS_FORM!X73</f>
        <v/>
      </c>
      <c r="P73" s="23">
        <f>INSCRITOS_FORM!AB73</f>
        <v/>
      </c>
      <c r="Q73" s="23">
        <f>IF(B73="","",IF(AND(OR(P73="Pagado",P73="Beca",P73="Invitado"),OR(L73="Sí",M73="Sí")),"Sí","No"))</f>
        <v/>
      </c>
      <c r="R73" s="23">
        <f>IF(AND(C73=TORNEO_ACTIVO!$B$3,Q73="Sí"),G73*10000-A73,-1)</f>
        <v/>
      </c>
    </row>
    <row r="74" ht="14.25" customHeight="1" s="72">
      <c r="A74" s="23">
        <f>IF(INSCRITOS_FORM!D74&lt;&gt;"",ROW()-4,"")</f>
        <v/>
      </c>
      <c r="B74" s="23">
        <f>INSCRITOS_FORM!AD74</f>
        <v/>
      </c>
      <c r="C74" s="23">
        <f>INSCRITOS_FORM!T74</f>
        <v/>
      </c>
      <c r="D74" s="23">
        <f>INSCRITOS_FORM!S74</f>
        <v/>
      </c>
      <c r="E74" s="23">
        <f>INSCRITOS_FORM!G74</f>
        <v/>
      </c>
      <c r="F74" s="23">
        <f>INSCRITOS_FORM!L74</f>
        <v/>
      </c>
      <c r="G74" s="23">
        <f t="array" ref="G74">IFERROR(INDEX(CONFIG!$A$22:$A$35,MATCH(F74,CONFIG!$B$22:$B$35,0)),0)</f>
        <v/>
      </c>
      <c r="H74" s="23">
        <f>INSCRITOS_FORM!M74</f>
        <v/>
      </c>
      <c r="I74" s="23">
        <f>INSCRITOS_FORM!O74</f>
        <v/>
      </c>
      <c r="J74" s="23">
        <f>INSCRITOS_FORM!J74</f>
        <v/>
      </c>
      <c r="K74" s="23">
        <f>INSCRITOS_FORM!K74</f>
        <v/>
      </c>
      <c r="L74" s="23">
        <f>INSCRITOS_FORM!U74</f>
        <v/>
      </c>
      <c r="M74" s="23">
        <f>INSCRITOS_FORM!V74</f>
        <v/>
      </c>
      <c r="N74" s="23">
        <f>INSCRITOS_FORM!W74</f>
        <v/>
      </c>
      <c r="O74" s="23">
        <f>INSCRITOS_FORM!X74</f>
        <v/>
      </c>
      <c r="P74" s="23">
        <f>INSCRITOS_FORM!AB74</f>
        <v/>
      </c>
      <c r="Q74" s="23">
        <f>IF(B74="","",IF(AND(OR(P74="Pagado",P74="Beca",P74="Invitado"),OR(L74="Sí",M74="Sí")),"Sí","No"))</f>
        <v/>
      </c>
      <c r="R74" s="23">
        <f>IF(AND(C74=TORNEO_ACTIVO!$B$3,Q74="Sí"),G74*10000-A74,-1)</f>
        <v/>
      </c>
    </row>
    <row r="75" ht="14.25" customHeight="1" s="72">
      <c r="A75" s="23">
        <f>IF(INSCRITOS_FORM!D75&lt;&gt;"",ROW()-4,"")</f>
        <v/>
      </c>
      <c r="B75" s="23">
        <f>INSCRITOS_FORM!AD75</f>
        <v/>
      </c>
      <c r="C75" s="23">
        <f>INSCRITOS_FORM!T75</f>
        <v/>
      </c>
      <c r="D75" s="23">
        <f>INSCRITOS_FORM!S75</f>
        <v/>
      </c>
      <c r="E75" s="23">
        <f>INSCRITOS_FORM!G75</f>
        <v/>
      </c>
      <c r="F75" s="23">
        <f>INSCRITOS_FORM!L75</f>
        <v/>
      </c>
      <c r="G75" s="23">
        <f t="array" ref="G75">IFERROR(INDEX(CONFIG!$A$22:$A$35,MATCH(F75,CONFIG!$B$22:$B$35,0)),0)</f>
        <v/>
      </c>
      <c r="H75" s="23">
        <f>INSCRITOS_FORM!M75</f>
        <v/>
      </c>
      <c r="I75" s="23">
        <f>INSCRITOS_FORM!O75</f>
        <v/>
      </c>
      <c r="J75" s="23">
        <f>INSCRITOS_FORM!J75</f>
        <v/>
      </c>
      <c r="K75" s="23">
        <f>INSCRITOS_FORM!K75</f>
        <v/>
      </c>
      <c r="L75" s="23">
        <f>INSCRITOS_FORM!U75</f>
        <v/>
      </c>
      <c r="M75" s="23">
        <f>INSCRITOS_FORM!V75</f>
        <v/>
      </c>
      <c r="N75" s="23">
        <f>INSCRITOS_FORM!W75</f>
        <v/>
      </c>
      <c r="O75" s="23">
        <f>INSCRITOS_FORM!X75</f>
        <v/>
      </c>
      <c r="P75" s="23">
        <f>INSCRITOS_FORM!AB75</f>
        <v/>
      </c>
      <c r="Q75" s="23">
        <f>IF(B75="","",IF(AND(OR(P75="Pagado",P75="Beca",P75="Invitado"),OR(L75="Sí",M75="Sí")),"Sí","No"))</f>
        <v/>
      </c>
      <c r="R75" s="23">
        <f>IF(AND(C75=TORNEO_ACTIVO!$B$3,Q75="Sí"),G75*10000-A75,-1)</f>
        <v/>
      </c>
    </row>
    <row r="76" ht="14.25" customHeight="1" s="72">
      <c r="A76" s="23">
        <f>IF(INSCRITOS_FORM!D76&lt;&gt;"",ROW()-4,"")</f>
        <v/>
      </c>
      <c r="B76" s="23">
        <f>INSCRITOS_FORM!AD76</f>
        <v/>
      </c>
      <c r="C76" s="23">
        <f>INSCRITOS_FORM!T76</f>
        <v/>
      </c>
      <c r="D76" s="23">
        <f>INSCRITOS_FORM!S76</f>
        <v/>
      </c>
      <c r="E76" s="23">
        <f>INSCRITOS_FORM!G76</f>
        <v/>
      </c>
      <c r="F76" s="23">
        <f>INSCRITOS_FORM!L76</f>
        <v/>
      </c>
      <c r="G76" s="23">
        <f t="array" ref="G76">IFERROR(INDEX(CONFIG!$A$22:$A$35,MATCH(F76,CONFIG!$B$22:$B$35,0)),0)</f>
        <v/>
      </c>
      <c r="H76" s="23">
        <f>INSCRITOS_FORM!M76</f>
        <v/>
      </c>
      <c r="I76" s="23">
        <f>INSCRITOS_FORM!O76</f>
        <v/>
      </c>
      <c r="J76" s="23">
        <f>INSCRITOS_FORM!J76</f>
        <v/>
      </c>
      <c r="K76" s="23">
        <f>INSCRITOS_FORM!K76</f>
        <v/>
      </c>
      <c r="L76" s="23">
        <f>INSCRITOS_FORM!U76</f>
        <v/>
      </c>
      <c r="M76" s="23">
        <f>INSCRITOS_FORM!V76</f>
        <v/>
      </c>
      <c r="N76" s="23">
        <f>INSCRITOS_FORM!W76</f>
        <v/>
      </c>
      <c r="O76" s="23">
        <f>INSCRITOS_FORM!X76</f>
        <v/>
      </c>
      <c r="P76" s="23">
        <f>INSCRITOS_FORM!AB76</f>
        <v/>
      </c>
      <c r="Q76" s="23">
        <f>IF(B76="","",IF(AND(OR(P76="Pagado",P76="Beca",P76="Invitado"),OR(L76="Sí",M76="Sí")),"Sí","No"))</f>
        <v/>
      </c>
      <c r="R76" s="23">
        <f>IF(AND(C76=TORNEO_ACTIVO!$B$3,Q76="Sí"),G76*10000-A76,-1)</f>
        <v/>
      </c>
    </row>
    <row r="77" ht="14.25" customHeight="1" s="72">
      <c r="A77" s="23">
        <f>IF(INSCRITOS_FORM!D77&lt;&gt;"",ROW()-4,"")</f>
        <v/>
      </c>
      <c r="B77" s="23">
        <f>INSCRITOS_FORM!AD77</f>
        <v/>
      </c>
      <c r="C77" s="23">
        <f>INSCRITOS_FORM!T77</f>
        <v/>
      </c>
      <c r="D77" s="23">
        <f>INSCRITOS_FORM!S77</f>
        <v/>
      </c>
      <c r="E77" s="23">
        <f>INSCRITOS_FORM!G77</f>
        <v/>
      </c>
      <c r="F77" s="23">
        <f>INSCRITOS_FORM!L77</f>
        <v/>
      </c>
      <c r="G77" s="23">
        <f t="array" ref="G77">IFERROR(INDEX(CONFIG!$A$22:$A$35,MATCH(F77,CONFIG!$B$22:$B$35,0)),0)</f>
        <v/>
      </c>
      <c r="H77" s="23">
        <f>INSCRITOS_FORM!M77</f>
        <v/>
      </c>
      <c r="I77" s="23">
        <f>INSCRITOS_FORM!O77</f>
        <v/>
      </c>
      <c r="J77" s="23">
        <f>INSCRITOS_FORM!J77</f>
        <v/>
      </c>
      <c r="K77" s="23">
        <f>INSCRITOS_FORM!K77</f>
        <v/>
      </c>
      <c r="L77" s="23">
        <f>INSCRITOS_FORM!U77</f>
        <v/>
      </c>
      <c r="M77" s="23">
        <f>INSCRITOS_FORM!V77</f>
        <v/>
      </c>
      <c r="N77" s="23">
        <f>INSCRITOS_FORM!W77</f>
        <v/>
      </c>
      <c r="O77" s="23">
        <f>INSCRITOS_FORM!X77</f>
        <v/>
      </c>
      <c r="P77" s="23">
        <f>INSCRITOS_FORM!AB77</f>
        <v/>
      </c>
      <c r="Q77" s="23">
        <f>IF(B77="","",IF(AND(OR(P77="Pagado",P77="Beca",P77="Invitado"),OR(L77="Sí",M77="Sí")),"Sí","No"))</f>
        <v/>
      </c>
      <c r="R77" s="23">
        <f>IF(AND(C77=TORNEO_ACTIVO!$B$3,Q77="Sí"),G77*10000-A77,-1)</f>
        <v/>
      </c>
    </row>
    <row r="78" ht="14.25" customHeight="1" s="72">
      <c r="A78" s="23">
        <f>IF(INSCRITOS_FORM!D78&lt;&gt;"",ROW()-4,"")</f>
        <v/>
      </c>
      <c r="B78" s="23">
        <f>INSCRITOS_FORM!AD78</f>
        <v/>
      </c>
      <c r="C78" s="23">
        <f>INSCRITOS_FORM!T78</f>
        <v/>
      </c>
      <c r="D78" s="23">
        <f>INSCRITOS_FORM!S78</f>
        <v/>
      </c>
      <c r="E78" s="23">
        <f>INSCRITOS_FORM!G78</f>
        <v/>
      </c>
      <c r="F78" s="23">
        <f>INSCRITOS_FORM!L78</f>
        <v/>
      </c>
      <c r="G78" s="23">
        <f t="array" ref="G78">IFERROR(INDEX(CONFIG!$A$22:$A$35,MATCH(F78,CONFIG!$B$22:$B$35,0)),0)</f>
        <v/>
      </c>
      <c r="H78" s="23">
        <f>INSCRITOS_FORM!M78</f>
        <v/>
      </c>
      <c r="I78" s="23">
        <f>INSCRITOS_FORM!O78</f>
        <v/>
      </c>
      <c r="J78" s="23">
        <f>INSCRITOS_FORM!J78</f>
        <v/>
      </c>
      <c r="K78" s="23">
        <f>INSCRITOS_FORM!K78</f>
        <v/>
      </c>
      <c r="L78" s="23">
        <f>INSCRITOS_FORM!U78</f>
        <v/>
      </c>
      <c r="M78" s="23">
        <f>INSCRITOS_FORM!V78</f>
        <v/>
      </c>
      <c r="N78" s="23">
        <f>INSCRITOS_FORM!W78</f>
        <v/>
      </c>
      <c r="O78" s="23">
        <f>INSCRITOS_FORM!X78</f>
        <v/>
      </c>
      <c r="P78" s="23">
        <f>INSCRITOS_FORM!AB78</f>
        <v/>
      </c>
      <c r="Q78" s="23">
        <f>IF(B78="","",IF(AND(OR(P78="Pagado",P78="Beca",P78="Invitado"),OR(L78="Sí",M78="Sí")),"Sí","No"))</f>
        <v/>
      </c>
      <c r="R78" s="23">
        <f>IF(AND(C78=TORNEO_ACTIVO!$B$3,Q78="Sí"),G78*10000-A78,-1)</f>
        <v/>
      </c>
    </row>
    <row r="79" ht="14.25" customHeight="1" s="72">
      <c r="A79" s="23">
        <f>IF(INSCRITOS_FORM!D79&lt;&gt;"",ROW()-4,"")</f>
        <v/>
      </c>
      <c r="B79" s="23">
        <f>INSCRITOS_FORM!AD79</f>
        <v/>
      </c>
      <c r="C79" s="23">
        <f>INSCRITOS_FORM!T79</f>
        <v/>
      </c>
      <c r="D79" s="23">
        <f>INSCRITOS_FORM!S79</f>
        <v/>
      </c>
      <c r="E79" s="23">
        <f>INSCRITOS_FORM!G79</f>
        <v/>
      </c>
      <c r="F79" s="23">
        <f>INSCRITOS_FORM!L79</f>
        <v/>
      </c>
      <c r="G79" s="23">
        <f t="array" ref="G79">IFERROR(INDEX(CONFIG!$A$22:$A$35,MATCH(F79,CONFIG!$B$22:$B$35,0)),0)</f>
        <v/>
      </c>
      <c r="H79" s="23">
        <f>INSCRITOS_FORM!M79</f>
        <v/>
      </c>
      <c r="I79" s="23">
        <f>INSCRITOS_FORM!O79</f>
        <v/>
      </c>
      <c r="J79" s="23">
        <f>INSCRITOS_FORM!J79</f>
        <v/>
      </c>
      <c r="K79" s="23">
        <f>INSCRITOS_FORM!K79</f>
        <v/>
      </c>
      <c r="L79" s="23">
        <f>INSCRITOS_FORM!U79</f>
        <v/>
      </c>
      <c r="M79" s="23">
        <f>INSCRITOS_FORM!V79</f>
        <v/>
      </c>
      <c r="N79" s="23">
        <f>INSCRITOS_FORM!W79</f>
        <v/>
      </c>
      <c r="O79" s="23">
        <f>INSCRITOS_FORM!X79</f>
        <v/>
      </c>
      <c r="P79" s="23">
        <f>INSCRITOS_FORM!AB79</f>
        <v/>
      </c>
      <c r="Q79" s="23">
        <f>IF(B79="","",IF(AND(OR(P79="Pagado",P79="Beca",P79="Invitado"),OR(L79="Sí",M79="Sí")),"Sí","No"))</f>
        <v/>
      </c>
      <c r="R79" s="23">
        <f>IF(AND(C79=TORNEO_ACTIVO!$B$3,Q79="Sí"),G79*10000-A79,-1)</f>
        <v/>
      </c>
    </row>
    <row r="80" ht="14.25" customHeight="1" s="72">
      <c r="A80" s="23">
        <f>IF(INSCRITOS_FORM!D80&lt;&gt;"",ROW()-4,"")</f>
        <v/>
      </c>
      <c r="B80" s="23">
        <f>INSCRITOS_FORM!AD80</f>
        <v/>
      </c>
      <c r="C80" s="23">
        <f>INSCRITOS_FORM!T80</f>
        <v/>
      </c>
      <c r="D80" s="23">
        <f>INSCRITOS_FORM!S80</f>
        <v/>
      </c>
      <c r="E80" s="23">
        <f>INSCRITOS_FORM!G80</f>
        <v/>
      </c>
      <c r="F80" s="23">
        <f>INSCRITOS_FORM!L80</f>
        <v/>
      </c>
      <c r="G80" s="23">
        <f t="array" ref="G80">IFERROR(INDEX(CONFIG!$A$22:$A$35,MATCH(F80,CONFIG!$B$22:$B$35,0)),0)</f>
        <v/>
      </c>
      <c r="H80" s="23">
        <f>INSCRITOS_FORM!M80</f>
        <v/>
      </c>
      <c r="I80" s="23">
        <f>INSCRITOS_FORM!O80</f>
        <v/>
      </c>
      <c r="J80" s="23">
        <f>INSCRITOS_FORM!J80</f>
        <v/>
      </c>
      <c r="K80" s="23">
        <f>INSCRITOS_FORM!K80</f>
        <v/>
      </c>
      <c r="L80" s="23">
        <f>INSCRITOS_FORM!U80</f>
        <v/>
      </c>
      <c r="M80" s="23">
        <f>INSCRITOS_FORM!V80</f>
        <v/>
      </c>
      <c r="N80" s="23">
        <f>INSCRITOS_FORM!W80</f>
        <v/>
      </c>
      <c r="O80" s="23">
        <f>INSCRITOS_FORM!X80</f>
        <v/>
      </c>
      <c r="P80" s="23">
        <f>INSCRITOS_FORM!AB80</f>
        <v/>
      </c>
      <c r="Q80" s="23">
        <f>IF(B80="","",IF(AND(OR(P80="Pagado",P80="Beca",P80="Invitado"),OR(L80="Sí",M80="Sí")),"Sí","No"))</f>
        <v/>
      </c>
      <c r="R80" s="23">
        <f>IF(AND(C80=TORNEO_ACTIVO!$B$3,Q80="Sí"),G80*10000-A80,-1)</f>
        <v/>
      </c>
    </row>
    <row r="81" ht="14.25" customHeight="1" s="72">
      <c r="A81" s="23">
        <f>IF(INSCRITOS_FORM!D81&lt;&gt;"",ROW()-4,"")</f>
        <v/>
      </c>
      <c r="B81" s="23">
        <f>INSCRITOS_FORM!AD81</f>
        <v/>
      </c>
      <c r="C81" s="23">
        <f>INSCRITOS_FORM!T81</f>
        <v/>
      </c>
      <c r="D81" s="23">
        <f>INSCRITOS_FORM!S81</f>
        <v/>
      </c>
      <c r="E81" s="23">
        <f>INSCRITOS_FORM!G81</f>
        <v/>
      </c>
      <c r="F81" s="23">
        <f>INSCRITOS_FORM!L81</f>
        <v/>
      </c>
      <c r="G81" s="23">
        <f t="array" ref="G81">IFERROR(INDEX(CONFIG!$A$22:$A$35,MATCH(F81,CONFIG!$B$22:$B$35,0)),0)</f>
        <v/>
      </c>
      <c r="H81" s="23">
        <f>INSCRITOS_FORM!M81</f>
        <v/>
      </c>
      <c r="I81" s="23">
        <f>INSCRITOS_FORM!O81</f>
        <v/>
      </c>
      <c r="J81" s="23">
        <f>INSCRITOS_FORM!J81</f>
        <v/>
      </c>
      <c r="K81" s="23">
        <f>INSCRITOS_FORM!K81</f>
        <v/>
      </c>
      <c r="L81" s="23">
        <f>INSCRITOS_FORM!U81</f>
        <v/>
      </c>
      <c r="M81" s="23">
        <f>INSCRITOS_FORM!V81</f>
        <v/>
      </c>
      <c r="N81" s="23">
        <f>INSCRITOS_FORM!W81</f>
        <v/>
      </c>
      <c r="O81" s="23">
        <f>INSCRITOS_FORM!X81</f>
        <v/>
      </c>
      <c r="P81" s="23">
        <f>INSCRITOS_FORM!AB81</f>
        <v/>
      </c>
      <c r="Q81" s="23">
        <f>IF(B81="","",IF(AND(OR(P81="Pagado",P81="Beca",P81="Invitado"),OR(L81="Sí",M81="Sí")),"Sí","No"))</f>
        <v/>
      </c>
      <c r="R81" s="23">
        <f>IF(AND(C81=TORNEO_ACTIVO!$B$3,Q81="Sí"),G81*10000-A81,-1)</f>
        <v/>
      </c>
    </row>
    <row r="82" ht="14.25" customHeight="1" s="72">
      <c r="A82" s="23">
        <f>IF(INSCRITOS_FORM!D82&lt;&gt;"",ROW()-4,"")</f>
        <v/>
      </c>
      <c r="B82" s="23">
        <f>INSCRITOS_FORM!AD82</f>
        <v/>
      </c>
      <c r="C82" s="23">
        <f>INSCRITOS_FORM!T82</f>
        <v/>
      </c>
      <c r="D82" s="23">
        <f>INSCRITOS_FORM!S82</f>
        <v/>
      </c>
      <c r="E82" s="23">
        <f>INSCRITOS_FORM!G82</f>
        <v/>
      </c>
      <c r="F82" s="23">
        <f>INSCRITOS_FORM!L82</f>
        <v/>
      </c>
      <c r="G82" s="23">
        <f t="array" ref="G82">IFERROR(INDEX(CONFIG!$A$22:$A$35,MATCH(F82,CONFIG!$B$22:$B$35,0)),0)</f>
        <v/>
      </c>
      <c r="H82" s="23">
        <f>INSCRITOS_FORM!M82</f>
        <v/>
      </c>
      <c r="I82" s="23">
        <f>INSCRITOS_FORM!O82</f>
        <v/>
      </c>
      <c r="J82" s="23">
        <f>INSCRITOS_FORM!J82</f>
        <v/>
      </c>
      <c r="K82" s="23">
        <f>INSCRITOS_FORM!K82</f>
        <v/>
      </c>
      <c r="L82" s="23">
        <f>INSCRITOS_FORM!U82</f>
        <v/>
      </c>
      <c r="M82" s="23">
        <f>INSCRITOS_FORM!V82</f>
        <v/>
      </c>
      <c r="N82" s="23">
        <f>INSCRITOS_FORM!W82</f>
        <v/>
      </c>
      <c r="O82" s="23">
        <f>INSCRITOS_FORM!X82</f>
        <v/>
      </c>
      <c r="P82" s="23">
        <f>INSCRITOS_FORM!AB82</f>
        <v/>
      </c>
      <c r="Q82" s="23">
        <f>IF(B82="","",IF(AND(OR(P82="Pagado",P82="Beca",P82="Invitado"),OR(L82="Sí",M82="Sí")),"Sí","No"))</f>
        <v/>
      </c>
      <c r="R82" s="23">
        <f>IF(AND(C82=TORNEO_ACTIVO!$B$3,Q82="Sí"),G82*10000-A82,-1)</f>
        <v/>
      </c>
    </row>
    <row r="83" ht="14.25" customHeight="1" s="72">
      <c r="A83" s="23">
        <f>IF(INSCRITOS_FORM!D83&lt;&gt;"",ROW()-4,"")</f>
        <v/>
      </c>
      <c r="B83" s="23">
        <f>INSCRITOS_FORM!AD83</f>
        <v/>
      </c>
      <c r="C83" s="23">
        <f>INSCRITOS_FORM!T83</f>
        <v/>
      </c>
      <c r="D83" s="23">
        <f>INSCRITOS_FORM!S83</f>
        <v/>
      </c>
      <c r="E83" s="23">
        <f>INSCRITOS_FORM!G83</f>
        <v/>
      </c>
      <c r="F83" s="23">
        <f>INSCRITOS_FORM!L83</f>
        <v/>
      </c>
      <c r="G83" s="23">
        <f t="array" ref="G83">IFERROR(INDEX(CONFIG!$A$22:$A$35,MATCH(F83,CONFIG!$B$22:$B$35,0)),0)</f>
        <v/>
      </c>
      <c r="H83" s="23">
        <f>INSCRITOS_FORM!M83</f>
        <v/>
      </c>
      <c r="I83" s="23">
        <f>INSCRITOS_FORM!O83</f>
        <v/>
      </c>
      <c r="J83" s="23">
        <f>INSCRITOS_FORM!J83</f>
        <v/>
      </c>
      <c r="K83" s="23">
        <f>INSCRITOS_FORM!K83</f>
        <v/>
      </c>
      <c r="L83" s="23">
        <f>INSCRITOS_FORM!U83</f>
        <v/>
      </c>
      <c r="M83" s="23">
        <f>INSCRITOS_FORM!V83</f>
        <v/>
      </c>
      <c r="N83" s="23">
        <f>INSCRITOS_FORM!W83</f>
        <v/>
      </c>
      <c r="O83" s="23">
        <f>INSCRITOS_FORM!X83</f>
        <v/>
      </c>
      <c r="P83" s="23">
        <f>INSCRITOS_FORM!AB83</f>
        <v/>
      </c>
      <c r="Q83" s="23">
        <f>IF(B83="","",IF(AND(OR(P83="Pagado",P83="Beca",P83="Invitado"),OR(L83="Sí",M83="Sí")),"Sí","No"))</f>
        <v/>
      </c>
      <c r="R83" s="23">
        <f>IF(AND(C83=TORNEO_ACTIVO!$B$3,Q83="Sí"),G83*10000-A83,-1)</f>
        <v/>
      </c>
    </row>
    <row r="84" ht="14.25" customHeight="1" s="72">
      <c r="A84" s="23">
        <f>IF(INSCRITOS_FORM!D84&lt;&gt;"",ROW()-4,"")</f>
        <v/>
      </c>
      <c r="B84" s="23">
        <f>INSCRITOS_FORM!AD84</f>
        <v/>
      </c>
      <c r="C84" s="23">
        <f>INSCRITOS_FORM!T84</f>
        <v/>
      </c>
      <c r="D84" s="23">
        <f>INSCRITOS_FORM!S84</f>
        <v/>
      </c>
      <c r="E84" s="23">
        <f>INSCRITOS_FORM!G84</f>
        <v/>
      </c>
      <c r="F84" s="23">
        <f>INSCRITOS_FORM!L84</f>
        <v/>
      </c>
      <c r="G84" s="23">
        <f t="array" ref="G84">IFERROR(INDEX(CONFIG!$A$22:$A$35,MATCH(F84,CONFIG!$B$22:$B$35,0)),0)</f>
        <v/>
      </c>
      <c r="H84" s="23">
        <f>INSCRITOS_FORM!M84</f>
        <v/>
      </c>
      <c r="I84" s="23">
        <f>INSCRITOS_FORM!O84</f>
        <v/>
      </c>
      <c r="J84" s="23">
        <f>INSCRITOS_FORM!J84</f>
        <v/>
      </c>
      <c r="K84" s="23">
        <f>INSCRITOS_FORM!K84</f>
        <v/>
      </c>
      <c r="L84" s="23">
        <f>INSCRITOS_FORM!U84</f>
        <v/>
      </c>
      <c r="M84" s="23">
        <f>INSCRITOS_FORM!V84</f>
        <v/>
      </c>
      <c r="N84" s="23">
        <f>INSCRITOS_FORM!W84</f>
        <v/>
      </c>
      <c r="O84" s="23">
        <f>INSCRITOS_FORM!X84</f>
        <v/>
      </c>
      <c r="P84" s="23">
        <f>INSCRITOS_FORM!AB84</f>
        <v/>
      </c>
      <c r="Q84" s="23">
        <f>IF(B84="","",IF(AND(OR(P84="Pagado",P84="Beca",P84="Invitado"),OR(L84="Sí",M84="Sí")),"Sí","No"))</f>
        <v/>
      </c>
      <c r="R84" s="23">
        <f>IF(AND(C84=TORNEO_ACTIVO!$B$3,Q84="Sí"),G84*10000-A84,-1)</f>
        <v/>
      </c>
    </row>
    <row r="85" ht="14.25" customHeight="1" s="72">
      <c r="A85" s="23">
        <f>IF(INSCRITOS_FORM!D85&lt;&gt;"",ROW()-4,"")</f>
        <v/>
      </c>
      <c r="B85" s="23">
        <f>INSCRITOS_FORM!AD85</f>
        <v/>
      </c>
      <c r="C85" s="23">
        <f>INSCRITOS_FORM!T85</f>
        <v/>
      </c>
      <c r="D85" s="23">
        <f>INSCRITOS_FORM!S85</f>
        <v/>
      </c>
      <c r="E85" s="23">
        <f>INSCRITOS_FORM!G85</f>
        <v/>
      </c>
      <c r="F85" s="23">
        <f>INSCRITOS_FORM!L85</f>
        <v/>
      </c>
      <c r="G85" s="23">
        <f t="array" ref="G85">IFERROR(INDEX(CONFIG!$A$22:$A$35,MATCH(F85,CONFIG!$B$22:$B$35,0)),0)</f>
        <v/>
      </c>
      <c r="H85" s="23">
        <f>INSCRITOS_FORM!M85</f>
        <v/>
      </c>
      <c r="I85" s="23">
        <f>INSCRITOS_FORM!O85</f>
        <v/>
      </c>
      <c r="J85" s="23">
        <f>INSCRITOS_FORM!J85</f>
        <v/>
      </c>
      <c r="K85" s="23">
        <f>INSCRITOS_FORM!K85</f>
        <v/>
      </c>
      <c r="L85" s="23">
        <f>INSCRITOS_FORM!U85</f>
        <v/>
      </c>
      <c r="M85" s="23">
        <f>INSCRITOS_FORM!V85</f>
        <v/>
      </c>
      <c r="N85" s="23">
        <f>INSCRITOS_FORM!W85</f>
        <v/>
      </c>
      <c r="O85" s="23">
        <f>INSCRITOS_FORM!X85</f>
        <v/>
      </c>
      <c r="P85" s="23">
        <f>INSCRITOS_FORM!AB85</f>
        <v/>
      </c>
      <c r="Q85" s="23">
        <f>IF(B85="","",IF(AND(OR(P85="Pagado",P85="Beca",P85="Invitado"),OR(L85="Sí",M85="Sí")),"Sí","No"))</f>
        <v/>
      </c>
      <c r="R85" s="23">
        <f>IF(AND(C85=TORNEO_ACTIVO!$B$3,Q85="Sí"),G85*10000-A85,-1)</f>
        <v/>
      </c>
    </row>
    <row r="86" ht="14.25" customHeight="1" s="72">
      <c r="A86" s="23">
        <f>IF(INSCRITOS_FORM!D86&lt;&gt;"",ROW()-4,"")</f>
        <v/>
      </c>
      <c r="B86" s="23">
        <f>INSCRITOS_FORM!AD86</f>
        <v/>
      </c>
      <c r="C86" s="23">
        <f>INSCRITOS_FORM!T86</f>
        <v/>
      </c>
      <c r="D86" s="23">
        <f>INSCRITOS_FORM!S86</f>
        <v/>
      </c>
      <c r="E86" s="23">
        <f>INSCRITOS_FORM!G86</f>
        <v/>
      </c>
      <c r="F86" s="23">
        <f>INSCRITOS_FORM!L86</f>
        <v/>
      </c>
      <c r="G86" s="23">
        <f t="array" ref="G86">IFERROR(INDEX(CONFIG!$A$22:$A$35,MATCH(F86,CONFIG!$B$22:$B$35,0)),0)</f>
        <v/>
      </c>
      <c r="H86" s="23">
        <f>INSCRITOS_FORM!M86</f>
        <v/>
      </c>
      <c r="I86" s="23">
        <f>INSCRITOS_FORM!O86</f>
        <v/>
      </c>
      <c r="J86" s="23">
        <f>INSCRITOS_FORM!J86</f>
        <v/>
      </c>
      <c r="K86" s="23">
        <f>INSCRITOS_FORM!K86</f>
        <v/>
      </c>
      <c r="L86" s="23">
        <f>INSCRITOS_FORM!U86</f>
        <v/>
      </c>
      <c r="M86" s="23">
        <f>INSCRITOS_FORM!V86</f>
        <v/>
      </c>
      <c r="N86" s="23">
        <f>INSCRITOS_FORM!W86</f>
        <v/>
      </c>
      <c r="O86" s="23">
        <f>INSCRITOS_FORM!X86</f>
        <v/>
      </c>
      <c r="P86" s="23">
        <f>INSCRITOS_FORM!AB86</f>
        <v/>
      </c>
      <c r="Q86" s="23">
        <f>IF(B86="","",IF(AND(OR(P86="Pagado",P86="Beca",P86="Invitado"),OR(L86="Sí",M86="Sí")),"Sí","No"))</f>
        <v/>
      </c>
      <c r="R86" s="23">
        <f>IF(AND(C86=TORNEO_ACTIVO!$B$3,Q86="Sí"),G86*10000-A86,-1)</f>
        <v/>
      </c>
    </row>
    <row r="87" ht="14.25" customHeight="1" s="72">
      <c r="A87" s="23">
        <f>IF(INSCRITOS_FORM!D87&lt;&gt;"",ROW()-4,"")</f>
        <v/>
      </c>
      <c r="B87" s="23">
        <f>INSCRITOS_FORM!AD87</f>
        <v/>
      </c>
      <c r="C87" s="23">
        <f>INSCRITOS_FORM!T87</f>
        <v/>
      </c>
      <c r="D87" s="23">
        <f>INSCRITOS_FORM!S87</f>
        <v/>
      </c>
      <c r="E87" s="23">
        <f>INSCRITOS_FORM!G87</f>
        <v/>
      </c>
      <c r="F87" s="23">
        <f>INSCRITOS_FORM!L87</f>
        <v/>
      </c>
      <c r="G87" s="23">
        <f t="array" ref="G87">IFERROR(INDEX(CONFIG!$A$22:$A$35,MATCH(F87,CONFIG!$B$22:$B$35,0)),0)</f>
        <v/>
      </c>
      <c r="H87" s="23">
        <f>INSCRITOS_FORM!M87</f>
        <v/>
      </c>
      <c r="I87" s="23">
        <f>INSCRITOS_FORM!O87</f>
        <v/>
      </c>
      <c r="J87" s="23">
        <f>INSCRITOS_FORM!J87</f>
        <v/>
      </c>
      <c r="K87" s="23">
        <f>INSCRITOS_FORM!K87</f>
        <v/>
      </c>
      <c r="L87" s="23">
        <f>INSCRITOS_FORM!U87</f>
        <v/>
      </c>
      <c r="M87" s="23">
        <f>INSCRITOS_FORM!V87</f>
        <v/>
      </c>
      <c r="N87" s="23">
        <f>INSCRITOS_FORM!W87</f>
        <v/>
      </c>
      <c r="O87" s="23">
        <f>INSCRITOS_FORM!X87</f>
        <v/>
      </c>
      <c r="P87" s="23">
        <f>INSCRITOS_FORM!AB87</f>
        <v/>
      </c>
      <c r="Q87" s="23">
        <f>IF(B87="","",IF(AND(OR(P87="Pagado",P87="Beca",P87="Invitado"),OR(L87="Sí",M87="Sí")),"Sí","No"))</f>
        <v/>
      </c>
      <c r="R87" s="23">
        <f>IF(AND(C87=TORNEO_ACTIVO!$B$3,Q87="Sí"),G87*10000-A87,-1)</f>
        <v/>
      </c>
    </row>
    <row r="88" ht="14.25" customHeight="1" s="72">
      <c r="A88" s="23">
        <f>IF(INSCRITOS_FORM!D88&lt;&gt;"",ROW()-4,"")</f>
        <v/>
      </c>
      <c r="B88" s="23">
        <f>INSCRITOS_FORM!AD88</f>
        <v/>
      </c>
      <c r="C88" s="23">
        <f>INSCRITOS_FORM!T88</f>
        <v/>
      </c>
      <c r="D88" s="23">
        <f>INSCRITOS_FORM!S88</f>
        <v/>
      </c>
      <c r="E88" s="23">
        <f>INSCRITOS_FORM!G88</f>
        <v/>
      </c>
      <c r="F88" s="23">
        <f>INSCRITOS_FORM!L88</f>
        <v/>
      </c>
      <c r="G88" s="23">
        <f t="array" ref="G88">IFERROR(INDEX(CONFIG!$A$22:$A$35,MATCH(F88,CONFIG!$B$22:$B$35,0)),0)</f>
        <v/>
      </c>
      <c r="H88" s="23">
        <f>INSCRITOS_FORM!M88</f>
        <v/>
      </c>
      <c r="I88" s="23">
        <f>INSCRITOS_FORM!O88</f>
        <v/>
      </c>
      <c r="J88" s="23">
        <f>INSCRITOS_FORM!J88</f>
        <v/>
      </c>
      <c r="K88" s="23">
        <f>INSCRITOS_FORM!K88</f>
        <v/>
      </c>
      <c r="L88" s="23">
        <f>INSCRITOS_FORM!U88</f>
        <v/>
      </c>
      <c r="M88" s="23">
        <f>INSCRITOS_FORM!V88</f>
        <v/>
      </c>
      <c r="N88" s="23">
        <f>INSCRITOS_FORM!W88</f>
        <v/>
      </c>
      <c r="O88" s="23">
        <f>INSCRITOS_FORM!X88</f>
        <v/>
      </c>
      <c r="P88" s="23">
        <f>INSCRITOS_FORM!AB88</f>
        <v/>
      </c>
      <c r="Q88" s="23">
        <f>IF(B88="","",IF(AND(OR(P88="Pagado",P88="Beca",P88="Invitado"),OR(L88="Sí",M88="Sí")),"Sí","No"))</f>
        <v/>
      </c>
      <c r="R88" s="23">
        <f>IF(AND(C88=TORNEO_ACTIVO!$B$3,Q88="Sí"),G88*10000-A88,-1)</f>
        <v/>
      </c>
    </row>
    <row r="89" ht="14.25" customHeight="1" s="72">
      <c r="A89" s="23">
        <f>IF(INSCRITOS_FORM!D89&lt;&gt;"",ROW()-4,"")</f>
        <v/>
      </c>
      <c r="B89" s="23">
        <f>INSCRITOS_FORM!AD89</f>
        <v/>
      </c>
      <c r="C89" s="23">
        <f>INSCRITOS_FORM!T89</f>
        <v/>
      </c>
      <c r="D89" s="23">
        <f>INSCRITOS_FORM!S89</f>
        <v/>
      </c>
      <c r="E89" s="23">
        <f>INSCRITOS_FORM!G89</f>
        <v/>
      </c>
      <c r="F89" s="23">
        <f>INSCRITOS_FORM!L89</f>
        <v/>
      </c>
      <c r="G89" s="23">
        <f t="array" ref="G89">IFERROR(INDEX(CONFIG!$A$22:$A$35,MATCH(F89,CONFIG!$B$22:$B$35,0)),0)</f>
        <v/>
      </c>
      <c r="H89" s="23">
        <f>INSCRITOS_FORM!M89</f>
        <v/>
      </c>
      <c r="I89" s="23">
        <f>INSCRITOS_FORM!O89</f>
        <v/>
      </c>
      <c r="J89" s="23">
        <f>INSCRITOS_FORM!J89</f>
        <v/>
      </c>
      <c r="K89" s="23">
        <f>INSCRITOS_FORM!K89</f>
        <v/>
      </c>
      <c r="L89" s="23">
        <f>INSCRITOS_FORM!U89</f>
        <v/>
      </c>
      <c r="M89" s="23">
        <f>INSCRITOS_FORM!V89</f>
        <v/>
      </c>
      <c r="N89" s="23">
        <f>INSCRITOS_FORM!W89</f>
        <v/>
      </c>
      <c r="O89" s="23">
        <f>INSCRITOS_FORM!X89</f>
        <v/>
      </c>
      <c r="P89" s="23">
        <f>INSCRITOS_FORM!AB89</f>
        <v/>
      </c>
      <c r="Q89" s="23">
        <f>IF(B89="","",IF(AND(OR(P89="Pagado",P89="Beca",P89="Invitado"),OR(L89="Sí",M89="Sí")),"Sí","No"))</f>
        <v/>
      </c>
      <c r="R89" s="23">
        <f>IF(AND(C89=TORNEO_ACTIVO!$B$3,Q89="Sí"),G89*10000-A89,-1)</f>
        <v/>
      </c>
    </row>
    <row r="90" ht="14.25" customHeight="1" s="72">
      <c r="A90" s="23">
        <f>IF(INSCRITOS_FORM!D90&lt;&gt;"",ROW()-4,"")</f>
        <v/>
      </c>
      <c r="B90" s="23">
        <f>INSCRITOS_FORM!AD90</f>
        <v/>
      </c>
      <c r="C90" s="23">
        <f>INSCRITOS_FORM!T90</f>
        <v/>
      </c>
      <c r="D90" s="23">
        <f>INSCRITOS_FORM!S90</f>
        <v/>
      </c>
      <c r="E90" s="23">
        <f>INSCRITOS_FORM!G90</f>
        <v/>
      </c>
      <c r="F90" s="23">
        <f>INSCRITOS_FORM!L90</f>
        <v/>
      </c>
      <c r="G90" s="23">
        <f t="array" ref="G90">IFERROR(INDEX(CONFIG!$A$22:$A$35,MATCH(F90,CONFIG!$B$22:$B$35,0)),0)</f>
        <v/>
      </c>
      <c r="H90" s="23">
        <f>INSCRITOS_FORM!M90</f>
        <v/>
      </c>
      <c r="I90" s="23">
        <f>INSCRITOS_FORM!O90</f>
        <v/>
      </c>
      <c r="J90" s="23">
        <f>INSCRITOS_FORM!J90</f>
        <v/>
      </c>
      <c r="K90" s="23">
        <f>INSCRITOS_FORM!K90</f>
        <v/>
      </c>
      <c r="L90" s="23">
        <f>INSCRITOS_FORM!U90</f>
        <v/>
      </c>
      <c r="M90" s="23">
        <f>INSCRITOS_FORM!V90</f>
        <v/>
      </c>
      <c r="N90" s="23">
        <f>INSCRITOS_FORM!W90</f>
        <v/>
      </c>
      <c r="O90" s="23">
        <f>INSCRITOS_FORM!X90</f>
        <v/>
      </c>
      <c r="P90" s="23">
        <f>INSCRITOS_FORM!AB90</f>
        <v/>
      </c>
      <c r="Q90" s="23">
        <f>IF(B90="","",IF(AND(OR(P90="Pagado",P90="Beca",P90="Invitado"),OR(L90="Sí",M90="Sí")),"Sí","No"))</f>
        <v/>
      </c>
      <c r="R90" s="23">
        <f>IF(AND(C90=TORNEO_ACTIVO!$B$3,Q90="Sí"),G90*10000-A90,-1)</f>
        <v/>
      </c>
    </row>
    <row r="91" ht="14.25" customHeight="1" s="72">
      <c r="A91" s="23">
        <f>IF(INSCRITOS_FORM!D91&lt;&gt;"",ROW()-4,"")</f>
        <v/>
      </c>
      <c r="B91" s="23">
        <f>INSCRITOS_FORM!AD91</f>
        <v/>
      </c>
      <c r="C91" s="23">
        <f>INSCRITOS_FORM!T91</f>
        <v/>
      </c>
      <c r="D91" s="23">
        <f>INSCRITOS_FORM!S91</f>
        <v/>
      </c>
      <c r="E91" s="23">
        <f>INSCRITOS_FORM!G91</f>
        <v/>
      </c>
      <c r="F91" s="23">
        <f>INSCRITOS_FORM!L91</f>
        <v/>
      </c>
      <c r="G91" s="23">
        <f t="array" ref="G91">IFERROR(INDEX(CONFIG!$A$22:$A$35,MATCH(F91,CONFIG!$B$22:$B$35,0)),0)</f>
        <v/>
      </c>
      <c r="H91" s="23">
        <f>INSCRITOS_FORM!M91</f>
        <v/>
      </c>
      <c r="I91" s="23">
        <f>INSCRITOS_FORM!O91</f>
        <v/>
      </c>
      <c r="J91" s="23">
        <f>INSCRITOS_FORM!J91</f>
        <v/>
      </c>
      <c r="K91" s="23">
        <f>INSCRITOS_FORM!K91</f>
        <v/>
      </c>
      <c r="L91" s="23">
        <f>INSCRITOS_FORM!U91</f>
        <v/>
      </c>
      <c r="M91" s="23">
        <f>INSCRITOS_FORM!V91</f>
        <v/>
      </c>
      <c r="N91" s="23">
        <f>INSCRITOS_FORM!W91</f>
        <v/>
      </c>
      <c r="O91" s="23">
        <f>INSCRITOS_FORM!X91</f>
        <v/>
      </c>
      <c r="P91" s="23">
        <f>INSCRITOS_FORM!AB91</f>
        <v/>
      </c>
      <c r="Q91" s="23">
        <f>IF(B91="","",IF(AND(OR(P91="Pagado",P91="Beca",P91="Invitado"),OR(L91="Sí",M91="Sí")),"Sí","No"))</f>
        <v/>
      </c>
      <c r="R91" s="23">
        <f>IF(AND(C91=TORNEO_ACTIVO!$B$3,Q91="Sí"),G91*10000-A91,-1)</f>
        <v/>
      </c>
    </row>
    <row r="92" ht="14.25" customHeight="1" s="72">
      <c r="A92" s="23">
        <f>IF(INSCRITOS_FORM!D92&lt;&gt;"",ROW()-4,"")</f>
        <v/>
      </c>
      <c r="B92" s="23">
        <f>INSCRITOS_FORM!AD92</f>
        <v/>
      </c>
      <c r="C92" s="23">
        <f>INSCRITOS_FORM!T92</f>
        <v/>
      </c>
      <c r="D92" s="23">
        <f>INSCRITOS_FORM!S92</f>
        <v/>
      </c>
      <c r="E92" s="23">
        <f>INSCRITOS_FORM!G92</f>
        <v/>
      </c>
      <c r="F92" s="23">
        <f>INSCRITOS_FORM!L92</f>
        <v/>
      </c>
      <c r="G92" s="23">
        <f t="array" ref="G92">IFERROR(INDEX(CONFIG!$A$22:$A$35,MATCH(F92,CONFIG!$B$22:$B$35,0)),0)</f>
        <v/>
      </c>
      <c r="H92" s="23">
        <f>INSCRITOS_FORM!M92</f>
        <v/>
      </c>
      <c r="I92" s="23">
        <f>INSCRITOS_FORM!O92</f>
        <v/>
      </c>
      <c r="J92" s="23">
        <f>INSCRITOS_FORM!J92</f>
        <v/>
      </c>
      <c r="K92" s="23">
        <f>INSCRITOS_FORM!K92</f>
        <v/>
      </c>
      <c r="L92" s="23">
        <f>INSCRITOS_FORM!U92</f>
        <v/>
      </c>
      <c r="M92" s="23">
        <f>INSCRITOS_FORM!V92</f>
        <v/>
      </c>
      <c r="N92" s="23">
        <f>INSCRITOS_FORM!W92</f>
        <v/>
      </c>
      <c r="O92" s="23">
        <f>INSCRITOS_FORM!X92</f>
        <v/>
      </c>
      <c r="P92" s="23">
        <f>INSCRITOS_FORM!AB92</f>
        <v/>
      </c>
      <c r="Q92" s="23">
        <f>IF(B92="","",IF(AND(OR(P92="Pagado",P92="Beca",P92="Invitado"),OR(L92="Sí",M92="Sí")),"Sí","No"))</f>
        <v/>
      </c>
      <c r="R92" s="23">
        <f>IF(AND(C92=TORNEO_ACTIVO!$B$3,Q92="Sí"),G92*10000-A92,-1)</f>
        <v/>
      </c>
    </row>
    <row r="93" ht="14.25" customHeight="1" s="72">
      <c r="A93" s="23">
        <f>IF(INSCRITOS_FORM!D93&lt;&gt;"",ROW()-4,"")</f>
        <v/>
      </c>
      <c r="B93" s="23">
        <f>INSCRITOS_FORM!AD93</f>
        <v/>
      </c>
      <c r="C93" s="23">
        <f>INSCRITOS_FORM!T93</f>
        <v/>
      </c>
      <c r="D93" s="23">
        <f>INSCRITOS_FORM!S93</f>
        <v/>
      </c>
      <c r="E93" s="23">
        <f>INSCRITOS_FORM!G93</f>
        <v/>
      </c>
      <c r="F93" s="23">
        <f>INSCRITOS_FORM!L93</f>
        <v/>
      </c>
      <c r="G93" s="23">
        <f t="array" ref="G93">IFERROR(INDEX(CONFIG!$A$22:$A$35,MATCH(F93,CONFIG!$B$22:$B$35,0)),0)</f>
        <v/>
      </c>
      <c r="H93" s="23">
        <f>INSCRITOS_FORM!M93</f>
        <v/>
      </c>
      <c r="I93" s="23">
        <f>INSCRITOS_FORM!O93</f>
        <v/>
      </c>
      <c r="J93" s="23">
        <f>INSCRITOS_FORM!J93</f>
        <v/>
      </c>
      <c r="K93" s="23">
        <f>INSCRITOS_FORM!K93</f>
        <v/>
      </c>
      <c r="L93" s="23">
        <f>INSCRITOS_FORM!U93</f>
        <v/>
      </c>
      <c r="M93" s="23">
        <f>INSCRITOS_FORM!V93</f>
        <v/>
      </c>
      <c r="N93" s="23">
        <f>INSCRITOS_FORM!W93</f>
        <v/>
      </c>
      <c r="O93" s="23">
        <f>INSCRITOS_FORM!X93</f>
        <v/>
      </c>
      <c r="P93" s="23">
        <f>INSCRITOS_FORM!AB93</f>
        <v/>
      </c>
      <c r="Q93" s="23">
        <f>IF(B93="","",IF(AND(OR(P93="Pagado",P93="Beca",P93="Invitado"),OR(L93="Sí",M93="Sí")),"Sí","No"))</f>
        <v/>
      </c>
      <c r="R93" s="23">
        <f>IF(AND(C93=TORNEO_ACTIVO!$B$3,Q93="Sí"),G93*10000-A93,-1)</f>
        <v/>
      </c>
    </row>
    <row r="94" ht="14.25" customHeight="1" s="72">
      <c r="A94" s="23">
        <f>IF(INSCRITOS_FORM!D94&lt;&gt;"",ROW()-4,"")</f>
        <v/>
      </c>
      <c r="B94" s="23">
        <f>INSCRITOS_FORM!AD94</f>
        <v/>
      </c>
      <c r="C94" s="23">
        <f>INSCRITOS_FORM!T94</f>
        <v/>
      </c>
      <c r="D94" s="23">
        <f>INSCRITOS_FORM!S94</f>
        <v/>
      </c>
      <c r="E94" s="23">
        <f>INSCRITOS_FORM!G94</f>
        <v/>
      </c>
      <c r="F94" s="23">
        <f>INSCRITOS_FORM!L94</f>
        <v/>
      </c>
      <c r="G94" s="23">
        <f t="array" ref="G94">IFERROR(INDEX(CONFIG!$A$22:$A$35,MATCH(F94,CONFIG!$B$22:$B$35,0)),0)</f>
        <v/>
      </c>
      <c r="H94" s="23">
        <f>INSCRITOS_FORM!M94</f>
        <v/>
      </c>
      <c r="I94" s="23">
        <f>INSCRITOS_FORM!O94</f>
        <v/>
      </c>
      <c r="J94" s="23">
        <f>INSCRITOS_FORM!J94</f>
        <v/>
      </c>
      <c r="K94" s="23">
        <f>INSCRITOS_FORM!K94</f>
        <v/>
      </c>
      <c r="L94" s="23">
        <f>INSCRITOS_FORM!U94</f>
        <v/>
      </c>
      <c r="M94" s="23">
        <f>INSCRITOS_FORM!V94</f>
        <v/>
      </c>
      <c r="N94" s="23">
        <f>INSCRITOS_FORM!W94</f>
        <v/>
      </c>
      <c r="O94" s="23">
        <f>INSCRITOS_FORM!X94</f>
        <v/>
      </c>
      <c r="P94" s="23">
        <f>INSCRITOS_FORM!AB94</f>
        <v/>
      </c>
      <c r="Q94" s="23">
        <f>IF(B94="","",IF(AND(OR(P94="Pagado",P94="Beca",P94="Invitado"),OR(L94="Sí",M94="Sí")),"Sí","No"))</f>
        <v/>
      </c>
      <c r="R94" s="23">
        <f>IF(AND(C94=TORNEO_ACTIVO!$B$3,Q94="Sí"),G94*10000-A94,-1)</f>
        <v/>
      </c>
    </row>
    <row r="95" ht="14.25" customHeight="1" s="72">
      <c r="A95" s="23">
        <f>IF(INSCRITOS_FORM!D95&lt;&gt;"",ROW()-4,"")</f>
        <v/>
      </c>
      <c r="B95" s="23">
        <f>INSCRITOS_FORM!AD95</f>
        <v/>
      </c>
      <c r="C95" s="23">
        <f>INSCRITOS_FORM!T95</f>
        <v/>
      </c>
      <c r="D95" s="23">
        <f>INSCRITOS_FORM!S95</f>
        <v/>
      </c>
      <c r="E95" s="23">
        <f>INSCRITOS_FORM!G95</f>
        <v/>
      </c>
      <c r="F95" s="23">
        <f>INSCRITOS_FORM!L95</f>
        <v/>
      </c>
      <c r="G95" s="23">
        <f t="array" ref="G95">IFERROR(INDEX(CONFIG!$A$22:$A$35,MATCH(F95,CONFIG!$B$22:$B$35,0)),0)</f>
        <v/>
      </c>
      <c r="H95" s="23">
        <f>INSCRITOS_FORM!M95</f>
        <v/>
      </c>
      <c r="I95" s="23">
        <f>INSCRITOS_FORM!O95</f>
        <v/>
      </c>
      <c r="J95" s="23">
        <f>INSCRITOS_FORM!J95</f>
        <v/>
      </c>
      <c r="K95" s="23">
        <f>INSCRITOS_FORM!K95</f>
        <v/>
      </c>
      <c r="L95" s="23">
        <f>INSCRITOS_FORM!U95</f>
        <v/>
      </c>
      <c r="M95" s="23">
        <f>INSCRITOS_FORM!V95</f>
        <v/>
      </c>
      <c r="N95" s="23">
        <f>INSCRITOS_FORM!W95</f>
        <v/>
      </c>
      <c r="O95" s="23">
        <f>INSCRITOS_FORM!X95</f>
        <v/>
      </c>
      <c r="P95" s="23">
        <f>INSCRITOS_FORM!AB95</f>
        <v/>
      </c>
      <c r="Q95" s="23">
        <f>IF(B95="","",IF(AND(OR(P95="Pagado",P95="Beca",P95="Invitado"),OR(L95="Sí",M95="Sí")),"Sí","No"))</f>
        <v/>
      </c>
      <c r="R95" s="23">
        <f>IF(AND(C95=TORNEO_ACTIVO!$B$3,Q95="Sí"),G95*10000-A95,-1)</f>
        <v/>
      </c>
    </row>
    <row r="96" ht="14.25" customHeight="1" s="72">
      <c r="A96" s="23">
        <f>IF(INSCRITOS_FORM!D96&lt;&gt;"",ROW()-4,"")</f>
        <v/>
      </c>
      <c r="B96" s="23">
        <f>INSCRITOS_FORM!AD96</f>
        <v/>
      </c>
      <c r="C96" s="23">
        <f>INSCRITOS_FORM!T96</f>
        <v/>
      </c>
      <c r="D96" s="23">
        <f>INSCRITOS_FORM!S96</f>
        <v/>
      </c>
      <c r="E96" s="23">
        <f>INSCRITOS_FORM!G96</f>
        <v/>
      </c>
      <c r="F96" s="23">
        <f>INSCRITOS_FORM!L96</f>
        <v/>
      </c>
      <c r="G96" s="23">
        <f t="array" ref="G96">IFERROR(INDEX(CONFIG!$A$22:$A$35,MATCH(F96,CONFIG!$B$22:$B$35,0)),0)</f>
        <v/>
      </c>
      <c r="H96" s="23">
        <f>INSCRITOS_FORM!M96</f>
        <v/>
      </c>
      <c r="I96" s="23">
        <f>INSCRITOS_FORM!O96</f>
        <v/>
      </c>
      <c r="J96" s="23">
        <f>INSCRITOS_FORM!J96</f>
        <v/>
      </c>
      <c r="K96" s="23">
        <f>INSCRITOS_FORM!K96</f>
        <v/>
      </c>
      <c r="L96" s="23">
        <f>INSCRITOS_FORM!U96</f>
        <v/>
      </c>
      <c r="M96" s="23">
        <f>INSCRITOS_FORM!V96</f>
        <v/>
      </c>
      <c r="N96" s="23">
        <f>INSCRITOS_FORM!W96</f>
        <v/>
      </c>
      <c r="O96" s="23">
        <f>INSCRITOS_FORM!X96</f>
        <v/>
      </c>
      <c r="P96" s="23">
        <f>INSCRITOS_FORM!AB96</f>
        <v/>
      </c>
      <c r="Q96" s="23">
        <f>IF(B96="","",IF(AND(OR(P96="Pagado",P96="Beca",P96="Invitado"),OR(L96="Sí",M96="Sí")),"Sí","No"))</f>
        <v/>
      </c>
      <c r="R96" s="23">
        <f>IF(AND(C96=TORNEO_ACTIVO!$B$3,Q96="Sí"),G96*10000-A96,-1)</f>
        <v/>
      </c>
    </row>
    <row r="97" ht="14.25" customHeight="1" s="72">
      <c r="A97" s="23">
        <f>IF(INSCRITOS_FORM!D97&lt;&gt;"",ROW()-4,"")</f>
        <v/>
      </c>
      <c r="B97" s="23">
        <f>INSCRITOS_FORM!AD97</f>
        <v/>
      </c>
      <c r="C97" s="23">
        <f>INSCRITOS_FORM!T97</f>
        <v/>
      </c>
      <c r="D97" s="23">
        <f>INSCRITOS_FORM!S97</f>
        <v/>
      </c>
      <c r="E97" s="23">
        <f>INSCRITOS_FORM!G97</f>
        <v/>
      </c>
      <c r="F97" s="23">
        <f>INSCRITOS_FORM!L97</f>
        <v/>
      </c>
      <c r="G97" s="23">
        <f t="array" ref="G97">IFERROR(INDEX(CONFIG!$A$22:$A$35,MATCH(F97,CONFIG!$B$22:$B$35,0)),0)</f>
        <v/>
      </c>
      <c r="H97" s="23">
        <f>INSCRITOS_FORM!M97</f>
        <v/>
      </c>
      <c r="I97" s="23">
        <f>INSCRITOS_FORM!O97</f>
        <v/>
      </c>
      <c r="J97" s="23">
        <f>INSCRITOS_FORM!J97</f>
        <v/>
      </c>
      <c r="K97" s="23">
        <f>INSCRITOS_FORM!K97</f>
        <v/>
      </c>
      <c r="L97" s="23">
        <f>INSCRITOS_FORM!U97</f>
        <v/>
      </c>
      <c r="M97" s="23">
        <f>INSCRITOS_FORM!V97</f>
        <v/>
      </c>
      <c r="N97" s="23">
        <f>INSCRITOS_FORM!W97</f>
        <v/>
      </c>
      <c r="O97" s="23">
        <f>INSCRITOS_FORM!X97</f>
        <v/>
      </c>
      <c r="P97" s="23">
        <f>INSCRITOS_FORM!AB97</f>
        <v/>
      </c>
      <c r="Q97" s="23">
        <f>IF(B97="","",IF(AND(OR(P97="Pagado",P97="Beca",P97="Invitado"),OR(L97="Sí",M97="Sí")),"Sí","No"))</f>
        <v/>
      </c>
      <c r="R97" s="23">
        <f>IF(AND(C97=TORNEO_ACTIVO!$B$3,Q97="Sí"),G97*10000-A97,-1)</f>
        <v/>
      </c>
    </row>
    <row r="98" ht="14.25" customHeight="1" s="72">
      <c r="A98" s="23">
        <f>IF(INSCRITOS_FORM!D98&lt;&gt;"",ROW()-4,"")</f>
        <v/>
      </c>
      <c r="B98" s="23">
        <f>INSCRITOS_FORM!AD98</f>
        <v/>
      </c>
      <c r="C98" s="23">
        <f>INSCRITOS_FORM!T98</f>
        <v/>
      </c>
      <c r="D98" s="23">
        <f>INSCRITOS_FORM!S98</f>
        <v/>
      </c>
      <c r="E98" s="23">
        <f>INSCRITOS_FORM!G98</f>
        <v/>
      </c>
      <c r="F98" s="23">
        <f>INSCRITOS_FORM!L98</f>
        <v/>
      </c>
      <c r="G98" s="23">
        <f t="array" ref="G98">IFERROR(INDEX(CONFIG!$A$22:$A$35,MATCH(F98,CONFIG!$B$22:$B$35,0)),0)</f>
        <v/>
      </c>
      <c r="H98" s="23">
        <f>INSCRITOS_FORM!M98</f>
        <v/>
      </c>
      <c r="I98" s="23">
        <f>INSCRITOS_FORM!O98</f>
        <v/>
      </c>
      <c r="J98" s="23">
        <f>INSCRITOS_FORM!J98</f>
        <v/>
      </c>
      <c r="K98" s="23">
        <f>INSCRITOS_FORM!K98</f>
        <v/>
      </c>
      <c r="L98" s="23">
        <f>INSCRITOS_FORM!U98</f>
        <v/>
      </c>
      <c r="M98" s="23">
        <f>INSCRITOS_FORM!V98</f>
        <v/>
      </c>
      <c r="N98" s="23">
        <f>INSCRITOS_FORM!W98</f>
        <v/>
      </c>
      <c r="O98" s="23">
        <f>INSCRITOS_FORM!X98</f>
        <v/>
      </c>
      <c r="P98" s="23">
        <f>INSCRITOS_FORM!AB98</f>
        <v/>
      </c>
      <c r="Q98" s="23">
        <f>IF(B98="","",IF(AND(OR(P98="Pagado",P98="Beca",P98="Invitado"),OR(L98="Sí",M98="Sí")),"Sí","No"))</f>
        <v/>
      </c>
      <c r="R98" s="23">
        <f>IF(AND(C98=TORNEO_ACTIVO!$B$3,Q98="Sí"),G98*10000-A98,-1)</f>
        <v/>
      </c>
    </row>
    <row r="99" ht="14.25" customHeight="1" s="72">
      <c r="A99" s="23">
        <f>IF(INSCRITOS_FORM!D99&lt;&gt;"",ROW()-4,"")</f>
        <v/>
      </c>
      <c r="B99" s="23">
        <f>INSCRITOS_FORM!AD99</f>
        <v/>
      </c>
      <c r="C99" s="23">
        <f>INSCRITOS_FORM!T99</f>
        <v/>
      </c>
      <c r="D99" s="23">
        <f>INSCRITOS_FORM!S99</f>
        <v/>
      </c>
      <c r="E99" s="23">
        <f>INSCRITOS_FORM!G99</f>
        <v/>
      </c>
      <c r="F99" s="23">
        <f>INSCRITOS_FORM!L99</f>
        <v/>
      </c>
      <c r="G99" s="23">
        <f t="array" ref="G99">IFERROR(INDEX(CONFIG!$A$22:$A$35,MATCH(F99,CONFIG!$B$22:$B$35,0)),0)</f>
        <v/>
      </c>
      <c r="H99" s="23">
        <f>INSCRITOS_FORM!M99</f>
        <v/>
      </c>
      <c r="I99" s="23">
        <f>INSCRITOS_FORM!O99</f>
        <v/>
      </c>
      <c r="J99" s="23">
        <f>INSCRITOS_FORM!J99</f>
        <v/>
      </c>
      <c r="K99" s="23">
        <f>INSCRITOS_FORM!K99</f>
        <v/>
      </c>
      <c r="L99" s="23">
        <f>INSCRITOS_FORM!U99</f>
        <v/>
      </c>
      <c r="M99" s="23">
        <f>INSCRITOS_FORM!V99</f>
        <v/>
      </c>
      <c r="N99" s="23">
        <f>INSCRITOS_FORM!W99</f>
        <v/>
      </c>
      <c r="O99" s="23">
        <f>INSCRITOS_FORM!X99</f>
        <v/>
      </c>
      <c r="P99" s="23">
        <f>INSCRITOS_FORM!AB99</f>
        <v/>
      </c>
      <c r="Q99" s="23">
        <f>IF(B99="","",IF(AND(OR(P99="Pagado",P99="Beca",P99="Invitado"),OR(L99="Sí",M99="Sí")),"Sí","No"))</f>
        <v/>
      </c>
      <c r="R99" s="23">
        <f>IF(AND(C99=TORNEO_ACTIVO!$B$3,Q99="Sí"),G99*10000-A99,-1)</f>
        <v/>
      </c>
    </row>
    <row r="100" ht="14.25" customHeight="1" s="72">
      <c r="A100" s="23">
        <f>IF(INSCRITOS_FORM!D100&lt;&gt;"",ROW()-4,"")</f>
        <v/>
      </c>
      <c r="B100" s="23">
        <f>INSCRITOS_FORM!AD100</f>
        <v/>
      </c>
      <c r="C100" s="23">
        <f>INSCRITOS_FORM!T100</f>
        <v/>
      </c>
      <c r="D100" s="23">
        <f>INSCRITOS_FORM!S100</f>
        <v/>
      </c>
      <c r="E100" s="23">
        <f>INSCRITOS_FORM!G100</f>
        <v/>
      </c>
      <c r="F100" s="23">
        <f>INSCRITOS_FORM!L100</f>
        <v/>
      </c>
      <c r="G100" s="23">
        <f t="array" ref="G100">IFERROR(INDEX(CONFIG!$A$22:$A$35,MATCH(F100,CONFIG!$B$22:$B$35,0)),0)</f>
        <v/>
      </c>
      <c r="H100" s="23">
        <f>INSCRITOS_FORM!M100</f>
        <v/>
      </c>
      <c r="I100" s="23">
        <f>INSCRITOS_FORM!O100</f>
        <v/>
      </c>
      <c r="J100" s="23">
        <f>INSCRITOS_FORM!J100</f>
        <v/>
      </c>
      <c r="K100" s="23">
        <f>INSCRITOS_FORM!K100</f>
        <v/>
      </c>
      <c r="L100" s="23">
        <f>INSCRITOS_FORM!U100</f>
        <v/>
      </c>
      <c r="M100" s="23">
        <f>INSCRITOS_FORM!V100</f>
        <v/>
      </c>
      <c r="N100" s="23">
        <f>INSCRITOS_FORM!W100</f>
        <v/>
      </c>
      <c r="O100" s="23">
        <f>INSCRITOS_FORM!X100</f>
        <v/>
      </c>
      <c r="P100" s="23">
        <f>INSCRITOS_FORM!AB100</f>
        <v/>
      </c>
      <c r="Q100" s="23">
        <f>IF(B100="","",IF(AND(OR(P100="Pagado",P100="Beca",P100="Invitado"),OR(L100="Sí",M100="Sí")),"Sí","No"))</f>
        <v/>
      </c>
      <c r="R100" s="23">
        <f>IF(AND(C100=TORNEO_ACTIVO!$B$3,Q100="Sí"),G100*10000-A100,-1)</f>
        <v/>
      </c>
    </row>
    <row r="101" ht="14.25" customHeight="1" s="72">
      <c r="A101" s="23">
        <f>IF(INSCRITOS_FORM!D101&lt;&gt;"",ROW()-4,"")</f>
        <v/>
      </c>
      <c r="B101" s="23">
        <f>INSCRITOS_FORM!AD101</f>
        <v/>
      </c>
      <c r="C101" s="23">
        <f>INSCRITOS_FORM!T101</f>
        <v/>
      </c>
      <c r="D101" s="23">
        <f>INSCRITOS_FORM!S101</f>
        <v/>
      </c>
      <c r="E101" s="23">
        <f>INSCRITOS_FORM!G101</f>
        <v/>
      </c>
      <c r="F101" s="23">
        <f>INSCRITOS_FORM!L101</f>
        <v/>
      </c>
      <c r="G101" s="23">
        <f t="array" ref="G101">IFERROR(INDEX(CONFIG!$A$22:$A$35,MATCH(F101,CONFIG!$B$22:$B$35,0)),0)</f>
        <v/>
      </c>
      <c r="H101" s="23">
        <f>INSCRITOS_FORM!M101</f>
        <v/>
      </c>
      <c r="I101" s="23">
        <f>INSCRITOS_FORM!O101</f>
        <v/>
      </c>
      <c r="J101" s="23">
        <f>INSCRITOS_FORM!J101</f>
        <v/>
      </c>
      <c r="K101" s="23">
        <f>INSCRITOS_FORM!K101</f>
        <v/>
      </c>
      <c r="L101" s="23">
        <f>INSCRITOS_FORM!U101</f>
        <v/>
      </c>
      <c r="M101" s="23">
        <f>INSCRITOS_FORM!V101</f>
        <v/>
      </c>
      <c r="N101" s="23">
        <f>INSCRITOS_FORM!W101</f>
        <v/>
      </c>
      <c r="O101" s="23">
        <f>INSCRITOS_FORM!X101</f>
        <v/>
      </c>
      <c r="P101" s="23">
        <f>INSCRITOS_FORM!AB101</f>
        <v/>
      </c>
      <c r="Q101" s="23">
        <f>IF(B101="","",IF(AND(OR(P101="Pagado",P101="Beca",P101="Invitado"),OR(L101="Sí",M101="Sí")),"Sí","No"))</f>
        <v/>
      </c>
      <c r="R101" s="23">
        <f>IF(AND(C101=TORNEO_ACTIVO!$B$3,Q101="Sí"),G101*10000-A101,-1)</f>
        <v/>
      </c>
    </row>
    <row r="102" ht="14.25" customHeight="1" s="72">
      <c r="A102" s="23">
        <f>IF(INSCRITOS_FORM!D102&lt;&gt;"",ROW()-4,"")</f>
        <v/>
      </c>
      <c r="B102" s="23">
        <f>INSCRITOS_FORM!AD102</f>
        <v/>
      </c>
      <c r="C102" s="23">
        <f>INSCRITOS_FORM!T102</f>
        <v/>
      </c>
      <c r="D102" s="23">
        <f>INSCRITOS_FORM!S102</f>
        <v/>
      </c>
      <c r="E102" s="23">
        <f>INSCRITOS_FORM!G102</f>
        <v/>
      </c>
      <c r="F102" s="23">
        <f>INSCRITOS_FORM!L102</f>
        <v/>
      </c>
      <c r="G102" s="23">
        <f t="array" ref="G102">IFERROR(INDEX(CONFIG!$A$22:$A$35,MATCH(F102,CONFIG!$B$22:$B$35,0)),0)</f>
        <v/>
      </c>
      <c r="H102" s="23">
        <f>INSCRITOS_FORM!M102</f>
        <v/>
      </c>
      <c r="I102" s="23">
        <f>INSCRITOS_FORM!O102</f>
        <v/>
      </c>
      <c r="J102" s="23">
        <f>INSCRITOS_FORM!J102</f>
        <v/>
      </c>
      <c r="K102" s="23">
        <f>INSCRITOS_FORM!K102</f>
        <v/>
      </c>
      <c r="L102" s="23">
        <f>INSCRITOS_FORM!U102</f>
        <v/>
      </c>
      <c r="M102" s="23">
        <f>INSCRITOS_FORM!V102</f>
        <v/>
      </c>
      <c r="N102" s="23">
        <f>INSCRITOS_FORM!W102</f>
        <v/>
      </c>
      <c r="O102" s="23">
        <f>INSCRITOS_FORM!X102</f>
        <v/>
      </c>
      <c r="P102" s="23">
        <f>INSCRITOS_FORM!AB102</f>
        <v/>
      </c>
      <c r="Q102" s="23">
        <f>IF(B102="","",IF(AND(OR(P102="Pagado",P102="Beca",P102="Invitado"),OR(L102="Sí",M102="Sí")),"Sí","No"))</f>
        <v/>
      </c>
      <c r="R102" s="23">
        <f>IF(AND(C102=TORNEO_ACTIVO!$B$3,Q102="Sí"),G102*10000-A102,-1)</f>
        <v/>
      </c>
    </row>
    <row r="103" ht="14.25" customHeight="1" s="72">
      <c r="A103" s="23">
        <f>IF(INSCRITOS_FORM!D103&lt;&gt;"",ROW()-4,"")</f>
        <v/>
      </c>
      <c r="B103" s="23">
        <f>INSCRITOS_FORM!AD103</f>
        <v/>
      </c>
      <c r="C103" s="23">
        <f>INSCRITOS_FORM!T103</f>
        <v/>
      </c>
      <c r="D103" s="23">
        <f>INSCRITOS_FORM!S103</f>
        <v/>
      </c>
      <c r="E103" s="23">
        <f>INSCRITOS_FORM!G103</f>
        <v/>
      </c>
      <c r="F103" s="23">
        <f>INSCRITOS_FORM!L103</f>
        <v/>
      </c>
      <c r="G103" s="23">
        <f t="array" ref="G103">IFERROR(INDEX(CONFIG!$A$22:$A$35,MATCH(F103,CONFIG!$B$22:$B$35,0)),0)</f>
        <v/>
      </c>
      <c r="H103" s="23">
        <f>INSCRITOS_FORM!M103</f>
        <v/>
      </c>
      <c r="I103" s="23">
        <f>INSCRITOS_FORM!O103</f>
        <v/>
      </c>
      <c r="J103" s="23">
        <f>INSCRITOS_FORM!J103</f>
        <v/>
      </c>
      <c r="K103" s="23">
        <f>INSCRITOS_FORM!K103</f>
        <v/>
      </c>
      <c r="L103" s="23">
        <f>INSCRITOS_FORM!U103</f>
        <v/>
      </c>
      <c r="M103" s="23">
        <f>INSCRITOS_FORM!V103</f>
        <v/>
      </c>
      <c r="N103" s="23">
        <f>INSCRITOS_FORM!W103</f>
        <v/>
      </c>
      <c r="O103" s="23">
        <f>INSCRITOS_FORM!X103</f>
        <v/>
      </c>
      <c r="P103" s="23">
        <f>INSCRITOS_FORM!AB103</f>
        <v/>
      </c>
      <c r="Q103" s="23">
        <f>IF(B103="","",IF(AND(OR(P103="Pagado",P103="Beca",P103="Invitado"),OR(L103="Sí",M103="Sí")),"Sí","No"))</f>
        <v/>
      </c>
      <c r="R103" s="23">
        <f>IF(AND(C103=TORNEO_ACTIVO!$B$3,Q103="Sí"),G103*10000-A103,-1)</f>
        <v/>
      </c>
    </row>
    <row r="104" ht="14.25" customHeight="1" s="72">
      <c r="A104" s="23">
        <f>IF(INSCRITOS_FORM!D104&lt;&gt;"",ROW()-4,"")</f>
        <v/>
      </c>
      <c r="B104" s="23">
        <f>INSCRITOS_FORM!AD104</f>
        <v/>
      </c>
      <c r="C104" s="23">
        <f>INSCRITOS_FORM!T104</f>
        <v/>
      </c>
      <c r="D104" s="23">
        <f>INSCRITOS_FORM!S104</f>
        <v/>
      </c>
      <c r="E104" s="23">
        <f>INSCRITOS_FORM!G104</f>
        <v/>
      </c>
      <c r="F104" s="23">
        <f>INSCRITOS_FORM!L104</f>
        <v/>
      </c>
      <c r="G104" s="23">
        <f t="array" ref="G104">IFERROR(INDEX(CONFIG!$A$22:$A$35,MATCH(F104,CONFIG!$B$22:$B$35,0)),0)</f>
        <v/>
      </c>
      <c r="H104" s="23">
        <f>INSCRITOS_FORM!M104</f>
        <v/>
      </c>
      <c r="I104" s="23">
        <f>INSCRITOS_FORM!O104</f>
        <v/>
      </c>
      <c r="J104" s="23">
        <f>INSCRITOS_FORM!J104</f>
        <v/>
      </c>
      <c r="K104" s="23">
        <f>INSCRITOS_FORM!K104</f>
        <v/>
      </c>
      <c r="L104" s="23">
        <f>INSCRITOS_FORM!U104</f>
        <v/>
      </c>
      <c r="M104" s="23">
        <f>INSCRITOS_FORM!V104</f>
        <v/>
      </c>
      <c r="N104" s="23">
        <f>INSCRITOS_FORM!W104</f>
        <v/>
      </c>
      <c r="O104" s="23">
        <f>INSCRITOS_FORM!X104</f>
        <v/>
      </c>
      <c r="P104" s="23">
        <f>INSCRITOS_FORM!AB104</f>
        <v/>
      </c>
      <c r="Q104" s="23">
        <f>IF(B104="","",IF(AND(OR(P104="Pagado",P104="Beca",P104="Invitado"),OR(L104="Sí",M104="Sí")),"Sí","No"))</f>
        <v/>
      </c>
      <c r="R104" s="23">
        <f>IF(AND(C104=TORNEO_ACTIVO!$B$3,Q104="Sí"),G104*10000-A104,-1)</f>
        <v/>
      </c>
    </row>
    <row r="105" ht="14.25" customHeight="1" s="72">
      <c r="A105" s="23">
        <f>IF(INSCRITOS_FORM!D105&lt;&gt;"",ROW()-4,"")</f>
        <v/>
      </c>
      <c r="B105" s="23">
        <f>INSCRITOS_FORM!AD105</f>
        <v/>
      </c>
      <c r="C105" s="23">
        <f>INSCRITOS_FORM!T105</f>
        <v/>
      </c>
      <c r="D105" s="23">
        <f>INSCRITOS_FORM!S105</f>
        <v/>
      </c>
      <c r="E105" s="23">
        <f>INSCRITOS_FORM!G105</f>
        <v/>
      </c>
      <c r="F105" s="23">
        <f>INSCRITOS_FORM!L105</f>
        <v/>
      </c>
      <c r="G105" s="23">
        <f t="array" ref="G105">IFERROR(INDEX(CONFIG!$A$22:$A$35,MATCH(F105,CONFIG!$B$22:$B$35,0)),0)</f>
        <v/>
      </c>
      <c r="H105" s="23">
        <f>INSCRITOS_FORM!M105</f>
        <v/>
      </c>
      <c r="I105" s="23">
        <f>INSCRITOS_FORM!O105</f>
        <v/>
      </c>
      <c r="J105" s="23">
        <f>INSCRITOS_FORM!J105</f>
        <v/>
      </c>
      <c r="K105" s="23">
        <f>INSCRITOS_FORM!K105</f>
        <v/>
      </c>
      <c r="L105" s="23">
        <f>INSCRITOS_FORM!U105</f>
        <v/>
      </c>
      <c r="M105" s="23">
        <f>INSCRITOS_FORM!V105</f>
        <v/>
      </c>
      <c r="N105" s="23">
        <f>INSCRITOS_FORM!W105</f>
        <v/>
      </c>
      <c r="O105" s="23">
        <f>INSCRITOS_FORM!X105</f>
        <v/>
      </c>
      <c r="P105" s="23">
        <f>INSCRITOS_FORM!AB105</f>
        <v/>
      </c>
      <c r="Q105" s="23">
        <f>IF(B105="","",IF(AND(OR(P105="Pagado",P105="Beca",P105="Invitado"),OR(L105="Sí",M105="Sí")),"Sí","No"))</f>
        <v/>
      </c>
      <c r="R105" s="23">
        <f>IF(AND(C105=TORNEO_ACTIVO!$B$3,Q105="Sí"),G105*10000-A105,-1)</f>
        <v/>
      </c>
    </row>
    <row r="106" ht="14.25" customHeight="1" s="72">
      <c r="A106" s="23">
        <f>IF(INSCRITOS_FORM!D106&lt;&gt;"",ROW()-4,"")</f>
        <v/>
      </c>
      <c r="B106" s="23">
        <f>INSCRITOS_FORM!AD106</f>
        <v/>
      </c>
      <c r="C106" s="23">
        <f>INSCRITOS_FORM!T106</f>
        <v/>
      </c>
      <c r="D106" s="23">
        <f>INSCRITOS_FORM!S106</f>
        <v/>
      </c>
      <c r="E106" s="23">
        <f>INSCRITOS_FORM!G106</f>
        <v/>
      </c>
      <c r="F106" s="23">
        <f>INSCRITOS_FORM!L106</f>
        <v/>
      </c>
      <c r="G106" s="23">
        <f t="array" ref="G106">IFERROR(INDEX(CONFIG!$A$22:$A$35,MATCH(F106,CONFIG!$B$22:$B$35,0)),0)</f>
        <v/>
      </c>
      <c r="H106" s="23">
        <f>INSCRITOS_FORM!M106</f>
        <v/>
      </c>
      <c r="I106" s="23">
        <f>INSCRITOS_FORM!O106</f>
        <v/>
      </c>
      <c r="J106" s="23">
        <f>INSCRITOS_FORM!J106</f>
        <v/>
      </c>
      <c r="K106" s="23">
        <f>INSCRITOS_FORM!K106</f>
        <v/>
      </c>
      <c r="L106" s="23">
        <f>INSCRITOS_FORM!U106</f>
        <v/>
      </c>
      <c r="M106" s="23">
        <f>INSCRITOS_FORM!V106</f>
        <v/>
      </c>
      <c r="N106" s="23">
        <f>INSCRITOS_FORM!W106</f>
        <v/>
      </c>
      <c r="O106" s="23">
        <f>INSCRITOS_FORM!X106</f>
        <v/>
      </c>
      <c r="P106" s="23">
        <f>INSCRITOS_FORM!AB106</f>
        <v/>
      </c>
      <c r="Q106" s="23">
        <f>IF(B106="","",IF(AND(OR(P106="Pagado",P106="Beca",P106="Invitado"),OR(L106="Sí",M106="Sí")),"Sí","No"))</f>
        <v/>
      </c>
      <c r="R106" s="23">
        <f>IF(AND(C106=TORNEO_ACTIVO!$B$3,Q106="Sí"),G106*10000-A106,-1)</f>
        <v/>
      </c>
    </row>
    <row r="107" ht="14.25" customHeight="1" s="72">
      <c r="A107" s="23">
        <f>IF(INSCRITOS_FORM!D107&lt;&gt;"",ROW()-4,"")</f>
        <v/>
      </c>
      <c r="B107" s="23">
        <f>INSCRITOS_FORM!AD107</f>
        <v/>
      </c>
      <c r="C107" s="23">
        <f>INSCRITOS_FORM!T107</f>
        <v/>
      </c>
      <c r="D107" s="23">
        <f>INSCRITOS_FORM!S107</f>
        <v/>
      </c>
      <c r="E107" s="23">
        <f>INSCRITOS_FORM!G107</f>
        <v/>
      </c>
      <c r="F107" s="23">
        <f>INSCRITOS_FORM!L107</f>
        <v/>
      </c>
      <c r="G107" s="23">
        <f t="array" ref="G107">IFERROR(INDEX(CONFIG!$A$22:$A$35,MATCH(F107,CONFIG!$B$22:$B$35,0)),0)</f>
        <v/>
      </c>
      <c r="H107" s="23">
        <f>INSCRITOS_FORM!M107</f>
        <v/>
      </c>
      <c r="I107" s="23">
        <f>INSCRITOS_FORM!O107</f>
        <v/>
      </c>
      <c r="J107" s="23">
        <f>INSCRITOS_FORM!J107</f>
        <v/>
      </c>
      <c r="K107" s="23">
        <f>INSCRITOS_FORM!K107</f>
        <v/>
      </c>
      <c r="L107" s="23">
        <f>INSCRITOS_FORM!U107</f>
        <v/>
      </c>
      <c r="M107" s="23">
        <f>INSCRITOS_FORM!V107</f>
        <v/>
      </c>
      <c r="N107" s="23">
        <f>INSCRITOS_FORM!W107</f>
        <v/>
      </c>
      <c r="O107" s="23">
        <f>INSCRITOS_FORM!X107</f>
        <v/>
      </c>
      <c r="P107" s="23">
        <f>INSCRITOS_FORM!AB107</f>
        <v/>
      </c>
      <c r="Q107" s="23">
        <f>IF(B107="","",IF(AND(OR(P107="Pagado",P107="Beca",P107="Invitado"),OR(L107="Sí",M107="Sí")),"Sí","No"))</f>
        <v/>
      </c>
      <c r="R107" s="23">
        <f>IF(AND(C107=TORNEO_ACTIVO!$B$3,Q107="Sí"),G107*10000-A107,-1)</f>
        <v/>
      </c>
    </row>
    <row r="108" ht="14.25" customHeight="1" s="72">
      <c r="A108" s="23">
        <f>IF(INSCRITOS_FORM!D108&lt;&gt;"",ROW()-4,"")</f>
        <v/>
      </c>
      <c r="B108" s="23">
        <f>INSCRITOS_FORM!AD108</f>
        <v/>
      </c>
      <c r="C108" s="23">
        <f>INSCRITOS_FORM!T108</f>
        <v/>
      </c>
      <c r="D108" s="23">
        <f>INSCRITOS_FORM!S108</f>
        <v/>
      </c>
      <c r="E108" s="23">
        <f>INSCRITOS_FORM!G108</f>
        <v/>
      </c>
      <c r="F108" s="23">
        <f>INSCRITOS_FORM!L108</f>
        <v/>
      </c>
      <c r="G108" s="23">
        <f t="array" ref="G108">IFERROR(INDEX(CONFIG!$A$22:$A$35,MATCH(F108,CONFIG!$B$22:$B$35,0)),0)</f>
        <v/>
      </c>
      <c r="H108" s="23">
        <f>INSCRITOS_FORM!M108</f>
        <v/>
      </c>
      <c r="I108" s="23">
        <f>INSCRITOS_FORM!O108</f>
        <v/>
      </c>
      <c r="J108" s="23">
        <f>INSCRITOS_FORM!J108</f>
        <v/>
      </c>
      <c r="K108" s="23">
        <f>INSCRITOS_FORM!K108</f>
        <v/>
      </c>
      <c r="L108" s="23">
        <f>INSCRITOS_FORM!U108</f>
        <v/>
      </c>
      <c r="M108" s="23">
        <f>INSCRITOS_FORM!V108</f>
        <v/>
      </c>
      <c r="N108" s="23">
        <f>INSCRITOS_FORM!W108</f>
        <v/>
      </c>
      <c r="O108" s="23">
        <f>INSCRITOS_FORM!X108</f>
        <v/>
      </c>
      <c r="P108" s="23">
        <f>INSCRITOS_FORM!AB108</f>
        <v/>
      </c>
      <c r="Q108" s="23">
        <f>IF(B108="","",IF(AND(OR(P108="Pagado",P108="Beca",P108="Invitado"),OR(L108="Sí",M108="Sí")),"Sí","No"))</f>
        <v/>
      </c>
      <c r="R108" s="23">
        <f>IF(AND(C108=TORNEO_ACTIVO!$B$3,Q108="Sí"),G108*10000-A108,-1)</f>
        <v/>
      </c>
    </row>
    <row r="109" ht="14.25" customHeight="1" s="72">
      <c r="A109" s="23">
        <f>IF(INSCRITOS_FORM!D109&lt;&gt;"",ROW()-4,"")</f>
        <v/>
      </c>
      <c r="B109" s="23">
        <f>INSCRITOS_FORM!AD109</f>
        <v/>
      </c>
      <c r="C109" s="23">
        <f>INSCRITOS_FORM!T109</f>
        <v/>
      </c>
      <c r="D109" s="23">
        <f>INSCRITOS_FORM!S109</f>
        <v/>
      </c>
      <c r="E109" s="23">
        <f>INSCRITOS_FORM!G109</f>
        <v/>
      </c>
      <c r="F109" s="23">
        <f>INSCRITOS_FORM!L109</f>
        <v/>
      </c>
      <c r="G109" s="23">
        <f t="array" ref="G109">IFERROR(INDEX(CONFIG!$A$22:$A$35,MATCH(F109,CONFIG!$B$22:$B$35,0)),0)</f>
        <v/>
      </c>
      <c r="H109" s="23">
        <f>INSCRITOS_FORM!M109</f>
        <v/>
      </c>
      <c r="I109" s="23">
        <f>INSCRITOS_FORM!O109</f>
        <v/>
      </c>
      <c r="J109" s="23">
        <f>INSCRITOS_FORM!J109</f>
        <v/>
      </c>
      <c r="K109" s="23">
        <f>INSCRITOS_FORM!K109</f>
        <v/>
      </c>
      <c r="L109" s="23">
        <f>INSCRITOS_FORM!U109</f>
        <v/>
      </c>
      <c r="M109" s="23">
        <f>INSCRITOS_FORM!V109</f>
        <v/>
      </c>
      <c r="N109" s="23">
        <f>INSCRITOS_FORM!W109</f>
        <v/>
      </c>
      <c r="O109" s="23">
        <f>INSCRITOS_FORM!X109</f>
        <v/>
      </c>
      <c r="P109" s="23">
        <f>INSCRITOS_FORM!AB109</f>
        <v/>
      </c>
      <c r="Q109" s="23">
        <f>IF(B109="","",IF(AND(OR(P109="Pagado",P109="Beca",P109="Invitado"),OR(L109="Sí",M109="Sí")),"Sí","No"))</f>
        <v/>
      </c>
      <c r="R109" s="23">
        <f>IF(AND(C109=TORNEO_ACTIVO!$B$3,Q109="Sí"),G109*10000-A109,-1)</f>
        <v/>
      </c>
    </row>
    <row r="110" ht="14.25" customHeight="1" s="72">
      <c r="A110" s="23">
        <f>IF(INSCRITOS_FORM!D110&lt;&gt;"",ROW()-4,"")</f>
        <v/>
      </c>
      <c r="B110" s="23">
        <f>INSCRITOS_FORM!AD110</f>
        <v/>
      </c>
      <c r="C110" s="23">
        <f>INSCRITOS_FORM!T110</f>
        <v/>
      </c>
      <c r="D110" s="23">
        <f>INSCRITOS_FORM!S110</f>
        <v/>
      </c>
      <c r="E110" s="23">
        <f>INSCRITOS_FORM!G110</f>
        <v/>
      </c>
      <c r="F110" s="23">
        <f>INSCRITOS_FORM!L110</f>
        <v/>
      </c>
      <c r="G110" s="23">
        <f t="array" ref="G110">IFERROR(INDEX(CONFIG!$A$22:$A$35,MATCH(F110,CONFIG!$B$22:$B$35,0)),0)</f>
        <v/>
      </c>
      <c r="H110" s="23">
        <f>INSCRITOS_FORM!M110</f>
        <v/>
      </c>
      <c r="I110" s="23">
        <f>INSCRITOS_FORM!O110</f>
        <v/>
      </c>
      <c r="J110" s="23">
        <f>INSCRITOS_FORM!J110</f>
        <v/>
      </c>
      <c r="K110" s="23">
        <f>INSCRITOS_FORM!K110</f>
        <v/>
      </c>
      <c r="L110" s="23">
        <f>INSCRITOS_FORM!U110</f>
        <v/>
      </c>
      <c r="M110" s="23">
        <f>INSCRITOS_FORM!V110</f>
        <v/>
      </c>
      <c r="N110" s="23">
        <f>INSCRITOS_FORM!W110</f>
        <v/>
      </c>
      <c r="O110" s="23">
        <f>INSCRITOS_FORM!X110</f>
        <v/>
      </c>
      <c r="P110" s="23">
        <f>INSCRITOS_FORM!AB110</f>
        <v/>
      </c>
      <c r="Q110" s="23">
        <f>IF(B110="","",IF(AND(OR(P110="Pagado",P110="Beca",P110="Invitado"),OR(L110="Sí",M110="Sí")),"Sí","No"))</f>
        <v/>
      </c>
      <c r="R110" s="23">
        <f>IF(AND(C110=TORNEO_ACTIVO!$B$3,Q110="Sí"),G110*10000-A110,-1)</f>
        <v/>
      </c>
    </row>
    <row r="111" ht="14.25" customHeight="1" s="72">
      <c r="A111" s="23">
        <f>IF(INSCRITOS_FORM!D111&lt;&gt;"",ROW()-4,"")</f>
        <v/>
      </c>
      <c r="B111" s="23">
        <f>INSCRITOS_FORM!AD111</f>
        <v/>
      </c>
      <c r="C111" s="23">
        <f>INSCRITOS_FORM!T111</f>
        <v/>
      </c>
      <c r="D111" s="23">
        <f>INSCRITOS_FORM!S111</f>
        <v/>
      </c>
      <c r="E111" s="23">
        <f>INSCRITOS_FORM!G111</f>
        <v/>
      </c>
      <c r="F111" s="23">
        <f>INSCRITOS_FORM!L111</f>
        <v/>
      </c>
      <c r="G111" s="23">
        <f t="array" ref="G111">IFERROR(INDEX(CONFIG!$A$22:$A$35,MATCH(F111,CONFIG!$B$22:$B$35,0)),0)</f>
        <v/>
      </c>
      <c r="H111" s="23">
        <f>INSCRITOS_FORM!M111</f>
        <v/>
      </c>
      <c r="I111" s="23">
        <f>INSCRITOS_FORM!O111</f>
        <v/>
      </c>
      <c r="J111" s="23">
        <f>INSCRITOS_FORM!J111</f>
        <v/>
      </c>
      <c r="K111" s="23">
        <f>INSCRITOS_FORM!K111</f>
        <v/>
      </c>
      <c r="L111" s="23">
        <f>INSCRITOS_FORM!U111</f>
        <v/>
      </c>
      <c r="M111" s="23">
        <f>INSCRITOS_FORM!V111</f>
        <v/>
      </c>
      <c r="N111" s="23">
        <f>INSCRITOS_FORM!W111</f>
        <v/>
      </c>
      <c r="O111" s="23">
        <f>INSCRITOS_FORM!X111</f>
        <v/>
      </c>
      <c r="P111" s="23">
        <f>INSCRITOS_FORM!AB111</f>
        <v/>
      </c>
      <c r="Q111" s="23">
        <f>IF(B111="","",IF(AND(OR(P111="Pagado",P111="Beca",P111="Invitado"),OR(L111="Sí",M111="Sí")),"Sí","No"))</f>
        <v/>
      </c>
      <c r="R111" s="23">
        <f>IF(AND(C111=TORNEO_ACTIVO!$B$3,Q111="Sí"),G111*10000-A111,-1)</f>
        <v/>
      </c>
    </row>
    <row r="112" ht="14.25" customHeight="1" s="72">
      <c r="A112" s="23">
        <f>IF(INSCRITOS_FORM!D112&lt;&gt;"",ROW()-4,"")</f>
        <v/>
      </c>
      <c r="B112" s="23">
        <f>INSCRITOS_FORM!AD112</f>
        <v/>
      </c>
      <c r="C112" s="23">
        <f>INSCRITOS_FORM!T112</f>
        <v/>
      </c>
      <c r="D112" s="23">
        <f>INSCRITOS_FORM!S112</f>
        <v/>
      </c>
      <c r="E112" s="23">
        <f>INSCRITOS_FORM!G112</f>
        <v/>
      </c>
      <c r="F112" s="23">
        <f>INSCRITOS_FORM!L112</f>
        <v/>
      </c>
      <c r="G112" s="23">
        <f t="array" ref="G112">IFERROR(INDEX(CONFIG!$A$22:$A$35,MATCH(F112,CONFIG!$B$22:$B$35,0)),0)</f>
        <v/>
      </c>
      <c r="H112" s="23">
        <f>INSCRITOS_FORM!M112</f>
        <v/>
      </c>
      <c r="I112" s="23">
        <f>INSCRITOS_FORM!O112</f>
        <v/>
      </c>
      <c r="J112" s="23">
        <f>INSCRITOS_FORM!J112</f>
        <v/>
      </c>
      <c r="K112" s="23">
        <f>INSCRITOS_FORM!K112</f>
        <v/>
      </c>
      <c r="L112" s="23">
        <f>INSCRITOS_FORM!U112</f>
        <v/>
      </c>
      <c r="M112" s="23">
        <f>INSCRITOS_FORM!V112</f>
        <v/>
      </c>
      <c r="N112" s="23">
        <f>INSCRITOS_FORM!W112</f>
        <v/>
      </c>
      <c r="O112" s="23">
        <f>INSCRITOS_FORM!X112</f>
        <v/>
      </c>
      <c r="P112" s="23">
        <f>INSCRITOS_FORM!AB112</f>
        <v/>
      </c>
      <c r="Q112" s="23">
        <f>IF(B112="","",IF(AND(OR(P112="Pagado",P112="Beca",P112="Invitado"),OR(L112="Sí",M112="Sí")),"Sí","No"))</f>
        <v/>
      </c>
      <c r="R112" s="23">
        <f>IF(AND(C112=TORNEO_ACTIVO!$B$3,Q112="Sí"),G112*10000-A112,-1)</f>
        <v/>
      </c>
    </row>
    <row r="113" ht="14.25" customHeight="1" s="72">
      <c r="A113" s="23">
        <f>IF(INSCRITOS_FORM!D113&lt;&gt;"",ROW()-4,"")</f>
        <v/>
      </c>
      <c r="B113" s="23">
        <f>INSCRITOS_FORM!AD113</f>
        <v/>
      </c>
      <c r="C113" s="23">
        <f>INSCRITOS_FORM!T113</f>
        <v/>
      </c>
      <c r="D113" s="23">
        <f>INSCRITOS_FORM!S113</f>
        <v/>
      </c>
      <c r="E113" s="23">
        <f>INSCRITOS_FORM!G113</f>
        <v/>
      </c>
      <c r="F113" s="23">
        <f>INSCRITOS_FORM!L113</f>
        <v/>
      </c>
      <c r="G113" s="23">
        <f t="array" ref="G113">IFERROR(INDEX(CONFIG!$A$22:$A$35,MATCH(F113,CONFIG!$B$22:$B$35,0)),0)</f>
        <v/>
      </c>
      <c r="H113" s="23">
        <f>INSCRITOS_FORM!M113</f>
        <v/>
      </c>
      <c r="I113" s="23">
        <f>INSCRITOS_FORM!O113</f>
        <v/>
      </c>
      <c r="J113" s="23">
        <f>INSCRITOS_FORM!J113</f>
        <v/>
      </c>
      <c r="K113" s="23">
        <f>INSCRITOS_FORM!K113</f>
        <v/>
      </c>
      <c r="L113" s="23">
        <f>INSCRITOS_FORM!U113</f>
        <v/>
      </c>
      <c r="M113" s="23">
        <f>INSCRITOS_FORM!V113</f>
        <v/>
      </c>
      <c r="N113" s="23">
        <f>INSCRITOS_FORM!W113</f>
        <v/>
      </c>
      <c r="O113" s="23">
        <f>INSCRITOS_FORM!X113</f>
        <v/>
      </c>
      <c r="P113" s="23">
        <f>INSCRITOS_FORM!AB113</f>
        <v/>
      </c>
      <c r="Q113" s="23">
        <f>IF(B113="","",IF(AND(OR(P113="Pagado",P113="Beca",P113="Invitado"),OR(L113="Sí",M113="Sí")),"Sí","No"))</f>
        <v/>
      </c>
      <c r="R113" s="23">
        <f>IF(AND(C113=TORNEO_ACTIVO!$B$3,Q113="Sí"),G113*10000-A113,-1)</f>
        <v/>
      </c>
    </row>
    <row r="114" ht="14.25" customHeight="1" s="72">
      <c r="A114" s="23">
        <f>IF(INSCRITOS_FORM!D114&lt;&gt;"",ROW()-4,"")</f>
        <v/>
      </c>
      <c r="B114" s="23">
        <f>INSCRITOS_FORM!AD114</f>
        <v/>
      </c>
      <c r="C114" s="23">
        <f>INSCRITOS_FORM!T114</f>
        <v/>
      </c>
      <c r="D114" s="23">
        <f>INSCRITOS_FORM!S114</f>
        <v/>
      </c>
      <c r="E114" s="23">
        <f>INSCRITOS_FORM!G114</f>
        <v/>
      </c>
      <c r="F114" s="23">
        <f>INSCRITOS_FORM!L114</f>
        <v/>
      </c>
      <c r="G114" s="23">
        <f t="array" ref="G114">IFERROR(INDEX(CONFIG!$A$22:$A$35,MATCH(F114,CONFIG!$B$22:$B$35,0)),0)</f>
        <v/>
      </c>
      <c r="H114" s="23">
        <f>INSCRITOS_FORM!M114</f>
        <v/>
      </c>
      <c r="I114" s="23">
        <f>INSCRITOS_FORM!O114</f>
        <v/>
      </c>
      <c r="J114" s="23">
        <f>INSCRITOS_FORM!J114</f>
        <v/>
      </c>
      <c r="K114" s="23">
        <f>INSCRITOS_FORM!K114</f>
        <v/>
      </c>
      <c r="L114" s="23">
        <f>INSCRITOS_FORM!U114</f>
        <v/>
      </c>
      <c r="M114" s="23">
        <f>INSCRITOS_FORM!V114</f>
        <v/>
      </c>
      <c r="N114" s="23">
        <f>INSCRITOS_FORM!W114</f>
        <v/>
      </c>
      <c r="O114" s="23">
        <f>INSCRITOS_FORM!X114</f>
        <v/>
      </c>
      <c r="P114" s="23">
        <f>INSCRITOS_FORM!AB114</f>
        <v/>
      </c>
      <c r="Q114" s="23">
        <f>IF(B114="","",IF(AND(OR(P114="Pagado",P114="Beca",P114="Invitado"),OR(L114="Sí",M114="Sí")),"Sí","No"))</f>
        <v/>
      </c>
      <c r="R114" s="23">
        <f>IF(AND(C114=TORNEO_ACTIVO!$B$3,Q114="Sí"),G114*10000-A114,-1)</f>
        <v/>
      </c>
    </row>
    <row r="115" ht="14.25" customHeight="1" s="72">
      <c r="A115" s="23">
        <f>IF(INSCRITOS_FORM!D115&lt;&gt;"",ROW()-4,"")</f>
        <v/>
      </c>
      <c r="B115" s="23">
        <f>INSCRITOS_FORM!AD115</f>
        <v/>
      </c>
      <c r="C115" s="23">
        <f>INSCRITOS_FORM!T115</f>
        <v/>
      </c>
      <c r="D115" s="23">
        <f>INSCRITOS_FORM!S115</f>
        <v/>
      </c>
      <c r="E115" s="23">
        <f>INSCRITOS_FORM!G115</f>
        <v/>
      </c>
      <c r="F115" s="23">
        <f>INSCRITOS_FORM!L115</f>
        <v/>
      </c>
      <c r="G115" s="23">
        <f t="array" ref="G115">IFERROR(INDEX(CONFIG!$A$22:$A$35,MATCH(F115,CONFIG!$B$22:$B$35,0)),0)</f>
        <v/>
      </c>
      <c r="H115" s="23">
        <f>INSCRITOS_FORM!M115</f>
        <v/>
      </c>
      <c r="I115" s="23">
        <f>INSCRITOS_FORM!O115</f>
        <v/>
      </c>
      <c r="J115" s="23">
        <f>INSCRITOS_FORM!J115</f>
        <v/>
      </c>
      <c r="K115" s="23">
        <f>INSCRITOS_FORM!K115</f>
        <v/>
      </c>
      <c r="L115" s="23">
        <f>INSCRITOS_FORM!U115</f>
        <v/>
      </c>
      <c r="M115" s="23">
        <f>INSCRITOS_FORM!V115</f>
        <v/>
      </c>
      <c r="N115" s="23">
        <f>INSCRITOS_FORM!W115</f>
        <v/>
      </c>
      <c r="O115" s="23">
        <f>INSCRITOS_FORM!X115</f>
        <v/>
      </c>
      <c r="P115" s="23">
        <f>INSCRITOS_FORM!AB115</f>
        <v/>
      </c>
      <c r="Q115" s="23">
        <f>IF(B115="","",IF(AND(OR(P115="Pagado",P115="Beca",P115="Invitado"),OR(L115="Sí",M115="Sí")),"Sí","No"))</f>
        <v/>
      </c>
      <c r="R115" s="23">
        <f>IF(AND(C115=TORNEO_ACTIVO!$B$3,Q115="Sí"),G115*10000-A115,-1)</f>
        <v/>
      </c>
    </row>
    <row r="116" ht="14.25" customHeight="1" s="72">
      <c r="A116" s="23">
        <f>IF(INSCRITOS_FORM!D116&lt;&gt;"",ROW()-4,"")</f>
        <v/>
      </c>
      <c r="B116" s="23">
        <f>INSCRITOS_FORM!AD116</f>
        <v/>
      </c>
      <c r="C116" s="23">
        <f>INSCRITOS_FORM!T116</f>
        <v/>
      </c>
      <c r="D116" s="23">
        <f>INSCRITOS_FORM!S116</f>
        <v/>
      </c>
      <c r="E116" s="23">
        <f>INSCRITOS_FORM!G116</f>
        <v/>
      </c>
      <c r="F116" s="23">
        <f>INSCRITOS_FORM!L116</f>
        <v/>
      </c>
      <c r="G116" s="23">
        <f t="array" ref="G116">IFERROR(INDEX(CONFIG!$A$22:$A$35,MATCH(F116,CONFIG!$B$22:$B$35,0)),0)</f>
        <v/>
      </c>
      <c r="H116" s="23">
        <f>INSCRITOS_FORM!M116</f>
        <v/>
      </c>
      <c r="I116" s="23">
        <f>INSCRITOS_FORM!O116</f>
        <v/>
      </c>
      <c r="J116" s="23">
        <f>INSCRITOS_FORM!J116</f>
        <v/>
      </c>
      <c r="K116" s="23">
        <f>INSCRITOS_FORM!K116</f>
        <v/>
      </c>
      <c r="L116" s="23">
        <f>INSCRITOS_FORM!U116</f>
        <v/>
      </c>
      <c r="M116" s="23">
        <f>INSCRITOS_FORM!V116</f>
        <v/>
      </c>
      <c r="N116" s="23">
        <f>INSCRITOS_FORM!W116</f>
        <v/>
      </c>
      <c r="O116" s="23">
        <f>INSCRITOS_FORM!X116</f>
        <v/>
      </c>
      <c r="P116" s="23">
        <f>INSCRITOS_FORM!AB116</f>
        <v/>
      </c>
      <c r="Q116" s="23">
        <f>IF(B116="","",IF(AND(OR(P116="Pagado",P116="Beca",P116="Invitado"),OR(L116="Sí",M116="Sí")),"Sí","No"))</f>
        <v/>
      </c>
      <c r="R116" s="23">
        <f>IF(AND(C116=TORNEO_ACTIVO!$B$3,Q116="Sí"),G116*10000-A116,-1)</f>
        <v/>
      </c>
    </row>
    <row r="117" ht="14.25" customHeight="1" s="72">
      <c r="A117" s="23">
        <f>IF(INSCRITOS_FORM!D117&lt;&gt;"",ROW()-4,"")</f>
        <v/>
      </c>
      <c r="B117" s="23">
        <f>INSCRITOS_FORM!AD117</f>
        <v/>
      </c>
      <c r="C117" s="23">
        <f>INSCRITOS_FORM!T117</f>
        <v/>
      </c>
      <c r="D117" s="23">
        <f>INSCRITOS_FORM!S117</f>
        <v/>
      </c>
      <c r="E117" s="23">
        <f>INSCRITOS_FORM!G117</f>
        <v/>
      </c>
      <c r="F117" s="23">
        <f>INSCRITOS_FORM!L117</f>
        <v/>
      </c>
      <c r="G117" s="23">
        <f t="array" ref="G117">IFERROR(INDEX(CONFIG!$A$22:$A$35,MATCH(F117,CONFIG!$B$22:$B$35,0)),0)</f>
        <v/>
      </c>
      <c r="H117" s="23">
        <f>INSCRITOS_FORM!M117</f>
        <v/>
      </c>
      <c r="I117" s="23">
        <f>INSCRITOS_FORM!O117</f>
        <v/>
      </c>
      <c r="J117" s="23">
        <f>INSCRITOS_FORM!J117</f>
        <v/>
      </c>
      <c r="K117" s="23">
        <f>INSCRITOS_FORM!K117</f>
        <v/>
      </c>
      <c r="L117" s="23">
        <f>INSCRITOS_FORM!U117</f>
        <v/>
      </c>
      <c r="M117" s="23">
        <f>INSCRITOS_FORM!V117</f>
        <v/>
      </c>
      <c r="N117" s="23">
        <f>INSCRITOS_FORM!W117</f>
        <v/>
      </c>
      <c r="O117" s="23">
        <f>INSCRITOS_FORM!X117</f>
        <v/>
      </c>
      <c r="P117" s="23">
        <f>INSCRITOS_FORM!AB117</f>
        <v/>
      </c>
      <c r="Q117" s="23">
        <f>IF(B117="","",IF(AND(OR(P117="Pagado",P117="Beca",P117="Invitado"),OR(L117="Sí",M117="Sí")),"Sí","No"))</f>
        <v/>
      </c>
      <c r="R117" s="23">
        <f>IF(AND(C117=TORNEO_ACTIVO!$B$3,Q117="Sí"),G117*10000-A117,-1)</f>
        <v/>
      </c>
    </row>
    <row r="118" ht="14.25" customHeight="1" s="72">
      <c r="A118" s="23">
        <f>IF(INSCRITOS_FORM!D118&lt;&gt;"",ROW()-4,"")</f>
        <v/>
      </c>
      <c r="B118" s="23">
        <f>INSCRITOS_FORM!AD118</f>
        <v/>
      </c>
      <c r="C118" s="23">
        <f>INSCRITOS_FORM!T118</f>
        <v/>
      </c>
      <c r="D118" s="23">
        <f>INSCRITOS_FORM!S118</f>
        <v/>
      </c>
      <c r="E118" s="23">
        <f>INSCRITOS_FORM!G118</f>
        <v/>
      </c>
      <c r="F118" s="23">
        <f>INSCRITOS_FORM!L118</f>
        <v/>
      </c>
      <c r="G118" s="23">
        <f t="array" ref="G118">IFERROR(INDEX(CONFIG!$A$22:$A$35,MATCH(F118,CONFIG!$B$22:$B$35,0)),0)</f>
        <v/>
      </c>
      <c r="H118" s="23">
        <f>INSCRITOS_FORM!M118</f>
        <v/>
      </c>
      <c r="I118" s="23">
        <f>INSCRITOS_FORM!O118</f>
        <v/>
      </c>
      <c r="J118" s="23">
        <f>INSCRITOS_FORM!J118</f>
        <v/>
      </c>
      <c r="K118" s="23">
        <f>INSCRITOS_FORM!K118</f>
        <v/>
      </c>
      <c r="L118" s="23">
        <f>INSCRITOS_FORM!U118</f>
        <v/>
      </c>
      <c r="M118" s="23">
        <f>INSCRITOS_FORM!V118</f>
        <v/>
      </c>
      <c r="N118" s="23">
        <f>INSCRITOS_FORM!W118</f>
        <v/>
      </c>
      <c r="O118" s="23">
        <f>INSCRITOS_FORM!X118</f>
        <v/>
      </c>
      <c r="P118" s="23">
        <f>INSCRITOS_FORM!AB118</f>
        <v/>
      </c>
      <c r="Q118" s="23">
        <f>IF(B118="","",IF(AND(OR(P118="Pagado",P118="Beca",P118="Invitado"),OR(L118="Sí",M118="Sí")),"Sí","No"))</f>
        <v/>
      </c>
      <c r="R118" s="23">
        <f>IF(AND(C118=TORNEO_ACTIVO!$B$3,Q118="Sí"),G118*10000-A118,-1)</f>
        <v/>
      </c>
    </row>
    <row r="119" ht="14.25" customHeight="1" s="72">
      <c r="A119" s="23">
        <f>IF(INSCRITOS_FORM!D119&lt;&gt;"",ROW()-4,"")</f>
        <v/>
      </c>
      <c r="B119" s="23">
        <f>INSCRITOS_FORM!AD119</f>
        <v/>
      </c>
      <c r="C119" s="23">
        <f>INSCRITOS_FORM!T119</f>
        <v/>
      </c>
      <c r="D119" s="23">
        <f>INSCRITOS_FORM!S119</f>
        <v/>
      </c>
      <c r="E119" s="23">
        <f>INSCRITOS_FORM!G119</f>
        <v/>
      </c>
      <c r="F119" s="23">
        <f>INSCRITOS_FORM!L119</f>
        <v/>
      </c>
      <c r="G119" s="23">
        <f t="array" ref="G119">IFERROR(INDEX(CONFIG!$A$22:$A$35,MATCH(F119,CONFIG!$B$22:$B$35,0)),0)</f>
        <v/>
      </c>
      <c r="H119" s="23">
        <f>INSCRITOS_FORM!M119</f>
        <v/>
      </c>
      <c r="I119" s="23">
        <f>INSCRITOS_FORM!O119</f>
        <v/>
      </c>
      <c r="J119" s="23">
        <f>INSCRITOS_FORM!J119</f>
        <v/>
      </c>
      <c r="K119" s="23">
        <f>INSCRITOS_FORM!K119</f>
        <v/>
      </c>
      <c r="L119" s="23">
        <f>INSCRITOS_FORM!U119</f>
        <v/>
      </c>
      <c r="M119" s="23">
        <f>INSCRITOS_FORM!V119</f>
        <v/>
      </c>
      <c r="N119" s="23">
        <f>INSCRITOS_FORM!W119</f>
        <v/>
      </c>
      <c r="O119" s="23">
        <f>INSCRITOS_FORM!X119</f>
        <v/>
      </c>
      <c r="P119" s="23">
        <f>INSCRITOS_FORM!AB119</f>
        <v/>
      </c>
      <c r="Q119" s="23">
        <f>IF(B119="","",IF(AND(OR(P119="Pagado",P119="Beca",P119="Invitado"),OR(L119="Sí",M119="Sí")),"Sí","No"))</f>
        <v/>
      </c>
      <c r="R119" s="23">
        <f>IF(AND(C119=TORNEO_ACTIVO!$B$3,Q119="Sí"),G119*10000-A119,-1)</f>
        <v/>
      </c>
    </row>
    <row r="120" ht="14.25" customHeight="1" s="72">
      <c r="A120" s="23">
        <f>IF(INSCRITOS_FORM!D120&lt;&gt;"",ROW()-4,"")</f>
        <v/>
      </c>
      <c r="B120" s="23">
        <f>INSCRITOS_FORM!AD120</f>
        <v/>
      </c>
      <c r="C120" s="23">
        <f>INSCRITOS_FORM!T120</f>
        <v/>
      </c>
      <c r="D120" s="23">
        <f>INSCRITOS_FORM!S120</f>
        <v/>
      </c>
      <c r="E120" s="23">
        <f>INSCRITOS_FORM!G120</f>
        <v/>
      </c>
      <c r="F120" s="23">
        <f>INSCRITOS_FORM!L120</f>
        <v/>
      </c>
      <c r="G120" s="23">
        <f t="array" ref="G120">IFERROR(INDEX(CONFIG!$A$22:$A$35,MATCH(F120,CONFIG!$B$22:$B$35,0)),0)</f>
        <v/>
      </c>
      <c r="H120" s="23">
        <f>INSCRITOS_FORM!M120</f>
        <v/>
      </c>
      <c r="I120" s="23">
        <f>INSCRITOS_FORM!O120</f>
        <v/>
      </c>
      <c r="J120" s="23">
        <f>INSCRITOS_FORM!J120</f>
        <v/>
      </c>
      <c r="K120" s="23">
        <f>INSCRITOS_FORM!K120</f>
        <v/>
      </c>
      <c r="L120" s="23">
        <f>INSCRITOS_FORM!U120</f>
        <v/>
      </c>
      <c r="M120" s="23">
        <f>INSCRITOS_FORM!V120</f>
        <v/>
      </c>
      <c r="N120" s="23">
        <f>INSCRITOS_FORM!W120</f>
        <v/>
      </c>
      <c r="O120" s="23">
        <f>INSCRITOS_FORM!X120</f>
        <v/>
      </c>
      <c r="P120" s="23">
        <f>INSCRITOS_FORM!AB120</f>
        <v/>
      </c>
      <c r="Q120" s="23">
        <f>IF(B120="","",IF(AND(OR(P120="Pagado",P120="Beca",P120="Invitado"),OR(L120="Sí",M120="Sí")),"Sí","No"))</f>
        <v/>
      </c>
      <c r="R120" s="23">
        <f>IF(AND(C120=TORNEO_ACTIVO!$B$3,Q120="Sí"),G120*10000-A120,-1)</f>
        <v/>
      </c>
    </row>
    <row r="121" ht="14.25" customHeight="1" s="72">
      <c r="A121" s="23">
        <f>IF(INSCRITOS_FORM!D121&lt;&gt;"",ROW()-4,"")</f>
        <v/>
      </c>
      <c r="B121" s="23">
        <f>INSCRITOS_FORM!AD121</f>
        <v/>
      </c>
      <c r="C121" s="23">
        <f>INSCRITOS_FORM!T121</f>
        <v/>
      </c>
      <c r="D121" s="23">
        <f>INSCRITOS_FORM!S121</f>
        <v/>
      </c>
      <c r="E121" s="23">
        <f>INSCRITOS_FORM!G121</f>
        <v/>
      </c>
      <c r="F121" s="23">
        <f>INSCRITOS_FORM!L121</f>
        <v/>
      </c>
      <c r="G121" s="23">
        <f t="array" ref="G121">IFERROR(INDEX(CONFIG!$A$22:$A$35,MATCH(F121,CONFIG!$B$22:$B$35,0)),0)</f>
        <v/>
      </c>
      <c r="H121" s="23">
        <f>INSCRITOS_FORM!M121</f>
        <v/>
      </c>
      <c r="I121" s="23">
        <f>INSCRITOS_FORM!O121</f>
        <v/>
      </c>
      <c r="J121" s="23">
        <f>INSCRITOS_FORM!J121</f>
        <v/>
      </c>
      <c r="K121" s="23">
        <f>INSCRITOS_FORM!K121</f>
        <v/>
      </c>
      <c r="L121" s="23">
        <f>INSCRITOS_FORM!U121</f>
        <v/>
      </c>
      <c r="M121" s="23">
        <f>INSCRITOS_FORM!V121</f>
        <v/>
      </c>
      <c r="N121" s="23">
        <f>INSCRITOS_FORM!W121</f>
        <v/>
      </c>
      <c r="O121" s="23">
        <f>INSCRITOS_FORM!X121</f>
        <v/>
      </c>
      <c r="P121" s="23">
        <f>INSCRITOS_FORM!AB121</f>
        <v/>
      </c>
      <c r="Q121" s="23">
        <f>IF(B121="","",IF(AND(OR(P121="Pagado",P121="Beca",P121="Invitado"),OR(L121="Sí",M121="Sí")),"Sí","No"))</f>
        <v/>
      </c>
      <c r="R121" s="23">
        <f>IF(AND(C121=TORNEO_ACTIVO!$B$3,Q121="Sí"),G121*10000-A121,-1)</f>
        <v/>
      </c>
    </row>
    <row r="122" ht="14.25" customHeight="1" s="72">
      <c r="A122" s="23">
        <f>IF(INSCRITOS_FORM!D122&lt;&gt;"",ROW()-4,"")</f>
        <v/>
      </c>
      <c r="B122" s="23">
        <f>INSCRITOS_FORM!AD122</f>
        <v/>
      </c>
      <c r="C122" s="23">
        <f>INSCRITOS_FORM!T122</f>
        <v/>
      </c>
      <c r="D122" s="23">
        <f>INSCRITOS_FORM!S122</f>
        <v/>
      </c>
      <c r="E122" s="23">
        <f>INSCRITOS_FORM!G122</f>
        <v/>
      </c>
      <c r="F122" s="23">
        <f>INSCRITOS_FORM!L122</f>
        <v/>
      </c>
      <c r="G122" s="23">
        <f t="array" ref="G122">IFERROR(INDEX(CONFIG!$A$22:$A$35,MATCH(F122,CONFIG!$B$22:$B$35,0)),0)</f>
        <v/>
      </c>
      <c r="H122" s="23">
        <f>INSCRITOS_FORM!M122</f>
        <v/>
      </c>
      <c r="I122" s="23">
        <f>INSCRITOS_FORM!O122</f>
        <v/>
      </c>
      <c r="J122" s="23">
        <f>INSCRITOS_FORM!J122</f>
        <v/>
      </c>
      <c r="K122" s="23">
        <f>INSCRITOS_FORM!K122</f>
        <v/>
      </c>
      <c r="L122" s="23">
        <f>INSCRITOS_FORM!U122</f>
        <v/>
      </c>
      <c r="M122" s="23">
        <f>INSCRITOS_FORM!V122</f>
        <v/>
      </c>
      <c r="N122" s="23">
        <f>INSCRITOS_FORM!W122</f>
        <v/>
      </c>
      <c r="O122" s="23">
        <f>INSCRITOS_FORM!X122</f>
        <v/>
      </c>
      <c r="P122" s="23">
        <f>INSCRITOS_FORM!AB122</f>
        <v/>
      </c>
      <c r="Q122" s="23">
        <f>IF(B122="","",IF(AND(OR(P122="Pagado",P122="Beca",P122="Invitado"),OR(L122="Sí",M122="Sí")),"Sí","No"))</f>
        <v/>
      </c>
      <c r="R122" s="23">
        <f>IF(AND(C122=TORNEO_ACTIVO!$B$3,Q122="Sí"),G122*10000-A122,-1)</f>
        <v/>
      </c>
    </row>
    <row r="123" ht="14.25" customHeight="1" s="72">
      <c r="A123" s="23">
        <f>IF(INSCRITOS_FORM!D123&lt;&gt;"",ROW()-4,"")</f>
        <v/>
      </c>
      <c r="B123" s="23">
        <f>INSCRITOS_FORM!AD123</f>
        <v/>
      </c>
      <c r="C123" s="23">
        <f>INSCRITOS_FORM!T123</f>
        <v/>
      </c>
      <c r="D123" s="23">
        <f>INSCRITOS_FORM!S123</f>
        <v/>
      </c>
      <c r="E123" s="23">
        <f>INSCRITOS_FORM!G123</f>
        <v/>
      </c>
      <c r="F123" s="23">
        <f>INSCRITOS_FORM!L123</f>
        <v/>
      </c>
      <c r="G123" s="23">
        <f t="array" ref="G123">IFERROR(INDEX(CONFIG!$A$22:$A$35,MATCH(F123,CONFIG!$B$22:$B$35,0)),0)</f>
        <v/>
      </c>
      <c r="H123" s="23">
        <f>INSCRITOS_FORM!M123</f>
        <v/>
      </c>
      <c r="I123" s="23">
        <f>INSCRITOS_FORM!O123</f>
        <v/>
      </c>
      <c r="J123" s="23">
        <f>INSCRITOS_FORM!J123</f>
        <v/>
      </c>
      <c r="K123" s="23">
        <f>INSCRITOS_FORM!K123</f>
        <v/>
      </c>
      <c r="L123" s="23">
        <f>INSCRITOS_FORM!U123</f>
        <v/>
      </c>
      <c r="M123" s="23">
        <f>INSCRITOS_FORM!V123</f>
        <v/>
      </c>
      <c r="N123" s="23">
        <f>INSCRITOS_FORM!W123</f>
        <v/>
      </c>
      <c r="O123" s="23">
        <f>INSCRITOS_FORM!X123</f>
        <v/>
      </c>
      <c r="P123" s="23">
        <f>INSCRITOS_FORM!AB123</f>
        <v/>
      </c>
      <c r="Q123" s="23">
        <f>IF(B123="","",IF(AND(OR(P123="Pagado",P123="Beca",P123="Invitado"),OR(L123="Sí",M123="Sí")),"Sí","No"))</f>
        <v/>
      </c>
      <c r="R123" s="23">
        <f>IF(AND(C123=TORNEO_ACTIVO!$B$3,Q123="Sí"),G123*10000-A123,-1)</f>
        <v/>
      </c>
    </row>
    <row r="124" ht="14.25" customHeight="1" s="72">
      <c r="A124" s="23">
        <f>IF(INSCRITOS_FORM!D124&lt;&gt;"",ROW()-4,"")</f>
        <v/>
      </c>
      <c r="B124" s="23">
        <f>INSCRITOS_FORM!AD124</f>
        <v/>
      </c>
      <c r="C124" s="23">
        <f>INSCRITOS_FORM!T124</f>
        <v/>
      </c>
      <c r="D124" s="23">
        <f>INSCRITOS_FORM!S124</f>
        <v/>
      </c>
      <c r="E124" s="23">
        <f>INSCRITOS_FORM!G124</f>
        <v/>
      </c>
      <c r="F124" s="23">
        <f>INSCRITOS_FORM!L124</f>
        <v/>
      </c>
      <c r="G124" s="23">
        <f t="array" ref="G124">IFERROR(INDEX(CONFIG!$A$22:$A$35,MATCH(F124,CONFIG!$B$22:$B$35,0)),0)</f>
        <v/>
      </c>
      <c r="H124" s="23">
        <f>INSCRITOS_FORM!M124</f>
        <v/>
      </c>
      <c r="I124" s="23">
        <f>INSCRITOS_FORM!O124</f>
        <v/>
      </c>
      <c r="J124" s="23">
        <f>INSCRITOS_FORM!J124</f>
        <v/>
      </c>
      <c r="K124" s="23">
        <f>INSCRITOS_FORM!K124</f>
        <v/>
      </c>
      <c r="L124" s="23">
        <f>INSCRITOS_FORM!U124</f>
        <v/>
      </c>
      <c r="M124" s="23">
        <f>INSCRITOS_FORM!V124</f>
        <v/>
      </c>
      <c r="N124" s="23">
        <f>INSCRITOS_FORM!W124</f>
        <v/>
      </c>
      <c r="O124" s="23">
        <f>INSCRITOS_FORM!X124</f>
        <v/>
      </c>
      <c r="P124" s="23">
        <f>INSCRITOS_FORM!AB124</f>
        <v/>
      </c>
      <c r="Q124" s="23">
        <f>IF(B124="","",IF(AND(OR(P124="Pagado",P124="Beca",P124="Invitado"),OR(L124="Sí",M124="Sí")),"Sí","No"))</f>
        <v/>
      </c>
      <c r="R124" s="23">
        <f>IF(AND(C124=TORNEO_ACTIVO!$B$3,Q124="Sí"),G124*10000-A124,-1)</f>
        <v/>
      </c>
    </row>
    <row r="125" ht="14.25" customHeight="1" s="72">
      <c r="A125" s="23">
        <f>IF(INSCRITOS_FORM!D125&lt;&gt;"",ROW()-4,"")</f>
        <v/>
      </c>
      <c r="B125" s="23">
        <f>INSCRITOS_FORM!AD125</f>
        <v/>
      </c>
      <c r="C125" s="23">
        <f>INSCRITOS_FORM!T125</f>
        <v/>
      </c>
      <c r="D125" s="23">
        <f>INSCRITOS_FORM!S125</f>
        <v/>
      </c>
      <c r="E125" s="23">
        <f>INSCRITOS_FORM!G125</f>
        <v/>
      </c>
      <c r="F125" s="23">
        <f>INSCRITOS_FORM!L125</f>
        <v/>
      </c>
      <c r="G125" s="23">
        <f t="array" ref="G125">IFERROR(INDEX(CONFIG!$A$22:$A$35,MATCH(F125,CONFIG!$B$22:$B$35,0)),0)</f>
        <v/>
      </c>
      <c r="H125" s="23">
        <f>INSCRITOS_FORM!M125</f>
        <v/>
      </c>
      <c r="I125" s="23">
        <f>INSCRITOS_FORM!O125</f>
        <v/>
      </c>
      <c r="J125" s="23">
        <f>INSCRITOS_FORM!J125</f>
        <v/>
      </c>
      <c r="K125" s="23">
        <f>INSCRITOS_FORM!K125</f>
        <v/>
      </c>
      <c r="L125" s="23">
        <f>INSCRITOS_FORM!U125</f>
        <v/>
      </c>
      <c r="M125" s="23">
        <f>INSCRITOS_FORM!V125</f>
        <v/>
      </c>
      <c r="N125" s="23">
        <f>INSCRITOS_FORM!W125</f>
        <v/>
      </c>
      <c r="O125" s="23">
        <f>INSCRITOS_FORM!X125</f>
        <v/>
      </c>
      <c r="P125" s="23">
        <f>INSCRITOS_FORM!AB125</f>
        <v/>
      </c>
      <c r="Q125" s="23">
        <f>IF(B125="","",IF(AND(OR(P125="Pagado",P125="Beca",P125="Invitado"),OR(L125="Sí",M125="Sí")),"Sí","No"))</f>
        <v/>
      </c>
      <c r="R125" s="23">
        <f>IF(AND(C125=TORNEO_ACTIVO!$B$3,Q125="Sí"),G125*10000-A125,-1)</f>
        <v/>
      </c>
    </row>
    <row r="126" ht="14.25" customHeight="1" s="72">
      <c r="A126" s="23">
        <f>IF(INSCRITOS_FORM!D126&lt;&gt;"",ROW()-4,"")</f>
        <v/>
      </c>
      <c r="B126" s="23">
        <f>INSCRITOS_FORM!AD126</f>
        <v/>
      </c>
      <c r="C126" s="23">
        <f>INSCRITOS_FORM!T126</f>
        <v/>
      </c>
      <c r="D126" s="23">
        <f>INSCRITOS_FORM!S126</f>
        <v/>
      </c>
      <c r="E126" s="23">
        <f>INSCRITOS_FORM!G126</f>
        <v/>
      </c>
      <c r="F126" s="23">
        <f>INSCRITOS_FORM!L126</f>
        <v/>
      </c>
      <c r="G126" s="23">
        <f t="array" ref="G126">IFERROR(INDEX(CONFIG!$A$22:$A$35,MATCH(F126,CONFIG!$B$22:$B$35,0)),0)</f>
        <v/>
      </c>
      <c r="H126" s="23">
        <f>INSCRITOS_FORM!M126</f>
        <v/>
      </c>
      <c r="I126" s="23">
        <f>INSCRITOS_FORM!O126</f>
        <v/>
      </c>
      <c r="J126" s="23">
        <f>INSCRITOS_FORM!J126</f>
        <v/>
      </c>
      <c r="K126" s="23">
        <f>INSCRITOS_FORM!K126</f>
        <v/>
      </c>
      <c r="L126" s="23">
        <f>INSCRITOS_FORM!U126</f>
        <v/>
      </c>
      <c r="M126" s="23">
        <f>INSCRITOS_FORM!V126</f>
        <v/>
      </c>
      <c r="N126" s="23">
        <f>INSCRITOS_FORM!W126</f>
        <v/>
      </c>
      <c r="O126" s="23">
        <f>INSCRITOS_FORM!X126</f>
        <v/>
      </c>
      <c r="P126" s="23">
        <f>INSCRITOS_FORM!AB126</f>
        <v/>
      </c>
      <c r="Q126" s="23">
        <f>IF(B126="","",IF(AND(OR(P126="Pagado",P126="Beca",P126="Invitado"),OR(L126="Sí",M126="Sí")),"Sí","No"))</f>
        <v/>
      </c>
      <c r="R126" s="23">
        <f>IF(AND(C126=TORNEO_ACTIVO!$B$3,Q126="Sí"),G126*10000-A126,-1)</f>
        <v/>
      </c>
    </row>
    <row r="127" ht="14.25" customHeight="1" s="72">
      <c r="A127" s="23">
        <f>IF(INSCRITOS_FORM!D127&lt;&gt;"",ROW()-4,"")</f>
        <v/>
      </c>
      <c r="B127" s="23">
        <f>INSCRITOS_FORM!AD127</f>
        <v/>
      </c>
      <c r="C127" s="23">
        <f>INSCRITOS_FORM!T127</f>
        <v/>
      </c>
      <c r="D127" s="23">
        <f>INSCRITOS_FORM!S127</f>
        <v/>
      </c>
      <c r="E127" s="23">
        <f>INSCRITOS_FORM!G127</f>
        <v/>
      </c>
      <c r="F127" s="23">
        <f>INSCRITOS_FORM!L127</f>
        <v/>
      </c>
      <c r="G127" s="23">
        <f t="array" ref="G127">IFERROR(INDEX(CONFIG!$A$22:$A$35,MATCH(F127,CONFIG!$B$22:$B$35,0)),0)</f>
        <v/>
      </c>
      <c r="H127" s="23">
        <f>INSCRITOS_FORM!M127</f>
        <v/>
      </c>
      <c r="I127" s="23">
        <f>INSCRITOS_FORM!O127</f>
        <v/>
      </c>
      <c r="J127" s="23">
        <f>INSCRITOS_FORM!J127</f>
        <v/>
      </c>
      <c r="K127" s="23">
        <f>INSCRITOS_FORM!K127</f>
        <v/>
      </c>
      <c r="L127" s="23">
        <f>INSCRITOS_FORM!U127</f>
        <v/>
      </c>
      <c r="M127" s="23">
        <f>INSCRITOS_FORM!V127</f>
        <v/>
      </c>
      <c r="N127" s="23">
        <f>INSCRITOS_FORM!W127</f>
        <v/>
      </c>
      <c r="O127" s="23">
        <f>INSCRITOS_FORM!X127</f>
        <v/>
      </c>
      <c r="P127" s="23">
        <f>INSCRITOS_FORM!AB127</f>
        <v/>
      </c>
      <c r="Q127" s="23">
        <f>IF(B127="","",IF(AND(OR(P127="Pagado",P127="Beca",P127="Invitado"),OR(L127="Sí",M127="Sí")),"Sí","No"))</f>
        <v/>
      </c>
      <c r="R127" s="23">
        <f>IF(AND(C127=TORNEO_ACTIVO!$B$3,Q127="Sí"),G127*10000-A127,-1)</f>
        <v/>
      </c>
    </row>
    <row r="128" ht="14.25" customHeight="1" s="72">
      <c r="A128" s="23">
        <f>IF(INSCRITOS_FORM!D128&lt;&gt;"",ROW()-4,"")</f>
        <v/>
      </c>
      <c r="B128" s="23">
        <f>INSCRITOS_FORM!AD128</f>
        <v/>
      </c>
      <c r="C128" s="23">
        <f>INSCRITOS_FORM!T128</f>
        <v/>
      </c>
      <c r="D128" s="23">
        <f>INSCRITOS_FORM!S128</f>
        <v/>
      </c>
      <c r="E128" s="23">
        <f>INSCRITOS_FORM!G128</f>
        <v/>
      </c>
      <c r="F128" s="23">
        <f>INSCRITOS_FORM!L128</f>
        <v/>
      </c>
      <c r="G128" s="23">
        <f t="array" ref="G128">IFERROR(INDEX(CONFIG!$A$22:$A$35,MATCH(F128,CONFIG!$B$22:$B$35,0)),0)</f>
        <v/>
      </c>
      <c r="H128" s="23">
        <f>INSCRITOS_FORM!M128</f>
        <v/>
      </c>
      <c r="I128" s="23">
        <f>INSCRITOS_FORM!O128</f>
        <v/>
      </c>
      <c r="J128" s="23">
        <f>INSCRITOS_FORM!J128</f>
        <v/>
      </c>
      <c r="K128" s="23">
        <f>INSCRITOS_FORM!K128</f>
        <v/>
      </c>
      <c r="L128" s="23">
        <f>INSCRITOS_FORM!U128</f>
        <v/>
      </c>
      <c r="M128" s="23">
        <f>INSCRITOS_FORM!V128</f>
        <v/>
      </c>
      <c r="N128" s="23">
        <f>INSCRITOS_FORM!W128</f>
        <v/>
      </c>
      <c r="O128" s="23">
        <f>INSCRITOS_FORM!X128</f>
        <v/>
      </c>
      <c r="P128" s="23">
        <f>INSCRITOS_FORM!AB128</f>
        <v/>
      </c>
      <c r="Q128" s="23">
        <f>IF(B128="","",IF(AND(OR(P128="Pagado",P128="Beca",P128="Invitado"),OR(L128="Sí",M128="Sí")),"Sí","No"))</f>
        <v/>
      </c>
      <c r="R128" s="23">
        <f>IF(AND(C128=TORNEO_ACTIVO!$B$3,Q128="Sí"),G128*10000-A128,-1)</f>
        <v/>
      </c>
    </row>
    <row r="129" ht="14.25" customHeight="1" s="72">
      <c r="A129" s="23">
        <f>IF(INSCRITOS_FORM!D129&lt;&gt;"",ROW()-4,"")</f>
        <v/>
      </c>
      <c r="B129" s="23">
        <f>INSCRITOS_FORM!AD129</f>
        <v/>
      </c>
      <c r="C129" s="23">
        <f>INSCRITOS_FORM!T129</f>
        <v/>
      </c>
      <c r="D129" s="23">
        <f>INSCRITOS_FORM!S129</f>
        <v/>
      </c>
      <c r="E129" s="23">
        <f>INSCRITOS_FORM!G129</f>
        <v/>
      </c>
      <c r="F129" s="23">
        <f>INSCRITOS_FORM!L129</f>
        <v/>
      </c>
      <c r="G129" s="23">
        <f t="array" ref="G129">IFERROR(INDEX(CONFIG!$A$22:$A$35,MATCH(F129,CONFIG!$B$22:$B$35,0)),0)</f>
        <v/>
      </c>
      <c r="H129" s="23">
        <f>INSCRITOS_FORM!M129</f>
        <v/>
      </c>
      <c r="I129" s="23">
        <f>INSCRITOS_FORM!O129</f>
        <v/>
      </c>
      <c r="J129" s="23">
        <f>INSCRITOS_FORM!J129</f>
        <v/>
      </c>
      <c r="K129" s="23">
        <f>INSCRITOS_FORM!K129</f>
        <v/>
      </c>
      <c r="L129" s="23">
        <f>INSCRITOS_FORM!U129</f>
        <v/>
      </c>
      <c r="M129" s="23">
        <f>INSCRITOS_FORM!V129</f>
        <v/>
      </c>
      <c r="N129" s="23">
        <f>INSCRITOS_FORM!W129</f>
        <v/>
      </c>
      <c r="O129" s="23">
        <f>INSCRITOS_FORM!X129</f>
        <v/>
      </c>
      <c r="P129" s="23">
        <f>INSCRITOS_FORM!AB129</f>
        <v/>
      </c>
      <c r="Q129" s="23">
        <f>IF(B129="","",IF(AND(OR(P129="Pagado",P129="Beca",P129="Invitado"),OR(L129="Sí",M129="Sí")),"Sí","No"))</f>
        <v/>
      </c>
      <c r="R129" s="23">
        <f>IF(AND(C129=TORNEO_ACTIVO!$B$3,Q129="Sí"),G129*10000-A129,-1)</f>
        <v/>
      </c>
    </row>
    <row r="130" ht="14.25" customHeight="1" s="72">
      <c r="A130" s="23">
        <f>IF(INSCRITOS_FORM!D130&lt;&gt;"",ROW()-4,"")</f>
        <v/>
      </c>
      <c r="B130" s="23">
        <f>INSCRITOS_FORM!AD130</f>
        <v/>
      </c>
      <c r="C130" s="23">
        <f>INSCRITOS_FORM!T130</f>
        <v/>
      </c>
      <c r="D130" s="23">
        <f>INSCRITOS_FORM!S130</f>
        <v/>
      </c>
      <c r="E130" s="23">
        <f>INSCRITOS_FORM!G130</f>
        <v/>
      </c>
      <c r="F130" s="23">
        <f>INSCRITOS_FORM!L130</f>
        <v/>
      </c>
      <c r="G130" s="23">
        <f t="array" ref="G130">IFERROR(INDEX(CONFIG!$A$22:$A$35,MATCH(F130,CONFIG!$B$22:$B$35,0)),0)</f>
        <v/>
      </c>
      <c r="H130" s="23">
        <f>INSCRITOS_FORM!M130</f>
        <v/>
      </c>
      <c r="I130" s="23">
        <f>INSCRITOS_FORM!O130</f>
        <v/>
      </c>
      <c r="J130" s="23">
        <f>INSCRITOS_FORM!J130</f>
        <v/>
      </c>
      <c r="K130" s="23">
        <f>INSCRITOS_FORM!K130</f>
        <v/>
      </c>
      <c r="L130" s="23">
        <f>INSCRITOS_FORM!U130</f>
        <v/>
      </c>
      <c r="M130" s="23">
        <f>INSCRITOS_FORM!V130</f>
        <v/>
      </c>
      <c r="N130" s="23">
        <f>INSCRITOS_FORM!W130</f>
        <v/>
      </c>
      <c r="O130" s="23">
        <f>INSCRITOS_FORM!X130</f>
        <v/>
      </c>
      <c r="P130" s="23">
        <f>INSCRITOS_FORM!AB130</f>
        <v/>
      </c>
      <c r="Q130" s="23">
        <f>IF(B130="","",IF(AND(OR(P130="Pagado",P130="Beca",P130="Invitado"),OR(L130="Sí",M130="Sí")),"Sí","No"))</f>
        <v/>
      </c>
      <c r="R130" s="23">
        <f>IF(AND(C130=TORNEO_ACTIVO!$B$3,Q130="Sí"),G130*10000-A130,-1)</f>
        <v/>
      </c>
    </row>
    <row r="131" ht="14.25" customHeight="1" s="72">
      <c r="A131" s="23">
        <f>IF(INSCRITOS_FORM!D131&lt;&gt;"",ROW()-4,"")</f>
        <v/>
      </c>
      <c r="B131" s="23">
        <f>INSCRITOS_FORM!AD131</f>
        <v/>
      </c>
      <c r="C131" s="23">
        <f>INSCRITOS_FORM!T131</f>
        <v/>
      </c>
      <c r="D131" s="23">
        <f>INSCRITOS_FORM!S131</f>
        <v/>
      </c>
      <c r="E131" s="23">
        <f>INSCRITOS_FORM!G131</f>
        <v/>
      </c>
      <c r="F131" s="23">
        <f>INSCRITOS_FORM!L131</f>
        <v/>
      </c>
      <c r="G131" s="23">
        <f t="array" ref="G131">IFERROR(INDEX(CONFIG!$A$22:$A$35,MATCH(F131,CONFIG!$B$22:$B$35,0)),0)</f>
        <v/>
      </c>
      <c r="H131" s="23">
        <f>INSCRITOS_FORM!M131</f>
        <v/>
      </c>
      <c r="I131" s="23">
        <f>INSCRITOS_FORM!O131</f>
        <v/>
      </c>
      <c r="J131" s="23">
        <f>INSCRITOS_FORM!J131</f>
        <v/>
      </c>
      <c r="K131" s="23">
        <f>INSCRITOS_FORM!K131</f>
        <v/>
      </c>
      <c r="L131" s="23">
        <f>INSCRITOS_FORM!U131</f>
        <v/>
      </c>
      <c r="M131" s="23">
        <f>INSCRITOS_FORM!V131</f>
        <v/>
      </c>
      <c r="N131" s="23">
        <f>INSCRITOS_FORM!W131</f>
        <v/>
      </c>
      <c r="O131" s="23">
        <f>INSCRITOS_FORM!X131</f>
        <v/>
      </c>
      <c r="P131" s="23">
        <f>INSCRITOS_FORM!AB131</f>
        <v/>
      </c>
      <c r="Q131" s="23">
        <f>IF(B131="","",IF(AND(OR(P131="Pagado",P131="Beca",P131="Invitado"),OR(L131="Sí",M131="Sí")),"Sí","No"))</f>
        <v/>
      </c>
      <c r="R131" s="23">
        <f>IF(AND(C131=TORNEO_ACTIVO!$B$3,Q131="Sí"),G131*10000-A131,-1)</f>
        <v/>
      </c>
    </row>
    <row r="132" ht="14.25" customHeight="1" s="72">
      <c r="A132" s="23">
        <f>IF(INSCRITOS_FORM!D132&lt;&gt;"",ROW()-4,"")</f>
        <v/>
      </c>
      <c r="B132" s="23">
        <f>INSCRITOS_FORM!AD132</f>
        <v/>
      </c>
      <c r="C132" s="23">
        <f>INSCRITOS_FORM!T132</f>
        <v/>
      </c>
      <c r="D132" s="23">
        <f>INSCRITOS_FORM!S132</f>
        <v/>
      </c>
      <c r="E132" s="23">
        <f>INSCRITOS_FORM!G132</f>
        <v/>
      </c>
      <c r="F132" s="23">
        <f>INSCRITOS_FORM!L132</f>
        <v/>
      </c>
      <c r="G132" s="23">
        <f t="array" ref="G132">IFERROR(INDEX(CONFIG!$A$22:$A$35,MATCH(F132,CONFIG!$B$22:$B$35,0)),0)</f>
        <v/>
      </c>
      <c r="H132" s="23">
        <f>INSCRITOS_FORM!M132</f>
        <v/>
      </c>
      <c r="I132" s="23">
        <f>INSCRITOS_FORM!O132</f>
        <v/>
      </c>
      <c r="J132" s="23">
        <f>INSCRITOS_FORM!J132</f>
        <v/>
      </c>
      <c r="K132" s="23">
        <f>INSCRITOS_FORM!K132</f>
        <v/>
      </c>
      <c r="L132" s="23">
        <f>INSCRITOS_FORM!U132</f>
        <v/>
      </c>
      <c r="M132" s="23">
        <f>INSCRITOS_FORM!V132</f>
        <v/>
      </c>
      <c r="N132" s="23">
        <f>INSCRITOS_FORM!W132</f>
        <v/>
      </c>
      <c r="O132" s="23">
        <f>INSCRITOS_FORM!X132</f>
        <v/>
      </c>
      <c r="P132" s="23">
        <f>INSCRITOS_FORM!AB132</f>
        <v/>
      </c>
      <c r="Q132" s="23">
        <f>IF(B132="","",IF(AND(OR(P132="Pagado",P132="Beca",P132="Invitado"),OR(L132="Sí",M132="Sí")),"Sí","No"))</f>
        <v/>
      </c>
      <c r="R132" s="23">
        <f>IF(AND(C132=TORNEO_ACTIVO!$B$3,Q132="Sí"),G132*10000-A132,-1)</f>
        <v/>
      </c>
    </row>
    <row r="133" ht="14.25" customHeight="1" s="72">
      <c r="A133" s="23">
        <f>IF(INSCRITOS_FORM!D133&lt;&gt;"",ROW()-4,"")</f>
        <v/>
      </c>
      <c r="B133" s="23">
        <f>INSCRITOS_FORM!AD133</f>
        <v/>
      </c>
      <c r="C133" s="23">
        <f>INSCRITOS_FORM!T133</f>
        <v/>
      </c>
      <c r="D133" s="23">
        <f>INSCRITOS_FORM!S133</f>
        <v/>
      </c>
      <c r="E133" s="23">
        <f>INSCRITOS_FORM!G133</f>
        <v/>
      </c>
      <c r="F133" s="23">
        <f>INSCRITOS_FORM!L133</f>
        <v/>
      </c>
      <c r="G133" s="23">
        <f t="array" ref="G133">IFERROR(INDEX(CONFIG!$A$22:$A$35,MATCH(F133,CONFIG!$B$22:$B$35,0)),0)</f>
        <v/>
      </c>
      <c r="H133" s="23">
        <f>INSCRITOS_FORM!M133</f>
        <v/>
      </c>
      <c r="I133" s="23">
        <f>INSCRITOS_FORM!O133</f>
        <v/>
      </c>
      <c r="J133" s="23">
        <f>INSCRITOS_FORM!J133</f>
        <v/>
      </c>
      <c r="K133" s="23">
        <f>INSCRITOS_FORM!K133</f>
        <v/>
      </c>
      <c r="L133" s="23">
        <f>INSCRITOS_FORM!U133</f>
        <v/>
      </c>
      <c r="M133" s="23">
        <f>INSCRITOS_FORM!V133</f>
        <v/>
      </c>
      <c r="N133" s="23">
        <f>INSCRITOS_FORM!W133</f>
        <v/>
      </c>
      <c r="O133" s="23">
        <f>INSCRITOS_FORM!X133</f>
        <v/>
      </c>
      <c r="P133" s="23">
        <f>INSCRITOS_FORM!AB133</f>
        <v/>
      </c>
      <c r="Q133" s="23">
        <f>IF(B133="","",IF(AND(OR(P133="Pagado",P133="Beca",P133="Invitado"),OR(L133="Sí",M133="Sí")),"Sí","No"))</f>
        <v/>
      </c>
      <c r="R133" s="23">
        <f>IF(AND(C133=TORNEO_ACTIVO!$B$3,Q133="Sí"),G133*10000-A133,-1)</f>
        <v/>
      </c>
    </row>
    <row r="134" ht="14.25" customHeight="1" s="72">
      <c r="A134" s="23">
        <f>IF(INSCRITOS_FORM!D134&lt;&gt;"",ROW()-4,"")</f>
        <v/>
      </c>
      <c r="B134" s="23">
        <f>INSCRITOS_FORM!AD134</f>
        <v/>
      </c>
      <c r="C134" s="23">
        <f>INSCRITOS_FORM!T134</f>
        <v/>
      </c>
      <c r="D134" s="23">
        <f>INSCRITOS_FORM!S134</f>
        <v/>
      </c>
      <c r="E134" s="23">
        <f>INSCRITOS_FORM!G134</f>
        <v/>
      </c>
      <c r="F134" s="23">
        <f>INSCRITOS_FORM!L134</f>
        <v/>
      </c>
      <c r="G134" s="23">
        <f t="array" ref="G134">IFERROR(INDEX(CONFIG!$A$22:$A$35,MATCH(F134,CONFIG!$B$22:$B$35,0)),0)</f>
        <v/>
      </c>
      <c r="H134" s="23">
        <f>INSCRITOS_FORM!M134</f>
        <v/>
      </c>
      <c r="I134" s="23">
        <f>INSCRITOS_FORM!O134</f>
        <v/>
      </c>
      <c r="J134" s="23">
        <f>INSCRITOS_FORM!J134</f>
        <v/>
      </c>
      <c r="K134" s="23">
        <f>INSCRITOS_FORM!K134</f>
        <v/>
      </c>
      <c r="L134" s="23">
        <f>INSCRITOS_FORM!U134</f>
        <v/>
      </c>
      <c r="M134" s="23">
        <f>INSCRITOS_FORM!V134</f>
        <v/>
      </c>
      <c r="N134" s="23">
        <f>INSCRITOS_FORM!W134</f>
        <v/>
      </c>
      <c r="O134" s="23">
        <f>INSCRITOS_FORM!X134</f>
        <v/>
      </c>
      <c r="P134" s="23">
        <f>INSCRITOS_FORM!AB134</f>
        <v/>
      </c>
      <c r="Q134" s="23">
        <f>IF(B134="","",IF(AND(OR(P134="Pagado",P134="Beca",P134="Invitado"),OR(L134="Sí",M134="Sí")),"Sí","No"))</f>
        <v/>
      </c>
      <c r="R134" s="23">
        <f>IF(AND(C134=TORNEO_ACTIVO!$B$3,Q134="Sí"),G134*10000-A134,-1)</f>
        <v/>
      </c>
    </row>
    <row r="135" ht="14.25" customHeight="1" s="72">
      <c r="A135" s="23">
        <f>IF(INSCRITOS_FORM!D135&lt;&gt;"",ROW()-4,"")</f>
        <v/>
      </c>
      <c r="B135" s="23">
        <f>INSCRITOS_FORM!AD135</f>
        <v/>
      </c>
      <c r="C135" s="23">
        <f>INSCRITOS_FORM!T135</f>
        <v/>
      </c>
      <c r="D135" s="23">
        <f>INSCRITOS_FORM!S135</f>
        <v/>
      </c>
      <c r="E135" s="23">
        <f>INSCRITOS_FORM!G135</f>
        <v/>
      </c>
      <c r="F135" s="23">
        <f>INSCRITOS_FORM!L135</f>
        <v/>
      </c>
      <c r="G135" s="23">
        <f t="array" ref="G135">IFERROR(INDEX(CONFIG!$A$22:$A$35,MATCH(F135,CONFIG!$B$22:$B$35,0)),0)</f>
        <v/>
      </c>
      <c r="H135" s="23">
        <f>INSCRITOS_FORM!M135</f>
        <v/>
      </c>
      <c r="I135" s="23">
        <f>INSCRITOS_FORM!O135</f>
        <v/>
      </c>
      <c r="J135" s="23">
        <f>INSCRITOS_FORM!J135</f>
        <v/>
      </c>
      <c r="K135" s="23">
        <f>INSCRITOS_FORM!K135</f>
        <v/>
      </c>
      <c r="L135" s="23">
        <f>INSCRITOS_FORM!U135</f>
        <v/>
      </c>
      <c r="M135" s="23">
        <f>INSCRITOS_FORM!V135</f>
        <v/>
      </c>
      <c r="N135" s="23">
        <f>INSCRITOS_FORM!W135</f>
        <v/>
      </c>
      <c r="O135" s="23">
        <f>INSCRITOS_FORM!X135</f>
        <v/>
      </c>
      <c r="P135" s="23">
        <f>INSCRITOS_FORM!AB135</f>
        <v/>
      </c>
      <c r="Q135" s="23">
        <f>IF(B135="","",IF(AND(OR(P135="Pagado",P135="Beca",P135="Invitado"),OR(L135="Sí",M135="Sí")),"Sí","No"))</f>
        <v/>
      </c>
      <c r="R135" s="23">
        <f>IF(AND(C135=TORNEO_ACTIVO!$B$3,Q135="Sí"),G135*10000-A135,-1)</f>
        <v/>
      </c>
    </row>
    <row r="136" ht="14.25" customHeight="1" s="72">
      <c r="A136" s="23">
        <f>IF(INSCRITOS_FORM!D136&lt;&gt;"",ROW()-4,"")</f>
        <v/>
      </c>
      <c r="B136" s="23">
        <f>INSCRITOS_FORM!AD136</f>
        <v/>
      </c>
      <c r="C136" s="23">
        <f>INSCRITOS_FORM!T136</f>
        <v/>
      </c>
      <c r="D136" s="23">
        <f>INSCRITOS_FORM!S136</f>
        <v/>
      </c>
      <c r="E136" s="23">
        <f>INSCRITOS_FORM!G136</f>
        <v/>
      </c>
      <c r="F136" s="23">
        <f>INSCRITOS_FORM!L136</f>
        <v/>
      </c>
      <c r="G136" s="23">
        <f t="array" ref="G136">IFERROR(INDEX(CONFIG!$A$22:$A$35,MATCH(F136,CONFIG!$B$22:$B$35,0)),0)</f>
        <v/>
      </c>
      <c r="H136" s="23">
        <f>INSCRITOS_FORM!M136</f>
        <v/>
      </c>
      <c r="I136" s="23">
        <f>INSCRITOS_FORM!O136</f>
        <v/>
      </c>
      <c r="J136" s="23">
        <f>INSCRITOS_FORM!J136</f>
        <v/>
      </c>
      <c r="K136" s="23">
        <f>INSCRITOS_FORM!K136</f>
        <v/>
      </c>
      <c r="L136" s="23">
        <f>INSCRITOS_FORM!U136</f>
        <v/>
      </c>
      <c r="M136" s="23">
        <f>INSCRITOS_FORM!V136</f>
        <v/>
      </c>
      <c r="N136" s="23">
        <f>INSCRITOS_FORM!W136</f>
        <v/>
      </c>
      <c r="O136" s="23">
        <f>INSCRITOS_FORM!X136</f>
        <v/>
      </c>
      <c r="P136" s="23">
        <f>INSCRITOS_FORM!AB136</f>
        <v/>
      </c>
      <c r="Q136" s="23">
        <f>IF(B136="","",IF(AND(OR(P136="Pagado",P136="Beca",P136="Invitado"),OR(L136="Sí",M136="Sí")),"Sí","No"))</f>
        <v/>
      </c>
      <c r="R136" s="23">
        <f>IF(AND(C136=TORNEO_ACTIVO!$B$3,Q136="Sí"),G136*10000-A136,-1)</f>
        <v/>
      </c>
    </row>
    <row r="137" ht="14.25" customHeight="1" s="72">
      <c r="A137" s="23">
        <f>IF(INSCRITOS_FORM!D137&lt;&gt;"",ROW()-4,"")</f>
        <v/>
      </c>
      <c r="B137" s="23">
        <f>INSCRITOS_FORM!AD137</f>
        <v/>
      </c>
      <c r="C137" s="23">
        <f>INSCRITOS_FORM!T137</f>
        <v/>
      </c>
      <c r="D137" s="23">
        <f>INSCRITOS_FORM!S137</f>
        <v/>
      </c>
      <c r="E137" s="23">
        <f>INSCRITOS_FORM!G137</f>
        <v/>
      </c>
      <c r="F137" s="23">
        <f>INSCRITOS_FORM!L137</f>
        <v/>
      </c>
      <c r="G137" s="23">
        <f t="array" ref="G137">IFERROR(INDEX(CONFIG!$A$22:$A$35,MATCH(F137,CONFIG!$B$22:$B$35,0)),0)</f>
        <v/>
      </c>
      <c r="H137" s="23">
        <f>INSCRITOS_FORM!M137</f>
        <v/>
      </c>
      <c r="I137" s="23">
        <f>INSCRITOS_FORM!O137</f>
        <v/>
      </c>
      <c r="J137" s="23">
        <f>INSCRITOS_FORM!J137</f>
        <v/>
      </c>
      <c r="K137" s="23">
        <f>INSCRITOS_FORM!K137</f>
        <v/>
      </c>
      <c r="L137" s="23">
        <f>INSCRITOS_FORM!U137</f>
        <v/>
      </c>
      <c r="M137" s="23">
        <f>INSCRITOS_FORM!V137</f>
        <v/>
      </c>
      <c r="N137" s="23">
        <f>INSCRITOS_FORM!W137</f>
        <v/>
      </c>
      <c r="O137" s="23">
        <f>INSCRITOS_FORM!X137</f>
        <v/>
      </c>
      <c r="P137" s="23">
        <f>INSCRITOS_FORM!AB137</f>
        <v/>
      </c>
      <c r="Q137" s="23">
        <f>IF(B137="","",IF(AND(OR(P137="Pagado",P137="Beca",P137="Invitado"),OR(L137="Sí",M137="Sí")),"Sí","No"))</f>
        <v/>
      </c>
      <c r="R137" s="23">
        <f>IF(AND(C137=TORNEO_ACTIVO!$B$3,Q137="Sí"),G137*10000-A137,-1)</f>
        <v/>
      </c>
    </row>
    <row r="138" ht="14.25" customHeight="1" s="72">
      <c r="A138" s="23">
        <f>IF(INSCRITOS_FORM!D138&lt;&gt;"",ROW()-4,"")</f>
        <v/>
      </c>
      <c r="B138" s="23">
        <f>INSCRITOS_FORM!AD138</f>
        <v/>
      </c>
      <c r="C138" s="23">
        <f>INSCRITOS_FORM!T138</f>
        <v/>
      </c>
      <c r="D138" s="23">
        <f>INSCRITOS_FORM!S138</f>
        <v/>
      </c>
      <c r="E138" s="23">
        <f>INSCRITOS_FORM!G138</f>
        <v/>
      </c>
      <c r="F138" s="23">
        <f>INSCRITOS_FORM!L138</f>
        <v/>
      </c>
      <c r="G138" s="23">
        <f t="array" ref="G138">IFERROR(INDEX(CONFIG!$A$22:$A$35,MATCH(F138,CONFIG!$B$22:$B$35,0)),0)</f>
        <v/>
      </c>
      <c r="H138" s="23">
        <f>INSCRITOS_FORM!M138</f>
        <v/>
      </c>
      <c r="I138" s="23">
        <f>INSCRITOS_FORM!O138</f>
        <v/>
      </c>
      <c r="J138" s="23">
        <f>INSCRITOS_FORM!J138</f>
        <v/>
      </c>
      <c r="K138" s="23">
        <f>INSCRITOS_FORM!K138</f>
        <v/>
      </c>
      <c r="L138" s="23">
        <f>INSCRITOS_FORM!U138</f>
        <v/>
      </c>
      <c r="M138" s="23">
        <f>INSCRITOS_FORM!V138</f>
        <v/>
      </c>
      <c r="N138" s="23">
        <f>INSCRITOS_FORM!W138</f>
        <v/>
      </c>
      <c r="O138" s="23">
        <f>INSCRITOS_FORM!X138</f>
        <v/>
      </c>
      <c r="P138" s="23">
        <f>INSCRITOS_FORM!AB138</f>
        <v/>
      </c>
      <c r="Q138" s="23">
        <f>IF(B138="","",IF(AND(OR(P138="Pagado",P138="Beca",P138="Invitado"),OR(L138="Sí",M138="Sí")),"Sí","No"))</f>
        <v/>
      </c>
      <c r="R138" s="23">
        <f>IF(AND(C138=TORNEO_ACTIVO!$B$3,Q138="Sí"),G138*10000-A138,-1)</f>
        <v/>
      </c>
    </row>
    <row r="139" ht="14.25" customHeight="1" s="72">
      <c r="A139" s="23">
        <f>IF(INSCRITOS_FORM!D139&lt;&gt;"",ROW()-4,"")</f>
        <v/>
      </c>
      <c r="B139" s="23">
        <f>INSCRITOS_FORM!AD139</f>
        <v/>
      </c>
      <c r="C139" s="23">
        <f>INSCRITOS_FORM!T139</f>
        <v/>
      </c>
      <c r="D139" s="23">
        <f>INSCRITOS_FORM!S139</f>
        <v/>
      </c>
      <c r="E139" s="23">
        <f>INSCRITOS_FORM!G139</f>
        <v/>
      </c>
      <c r="F139" s="23">
        <f>INSCRITOS_FORM!L139</f>
        <v/>
      </c>
      <c r="G139" s="23">
        <f t="array" ref="G139">IFERROR(INDEX(CONFIG!$A$22:$A$35,MATCH(F139,CONFIG!$B$22:$B$35,0)),0)</f>
        <v/>
      </c>
      <c r="H139" s="23">
        <f>INSCRITOS_FORM!M139</f>
        <v/>
      </c>
      <c r="I139" s="23">
        <f>INSCRITOS_FORM!O139</f>
        <v/>
      </c>
      <c r="J139" s="23">
        <f>INSCRITOS_FORM!J139</f>
        <v/>
      </c>
      <c r="K139" s="23">
        <f>INSCRITOS_FORM!K139</f>
        <v/>
      </c>
      <c r="L139" s="23">
        <f>INSCRITOS_FORM!U139</f>
        <v/>
      </c>
      <c r="M139" s="23">
        <f>INSCRITOS_FORM!V139</f>
        <v/>
      </c>
      <c r="N139" s="23">
        <f>INSCRITOS_FORM!W139</f>
        <v/>
      </c>
      <c r="O139" s="23">
        <f>INSCRITOS_FORM!X139</f>
        <v/>
      </c>
      <c r="P139" s="23">
        <f>INSCRITOS_FORM!AB139</f>
        <v/>
      </c>
      <c r="Q139" s="23">
        <f>IF(B139="","",IF(AND(OR(P139="Pagado",P139="Beca",P139="Invitado"),OR(L139="Sí",M139="Sí")),"Sí","No"))</f>
        <v/>
      </c>
      <c r="R139" s="23">
        <f>IF(AND(C139=TORNEO_ACTIVO!$B$3,Q139="Sí"),G139*10000-A139,-1)</f>
        <v/>
      </c>
    </row>
    <row r="140" ht="14.25" customHeight="1" s="72">
      <c r="A140" s="23">
        <f>IF(INSCRITOS_FORM!D140&lt;&gt;"",ROW()-4,"")</f>
        <v/>
      </c>
      <c r="B140" s="23">
        <f>INSCRITOS_FORM!AD140</f>
        <v/>
      </c>
      <c r="C140" s="23">
        <f>INSCRITOS_FORM!T140</f>
        <v/>
      </c>
      <c r="D140" s="23">
        <f>INSCRITOS_FORM!S140</f>
        <v/>
      </c>
      <c r="E140" s="23">
        <f>INSCRITOS_FORM!G140</f>
        <v/>
      </c>
      <c r="F140" s="23">
        <f>INSCRITOS_FORM!L140</f>
        <v/>
      </c>
      <c r="G140" s="23">
        <f t="array" ref="G140">IFERROR(INDEX(CONFIG!$A$22:$A$35,MATCH(F140,CONFIG!$B$22:$B$35,0)),0)</f>
        <v/>
      </c>
      <c r="H140" s="23">
        <f>INSCRITOS_FORM!M140</f>
        <v/>
      </c>
      <c r="I140" s="23">
        <f>INSCRITOS_FORM!O140</f>
        <v/>
      </c>
      <c r="J140" s="23">
        <f>INSCRITOS_FORM!J140</f>
        <v/>
      </c>
      <c r="K140" s="23">
        <f>INSCRITOS_FORM!K140</f>
        <v/>
      </c>
      <c r="L140" s="23">
        <f>INSCRITOS_FORM!U140</f>
        <v/>
      </c>
      <c r="M140" s="23">
        <f>INSCRITOS_FORM!V140</f>
        <v/>
      </c>
      <c r="N140" s="23">
        <f>INSCRITOS_FORM!W140</f>
        <v/>
      </c>
      <c r="O140" s="23">
        <f>INSCRITOS_FORM!X140</f>
        <v/>
      </c>
      <c r="P140" s="23">
        <f>INSCRITOS_FORM!AB140</f>
        <v/>
      </c>
      <c r="Q140" s="23">
        <f>IF(B140="","",IF(AND(OR(P140="Pagado",P140="Beca",P140="Invitado"),OR(L140="Sí",M140="Sí")),"Sí","No"))</f>
        <v/>
      </c>
      <c r="R140" s="23">
        <f>IF(AND(C140=TORNEO_ACTIVO!$B$3,Q140="Sí"),G140*10000-A140,-1)</f>
        <v/>
      </c>
    </row>
    <row r="141" ht="14.25" customHeight="1" s="72">
      <c r="A141" s="23">
        <f>IF(INSCRITOS_FORM!D141&lt;&gt;"",ROW()-4,"")</f>
        <v/>
      </c>
      <c r="B141" s="23">
        <f>INSCRITOS_FORM!AD141</f>
        <v/>
      </c>
      <c r="C141" s="23">
        <f>INSCRITOS_FORM!T141</f>
        <v/>
      </c>
      <c r="D141" s="23">
        <f>INSCRITOS_FORM!S141</f>
        <v/>
      </c>
      <c r="E141" s="23">
        <f>INSCRITOS_FORM!G141</f>
        <v/>
      </c>
      <c r="F141" s="23">
        <f>INSCRITOS_FORM!L141</f>
        <v/>
      </c>
      <c r="G141" s="23">
        <f t="array" ref="G141">IFERROR(INDEX(CONFIG!$A$22:$A$35,MATCH(F141,CONFIG!$B$22:$B$35,0)),0)</f>
        <v/>
      </c>
      <c r="H141" s="23">
        <f>INSCRITOS_FORM!M141</f>
        <v/>
      </c>
      <c r="I141" s="23">
        <f>INSCRITOS_FORM!O141</f>
        <v/>
      </c>
      <c r="J141" s="23">
        <f>INSCRITOS_FORM!J141</f>
        <v/>
      </c>
      <c r="K141" s="23">
        <f>INSCRITOS_FORM!K141</f>
        <v/>
      </c>
      <c r="L141" s="23">
        <f>INSCRITOS_FORM!U141</f>
        <v/>
      </c>
      <c r="M141" s="23">
        <f>INSCRITOS_FORM!V141</f>
        <v/>
      </c>
      <c r="N141" s="23">
        <f>INSCRITOS_FORM!W141</f>
        <v/>
      </c>
      <c r="O141" s="23">
        <f>INSCRITOS_FORM!X141</f>
        <v/>
      </c>
      <c r="P141" s="23">
        <f>INSCRITOS_FORM!AB141</f>
        <v/>
      </c>
      <c r="Q141" s="23">
        <f>IF(B141="","",IF(AND(OR(P141="Pagado",P141="Beca",P141="Invitado"),OR(L141="Sí",M141="Sí")),"Sí","No"))</f>
        <v/>
      </c>
      <c r="R141" s="23">
        <f>IF(AND(C141=TORNEO_ACTIVO!$B$3,Q141="Sí"),G141*10000-A141,-1)</f>
        <v/>
      </c>
    </row>
    <row r="142" ht="14.25" customHeight="1" s="72">
      <c r="A142" s="23">
        <f>IF(INSCRITOS_FORM!D142&lt;&gt;"",ROW()-4,"")</f>
        <v/>
      </c>
      <c r="B142" s="23">
        <f>INSCRITOS_FORM!AD142</f>
        <v/>
      </c>
      <c r="C142" s="23">
        <f>INSCRITOS_FORM!T142</f>
        <v/>
      </c>
      <c r="D142" s="23">
        <f>INSCRITOS_FORM!S142</f>
        <v/>
      </c>
      <c r="E142" s="23">
        <f>INSCRITOS_FORM!G142</f>
        <v/>
      </c>
      <c r="F142" s="23">
        <f>INSCRITOS_FORM!L142</f>
        <v/>
      </c>
      <c r="G142" s="23">
        <f t="array" ref="G142">IFERROR(INDEX(CONFIG!$A$22:$A$35,MATCH(F142,CONFIG!$B$22:$B$35,0)),0)</f>
        <v/>
      </c>
      <c r="H142" s="23">
        <f>INSCRITOS_FORM!M142</f>
        <v/>
      </c>
      <c r="I142" s="23">
        <f>INSCRITOS_FORM!O142</f>
        <v/>
      </c>
      <c r="J142" s="23">
        <f>INSCRITOS_FORM!J142</f>
        <v/>
      </c>
      <c r="K142" s="23">
        <f>INSCRITOS_FORM!K142</f>
        <v/>
      </c>
      <c r="L142" s="23">
        <f>INSCRITOS_FORM!U142</f>
        <v/>
      </c>
      <c r="M142" s="23">
        <f>INSCRITOS_FORM!V142</f>
        <v/>
      </c>
      <c r="N142" s="23">
        <f>INSCRITOS_FORM!W142</f>
        <v/>
      </c>
      <c r="O142" s="23">
        <f>INSCRITOS_FORM!X142</f>
        <v/>
      </c>
      <c r="P142" s="23">
        <f>INSCRITOS_FORM!AB142</f>
        <v/>
      </c>
      <c r="Q142" s="23">
        <f>IF(B142="","",IF(AND(OR(P142="Pagado",P142="Beca",P142="Invitado"),OR(L142="Sí",M142="Sí")),"Sí","No"))</f>
        <v/>
      </c>
      <c r="R142" s="23">
        <f>IF(AND(C142=TORNEO_ACTIVO!$B$3,Q142="Sí"),G142*10000-A142,-1)</f>
        <v/>
      </c>
    </row>
    <row r="143" ht="14.25" customHeight="1" s="72">
      <c r="A143" s="23">
        <f>IF(INSCRITOS_FORM!D143&lt;&gt;"",ROW()-4,"")</f>
        <v/>
      </c>
      <c r="B143" s="23">
        <f>INSCRITOS_FORM!AD143</f>
        <v/>
      </c>
      <c r="C143" s="23">
        <f>INSCRITOS_FORM!T143</f>
        <v/>
      </c>
      <c r="D143" s="23">
        <f>INSCRITOS_FORM!S143</f>
        <v/>
      </c>
      <c r="E143" s="23">
        <f>INSCRITOS_FORM!G143</f>
        <v/>
      </c>
      <c r="F143" s="23">
        <f>INSCRITOS_FORM!L143</f>
        <v/>
      </c>
      <c r="G143" s="23">
        <f t="array" ref="G143">IFERROR(INDEX(CONFIG!$A$22:$A$35,MATCH(F143,CONFIG!$B$22:$B$35,0)),0)</f>
        <v/>
      </c>
      <c r="H143" s="23">
        <f>INSCRITOS_FORM!M143</f>
        <v/>
      </c>
      <c r="I143" s="23">
        <f>INSCRITOS_FORM!O143</f>
        <v/>
      </c>
      <c r="J143" s="23">
        <f>INSCRITOS_FORM!J143</f>
        <v/>
      </c>
      <c r="K143" s="23">
        <f>INSCRITOS_FORM!K143</f>
        <v/>
      </c>
      <c r="L143" s="23">
        <f>INSCRITOS_FORM!U143</f>
        <v/>
      </c>
      <c r="M143" s="23">
        <f>INSCRITOS_FORM!V143</f>
        <v/>
      </c>
      <c r="N143" s="23">
        <f>INSCRITOS_FORM!W143</f>
        <v/>
      </c>
      <c r="O143" s="23">
        <f>INSCRITOS_FORM!X143</f>
        <v/>
      </c>
      <c r="P143" s="23">
        <f>INSCRITOS_FORM!AB143</f>
        <v/>
      </c>
      <c r="Q143" s="23">
        <f>IF(B143="","",IF(AND(OR(P143="Pagado",P143="Beca",P143="Invitado"),OR(L143="Sí",M143="Sí")),"Sí","No"))</f>
        <v/>
      </c>
      <c r="R143" s="23">
        <f>IF(AND(C143=TORNEO_ACTIVO!$B$3,Q143="Sí"),G143*10000-A143,-1)</f>
        <v/>
      </c>
    </row>
    <row r="144" ht="14.25" customHeight="1" s="72">
      <c r="A144" s="23">
        <f>IF(INSCRITOS_FORM!D144&lt;&gt;"",ROW()-4,"")</f>
        <v/>
      </c>
      <c r="B144" s="23">
        <f>INSCRITOS_FORM!AD144</f>
        <v/>
      </c>
      <c r="C144" s="23">
        <f>INSCRITOS_FORM!T144</f>
        <v/>
      </c>
      <c r="D144" s="23">
        <f>INSCRITOS_FORM!S144</f>
        <v/>
      </c>
      <c r="E144" s="23">
        <f>INSCRITOS_FORM!G144</f>
        <v/>
      </c>
      <c r="F144" s="23">
        <f>INSCRITOS_FORM!L144</f>
        <v/>
      </c>
      <c r="G144" s="23">
        <f t="array" ref="G144">IFERROR(INDEX(CONFIG!$A$22:$A$35,MATCH(F144,CONFIG!$B$22:$B$35,0)),0)</f>
        <v/>
      </c>
      <c r="H144" s="23">
        <f>INSCRITOS_FORM!M144</f>
        <v/>
      </c>
      <c r="I144" s="23">
        <f>INSCRITOS_FORM!O144</f>
        <v/>
      </c>
      <c r="J144" s="23">
        <f>INSCRITOS_FORM!J144</f>
        <v/>
      </c>
      <c r="K144" s="23">
        <f>INSCRITOS_FORM!K144</f>
        <v/>
      </c>
      <c r="L144" s="23">
        <f>INSCRITOS_FORM!U144</f>
        <v/>
      </c>
      <c r="M144" s="23">
        <f>INSCRITOS_FORM!V144</f>
        <v/>
      </c>
      <c r="N144" s="23">
        <f>INSCRITOS_FORM!W144</f>
        <v/>
      </c>
      <c r="O144" s="23">
        <f>INSCRITOS_FORM!X144</f>
        <v/>
      </c>
      <c r="P144" s="23">
        <f>INSCRITOS_FORM!AB144</f>
        <v/>
      </c>
      <c r="Q144" s="23">
        <f>IF(B144="","",IF(AND(OR(P144="Pagado",P144="Beca",P144="Invitado"),OR(L144="Sí",M144="Sí")),"Sí","No"))</f>
        <v/>
      </c>
      <c r="R144" s="23">
        <f>IF(AND(C144=TORNEO_ACTIVO!$B$3,Q144="Sí"),G144*10000-A144,-1)</f>
        <v/>
      </c>
    </row>
    <row r="145" ht="14.25" customHeight="1" s="72">
      <c r="A145" s="23">
        <f>IF(INSCRITOS_FORM!D145&lt;&gt;"",ROW()-4,"")</f>
        <v/>
      </c>
      <c r="B145" s="23">
        <f>INSCRITOS_FORM!AD145</f>
        <v/>
      </c>
      <c r="C145" s="23">
        <f>INSCRITOS_FORM!T145</f>
        <v/>
      </c>
      <c r="D145" s="23">
        <f>INSCRITOS_FORM!S145</f>
        <v/>
      </c>
      <c r="E145" s="23">
        <f>INSCRITOS_FORM!G145</f>
        <v/>
      </c>
      <c r="F145" s="23">
        <f>INSCRITOS_FORM!L145</f>
        <v/>
      </c>
      <c r="G145" s="23">
        <f t="array" ref="G145">IFERROR(INDEX(CONFIG!$A$22:$A$35,MATCH(F145,CONFIG!$B$22:$B$35,0)),0)</f>
        <v/>
      </c>
      <c r="H145" s="23">
        <f>INSCRITOS_FORM!M145</f>
        <v/>
      </c>
      <c r="I145" s="23">
        <f>INSCRITOS_FORM!O145</f>
        <v/>
      </c>
      <c r="J145" s="23">
        <f>INSCRITOS_FORM!J145</f>
        <v/>
      </c>
      <c r="K145" s="23">
        <f>INSCRITOS_FORM!K145</f>
        <v/>
      </c>
      <c r="L145" s="23">
        <f>INSCRITOS_FORM!U145</f>
        <v/>
      </c>
      <c r="M145" s="23">
        <f>INSCRITOS_FORM!V145</f>
        <v/>
      </c>
      <c r="N145" s="23">
        <f>INSCRITOS_FORM!W145</f>
        <v/>
      </c>
      <c r="O145" s="23">
        <f>INSCRITOS_FORM!X145</f>
        <v/>
      </c>
      <c r="P145" s="23">
        <f>INSCRITOS_FORM!AB145</f>
        <v/>
      </c>
      <c r="Q145" s="23">
        <f>IF(B145="","",IF(AND(OR(P145="Pagado",P145="Beca",P145="Invitado"),OR(L145="Sí",M145="Sí")),"Sí","No"))</f>
        <v/>
      </c>
      <c r="R145" s="23">
        <f>IF(AND(C145=TORNEO_ACTIVO!$B$3,Q145="Sí"),G145*10000-A145,-1)</f>
        <v/>
      </c>
    </row>
    <row r="146" ht="14.25" customHeight="1" s="72">
      <c r="A146" s="23">
        <f>IF(INSCRITOS_FORM!D146&lt;&gt;"",ROW()-4,"")</f>
        <v/>
      </c>
      <c r="B146" s="23">
        <f>INSCRITOS_FORM!AD146</f>
        <v/>
      </c>
      <c r="C146" s="23">
        <f>INSCRITOS_FORM!T146</f>
        <v/>
      </c>
      <c r="D146" s="23">
        <f>INSCRITOS_FORM!S146</f>
        <v/>
      </c>
      <c r="E146" s="23">
        <f>INSCRITOS_FORM!G146</f>
        <v/>
      </c>
      <c r="F146" s="23">
        <f>INSCRITOS_FORM!L146</f>
        <v/>
      </c>
      <c r="G146" s="23">
        <f t="array" ref="G146">IFERROR(INDEX(CONFIG!$A$22:$A$35,MATCH(F146,CONFIG!$B$22:$B$35,0)),0)</f>
        <v/>
      </c>
      <c r="H146" s="23">
        <f>INSCRITOS_FORM!M146</f>
        <v/>
      </c>
      <c r="I146" s="23">
        <f>INSCRITOS_FORM!O146</f>
        <v/>
      </c>
      <c r="J146" s="23">
        <f>INSCRITOS_FORM!J146</f>
        <v/>
      </c>
      <c r="K146" s="23">
        <f>INSCRITOS_FORM!K146</f>
        <v/>
      </c>
      <c r="L146" s="23">
        <f>INSCRITOS_FORM!U146</f>
        <v/>
      </c>
      <c r="M146" s="23">
        <f>INSCRITOS_FORM!V146</f>
        <v/>
      </c>
      <c r="N146" s="23">
        <f>INSCRITOS_FORM!W146</f>
        <v/>
      </c>
      <c r="O146" s="23">
        <f>INSCRITOS_FORM!X146</f>
        <v/>
      </c>
      <c r="P146" s="23">
        <f>INSCRITOS_FORM!AB146</f>
        <v/>
      </c>
      <c r="Q146" s="23">
        <f>IF(B146="","",IF(AND(OR(P146="Pagado",P146="Beca",P146="Invitado"),OR(L146="Sí",M146="Sí")),"Sí","No"))</f>
        <v/>
      </c>
      <c r="R146" s="23">
        <f>IF(AND(C146=TORNEO_ACTIVO!$B$3,Q146="Sí"),G146*10000-A146,-1)</f>
        <v/>
      </c>
    </row>
    <row r="147" ht="14.25" customHeight="1" s="72">
      <c r="A147" s="23">
        <f>IF(INSCRITOS_FORM!D147&lt;&gt;"",ROW()-4,"")</f>
        <v/>
      </c>
      <c r="B147" s="23">
        <f>INSCRITOS_FORM!AD147</f>
        <v/>
      </c>
      <c r="C147" s="23">
        <f>INSCRITOS_FORM!T147</f>
        <v/>
      </c>
      <c r="D147" s="23">
        <f>INSCRITOS_FORM!S147</f>
        <v/>
      </c>
      <c r="E147" s="23">
        <f>INSCRITOS_FORM!G147</f>
        <v/>
      </c>
      <c r="F147" s="23">
        <f>INSCRITOS_FORM!L147</f>
        <v/>
      </c>
      <c r="G147" s="23">
        <f t="array" ref="G147">IFERROR(INDEX(CONFIG!$A$22:$A$35,MATCH(F147,CONFIG!$B$22:$B$35,0)),0)</f>
        <v/>
      </c>
      <c r="H147" s="23">
        <f>INSCRITOS_FORM!M147</f>
        <v/>
      </c>
      <c r="I147" s="23">
        <f>INSCRITOS_FORM!O147</f>
        <v/>
      </c>
      <c r="J147" s="23">
        <f>INSCRITOS_FORM!J147</f>
        <v/>
      </c>
      <c r="K147" s="23">
        <f>INSCRITOS_FORM!K147</f>
        <v/>
      </c>
      <c r="L147" s="23">
        <f>INSCRITOS_FORM!U147</f>
        <v/>
      </c>
      <c r="M147" s="23">
        <f>INSCRITOS_FORM!V147</f>
        <v/>
      </c>
      <c r="N147" s="23">
        <f>INSCRITOS_FORM!W147</f>
        <v/>
      </c>
      <c r="O147" s="23">
        <f>INSCRITOS_FORM!X147</f>
        <v/>
      </c>
      <c r="P147" s="23">
        <f>INSCRITOS_FORM!AB147</f>
        <v/>
      </c>
      <c r="Q147" s="23">
        <f>IF(B147="","",IF(AND(OR(P147="Pagado",P147="Beca",P147="Invitado"),OR(L147="Sí",M147="Sí")),"Sí","No"))</f>
        <v/>
      </c>
      <c r="R147" s="23">
        <f>IF(AND(C147=TORNEO_ACTIVO!$B$3,Q147="Sí"),G147*10000-A147,-1)</f>
        <v/>
      </c>
    </row>
    <row r="148" ht="14.25" customHeight="1" s="72">
      <c r="A148" s="23">
        <f>IF(INSCRITOS_FORM!D148&lt;&gt;"",ROW()-4,"")</f>
        <v/>
      </c>
      <c r="B148" s="23">
        <f>INSCRITOS_FORM!AD148</f>
        <v/>
      </c>
      <c r="C148" s="23">
        <f>INSCRITOS_FORM!T148</f>
        <v/>
      </c>
      <c r="D148" s="23">
        <f>INSCRITOS_FORM!S148</f>
        <v/>
      </c>
      <c r="E148" s="23">
        <f>INSCRITOS_FORM!G148</f>
        <v/>
      </c>
      <c r="F148" s="23">
        <f>INSCRITOS_FORM!L148</f>
        <v/>
      </c>
      <c r="G148" s="23">
        <f t="array" ref="G148">IFERROR(INDEX(CONFIG!$A$22:$A$35,MATCH(F148,CONFIG!$B$22:$B$35,0)),0)</f>
        <v/>
      </c>
      <c r="H148" s="23">
        <f>INSCRITOS_FORM!M148</f>
        <v/>
      </c>
      <c r="I148" s="23">
        <f>INSCRITOS_FORM!O148</f>
        <v/>
      </c>
      <c r="J148" s="23">
        <f>INSCRITOS_FORM!J148</f>
        <v/>
      </c>
      <c r="K148" s="23">
        <f>INSCRITOS_FORM!K148</f>
        <v/>
      </c>
      <c r="L148" s="23">
        <f>INSCRITOS_FORM!U148</f>
        <v/>
      </c>
      <c r="M148" s="23">
        <f>INSCRITOS_FORM!V148</f>
        <v/>
      </c>
      <c r="N148" s="23">
        <f>INSCRITOS_FORM!W148</f>
        <v/>
      </c>
      <c r="O148" s="23">
        <f>INSCRITOS_FORM!X148</f>
        <v/>
      </c>
      <c r="P148" s="23">
        <f>INSCRITOS_FORM!AB148</f>
        <v/>
      </c>
      <c r="Q148" s="23">
        <f>IF(B148="","",IF(AND(OR(P148="Pagado",P148="Beca",P148="Invitado"),OR(L148="Sí",M148="Sí")),"Sí","No"))</f>
        <v/>
      </c>
      <c r="R148" s="23">
        <f>IF(AND(C148=TORNEO_ACTIVO!$B$3,Q148="Sí"),G148*10000-A148,-1)</f>
        <v/>
      </c>
    </row>
    <row r="149" ht="14.25" customHeight="1" s="72">
      <c r="A149" s="23">
        <f>IF(INSCRITOS_FORM!D149&lt;&gt;"",ROW()-4,"")</f>
        <v/>
      </c>
      <c r="B149" s="23">
        <f>INSCRITOS_FORM!AD149</f>
        <v/>
      </c>
      <c r="C149" s="23">
        <f>INSCRITOS_FORM!T149</f>
        <v/>
      </c>
      <c r="D149" s="23">
        <f>INSCRITOS_FORM!S149</f>
        <v/>
      </c>
      <c r="E149" s="23">
        <f>INSCRITOS_FORM!G149</f>
        <v/>
      </c>
      <c r="F149" s="23">
        <f>INSCRITOS_FORM!L149</f>
        <v/>
      </c>
      <c r="G149" s="23">
        <f t="array" ref="G149">IFERROR(INDEX(CONFIG!$A$22:$A$35,MATCH(F149,CONFIG!$B$22:$B$35,0)),0)</f>
        <v/>
      </c>
      <c r="H149" s="23">
        <f>INSCRITOS_FORM!M149</f>
        <v/>
      </c>
      <c r="I149" s="23">
        <f>INSCRITOS_FORM!O149</f>
        <v/>
      </c>
      <c r="J149" s="23">
        <f>INSCRITOS_FORM!J149</f>
        <v/>
      </c>
      <c r="K149" s="23">
        <f>INSCRITOS_FORM!K149</f>
        <v/>
      </c>
      <c r="L149" s="23">
        <f>INSCRITOS_FORM!U149</f>
        <v/>
      </c>
      <c r="M149" s="23">
        <f>INSCRITOS_FORM!V149</f>
        <v/>
      </c>
      <c r="N149" s="23">
        <f>INSCRITOS_FORM!W149</f>
        <v/>
      </c>
      <c r="O149" s="23">
        <f>INSCRITOS_FORM!X149</f>
        <v/>
      </c>
      <c r="P149" s="23">
        <f>INSCRITOS_FORM!AB149</f>
        <v/>
      </c>
      <c r="Q149" s="23">
        <f>IF(B149="","",IF(AND(OR(P149="Pagado",P149="Beca",P149="Invitado"),OR(L149="Sí",M149="Sí")),"Sí","No"))</f>
        <v/>
      </c>
      <c r="R149" s="23">
        <f>IF(AND(C149=TORNEO_ACTIVO!$B$3,Q149="Sí"),G149*10000-A149,-1)</f>
        <v/>
      </c>
    </row>
    <row r="150" ht="14.25" customHeight="1" s="72">
      <c r="A150" s="23">
        <f>IF(INSCRITOS_FORM!D150&lt;&gt;"",ROW()-4,"")</f>
        <v/>
      </c>
      <c r="B150" s="23">
        <f>INSCRITOS_FORM!AD150</f>
        <v/>
      </c>
      <c r="C150" s="23">
        <f>INSCRITOS_FORM!T150</f>
        <v/>
      </c>
      <c r="D150" s="23">
        <f>INSCRITOS_FORM!S150</f>
        <v/>
      </c>
      <c r="E150" s="23">
        <f>INSCRITOS_FORM!G150</f>
        <v/>
      </c>
      <c r="F150" s="23">
        <f>INSCRITOS_FORM!L150</f>
        <v/>
      </c>
      <c r="G150" s="23">
        <f t="array" ref="G150">IFERROR(INDEX(CONFIG!$A$22:$A$35,MATCH(F150,CONFIG!$B$22:$B$35,0)),0)</f>
        <v/>
      </c>
      <c r="H150" s="23">
        <f>INSCRITOS_FORM!M150</f>
        <v/>
      </c>
      <c r="I150" s="23">
        <f>INSCRITOS_FORM!O150</f>
        <v/>
      </c>
      <c r="J150" s="23">
        <f>INSCRITOS_FORM!J150</f>
        <v/>
      </c>
      <c r="K150" s="23">
        <f>INSCRITOS_FORM!K150</f>
        <v/>
      </c>
      <c r="L150" s="23">
        <f>INSCRITOS_FORM!U150</f>
        <v/>
      </c>
      <c r="M150" s="23">
        <f>INSCRITOS_FORM!V150</f>
        <v/>
      </c>
      <c r="N150" s="23">
        <f>INSCRITOS_FORM!W150</f>
        <v/>
      </c>
      <c r="O150" s="23">
        <f>INSCRITOS_FORM!X150</f>
        <v/>
      </c>
      <c r="P150" s="23">
        <f>INSCRITOS_FORM!AB150</f>
        <v/>
      </c>
      <c r="Q150" s="23">
        <f>IF(B150="","",IF(AND(OR(P150="Pagado",P150="Beca",P150="Invitado"),OR(L150="Sí",M150="Sí")),"Sí","No"))</f>
        <v/>
      </c>
      <c r="R150" s="23">
        <f>IF(AND(C150=TORNEO_ACTIVO!$B$3,Q150="Sí"),G150*10000-A150,-1)</f>
        <v/>
      </c>
    </row>
    <row r="151" ht="14.25" customHeight="1" s="72">
      <c r="A151" s="23">
        <f>IF(INSCRITOS_FORM!D151&lt;&gt;"",ROW()-4,"")</f>
        <v/>
      </c>
      <c r="B151" s="23">
        <f>INSCRITOS_FORM!AD151</f>
        <v/>
      </c>
      <c r="C151" s="23">
        <f>INSCRITOS_FORM!T151</f>
        <v/>
      </c>
      <c r="D151" s="23">
        <f>INSCRITOS_FORM!S151</f>
        <v/>
      </c>
      <c r="E151" s="23">
        <f>INSCRITOS_FORM!G151</f>
        <v/>
      </c>
      <c r="F151" s="23">
        <f>INSCRITOS_FORM!L151</f>
        <v/>
      </c>
      <c r="G151" s="23">
        <f t="array" ref="G151">IFERROR(INDEX(CONFIG!$A$22:$A$35,MATCH(F151,CONFIG!$B$22:$B$35,0)),0)</f>
        <v/>
      </c>
      <c r="H151" s="23">
        <f>INSCRITOS_FORM!M151</f>
        <v/>
      </c>
      <c r="I151" s="23">
        <f>INSCRITOS_FORM!O151</f>
        <v/>
      </c>
      <c r="J151" s="23">
        <f>INSCRITOS_FORM!J151</f>
        <v/>
      </c>
      <c r="K151" s="23">
        <f>INSCRITOS_FORM!K151</f>
        <v/>
      </c>
      <c r="L151" s="23">
        <f>INSCRITOS_FORM!U151</f>
        <v/>
      </c>
      <c r="M151" s="23">
        <f>INSCRITOS_FORM!V151</f>
        <v/>
      </c>
      <c r="N151" s="23">
        <f>INSCRITOS_FORM!W151</f>
        <v/>
      </c>
      <c r="O151" s="23">
        <f>INSCRITOS_FORM!X151</f>
        <v/>
      </c>
      <c r="P151" s="23">
        <f>INSCRITOS_FORM!AB151</f>
        <v/>
      </c>
      <c r="Q151" s="23">
        <f>IF(B151="","",IF(AND(OR(P151="Pagado",P151="Beca",P151="Invitado"),OR(L151="Sí",M151="Sí")),"Sí","No"))</f>
        <v/>
      </c>
      <c r="R151" s="23">
        <f>IF(AND(C151=TORNEO_ACTIVO!$B$3,Q151="Sí"),G151*10000-A151,-1)</f>
        <v/>
      </c>
    </row>
    <row r="152" ht="14.25" customHeight="1" s="72">
      <c r="A152" s="23">
        <f>IF(INSCRITOS_FORM!D152&lt;&gt;"",ROW()-4,"")</f>
        <v/>
      </c>
      <c r="B152" s="23">
        <f>INSCRITOS_FORM!AD152</f>
        <v/>
      </c>
      <c r="C152" s="23">
        <f>INSCRITOS_FORM!T152</f>
        <v/>
      </c>
      <c r="D152" s="23">
        <f>INSCRITOS_FORM!S152</f>
        <v/>
      </c>
      <c r="E152" s="23">
        <f>INSCRITOS_FORM!G152</f>
        <v/>
      </c>
      <c r="F152" s="23">
        <f>INSCRITOS_FORM!L152</f>
        <v/>
      </c>
      <c r="G152" s="23">
        <f t="array" ref="G152">IFERROR(INDEX(CONFIG!$A$22:$A$35,MATCH(F152,CONFIG!$B$22:$B$35,0)),0)</f>
        <v/>
      </c>
      <c r="H152" s="23">
        <f>INSCRITOS_FORM!M152</f>
        <v/>
      </c>
      <c r="I152" s="23">
        <f>INSCRITOS_FORM!O152</f>
        <v/>
      </c>
      <c r="J152" s="23">
        <f>INSCRITOS_FORM!J152</f>
        <v/>
      </c>
      <c r="K152" s="23">
        <f>INSCRITOS_FORM!K152</f>
        <v/>
      </c>
      <c r="L152" s="23">
        <f>INSCRITOS_FORM!U152</f>
        <v/>
      </c>
      <c r="M152" s="23">
        <f>INSCRITOS_FORM!V152</f>
        <v/>
      </c>
      <c r="N152" s="23">
        <f>INSCRITOS_FORM!W152</f>
        <v/>
      </c>
      <c r="O152" s="23">
        <f>INSCRITOS_FORM!X152</f>
        <v/>
      </c>
      <c r="P152" s="23">
        <f>INSCRITOS_FORM!AB152</f>
        <v/>
      </c>
      <c r="Q152" s="23">
        <f>IF(B152="","",IF(AND(OR(P152="Pagado",P152="Beca",P152="Invitado"),OR(L152="Sí",M152="Sí")),"Sí","No"))</f>
        <v/>
      </c>
      <c r="R152" s="23">
        <f>IF(AND(C152=TORNEO_ACTIVO!$B$3,Q152="Sí"),G152*10000-A152,-1)</f>
        <v/>
      </c>
    </row>
    <row r="153" ht="14.25" customHeight="1" s="72">
      <c r="A153" s="23">
        <f>IF(INSCRITOS_FORM!D153&lt;&gt;"",ROW()-4,"")</f>
        <v/>
      </c>
      <c r="B153" s="23">
        <f>INSCRITOS_FORM!AD153</f>
        <v/>
      </c>
      <c r="C153" s="23">
        <f>INSCRITOS_FORM!T153</f>
        <v/>
      </c>
      <c r="D153" s="23">
        <f>INSCRITOS_FORM!S153</f>
        <v/>
      </c>
      <c r="E153" s="23">
        <f>INSCRITOS_FORM!G153</f>
        <v/>
      </c>
      <c r="F153" s="23">
        <f>INSCRITOS_FORM!L153</f>
        <v/>
      </c>
      <c r="G153" s="23">
        <f t="array" ref="G153">IFERROR(INDEX(CONFIG!$A$22:$A$35,MATCH(F153,CONFIG!$B$22:$B$35,0)),0)</f>
        <v/>
      </c>
      <c r="H153" s="23">
        <f>INSCRITOS_FORM!M153</f>
        <v/>
      </c>
      <c r="I153" s="23">
        <f>INSCRITOS_FORM!O153</f>
        <v/>
      </c>
      <c r="J153" s="23">
        <f>INSCRITOS_FORM!J153</f>
        <v/>
      </c>
      <c r="K153" s="23">
        <f>INSCRITOS_FORM!K153</f>
        <v/>
      </c>
      <c r="L153" s="23">
        <f>INSCRITOS_FORM!U153</f>
        <v/>
      </c>
      <c r="M153" s="23">
        <f>INSCRITOS_FORM!V153</f>
        <v/>
      </c>
      <c r="N153" s="23">
        <f>INSCRITOS_FORM!W153</f>
        <v/>
      </c>
      <c r="O153" s="23">
        <f>INSCRITOS_FORM!X153</f>
        <v/>
      </c>
      <c r="P153" s="23">
        <f>INSCRITOS_FORM!AB153</f>
        <v/>
      </c>
      <c r="Q153" s="23">
        <f>IF(B153="","",IF(AND(OR(P153="Pagado",P153="Beca",P153="Invitado"),OR(L153="Sí",M153="Sí")),"Sí","No"))</f>
        <v/>
      </c>
      <c r="R153" s="23">
        <f>IF(AND(C153=TORNEO_ACTIVO!$B$3,Q153="Sí"),G153*10000-A153,-1)</f>
        <v/>
      </c>
    </row>
    <row r="154" ht="14.25" customHeight="1" s="72">
      <c r="A154" s="23">
        <f>IF(INSCRITOS_FORM!D154&lt;&gt;"",ROW()-4,"")</f>
        <v/>
      </c>
      <c r="B154" s="23">
        <f>INSCRITOS_FORM!AD154</f>
        <v/>
      </c>
      <c r="C154" s="23">
        <f>INSCRITOS_FORM!T154</f>
        <v/>
      </c>
      <c r="D154" s="23">
        <f>INSCRITOS_FORM!S154</f>
        <v/>
      </c>
      <c r="E154" s="23">
        <f>INSCRITOS_FORM!G154</f>
        <v/>
      </c>
      <c r="F154" s="23">
        <f>INSCRITOS_FORM!L154</f>
        <v/>
      </c>
      <c r="G154" s="23">
        <f t="array" ref="G154">IFERROR(INDEX(CONFIG!$A$22:$A$35,MATCH(F154,CONFIG!$B$22:$B$35,0)),0)</f>
        <v/>
      </c>
      <c r="H154" s="23">
        <f>INSCRITOS_FORM!M154</f>
        <v/>
      </c>
      <c r="I154" s="23">
        <f>INSCRITOS_FORM!O154</f>
        <v/>
      </c>
      <c r="J154" s="23">
        <f>INSCRITOS_FORM!J154</f>
        <v/>
      </c>
      <c r="K154" s="23">
        <f>INSCRITOS_FORM!K154</f>
        <v/>
      </c>
      <c r="L154" s="23">
        <f>INSCRITOS_FORM!U154</f>
        <v/>
      </c>
      <c r="M154" s="23">
        <f>INSCRITOS_FORM!V154</f>
        <v/>
      </c>
      <c r="N154" s="23">
        <f>INSCRITOS_FORM!W154</f>
        <v/>
      </c>
      <c r="O154" s="23">
        <f>INSCRITOS_FORM!X154</f>
        <v/>
      </c>
      <c r="P154" s="23">
        <f>INSCRITOS_FORM!AB154</f>
        <v/>
      </c>
      <c r="Q154" s="23">
        <f>IF(B154="","",IF(AND(OR(P154="Pagado",P154="Beca",P154="Invitado"),OR(L154="Sí",M154="Sí")),"Sí","No"))</f>
        <v/>
      </c>
      <c r="R154" s="23">
        <f>IF(AND(C154=TORNEO_ACTIVO!$B$3,Q154="Sí"),G154*10000-A154,-1)</f>
        <v/>
      </c>
    </row>
    <row r="155" ht="14.25" customHeight="1" s="72">
      <c r="A155" s="23">
        <f>IF(INSCRITOS_FORM!D155&lt;&gt;"",ROW()-4,"")</f>
        <v/>
      </c>
      <c r="B155" s="23">
        <f>INSCRITOS_FORM!AD155</f>
        <v/>
      </c>
      <c r="C155" s="23">
        <f>INSCRITOS_FORM!T155</f>
        <v/>
      </c>
      <c r="D155" s="23">
        <f>INSCRITOS_FORM!S155</f>
        <v/>
      </c>
      <c r="E155" s="23">
        <f>INSCRITOS_FORM!G155</f>
        <v/>
      </c>
      <c r="F155" s="23">
        <f>INSCRITOS_FORM!L155</f>
        <v/>
      </c>
      <c r="G155" s="23">
        <f t="array" ref="G155">IFERROR(INDEX(CONFIG!$A$22:$A$35,MATCH(F155,CONFIG!$B$22:$B$35,0)),0)</f>
        <v/>
      </c>
      <c r="H155" s="23">
        <f>INSCRITOS_FORM!M155</f>
        <v/>
      </c>
      <c r="I155" s="23">
        <f>INSCRITOS_FORM!O155</f>
        <v/>
      </c>
      <c r="J155" s="23">
        <f>INSCRITOS_FORM!J155</f>
        <v/>
      </c>
      <c r="K155" s="23">
        <f>INSCRITOS_FORM!K155</f>
        <v/>
      </c>
      <c r="L155" s="23">
        <f>INSCRITOS_FORM!U155</f>
        <v/>
      </c>
      <c r="M155" s="23">
        <f>INSCRITOS_FORM!V155</f>
        <v/>
      </c>
      <c r="N155" s="23">
        <f>INSCRITOS_FORM!W155</f>
        <v/>
      </c>
      <c r="O155" s="23">
        <f>INSCRITOS_FORM!X155</f>
        <v/>
      </c>
      <c r="P155" s="23">
        <f>INSCRITOS_FORM!AB155</f>
        <v/>
      </c>
      <c r="Q155" s="23">
        <f>IF(B155="","",IF(AND(OR(P155="Pagado",P155="Beca",P155="Invitado"),OR(L155="Sí",M155="Sí")),"Sí","No"))</f>
        <v/>
      </c>
      <c r="R155" s="23">
        <f>IF(AND(C155=TORNEO_ACTIVO!$B$3,Q155="Sí"),G155*10000-A155,-1)</f>
        <v/>
      </c>
    </row>
    <row r="156" ht="14.25" customHeight="1" s="72">
      <c r="A156" s="23">
        <f>IF(INSCRITOS_FORM!D156&lt;&gt;"",ROW()-4,"")</f>
        <v/>
      </c>
      <c r="B156" s="23">
        <f>INSCRITOS_FORM!AD156</f>
        <v/>
      </c>
      <c r="C156" s="23">
        <f>INSCRITOS_FORM!T156</f>
        <v/>
      </c>
      <c r="D156" s="23">
        <f>INSCRITOS_FORM!S156</f>
        <v/>
      </c>
      <c r="E156" s="23">
        <f>INSCRITOS_FORM!G156</f>
        <v/>
      </c>
      <c r="F156" s="23">
        <f>INSCRITOS_FORM!L156</f>
        <v/>
      </c>
      <c r="G156" s="23">
        <f t="array" ref="G156">IFERROR(INDEX(CONFIG!$A$22:$A$35,MATCH(F156,CONFIG!$B$22:$B$35,0)),0)</f>
        <v/>
      </c>
      <c r="H156" s="23">
        <f>INSCRITOS_FORM!M156</f>
        <v/>
      </c>
      <c r="I156" s="23">
        <f>INSCRITOS_FORM!O156</f>
        <v/>
      </c>
      <c r="J156" s="23">
        <f>INSCRITOS_FORM!J156</f>
        <v/>
      </c>
      <c r="K156" s="23">
        <f>INSCRITOS_FORM!K156</f>
        <v/>
      </c>
      <c r="L156" s="23">
        <f>INSCRITOS_FORM!U156</f>
        <v/>
      </c>
      <c r="M156" s="23">
        <f>INSCRITOS_FORM!V156</f>
        <v/>
      </c>
      <c r="N156" s="23">
        <f>INSCRITOS_FORM!W156</f>
        <v/>
      </c>
      <c r="O156" s="23">
        <f>INSCRITOS_FORM!X156</f>
        <v/>
      </c>
      <c r="P156" s="23">
        <f>INSCRITOS_FORM!AB156</f>
        <v/>
      </c>
      <c r="Q156" s="23">
        <f>IF(B156="","",IF(AND(OR(P156="Pagado",P156="Beca",P156="Invitado"),OR(L156="Sí",M156="Sí")),"Sí","No"))</f>
        <v/>
      </c>
      <c r="R156" s="23">
        <f>IF(AND(C156=TORNEO_ACTIVO!$B$3,Q156="Sí"),G156*10000-A156,-1)</f>
        <v/>
      </c>
    </row>
    <row r="157" ht="14.25" customHeight="1" s="72">
      <c r="A157" s="23">
        <f>IF(INSCRITOS_FORM!D157&lt;&gt;"",ROW()-4,"")</f>
        <v/>
      </c>
      <c r="B157" s="23">
        <f>INSCRITOS_FORM!AD157</f>
        <v/>
      </c>
      <c r="C157" s="23">
        <f>INSCRITOS_FORM!T157</f>
        <v/>
      </c>
      <c r="D157" s="23">
        <f>INSCRITOS_FORM!S157</f>
        <v/>
      </c>
      <c r="E157" s="23">
        <f>INSCRITOS_FORM!G157</f>
        <v/>
      </c>
      <c r="F157" s="23">
        <f>INSCRITOS_FORM!L157</f>
        <v/>
      </c>
      <c r="G157" s="23">
        <f t="array" ref="G157">IFERROR(INDEX(CONFIG!$A$22:$A$35,MATCH(F157,CONFIG!$B$22:$B$35,0)),0)</f>
        <v/>
      </c>
      <c r="H157" s="23">
        <f>INSCRITOS_FORM!M157</f>
        <v/>
      </c>
      <c r="I157" s="23">
        <f>INSCRITOS_FORM!O157</f>
        <v/>
      </c>
      <c r="J157" s="23">
        <f>INSCRITOS_FORM!J157</f>
        <v/>
      </c>
      <c r="K157" s="23">
        <f>INSCRITOS_FORM!K157</f>
        <v/>
      </c>
      <c r="L157" s="23">
        <f>INSCRITOS_FORM!U157</f>
        <v/>
      </c>
      <c r="M157" s="23">
        <f>INSCRITOS_FORM!V157</f>
        <v/>
      </c>
      <c r="N157" s="23">
        <f>INSCRITOS_FORM!W157</f>
        <v/>
      </c>
      <c r="O157" s="23">
        <f>INSCRITOS_FORM!X157</f>
        <v/>
      </c>
      <c r="P157" s="23">
        <f>INSCRITOS_FORM!AB157</f>
        <v/>
      </c>
      <c r="Q157" s="23">
        <f>IF(B157="","",IF(AND(OR(P157="Pagado",P157="Beca",P157="Invitado"),OR(L157="Sí",M157="Sí")),"Sí","No"))</f>
        <v/>
      </c>
      <c r="R157" s="23">
        <f>IF(AND(C157=TORNEO_ACTIVO!$B$3,Q157="Sí"),G157*10000-A157,-1)</f>
        <v/>
      </c>
    </row>
    <row r="158" ht="14.25" customHeight="1" s="72">
      <c r="A158" s="23">
        <f>IF(INSCRITOS_FORM!D158&lt;&gt;"",ROW()-4,"")</f>
        <v/>
      </c>
      <c r="B158" s="23">
        <f>INSCRITOS_FORM!AD158</f>
        <v/>
      </c>
      <c r="C158" s="23">
        <f>INSCRITOS_FORM!T158</f>
        <v/>
      </c>
      <c r="D158" s="23">
        <f>INSCRITOS_FORM!S158</f>
        <v/>
      </c>
      <c r="E158" s="23">
        <f>INSCRITOS_FORM!G158</f>
        <v/>
      </c>
      <c r="F158" s="23">
        <f>INSCRITOS_FORM!L158</f>
        <v/>
      </c>
      <c r="G158" s="23">
        <f t="array" ref="G158">IFERROR(INDEX(CONFIG!$A$22:$A$35,MATCH(F158,CONFIG!$B$22:$B$35,0)),0)</f>
        <v/>
      </c>
      <c r="H158" s="23">
        <f>INSCRITOS_FORM!M158</f>
        <v/>
      </c>
      <c r="I158" s="23">
        <f>INSCRITOS_FORM!O158</f>
        <v/>
      </c>
      <c r="J158" s="23">
        <f>INSCRITOS_FORM!J158</f>
        <v/>
      </c>
      <c r="K158" s="23">
        <f>INSCRITOS_FORM!K158</f>
        <v/>
      </c>
      <c r="L158" s="23">
        <f>INSCRITOS_FORM!U158</f>
        <v/>
      </c>
      <c r="M158" s="23">
        <f>INSCRITOS_FORM!V158</f>
        <v/>
      </c>
      <c r="N158" s="23">
        <f>INSCRITOS_FORM!W158</f>
        <v/>
      </c>
      <c r="O158" s="23">
        <f>INSCRITOS_FORM!X158</f>
        <v/>
      </c>
      <c r="P158" s="23">
        <f>INSCRITOS_FORM!AB158</f>
        <v/>
      </c>
      <c r="Q158" s="23">
        <f>IF(B158="","",IF(AND(OR(P158="Pagado",P158="Beca",P158="Invitado"),OR(L158="Sí",M158="Sí")),"Sí","No"))</f>
        <v/>
      </c>
      <c r="R158" s="23">
        <f>IF(AND(C158=TORNEO_ACTIVO!$B$3,Q158="Sí"),G158*10000-A158,-1)</f>
        <v/>
      </c>
    </row>
    <row r="159" ht="14.25" customHeight="1" s="72">
      <c r="A159" s="23">
        <f>IF(INSCRITOS_FORM!D159&lt;&gt;"",ROW()-4,"")</f>
        <v/>
      </c>
      <c r="B159" s="23">
        <f>INSCRITOS_FORM!AD159</f>
        <v/>
      </c>
      <c r="C159" s="23">
        <f>INSCRITOS_FORM!T159</f>
        <v/>
      </c>
      <c r="D159" s="23">
        <f>INSCRITOS_FORM!S159</f>
        <v/>
      </c>
      <c r="E159" s="23">
        <f>INSCRITOS_FORM!G159</f>
        <v/>
      </c>
      <c r="F159" s="23">
        <f>INSCRITOS_FORM!L159</f>
        <v/>
      </c>
      <c r="G159" s="23">
        <f t="array" ref="G159">IFERROR(INDEX(CONFIG!$A$22:$A$35,MATCH(F159,CONFIG!$B$22:$B$35,0)),0)</f>
        <v/>
      </c>
      <c r="H159" s="23">
        <f>INSCRITOS_FORM!M159</f>
        <v/>
      </c>
      <c r="I159" s="23">
        <f>INSCRITOS_FORM!O159</f>
        <v/>
      </c>
      <c r="J159" s="23">
        <f>INSCRITOS_FORM!J159</f>
        <v/>
      </c>
      <c r="K159" s="23">
        <f>INSCRITOS_FORM!K159</f>
        <v/>
      </c>
      <c r="L159" s="23">
        <f>INSCRITOS_FORM!U159</f>
        <v/>
      </c>
      <c r="M159" s="23">
        <f>INSCRITOS_FORM!V159</f>
        <v/>
      </c>
      <c r="N159" s="23">
        <f>INSCRITOS_FORM!W159</f>
        <v/>
      </c>
      <c r="O159" s="23">
        <f>INSCRITOS_FORM!X159</f>
        <v/>
      </c>
      <c r="P159" s="23">
        <f>INSCRITOS_FORM!AB159</f>
        <v/>
      </c>
      <c r="Q159" s="23">
        <f>IF(B159="","",IF(AND(OR(P159="Pagado",P159="Beca",P159="Invitado"),OR(L159="Sí",M159="Sí")),"Sí","No"))</f>
        <v/>
      </c>
      <c r="R159" s="23">
        <f>IF(AND(C159=TORNEO_ACTIVO!$B$3,Q159="Sí"),G159*10000-A159,-1)</f>
        <v/>
      </c>
    </row>
    <row r="160" ht="14.25" customHeight="1" s="72">
      <c r="A160" s="23">
        <f>IF(INSCRITOS_FORM!D160&lt;&gt;"",ROW()-4,"")</f>
        <v/>
      </c>
      <c r="B160" s="23">
        <f>INSCRITOS_FORM!AD160</f>
        <v/>
      </c>
      <c r="C160" s="23">
        <f>INSCRITOS_FORM!T160</f>
        <v/>
      </c>
      <c r="D160" s="23">
        <f>INSCRITOS_FORM!S160</f>
        <v/>
      </c>
      <c r="E160" s="23">
        <f>INSCRITOS_FORM!G160</f>
        <v/>
      </c>
      <c r="F160" s="23">
        <f>INSCRITOS_FORM!L160</f>
        <v/>
      </c>
      <c r="G160" s="23">
        <f t="array" ref="G160">IFERROR(INDEX(CONFIG!$A$22:$A$35,MATCH(F160,CONFIG!$B$22:$B$35,0)),0)</f>
        <v/>
      </c>
      <c r="H160" s="23">
        <f>INSCRITOS_FORM!M160</f>
        <v/>
      </c>
      <c r="I160" s="23">
        <f>INSCRITOS_FORM!O160</f>
        <v/>
      </c>
      <c r="J160" s="23">
        <f>INSCRITOS_FORM!J160</f>
        <v/>
      </c>
      <c r="K160" s="23">
        <f>INSCRITOS_FORM!K160</f>
        <v/>
      </c>
      <c r="L160" s="23">
        <f>INSCRITOS_FORM!U160</f>
        <v/>
      </c>
      <c r="M160" s="23">
        <f>INSCRITOS_FORM!V160</f>
        <v/>
      </c>
      <c r="N160" s="23">
        <f>INSCRITOS_FORM!W160</f>
        <v/>
      </c>
      <c r="O160" s="23">
        <f>INSCRITOS_FORM!X160</f>
        <v/>
      </c>
      <c r="P160" s="23">
        <f>INSCRITOS_FORM!AB160</f>
        <v/>
      </c>
      <c r="Q160" s="23">
        <f>IF(B160="","",IF(AND(OR(P160="Pagado",P160="Beca",P160="Invitado"),OR(L160="Sí",M160="Sí")),"Sí","No"))</f>
        <v/>
      </c>
      <c r="R160" s="23">
        <f>IF(AND(C160=TORNEO_ACTIVO!$B$3,Q160="Sí"),G160*10000-A160,-1)</f>
        <v/>
      </c>
    </row>
    <row r="161" ht="14.25" customHeight="1" s="72">
      <c r="A161" s="23">
        <f>IF(INSCRITOS_FORM!D161&lt;&gt;"",ROW()-4,"")</f>
        <v/>
      </c>
      <c r="B161" s="23">
        <f>INSCRITOS_FORM!AD161</f>
        <v/>
      </c>
      <c r="C161" s="23">
        <f>INSCRITOS_FORM!T161</f>
        <v/>
      </c>
      <c r="D161" s="23">
        <f>INSCRITOS_FORM!S161</f>
        <v/>
      </c>
      <c r="E161" s="23">
        <f>INSCRITOS_FORM!G161</f>
        <v/>
      </c>
      <c r="F161" s="23">
        <f>INSCRITOS_FORM!L161</f>
        <v/>
      </c>
      <c r="G161" s="23">
        <f t="array" ref="G161">IFERROR(INDEX(CONFIG!$A$22:$A$35,MATCH(F161,CONFIG!$B$22:$B$35,0)),0)</f>
        <v/>
      </c>
      <c r="H161" s="23">
        <f>INSCRITOS_FORM!M161</f>
        <v/>
      </c>
      <c r="I161" s="23">
        <f>INSCRITOS_FORM!O161</f>
        <v/>
      </c>
      <c r="J161" s="23">
        <f>INSCRITOS_FORM!J161</f>
        <v/>
      </c>
      <c r="K161" s="23">
        <f>INSCRITOS_FORM!K161</f>
        <v/>
      </c>
      <c r="L161" s="23">
        <f>INSCRITOS_FORM!U161</f>
        <v/>
      </c>
      <c r="M161" s="23">
        <f>INSCRITOS_FORM!V161</f>
        <v/>
      </c>
      <c r="N161" s="23">
        <f>INSCRITOS_FORM!W161</f>
        <v/>
      </c>
      <c r="O161" s="23">
        <f>INSCRITOS_FORM!X161</f>
        <v/>
      </c>
      <c r="P161" s="23">
        <f>INSCRITOS_FORM!AB161</f>
        <v/>
      </c>
      <c r="Q161" s="23">
        <f>IF(B161="","",IF(AND(OR(P161="Pagado",P161="Beca",P161="Invitado"),OR(L161="Sí",M161="Sí")),"Sí","No"))</f>
        <v/>
      </c>
      <c r="R161" s="23">
        <f>IF(AND(C161=TORNEO_ACTIVO!$B$3,Q161="Sí"),G161*10000-A161,-1)</f>
        <v/>
      </c>
    </row>
    <row r="162" ht="14.25" customHeight="1" s="72">
      <c r="A162" s="23">
        <f>IF(INSCRITOS_FORM!D162&lt;&gt;"",ROW()-4,"")</f>
        <v/>
      </c>
      <c r="B162" s="23">
        <f>INSCRITOS_FORM!AD162</f>
        <v/>
      </c>
      <c r="C162" s="23">
        <f>INSCRITOS_FORM!T162</f>
        <v/>
      </c>
      <c r="D162" s="23">
        <f>INSCRITOS_FORM!S162</f>
        <v/>
      </c>
      <c r="E162" s="23">
        <f>INSCRITOS_FORM!G162</f>
        <v/>
      </c>
      <c r="F162" s="23">
        <f>INSCRITOS_FORM!L162</f>
        <v/>
      </c>
      <c r="G162" s="23">
        <f t="array" ref="G162">IFERROR(INDEX(CONFIG!$A$22:$A$35,MATCH(F162,CONFIG!$B$22:$B$35,0)),0)</f>
        <v/>
      </c>
      <c r="H162" s="23">
        <f>INSCRITOS_FORM!M162</f>
        <v/>
      </c>
      <c r="I162" s="23">
        <f>INSCRITOS_FORM!O162</f>
        <v/>
      </c>
      <c r="J162" s="23">
        <f>INSCRITOS_FORM!J162</f>
        <v/>
      </c>
      <c r="K162" s="23">
        <f>INSCRITOS_FORM!K162</f>
        <v/>
      </c>
      <c r="L162" s="23">
        <f>INSCRITOS_FORM!U162</f>
        <v/>
      </c>
      <c r="M162" s="23">
        <f>INSCRITOS_FORM!V162</f>
        <v/>
      </c>
      <c r="N162" s="23">
        <f>INSCRITOS_FORM!W162</f>
        <v/>
      </c>
      <c r="O162" s="23">
        <f>INSCRITOS_FORM!X162</f>
        <v/>
      </c>
      <c r="P162" s="23">
        <f>INSCRITOS_FORM!AB162</f>
        <v/>
      </c>
      <c r="Q162" s="23">
        <f>IF(B162="","",IF(AND(OR(P162="Pagado",P162="Beca",P162="Invitado"),OR(L162="Sí",M162="Sí")),"Sí","No"))</f>
        <v/>
      </c>
      <c r="R162" s="23">
        <f>IF(AND(C162=TORNEO_ACTIVO!$B$3,Q162="Sí"),G162*10000-A162,-1)</f>
        <v/>
      </c>
    </row>
    <row r="163" ht="14.25" customHeight="1" s="72">
      <c r="A163" s="23">
        <f>IF(INSCRITOS_FORM!D163&lt;&gt;"",ROW()-4,"")</f>
        <v/>
      </c>
      <c r="B163" s="23">
        <f>INSCRITOS_FORM!AD163</f>
        <v/>
      </c>
      <c r="C163" s="23">
        <f>INSCRITOS_FORM!T163</f>
        <v/>
      </c>
      <c r="D163" s="23">
        <f>INSCRITOS_FORM!S163</f>
        <v/>
      </c>
      <c r="E163" s="23">
        <f>INSCRITOS_FORM!G163</f>
        <v/>
      </c>
      <c r="F163" s="23">
        <f>INSCRITOS_FORM!L163</f>
        <v/>
      </c>
      <c r="G163" s="23">
        <f t="array" ref="G163">IFERROR(INDEX(CONFIG!$A$22:$A$35,MATCH(F163,CONFIG!$B$22:$B$35,0)),0)</f>
        <v/>
      </c>
      <c r="H163" s="23">
        <f>INSCRITOS_FORM!M163</f>
        <v/>
      </c>
      <c r="I163" s="23">
        <f>INSCRITOS_FORM!O163</f>
        <v/>
      </c>
      <c r="J163" s="23">
        <f>INSCRITOS_FORM!J163</f>
        <v/>
      </c>
      <c r="K163" s="23">
        <f>INSCRITOS_FORM!K163</f>
        <v/>
      </c>
      <c r="L163" s="23">
        <f>INSCRITOS_FORM!U163</f>
        <v/>
      </c>
      <c r="M163" s="23">
        <f>INSCRITOS_FORM!V163</f>
        <v/>
      </c>
      <c r="N163" s="23">
        <f>INSCRITOS_FORM!W163</f>
        <v/>
      </c>
      <c r="O163" s="23">
        <f>INSCRITOS_FORM!X163</f>
        <v/>
      </c>
      <c r="P163" s="23">
        <f>INSCRITOS_FORM!AB163</f>
        <v/>
      </c>
      <c r="Q163" s="23">
        <f>IF(B163="","",IF(AND(OR(P163="Pagado",P163="Beca",P163="Invitado"),OR(L163="Sí",M163="Sí")),"Sí","No"))</f>
        <v/>
      </c>
      <c r="R163" s="23">
        <f>IF(AND(C163=TORNEO_ACTIVO!$B$3,Q163="Sí"),G163*10000-A163,-1)</f>
        <v/>
      </c>
    </row>
    <row r="164" ht="14.25" customHeight="1" s="72">
      <c r="A164" s="23">
        <f>IF(INSCRITOS_FORM!D164&lt;&gt;"",ROW()-4,"")</f>
        <v/>
      </c>
      <c r="B164" s="23">
        <f>INSCRITOS_FORM!AD164</f>
        <v/>
      </c>
      <c r="C164" s="23">
        <f>INSCRITOS_FORM!T164</f>
        <v/>
      </c>
      <c r="D164" s="23">
        <f>INSCRITOS_FORM!S164</f>
        <v/>
      </c>
      <c r="E164" s="23">
        <f>INSCRITOS_FORM!G164</f>
        <v/>
      </c>
      <c r="F164" s="23">
        <f>INSCRITOS_FORM!L164</f>
        <v/>
      </c>
      <c r="G164" s="23">
        <f t="array" ref="G164">IFERROR(INDEX(CONFIG!$A$22:$A$35,MATCH(F164,CONFIG!$B$22:$B$35,0)),0)</f>
        <v/>
      </c>
      <c r="H164" s="23">
        <f>INSCRITOS_FORM!M164</f>
        <v/>
      </c>
      <c r="I164" s="23">
        <f>INSCRITOS_FORM!O164</f>
        <v/>
      </c>
      <c r="J164" s="23">
        <f>INSCRITOS_FORM!J164</f>
        <v/>
      </c>
      <c r="K164" s="23">
        <f>INSCRITOS_FORM!K164</f>
        <v/>
      </c>
      <c r="L164" s="23">
        <f>INSCRITOS_FORM!U164</f>
        <v/>
      </c>
      <c r="M164" s="23">
        <f>INSCRITOS_FORM!V164</f>
        <v/>
      </c>
      <c r="N164" s="23">
        <f>INSCRITOS_FORM!W164</f>
        <v/>
      </c>
      <c r="O164" s="23">
        <f>INSCRITOS_FORM!X164</f>
        <v/>
      </c>
      <c r="P164" s="23">
        <f>INSCRITOS_FORM!AB164</f>
        <v/>
      </c>
      <c r="Q164" s="23">
        <f>IF(B164="","",IF(AND(OR(P164="Pagado",P164="Beca",P164="Invitado"),OR(L164="Sí",M164="Sí")),"Sí","No"))</f>
        <v/>
      </c>
      <c r="R164" s="23">
        <f>IF(AND(C164=TORNEO_ACTIVO!$B$3,Q164="Sí"),G164*10000-A164,-1)</f>
        <v/>
      </c>
    </row>
    <row r="165" ht="14.25" customHeight="1" s="72">
      <c r="A165" s="23">
        <f>IF(INSCRITOS_FORM!D165&lt;&gt;"",ROW()-4,"")</f>
        <v/>
      </c>
      <c r="B165" s="23">
        <f>INSCRITOS_FORM!AD165</f>
        <v/>
      </c>
      <c r="C165" s="23">
        <f>INSCRITOS_FORM!T165</f>
        <v/>
      </c>
      <c r="D165" s="23">
        <f>INSCRITOS_FORM!S165</f>
        <v/>
      </c>
      <c r="E165" s="23">
        <f>INSCRITOS_FORM!G165</f>
        <v/>
      </c>
      <c r="F165" s="23">
        <f>INSCRITOS_FORM!L165</f>
        <v/>
      </c>
      <c r="G165" s="23">
        <f t="array" ref="G165">IFERROR(INDEX(CONFIG!$A$22:$A$35,MATCH(F165,CONFIG!$B$22:$B$35,0)),0)</f>
        <v/>
      </c>
      <c r="H165" s="23">
        <f>INSCRITOS_FORM!M165</f>
        <v/>
      </c>
      <c r="I165" s="23">
        <f>INSCRITOS_FORM!O165</f>
        <v/>
      </c>
      <c r="J165" s="23">
        <f>INSCRITOS_FORM!J165</f>
        <v/>
      </c>
      <c r="K165" s="23">
        <f>INSCRITOS_FORM!K165</f>
        <v/>
      </c>
      <c r="L165" s="23">
        <f>INSCRITOS_FORM!U165</f>
        <v/>
      </c>
      <c r="M165" s="23">
        <f>INSCRITOS_FORM!V165</f>
        <v/>
      </c>
      <c r="N165" s="23">
        <f>INSCRITOS_FORM!W165</f>
        <v/>
      </c>
      <c r="O165" s="23">
        <f>INSCRITOS_FORM!X165</f>
        <v/>
      </c>
      <c r="P165" s="23">
        <f>INSCRITOS_FORM!AB165</f>
        <v/>
      </c>
      <c r="Q165" s="23">
        <f>IF(B165="","",IF(AND(OR(P165="Pagado",P165="Beca",P165="Invitado"),OR(L165="Sí",M165="Sí")),"Sí","No"))</f>
        <v/>
      </c>
      <c r="R165" s="23">
        <f>IF(AND(C165=TORNEO_ACTIVO!$B$3,Q165="Sí"),G165*10000-A165,-1)</f>
        <v/>
      </c>
    </row>
    <row r="166" ht="14.25" customHeight="1" s="72">
      <c r="A166" s="23">
        <f>IF(INSCRITOS_FORM!D166&lt;&gt;"",ROW()-4,"")</f>
        <v/>
      </c>
      <c r="B166" s="23">
        <f>INSCRITOS_FORM!AD166</f>
        <v/>
      </c>
      <c r="C166" s="23">
        <f>INSCRITOS_FORM!T166</f>
        <v/>
      </c>
      <c r="D166" s="23">
        <f>INSCRITOS_FORM!S166</f>
        <v/>
      </c>
      <c r="E166" s="23">
        <f>INSCRITOS_FORM!G166</f>
        <v/>
      </c>
      <c r="F166" s="23">
        <f>INSCRITOS_FORM!L166</f>
        <v/>
      </c>
      <c r="G166" s="23">
        <f t="array" ref="G166">IFERROR(INDEX(CONFIG!$A$22:$A$35,MATCH(F166,CONFIG!$B$22:$B$35,0)),0)</f>
        <v/>
      </c>
      <c r="H166" s="23">
        <f>INSCRITOS_FORM!M166</f>
        <v/>
      </c>
      <c r="I166" s="23">
        <f>INSCRITOS_FORM!O166</f>
        <v/>
      </c>
      <c r="J166" s="23">
        <f>INSCRITOS_FORM!J166</f>
        <v/>
      </c>
      <c r="K166" s="23">
        <f>INSCRITOS_FORM!K166</f>
        <v/>
      </c>
      <c r="L166" s="23">
        <f>INSCRITOS_FORM!U166</f>
        <v/>
      </c>
      <c r="M166" s="23">
        <f>INSCRITOS_FORM!V166</f>
        <v/>
      </c>
      <c r="N166" s="23">
        <f>INSCRITOS_FORM!W166</f>
        <v/>
      </c>
      <c r="O166" s="23">
        <f>INSCRITOS_FORM!X166</f>
        <v/>
      </c>
      <c r="P166" s="23">
        <f>INSCRITOS_FORM!AB166</f>
        <v/>
      </c>
      <c r="Q166" s="23">
        <f>IF(B166="","",IF(AND(OR(P166="Pagado",P166="Beca",P166="Invitado"),OR(L166="Sí",M166="Sí")),"Sí","No"))</f>
        <v/>
      </c>
      <c r="R166" s="23">
        <f>IF(AND(C166=TORNEO_ACTIVO!$B$3,Q166="Sí"),G166*10000-A166,-1)</f>
        <v/>
      </c>
    </row>
    <row r="167" ht="14.25" customHeight="1" s="72">
      <c r="A167" s="23">
        <f>IF(INSCRITOS_FORM!D167&lt;&gt;"",ROW()-4,"")</f>
        <v/>
      </c>
      <c r="B167" s="23">
        <f>INSCRITOS_FORM!AD167</f>
        <v/>
      </c>
      <c r="C167" s="23">
        <f>INSCRITOS_FORM!T167</f>
        <v/>
      </c>
      <c r="D167" s="23">
        <f>INSCRITOS_FORM!S167</f>
        <v/>
      </c>
      <c r="E167" s="23">
        <f>INSCRITOS_FORM!G167</f>
        <v/>
      </c>
      <c r="F167" s="23">
        <f>INSCRITOS_FORM!L167</f>
        <v/>
      </c>
      <c r="G167" s="23">
        <f t="array" ref="G167">IFERROR(INDEX(CONFIG!$A$22:$A$35,MATCH(F167,CONFIG!$B$22:$B$35,0)),0)</f>
        <v/>
      </c>
      <c r="H167" s="23">
        <f>INSCRITOS_FORM!M167</f>
        <v/>
      </c>
      <c r="I167" s="23">
        <f>INSCRITOS_FORM!O167</f>
        <v/>
      </c>
      <c r="J167" s="23">
        <f>INSCRITOS_FORM!J167</f>
        <v/>
      </c>
      <c r="K167" s="23">
        <f>INSCRITOS_FORM!K167</f>
        <v/>
      </c>
      <c r="L167" s="23">
        <f>INSCRITOS_FORM!U167</f>
        <v/>
      </c>
      <c r="M167" s="23">
        <f>INSCRITOS_FORM!V167</f>
        <v/>
      </c>
      <c r="N167" s="23">
        <f>INSCRITOS_FORM!W167</f>
        <v/>
      </c>
      <c r="O167" s="23">
        <f>INSCRITOS_FORM!X167</f>
        <v/>
      </c>
      <c r="P167" s="23">
        <f>INSCRITOS_FORM!AB167</f>
        <v/>
      </c>
      <c r="Q167" s="23">
        <f>IF(B167="","",IF(AND(OR(P167="Pagado",P167="Beca",P167="Invitado"),OR(L167="Sí",M167="Sí")),"Sí","No"))</f>
        <v/>
      </c>
      <c r="R167" s="23">
        <f>IF(AND(C167=TORNEO_ACTIVO!$B$3,Q167="Sí"),G167*10000-A167,-1)</f>
        <v/>
      </c>
    </row>
    <row r="168" ht="14.25" customHeight="1" s="72">
      <c r="A168" s="23">
        <f>IF(INSCRITOS_FORM!D168&lt;&gt;"",ROW()-4,"")</f>
        <v/>
      </c>
      <c r="B168" s="23">
        <f>INSCRITOS_FORM!AD168</f>
        <v/>
      </c>
      <c r="C168" s="23">
        <f>INSCRITOS_FORM!T168</f>
        <v/>
      </c>
      <c r="D168" s="23">
        <f>INSCRITOS_FORM!S168</f>
        <v/>
      </c>
      <c r="E168" s="23">
        <f>INSCRITOS_FORM!G168</f>
        <v/>
      </c>
      <c r="F168" s="23">
        <f>INSCRITOS_FORM!L168</f>
        <v/>
      </c>
      <c r="G168" s="23">
        <f t="array" ref="G168">IFERROR(INDEX(CONFIG!$A$22:$A$35,MATCH(F168,CONFIG!$B$22:$B$35,0)),0)</f>
        <v/>
      </c>
      <c r="H168" s="23">
        <f>INSCRITOS_FORM!M168</f>
        <v/>
      </c>
      <c r="I168" s="23">
        <f>INSCRITOS_FORM!O168</f>
        <v/>
      </c>
      <c r="J168" s="23">
        <f>INSCRITOS_FORM!J168</f>
        <v/>
      </c>
      <c r="K168" s="23">
        <f>INSCRITOS_FORM!K168</f>
        <v/>
      </c>
      <c r="L168" s="23">
        <f>INSCRITOS_FORM!U168</f>
        <v/>
      </c>
      <c r="M168" s="23">
        <f>INSCRITOS_FORM!V168</f>
        <v/>
      </c>
      <c r="N168" s="23">
        <f>INSCRITOS_FORM!W168</f>
        <v/>
      </c>
      <c r="O168" s="23">
        <f>INSCRITOS_FORM!X168</f>
        <v/>
      </c>
      <c r="P168" s="23">
        <f>INSCRITOS_FORM!AB168</f>
        <v/>
      </c>
      <c r="Q168" s="23">
        <f>IF(B168="","",IF(AND(OR(P168="Pagado",P168="Beca",P168="Invitado"),OR(L168="Sí",M168="Sí")),"Sí","No"))</f>
        <v/>
      </c>
      <c r="R168" s="23">
        <f>IF(AND(C168=TORNEO_ACTIVO!$B$3,Q168="Sí"),G168*10000-A168,-1)</f>
        <v/>
      </c>
    </row>
    <row r="169" ht="14.25" customHeight="1" s="72">
      <c r="A169" s="23">
        <f>IF(INSCRITOS_FORM!D169&lt;&gt;"",ROW()-4,"")</f>
        <v/>
      </c>
      <c r="B169" s="23">
        <f>INSCRITOS_FORM!AD169</f>
        <v/>
      </c>
      <c r="C169" s="23">
        <f>INSCRITOS_FORM!T169</f>
        <v/>
      </c>
      <c r="D169" s="23">
        <f>INSCRITOS_FORM!S169</f>
        <v/>
      </c>
      <c r="E169" s="23">
        <f>INSCRITOS_FORM!G169</f>
        <v/>
      </c>
      <c r="F169" s="23">
        <f>INSCRITOS_FORM!L169</f>
        <v/>
      </c>
      <c r="G169" s="23">
        <f t="array" ref="G169">IFERROR(INDEX(CONFIG!$A$22:$A$35,MATCH(F169,CONFIG!$B$22:$B$35,0)),0)</f>
        <v/>
      </c>
      <c r="H169" s="23">
        <f>INSCRITOS_FORM!M169</f>
        <v/>
      </c>
      <c r="I169" s="23">
        <f>INSCRITOS_FORM!O169</f>
        <v/>
      </c>
      <c r="J169" s="23">
        <f>INSCRITOS_FORM!J169</f>
        <v/>
      </c>
      <c r="K169" s="23">
        <f>INSCRITOS_FORM!K169</f>
        <v/>
      </c>
      <c r="L169" s="23">
        <f>INSCRITOS_FORM!U169</f>
        <v/>
      </c>
      <c r="M169" s="23">
        <f>INSCRITOS_FORM!V169</f>
        <v/>
      </c>
      <c r="N169" s="23">
        <f>INSCRITOS_FORM!W169</f>
        <v/>
      </c>
      <c r="O169" s="23">
        <f>INSCRITOS_FORM!X169</f>
        <v/>
      </c>
      <c r="P169" s="23">
        <f>INSCRITOS_FORM!AB169</f>
        <v/>
      </c>
      <c r="Q169" s="23">
        <f>IF(B169="","",IF(AND(OR(P169="Pagado",P169="Beca",P169="Invitado"),OR(L169="Sí",M169="Sí")),"Sí","No"))</f>
        <v/>
      </c>
      <c r="R169" s="23">
        <f>IF(AND(C169=TORNEO_ACTIVO!$B$3,Q169="Sí"),G169*10000-A169,-1)</f>
        <v/>
      </c>
    </row>
    <row r="170" ht="14.25" customHeight="1" s="72">
      <c r="A170" s="23">
        <f>IF(INSCRITOS_FORM!D170&lt;&gt;"",ROW()-4,"")</f>
        <v/>
      </c>
      <c r="B170" s="23">
        <f>INSCRITOS_FORM!AD170</f>
        <v/>
      </c>
      <c r="C170" s="23">
        <f>INSCRITOS_FORM!T170</f>
        <v/>
      </c>
      <c r="D170" s="23">
        <f>INSCRITOS_FORM!S170</f>
        <v/>
      </c>
      <c r="E170" s="23">
        <f>INSCRITOS_FORM!G170</f>
        <v/>
      </c>
      <c r="F170" s="23">
        <f>INSCRITOS_FORM!L170</f>
        <v/>
      </c>
      <c r="G170" s="23">
        <f t="array" ref="G170">IFERROR(INDEX(CONFIG!$A$22:$A$35,MATCH(F170,CONFIG!$B$22:$B$35,0)),0)</f>
        <v/>
      </c>
      <c r="H170" s="23">
        <f>INSCRITOS_FORM!M170</f>
        <v/>
      </c>
      <c r="I170" s="23">
        <f>INSCRITOS_FORM!O170</f>
        <v/>
      </c>
      <c r="J170" s="23">
        <f>INSCRITOS_FORM!J170</f>
        <v/>
      </c>
      <c r="K170" s="23">
        <f>INSCRITOS_FORM!K170</f>
        <v/>
      </c>
      <c r="L170" s="23">
        <f>INSCRITOS_FORM!U170</f>
        <v/>
      </c>
      <c r="M170" s="23">
        <f>INSCRITOS_FORM!V170</f>
        <v/>
      </c>
      <c r="N170" s="23">
        <f>INSCRITOS_FORM!W170</f>
        <v/>
      </c>
      <c r="O170" s="23">
        <f>INSCRITOS_FORM!X170</f>
        <v/>
      </c>
      <c r="P170" s="23">
        <f>INSCRITOS_FORM!AB170</f>
        <v/>
      </c>
      <c r="Q170" s="23">
        <f>IF(B170="","",IF(AND(OR(P170="Pagado",P170="Beca",P170="Invitado"),OR(L170="Sí",M170="Sí")),"Sí","No"))</f>
        <v/>
      </c>
      <c r="R170" s="23">
        <f>IF(AND(C170=TORNEO_ACTIVO!$B$3,Q170="Sí"),G170*10000-A170,-1)</f>
        <v/>
      </c>
    </row>
    <row r="171" ht="14.25" customHeight="1" s="72">
      <c r="A171" s="23">
        <f>IF(INSCRITOS_FORM!D171&lt;&gt;"",ROW()-4,"")</f>
        <v/>
      </c>
      <c r="B171" s="23">
        <f>INSCRITOS_FORM!AD171</f>
        <v/>
      </c>
      <c r="C171" s="23">
        <f>INSCRITOS_FORM!T171</f>
        <v/>
      </c>
      <c r="D171" s="23">
        <f>INSCRITOS_FORM!S171</f>
        <v/>
      </c>
      <c r="E171" s="23">
        <f>INSCRITOS_FORM!G171</f>
        <v/>
      </c>
      <c r="F171" s="23">
        <f>INSCRITOS_FORM!L171</f>
        <v/>
      </c>
      <c r="G171" s="23">
        <f t="array" ref="G171">IFERROR(INDEX(CONFIG!$A$22:$A$35,MATCH(F171,CONFIG!$B$22:$B$35,0)),0)</f>
        <v/>
      </c>
      <c r="H171" s="23">
        <f>INSCRITOS_FORM!M171</f>
        <v/>
      </c>
      <c r="I171" s="23">
        <f>INSCRITOS_FORM!O171</f>
        <v/>
      </c>
      <c r="J171" s="23">
        <f>INSCRITOS_FORM!J171</f>
        <v/>
      </c>
      <c r="K171" s="23">
        <f>INSCRITOS_FORM!K171</f>
        <v/>
      </c>
      <c r="L171" s="23">
        <f>INSCRITOS_FORM!U171</f>
        <v/>
      </c>
      <c r="M171" s="23">
        <f>INSCRITOS_FORM!V171</f>
        <v/>
      </c>
      <c r="N171" s="23">
        <f>INSCRITOS_FORM!W171</f>
        <v/>
      </c>
      <c r="O171" s="23">
        <f>INSCRITOS_FORM!X171</f>
        <v/>
      </c>
      <c r="P171" s="23">
        <f>INSCRITOS_FORM!AB171</f>
        <v/>
      </c>
      <c r="Q171" s="23">
        <f>IF(B171="","",IF(AND(OR(P171="Pagado",P171="Beca",P171="Invitado"),OR(L171="Sí",M171="Sí")),"Sí","No"))</f>
        <v/>
      </c>
      <c r="R171" s="23">
        <f>IF(AND(C171=TORNEO_ACTIVO!$B$3,Q171="Sí"),G171*10000-A171,-1)</f>
        <v/>
      </c>
    </row>
    <row r="172" ht="14.25" customHeight="1" s="72">
      <c r="A172" s="23">
        <f>IF(INSCRITOS_FORM!D172&lt;&gt;"",ROW()-4,"")</f>
        <v/>
      </c>
      <c r="B172" s="23">
        <f>INSCRITOS_FORM!AD172</f>
        <v/>
      </c>
      <c r="C172" s="23">
        <f>INSCRITOS_FORM!T172</f>
        <v/>
      </c>
      <c r="D172" s="23">
        <f>INSCRITOS_FORM!S172</f>
        <v/>
      </c>
      <c r="E172" s="23">
        <f>INSCRITOS_FORM!G172</f>
        <v/>
      </c>
      <c r="F172" s="23">
        <f>INSCRITOS_FORM!L172</f>
        <v/>
      </c>
      <c r="G172" s="23">
        <f t="array" ref="G172">IFERROR(INDEX(CONFIG!$A$22:$A$35,MATCH(F172,CONFIG!$B$22:$B$35,0)),0)</f>
        <v/>
      </c>
      <c r="H172" s="23">
        <f>INSCRITOS_FORM!M172</f>
        <v/>
      </c>
      <c r="I172" s="23">
        <f>INSCRITOS_FORM!O172</f>
        <v/>
      </c>
      <c r="J172" s="23">
        <f>INSCRITOS_FORM!J172</f>
        <v/>
      </c>
      <c r="K172" s="23">
        <f>INSCRITOS_FORM!K172</f>
        <v/>
      </c>
      <c r="L172" s="23">
        <f>INSCRITOS_FORM!U172</f>
        <v/>
      </c>
      <c r="M172" s="23">
        <f>INSCRITOS_FORM!V172</f>
        <v/>
      </c>
      <c r="N172" s="23">
        <f>INSCRITOS_FORM!W172</f>
        <v/>
      </c>
      <c r="O172" s="23">
        <f>INSCRITOS_FORM!X172</f>
        <v/>
      </c>
      <c r="P172" s="23">
        <f>INSCRITOS_FORM!AB172</f>
        <v/>
      </c>
      <c r="Q172" s="23">
        <f>IF(B172="","",IF(AND(OR(P172="Pagado",P172="Beca",P172="Invitado"),OR(L172="Sí",M172="Sí")),"Sí","No"))</f>
        <v/>
      </c>
      <c r="R172" s="23">
        <f>IF(AND(C172=TORNEO_ACTIVO!$B$3,Q172="Sí"),G172*10000-A172,-1)</f>
        <v/>
      </c>
    </row>
    <row r="173" ht="14.25" customHeight="1" s="72">
      <c r="A173" s="23">
        <f>IF(INSCRITOS_FORM!D173&lt;&gt;"",ROW()-4,"")</f>
        <v/>
      </c>
      <c r="B173" s="23">
        <f>INSCRITOS_FORM!AD173</f>
        <v/>
      </c>
      <c r="C173" s="23">
        <f>INSCRITOS_FORM!T173</f>
        <v/>
      </c>
      <c r="D173" s="23">
        <f>INSCRITOS_FORM!S173</f>
        <v/>
      </c>
      <c r="E173" s="23">
        <f>INSCRITOS_FORM!G173</f>
        <v/>
      </c>
      <c r="F173" s="23">
        <f>INSCRITOS_FORM!L173</f>
        <v/>
      </c>
      <c r="G173" s="23">
        <f t="array" ref="G173">IFERROR(INDEX(CONFIG!$A$22:$A$35,MATCH(F173,CONFIG!$B$22:$B$35,0)),0)</f>
        <v/>
      </c>
      <c r="H173" s="23">
        <f>INSCRITOS_FORM!M173</f>
        <v/>
      </c>
      <c r="I173" s="23">
        <f>INSCRITOS_FORM!O173</f>
        <v/>
      </c>
      <c r="J173" s="23">
        <f>INSCRITOS_FORM!J173</f>
        <v/>
      </c>
      <c r="K173" s="23">
        <f>INSCRITOS_FORM!K173</f>
        <v/>
      </c>
      <c r="L173" s="23">
        <f>INSCRITOS_FORM!U173</f>
        <v/>
      </c>
      <c r="M173" s="23">
        <f>INSCRITOS_FORM!V173</f>
        <v/>
      </c>
      <c r="N173" s="23">
        <f>INSCRITOS_FORM!W173</f>
        <v/>
      </c>
      <c r="O173" s="23">
        <f>INSCRITOS_FORM!X173</f>
        <v/>
      </c>
      <c r="P173" s="23">
        <f>INSCRITOS_FORM!AB173</f>
        <v/>
      </c>
      <c r="Q173" s="23">
        <f>IF(B173="","",IF(AND(OR(P173="Pagado",P173="Beca",P173="Invitado"),OR(L173="Sí",M173="Sí")),"Sí","No"))</f>
        <v/>
      </c>
      <c r="R173" s="23">
        <f>IF(AND(C173=TORNEO_ACTIVO!$B$3,Q173="Sí"),G173*10000-A173,-1)</f>
        <v/>
      </c>
    </row>
    <row r="174" ht="14.25" customHeight="1" s="72">
      <c r="A174" s="23">
        <f>IF(INSCRITOS_FORM!D174&lt;&gt;"",ROW()-4,"")</f>
        <v/>
      </c>
      <c r="B174" s="23">
        <f>INSCRITOS_FORM!AD174</f>
        <v/>
      </c>
      <c r="C174" s="23">
        <f>INSCRITOS_FORM!T174</f>
        <v/>
      </c>
      <c r="D174" s="23">
        <f>INSCRITOS_FORM!S174</f>
        <v/>
      </c>
      <c r="E174" s="23">
        <f>INSCRITOS_FORM!G174</f>
        <v/>
      </c>
      <c r="F174" s="23">
        <f>INSCRITOS_FORM!L174</f>
        <v/>
      </c>
      <c r="G174" s="23">
        <f t="array" ref="G174">IFERROR(INDEX(CONFIG!$A$22:$A$35,MATCH(F174,CONFIG!$B$22:$B$35,0)),0)</f>
        <v/>
      </c>
      <c r="H174" s="23">
        <f>INSCRITOS_FORM!M174</f>
        <v/>
      </c>
      <c r="I174" s="23">
        <f>INSCRITOS_FORM!O174</f>
        <v/>
      </c>
      <c r="J174" s="23">
        <f>INSCRITOS_FORM!J174</f>
        <v/>
      </c>
      <c r="K174" s="23">
        <f>INSCRITOS_FORM!K174</f>
        <v/>
      </c>
      <c r="L174" s="23">
        <f>INSCRITOS_FORM!U174</f>
        <v/>
      </c>
      <c r="M174" s="23">
        <f>INSCRITOS_FORM!V174</f>
        <v/>
      </c>
      <c r="N174" s="23">
        <f>INSCRITOS_FORM!W174</f>
        <v/>
      </c>
      <c r="O174" s="23">
        <f>INSCRITOS_FORM!X174</f>
        <v/>
      </c>
      <c r="P174" s="23">
        <f>INSCRITOS_FORM!AB174</f>
        <v/>
      </c>
      <c r="Q174" s="23">
        <f>IF(B174="","",IF(AND(OR(P174="Pagado",P174="Beca",P174="Invitado"),OR(L174="Sí",M174="Sí")),"Sí","No"))</f>
        <v/>
      </c>
      <c r="R174" s="23">
        <f>IF(AND(C174=TORNEO_ACTIVO!$B$3,Q174="Sí"),G174*10000-A174,-1)</f>
        <v/>
      </c>
    </row>
    <row r="175" ht="14.25" customHeight="1" s="72">
      <c r="A175" s="23">
        <f>IF(INSCRITOS_FORM!D175&lt;&gt;"",ROW()-4,"")</f>
        <v/>
      </c>
      <c r="B175" s="23">
        <f>INSCRITOS_FORM!AD175</f>
        <v/>
      </c>
      <c r="C175" s="23">
        <f>INSCRITOS_FORM!T175</f>
        <v/>
      </c>
      <c r="D175" s="23">
        <f>INSCRITOS_FORM!S175</f>
        <v/>
      </c>
      <c r="E175" s="23">
        <f>INSCRITOS_FORM!G175</f>
        <v/>
      </c>
      <c r="F175" s="23">
        <f>INSCRITOS_FORM!L175</f>
        <v/>
      </c>
      <c r="G175" s="23">
        <f t="array" ref="G175">IFERROR(INDEX(CONFIG!$A$22:$A$35,MATCH(F175,CONFIG!$B$22:$B$35,0)),0)</f>
        <v/>
      </c>
      <c r="H175" s="23">
        <f>INSCRITOS_FORM!M175</f>
        <v/>
      </c>
      <c r="I175" s="23">
        <f>INSCRITOS_FORM!O175</f>
        <v/>
      </c>
      <c r="J175" s="23">
        <f>INSCRITOS_FORM!J175</f>
        <v/>
      </c>
      <c r="K175" s="23">
        <f>INSCRITOS_FORM!K175</f>
        <v/>
      </c>
      <c r="L175" s="23">
        <f>INSCRITOS_FORM!U175</f>
        <v/>
      </c>
      <c r="M175" s="23">
        <f>INSCRITOS_FORM!V175</f>
        <v/>
      </c>
      <c r="N175" s="23">
        <f>INSCRITOS_FORM!W175</f>
        <v/>
      </c>
      <c r="O175" s="23">
        <f>INSCRITOS_FORM!X175</f>
        <v/>
      </c>
      <c r="P175" s="23">
        <f>INSCRITOS_FORM!AB175</f>
        <v/>
      </c>
      <c r="Q175" s="23">
        <f>IF(B175="","",IF(AND(OR(P175="Pagado",P175="Beca",P175="Invitado"),OR(L175="Sí",M175="Sí")),"Sí","No"))</f>
        <v/>
      </c>
      <c r="R175" s="23">
        <f>IF(AND(C175=TORNEO_ACTIVO!$B$3,Q175="Sí"),G175*10000-A175,-1)</f>
        <v/>
      </c>
    </row>
    <row r="176" ht="14.25" customHeight="1" s="72">
      <c r="A176" s="23">
        <f>IF(INSCRITOS_FORM!D176&lt;&gt;"",ROW()-4,"")</f>
        <v/>
      </c>
      <c r="B176" s="23">
        <f>INSCRITOS_FORM!AD176</f>
        <v/>
      </c>
      <c r="C176" s="23">
        <f>INSCRITOS_FORM!T176</f>
        <v/>
      </c>
      <c r="D176" s="23">
        <f>INSCRITOS_FORM!S176</f>
        <v/>
      </c>
      <c r="E176" s="23">
        <f>INSCRITOS_FORM!G176</f>
        <v/>
      </c>
      <c r="F176" s="23">
        <f>INSCRITOS_FORM!L176</f>
        <v/>
      </c>
      <c r="G176" s="23">
        <f t="array" ref="G176">IFERROR(INDEX(CONFIG!$A$22:$A$35,MATCH(F176,CONFIG!$B$22:$B$35,0)),0)</f>
        <v/>
      </c>
      <c r="H176" s="23">
        <f>INSCRITOS_FORM!M176</f>
        <v/>
      </c>
      <c r="I176" s="23">
        <f>INSCRITOS_FORM!O176</f>
        <v/>
      </c>
      <c r="J176" s="23">
        <f>INSCRITOS_FORM!J176</f>
        <v/>
      </c>
      <c r="K176" s="23">
        <f>INSCRITOS_FORM!K176</f>
        <v/>
      </c>
      <c r="L176" s="23">
        <f>INSCRITOS_FORM!U176</f>
        <v/>
      </c>
      <c r="M176" s="23">
        <f>INSCRITOS_FORM!V176</f>
        <v/>
      </c>
      <c r="N176" s="23">
        <f>INSCRITOS_FORM!W176</f>
        <v/>
      </c>
      <c r="O176" s="23">
        <f>INSCRITOS_FORM!X176</f>
        <v/>
      </c>
      <c r="P176" s="23">
        <f>INSCRITOS_FORM!AB176</f>
        <v/>
      </c>
      <c r="Q176" s="23">
        <f>IF(B176="","",IF(AND(OR(P176="Pagado",P176="Beca",P176="Invitado"),OR(L176="Sí",M176="Sí")),"Sí","No"))</f>
        <v/>
      </c>
      <c r="R176" s="23">
        <f>IF(AND(C176=TORNEO_ACTIVO!$B$3,Q176="Sí"),G176*10000-A176,-1)</f>
        <v/>
      </c>
    </row>
    <row r="177" ht="14.25" customHeight="1" s="72">
      <c r="A177" s="23">
        <f>IF(INSCRITOS_FORM!D177&lt;&gt;"",ROW()-4,"")</f>
        <v/>
      </c>
      <c r="B177" s="23">
        <f>INSCRITOS_FORM!AD177</f>
        <v/>
      </c>
      <c r="C177" s="23">
        <f>INSCRITOS_FORM!T177</f>
        <v/>
      </c>
      <c r="D177" s="23">
        <f>INSCRITOS_FORM!S177</f>
        <v/>
      </c>
      <c r="E177" s="23">
        <f>INSCRITOS_FORM!G177</f>
        <v/>
      </c>
      <c r="F177" s="23">
        <f>INSCRITOS_FORM!L177</f>
        <v/>
      </c>
      <c r="G177" s="23">
        <f t="array" ref="G177">IFERROR(INDEX(CONFIG!$A$22:$A$35,MATCH(F177,CONFIG!$B$22:$B$35,0)),0)</f>
        <v/>
      </c>
      <c r="H177" s="23">
        <f>INSCRITOS_FORM!M177</f>
        <v/>
      </c>
      <c r="I177" s="23">
        <f>INSCRITOS_FORM!O177</f>
        <v/>
      </c>
      <c r="J177" s="23">
        <f>INSCRITOS_FORM!J177</f>
        <v/>
      </c>
      <c r="K177" s="23">
        <f>INSCRITOS_FORM!K177</f>
        <v/>
      </c>
      <c r="L177" s="23">
        <f>INSCRITOS_FORM!U177</f>
        <v/>
      </c>
      <c r="M177" s="23">
        <f>INSCRITOS_FORM!V177</f>
        <v/>
      </c>
      <c r="N177" s="23">
        <f>INSCRITOS_FORM!W177</f>
        <v/>
      </c>
      <c r="O177" s="23">
        <f>INSCRITOS_FORM!X177</f>
        <v/>
      </c>
      <c r="P177" s="23">
        <f>INSCRITOS_FORM!AB177</f>
        <v/>
      </c>
      <c r="Q177" s="23">
        <f>IF(B177="","",IF(AND(OR(P177="Pagado",P177="Beca",P177="Invitado"),OR(L177="Sí",M177="Sí")),"Sí","No"))</f>
        <v/>
      </c>
      <c r="R177" s="23">
        <f>IF(AND(C177=TORNEO_ACTIVO!$B$3,Q177="Sí"),G177*10000-A177,-1)</f>
        <v/>
      </c>
    </row>
    <row r="178" ht="14.25" customHeight="1" s="72">
      <c r="A178" s="23">
        <f>IF(INSCRITOS_FORM!D178&lt;&gt;"",ROW()-4,"")</f>
        <v/>
      </c>
      <c r="B178" s="23">
        <f>INSCRITOS_FORM!AD178</f>
        <v/>
      </c>
      <c r="C178" s="23">
        <f>INSCRITOS_FORM!T178</f>
        <v/>
      </c>
      <c r="D178" s="23">
        <f>INSCRITOS_FORM!S178</f>
        <v/>
      </c>
      <c r="E178" s="23">
        <f>INSCRITOS_FORM!G178</f>
        <v/>
      </c>
      <c r="F178" s="23">
        <f>INSCRITOS_FORM!L178</f>
        <v/>
      </c>
      <c r="G178" s="23">
        <f t="array" ref="G178">IFERROR(INDEX(CONFIG!$A$22:$A$35,MATCH(F178,CONFIG!$B$22:$B$35,0)),0)</f>
        <v/>
      </c>
      <c r="H178" s="23">
        <f>INSCRITOS_FORM!M178</f>
        <v/>
      </c>
      <c r="I178" s="23">
        <f>INSCRITOS_FORM!O178</f>
        <v/>
      </c>
      <c r="J178" s="23">
        <f>INSCRITOS_FORM!J178</f>
        <v/>
      </c>
      <c r="K178" s="23">
        <f>INSCRITOS_FORM!K178</f>
        <v/>
      </c>
      <c r="L178" s="23">
        <f>INSCRITOS_FORM!U178</f>
        <v/>
      </c>
      <c r="M178" s="23">
        <f>INSCRITOS_FORM!V178</f>
        <v/>
      </c>
      <c r="N178" s="23">
        <f>INSCRITOS_FORM!W178</f>
        <v/>
      </c>
      <c r="O178" s="23">
        <f>INSCRITOS_FORM!X178</f>
        <v/>
      </c>
      <c r="P178" s="23">
        <f>INSCRITOS_FORM!AB178</f>
        <v/>
      </c>
      <c r="Q178" s="23">
        <f>IF(B178="","",IF(AND(OR(P178="Pagado",P178="Beca",P178="Invitado"),OR(L178="Sí",M178="Sí")),"Sí","No"))</f>
        <v/>
      </c>
      <c r="R178" s="23">
        <f>IF(AND(C178=TORNEO_ACTIVO!$B$3,Q178="Sí"),G178*10000-A178,-1)</f>
        <v/>
      </c>
    </row>
    <row r="179" ht="14.25" customHeight="1" s="72">
      <c r="A179" s="23">
        <f>IF(INSCRITOS_FORM!D179&lt;&gt;"",ROW()-4,"")</f>
        <v/>
      </c>
      <c r="B179" s="23">
        <f>INSCRITOS_FORM!AD179</f>
        <v/>
      </c>
      <c r="C179" s="23">
        <f>INSCRITOS_FORM!T179</f>
        <v/>
      </c>
      <c r="D179" s="23">
        <f>INSCRITOS_FORM!S179</f>
        <v/>
      </c>
      <c r="E179" s="23">
        <f>INSCRITOS_FORM!G179</f>
        <v/>
      </c>
      <c r="F179" s="23">
        <f>INSCRITOS_FORM!L179</f>
        <v/>
      </c>
      <c r="G179" s="23">
        <f t="array" ref="G179">IFERROR(INDEX(CONFIG!$A$22:$A$35,MATCH(F179,CONFIG!$B$22:$B$35,0)),0)</f>
        <v/>
      </c>
      <c r="H179" s="23">
        <f>INSCRITOS_FORM!M179</f>
        <v/>
      </c>
      <c r="I179" s="23">
        <f>INSCRITOS_FORM!O179</f>
        <v/>
      </c>
      <c r="J179" s="23">
        <f>INSCRITOS_FORM!J179</f>
        <v/>
      </c>
      <c r="K179" s="23">
        <f>INSCRITOS_FORM!K179</f>
        <v/>
      </c>
      <c r="L179" s="23">
        <f>INSCRITOS_FORM!U179</f>
        <v/>
      </c>
      <c r="M179" s="23">
        <f>INSCRITOS_FORM!V179</f>
        <v/>
      </c>
      <c r="N179" s="23">
        <f>INSCRITOS_FORM!W179</f>
        <v/>
      </c>
      <c r="O179" s="23">
        <f>INSCRITOS_FORM!X179</f>
        <v/>
      </c>
      <c r="P179" s="23">
        <f>INSCRITOS_FORM!AB179</f>
        <v/>
      </c>
      <c r="Q179" s="23">
        <f>IF(B179="","",IF(AND(OR(P179="Pagado",P179="Beca",P179="Invitado"),OR(L179="Sí",M179="Sí")),"Sí","No"))</f>
        <v/>
      </c>
      <c r="R179" s="23">
        <f>IF(AND(C179=TORNEO_ACTIVO!$B$3,Q179="Sí"),G179*10000-A179,-1)</f>
        <v/>
      </c>
    </row>
    <row r="180" ht="14.25" customHeight="1" s="72">
      <c r="A180" s="23">
        <f>IF(INSCRITOS_FORM!D180&lt;&gt;"",ROW()-4,"")</f>
        <v/>
      </c>
      <c r="B180" s="23">
        <f>INSCRITOS_FORM!AD180</f>
        <v/>
      </c>
      <c r="C180" s="23">
        <f>INSCRITOS_FORM!T180</f>
        <v/>
      </c>
      <c r="D180" s="23">
        <f>INSCRITOS_FORM!S180</f>
        <v/>
      </c>
      <c r="E180" s="23">
        <f>INSCRITOS_FORM!G180</f>
        <v/>
      </c>
      <c r="F180" s="23">
        <f>INSCRITOS_FORM!L180</f>
        <v/>
      </c>
      <c r="G180" s="23">
        <f t="array" ref="G180">IFERROR(INDEX(CONFIG!$A$22:$A$35,MATCH(F180,CONFIG!$B$22:$B$35,0)),0)</f>
        <v/>
      </c>
      <c r="H180" s="23">
        <f>INSCRITOS_FORM!M180</f>
        <v/>
      </c>
      <c r="I180" s="23">
        <f>INSCRITOS_FORM!O180</f>
        <v/>
      </c>
      <c r="J180" s="23">
        <f>INSCRITOS_FORM!J180</f>
        <v/>
      </c>
      <c r="K180" s="23">
        <f>INSCRITOS_FORM!K180</f>
        <v/>
      </c>
      <c r="L180" s="23">
        <f>INSCRITOS_FORM!U180</f>
        <v/>
      </c>
      <c r="M180" s="23">
        <f>INSCRITOS_FORM!V180</f>
        <v/>
      </c>
      <c r="N180" s="23">
        <f>INSCRITOS_FORM!W180</f>
        <v/>
      </c>
      <c r="O180" s="23">
        <f>INSCRITOS_FORM!X180</f>
        <v/>
      </c>
      <c r="P180" s="23">
        <f>INSCRITOS_FORM!AB180</f>
        <v/>
      </c>
      <c r="Q180" s="23">
        <f>IF(B180="","",IF(AND(OR(P180="Pagado",P180="Beca",P180="Invitado"),OR(L180="Sí",M180="Sí")),"Sí","No"))</f>
        <v/>
      </c>
      <c r="R180" s="23">
        <f>IF(AND(C180=TORNEO_ACTIVO!$B$3,Q180="Sí"),G180*10000-A180,-1)</f>
        <v/>
      </c>
    </row>
    <row r="181" ht="14.25" customHeight="1" s="72">
      <c r="A181" s="23">
        <f>IF(INSCRITOS_FORM!D181&lt;&gt;"",ROW()-4,"")</f>
        <v/>
      </c>
      <c r="B181" s="23">
        <f>INSCRITOS_FORM!AD181</f>
        <v/>
      </c>
      <c r="C181" s="23">
        <f>INSCRITOS_FORM!T181</f>
        <v/>
      </c>
      <c r="D181" s="23">
        <f>INSCRITOS_FORM!S181</f>
        <v/>
      </c>
      <c r="E181" s="23">
        <f>INSCRITOS_FORM!G181</f>
        <v/>
      </c>
      <c r="F181" s="23">
        <f>INSCRITOS_FORM!L181</f>
        <v/>
      </c>
      <c r="G181" s="23">
        <f t="array" ref="G181">IFERROR(INDEX(CONFIG!$A$22:$A$35,MATCH(F181,CONFIG!$B$22:$B$35,0)),0)</f>
        <v/>
      </c>
      <c r="H181" s="23">
        <f>INSCRITOS_FORM!M181</f>
        <v/>
      </c>
      <c r="I181" s="23">
        <f>INSCRITOS_FORM!O181</f>
        <v/>
      </c>
      <c r="J181" s="23">
        <f>INSCRITOS_FORM!J181</f>
        <v/>
      </c>
      <c r="K181" s="23">
        <f>INSCRITOS_FORM!K181</f>
        <v/>
      </c>
      <c r="L181" s="23">
        <f>INSCRITOS_FORM!U181</f>
        <v/>
      </c>
      <c r="M181" s="23">
        <f>INSCRITOS_FORM!V181</f>
        <v/>
      </c>
      <c r="N181" s="23">
        <f>INSCRITOS_FORM!W181</f>
        <v/>
      </c>
      <c r="O181" s="23">
        <f>INSCRITOS_FORM!X181</f>
        <v/>
      </c>
      <c r="P181" s="23">
        <f>INSCRITOS_FORM!AB181</f>
        <v/>
      </c>
      <c r="Q181" s="23">
        <f>IF(B181="","",IF(AND(OR(P181="Pagado",P181="Beca",P181="Invitado"),OR(L181="Sí",M181="Sí")),"Sí","No"))</f>
        <v/>
      </c>
      <c r="R181" s="23">
        <f>IF(AND(C181=TORNEO_ACTIVO!$B$3,Q181="Sí"),G181*10000-A181,-1)</f>
        <v/>
      </c>
    </row>
    <row r="182" ht="14.25" customHeight="1" s="72">
      <c r="A182" s="23">
        <f>IF(INSCRITOS_FORM!D182&lt;&gt;"",ROW()-4,"")</f>
        <v/>
      </c>
      <c r="B182" s="23">
        <f>INSCRITOS_FORM!AD182</f>
        <v/>
      </c>
      <c r="C182" s="23">
        <f>INSCRITOS_FORM!T182</f>
        <v/>
      </c>
      <c r="D182" s="23">
        <f>INSCRITOS_FORM!S182</f>
        <v/>
      </c>
      <c r="E182" s="23">
        <f>INSCRITOS_FORM!G182</f>
        <v/>
      </c>
      <c r="F182" s="23">
        <f>INSCRITOS_FORM!L182</f>
        <v/>
      </c>
      <c r="G182" s="23">
        <f t="array" ref="G182">IFERROR(INDEX(CONFIG!$A$22:$A$35,MATCH(F182,CONFIG!$B$22:$B$35,0)),0)</f>
        <v/>
      </c>
      <c r="H182" s="23">
        <f>INSCRITOS_FORM!M182</f>
        <v/>
      </c>
      <c r="I182" s="23">
        <f>INSCRITOS_FORM!O182</f>
        <v/>
      </c>
      <c r="J182" s="23">
        <f>INSCRITOS_FORM!J182</f>
        <v/>
      </c>
      <c r="K182" s="23">
        <f>INSCRITOS_FORM!K182</f>
        <v/>
      </c>
      <c r="L182" s="23">
        <f>INSCRITOS_FORM!U182</f>
        <v/>
      </c>
      <c r="M182" s="23">
        <f>INSCRITOS_FORM!V182</f>
        <v/>
      </c>
      <c r="N182" s="23">
        <f>INSCRITOS_FORM!W182</f>
        <v/>
      </c>
      <c r="O182" s="23">
        <f>INSCRITOS_FORM!X182</f>
        <v/>
      </c>
      <c r="P182" s="23">
        <f>INSCRITOS_FORM!AB182</f>
        <v/>
      </c>
      <c r="Q182" s="23">
        <f>IF(B182="","",IF(AND(OR(P182="Pagado",P182="Beca",P182="Invitado"),OR(L182="Sí",M182="Sí")),"Sí","No"))</f>
        <v/>
      </c>
      <c r="R182" s="23">
        <f>IF(AND(C182=TORNEO_ACTIVO!$B$3,Q182="Sí"),G182*10000-A182,-1)</f>
        <v/>
      </c>
    </row>
    <row r="183" ht="14.25" customHeight="1" s="72">
      <c r="A183" s="23">
        <f>IF(INSCRITOS_FORM!D183&lt;&gt;"",ROW()-4,"")</f>
        <v/>
      </c>
      <c r="B183" s="23">
        <f>INSCRITOS_FORM!AD183</f>
        <v/>
      </c>
      <c r="C183" s="23">
        <f>INSCRITOS_FORM!T183</f>
        <v/>
      </c>
      <c r="D183" s="23">
        <f>INSCRITOS_FORM!S183</f>
        <v/>
      </c>
      <c r="E183" s="23">
        <f>INSCRITOS_FORM!G183</f>
        <v/>
      </c>
      <c r="F183" s="23">
        <f>INSCRITOS_FORM!L183</f>
        <v/>
      </c>
      <c r="G183" s="23">
        <f t="array" ref="G183">IFERROR(INDEX(CONFIG!$A$22:$A$35,MATCH(F183,CONFIG!$B$22:$B$35,0)),0)</f>
        <v/>
      </c>
      <c r="H183" s="23">
        <f>INSCRITOS_FORM!M183</f>
        <v/>
      </c>
      <c r="I183" s="23">
        <f>INSCRITOS_FORM!O183</f>
        <v/>
      </c>
      <c r="J183" s="23">
        <f>INSCRITOS_FORM!J183</f>
        <v/>
      </c>
      <c r="K183" s="23">
        <f>INSCRITOS_FORM!K183</f>
        <v/>
      </c>
      <c r="L183" s="23">
        <f>INSCRITOS_FORM!U183</f>
        <v/>
      </c>
      <c r="M183" s="23">
        <f>INSCRITOS_FORM!V183</f>
        <v/>
      </c>
      <c r="N183" s="23">
        <f>INSCRITOS_FORM!W183</f>
        <v/>
      </c>
      <c r="O183" s="23">
        <f>INSCRITOS_FORM!X183</f>
        <v/>
      </c>
      <c r="P183" s="23">
        <f>INSCRITOS_FORM!AB183</f>
        <v/>
      </c>
      <c r="Q183" s="23">
        <f>IF(B183="","",IF(AND(OR(P183="Pagado",P183="Beca",P183="Invitado"),OR(L183="Sí",M183="Sí")),"Sí","No"))</f>
        <v/>
      </c>
      <c r="R183" s="23">
        <f>IF(AND(C183=TORNEO_ACTIVO!$B$3,Q183="Sí"),G183*10000-A183,-1)</f>
        <v/>
      </c>
    </row>
    <row r="184" ht="14.25" customHeight="1" s="72">
      <c r="A184" s="23">
        <f>IF(INSCRITOS_FORM!D184&lt;&gt;"",ROW()-4,"")</f>
        <v/>
      </c>
      <c r="B184" s="23">
        <f>INSCRITOS_FORM!AD184</f>
        <v/>
      </c>
      <c r="C184" s="23">
        <f>INSCRITOS_FORM!T184</f>
        <v/>
      </c>
      <c r="D184" s="23">
        <f>INSCRITOS_FORM!S184</f>
        <v/>
      </c>
      <c r="E184" s="23">
        <f>INSCRITOS_FORM!G184</f>
        <v/>
      </c>
      <c r="F184" s="23">
        <f>INSCRITOS_FORM!L184</f>
        <v/>
      </c>
      <c r="G184" s="23">
        <f t="array" ref="G184">IFERROR(INDEX(CONFIG!$A$22:$A$35,MATCH(F184,CONFIG!$B$22:$B$35,0)),0)</f>
        <v/>
      </c>
      <c r="H184" s="23">
        <f>INSCRITOS_FORM!M184</f>
        <v/>
      </c>
      <c r="I184" s="23">
        <f>INSCRITOS_FORM!O184</f>
        <v/>
      </c>
      <c r="J184" s="23">
        <f>INSCRITOS_FORM!J184</f>
        <v/>
      </c>
      <c r="K184" s="23">
        <f>INSCRITOS_FORM!K184</f>
        <v/>
      </c>
      <c r="L184" s="23">
        <f>INSCRITOS_FORM!U184</f>
        <v/>
      </c>
      <c r="M184" s="23">
        <f>INSCRITOS_FORM!V184</f>
        <v/>
      </c>
      <c r="N184" s="23">
        <f>INSCRITOS_FORM!W184</f>
        <v/>
      </c>
      <c r="O184" s="23">
        <f>INSCRITOS_FORM!X184</f>
        <v/>
      </c>
      <c r="P184" s="23">
        <f>INSCRITOS_FORM!AB184</f>
        <v/>
      </c>
      <c r="Q184" s="23">
        <f>IF(B184="","",IF(AND(OR(P184="Pagado",P184="Beca",P184="Invitado"),OR(L184="Sí",M184="Sí")),"Sí","No"))</f>
        <v/>
      </c>
      <c r="R184" s="23">
        <f>IF(AND(C184=TORNEO_ACTIVO!$B$3,Q184="Sí"),G184*10000-A184,-1)</f>
        <v/>
      </c>
    </row>
    <row r="185" ht="14.25" customHeight="1" s="72">
      <c r="A185" s="23">
        <f>IF(INSCRITOS_FORM!D185&lt;&gt;"",ROW()-4,"")</f>
        <v/>
      </c>
      <c r="B185" s="23">
        <f>INSCRITOS_FORM!AD185</f>
        <v/>
      </c>
      <c r="C185" s="23">
        <f>INSCRITOS_FORM!T185</f>
        <v/>
      </c>
      <c r="D185" s="23">
        <f>INSCRITOS_FORM!S185</f>
        <v/>
      </c>
      <c r="E185" s="23">
        <f>INSCRITOS_FORM!G185</f>
        <v/>
      </c>
      <c r="F185" s="23">
        <f>INSCRITOS_FORM!L185</f>
        <v/>
      </c>
      <c r="G185" s="23">
        <f t="array" ref="G185">IFERROR(INDEX(CONFIG!$A$22:$A$35,MATCH(F185,CONFIG!$B$22:$B$35,0)),0)</f>
        <v/>
      </c>
      <c r="H185" s="23">
        <f>INSCRITOS_FORM!M185</f>
        <v/>
      </c>
      <c r="I185" s="23">
        <f>INSCRITOS_FORM!O185</f>
        <v/>
      </c>
      <c r="J185" s="23">
        <f>INSCRITOS_FORM!J185</f>
        <v/>
      </c>
      <c r="K185" s="23">
        <f>INSCRITOS_FORM!K185</f>
        <v/>
      </c>
      <c r="L185" s="23">
        <f>INSCRITOS_FORM!U185</f>
        <v/>
      </c>
      <c r="M185" s="23">
        <f>INSCRITOS_FORM!V185</f>
        <v/>
      </c>
      <c r="N185" s="23">
        <f>INSCRITOS_FORM!W185</f>
        <v/>
      </c>
      <c r="O185" s="23">
        <f>INSCRITOS_FORM!X185</f>
        <v/>
      </c>
      <c r="P185" s="23">
        <f>INSCRITOS_FORM!AB185</f>
        <v/>
      </c>
      <c r="Q185" s="23">
        <f>IF(B185="","",IF(AND(OR(P185="Pagado",P185="Beca",P185="Invitado"),OR(L185="Sí",M185="Sí")),"Sí","No"))</f>
        <v/>
      </c>
      <c r="R185" s="23">
        <f>IF(AND(C185=TORNEO_ACTIVO!$B$3,Q185="Sí"),G185*10000-A185,-1)</f>
        <v/>
      </c>
    </row>
    <row r="186" ht="14.25" customHeight="1" s="72">
      <c r="A186" s="23">
        <f>IF(INSCRITOS_FORM!D186&lt;&gt;"",ROW()-4,"")</f>
        <v/>
      </c>
      <c r="B186" s="23">
        <f>INSCRITOS_FORM!AD186</f>
        <v/>
      </c>
      <c r="C186" s="23">
        <f>INSCRITOS_FORM!T186</f>
        <v/>
      </c>
      <c r="D186" s="23">
        <f>INSCRITOS_FORM!S186</f>
        <v/>
      </c>
      <c r="E186" s="23">
        <f>INSCRITOS_FORM!G186</f>
        <v/>
      </c>
      <c r="F186" s="23">
        <f>INSCRITOS_FORM!L186</f>
        <v/>
      </c>
      <c r="G186" s="23">
        <f t="array" ref="G186">IFERROR(INDEX(CONFIG!$A$22:$A$35,MATCH(F186,CONFIG!$B$22:$B$35,0)),0)</f>
        <v/>
      </c>
      <c r="H186" s="23">
        <f>INSCRITOS_FORM!M186</f>
        <v/>
      </c>
      <c r="I186" s="23">
        <f>INSCRITOS_FORM!O186</f>
        <v/>
      </c>
      <c r="J186" s="23">
        <f>INSCRITOS_FORM!J186</f>
        <v/>
      </c>
      <c r="K186" s="23">
        <f>INSCRITOS_FORM!K186</f>
        <v/>
      </c>
      <c r="L186" s="23">
        <f>INSCRITOS_FORM!U186</f>
        <v/>
      </c>
      <c r="M186" s="23">
        <f>INSCRITOS_FORM!V186</f>
        <v/>
      </c>
      <c r="N186" s="23">
        <f>INSCRITOS_FORM!W186</f>
        <v/>
      </c>
      <c r="O186" s="23">
        <f>INSCRITOS_FORM!X186</f>
        <v/>
      </c>
      <c r="P186" s="23">
        <f>INSCRITOS_FORM!AB186</f>
        <v/>
      </c>
      <c r="Q186" s="23">
        <f>IF(B186="","",IF(AND(OR(P186="Pagado",P186="Beca",P186="Invitado"),OR(L186="Sí",M186="Sí")),"Sí","No"))</f>
        <v/>
      </c>
      <c r="R186" s="23">
        <f>IF(AND(C186=TORNEO_ACTIVO!$B$3,Q186="Sí"),G186*10000-A186,-1)</f>
        <v/>
      </c>
    </row>
    <row r="187" ht="14.25" customHeight="1" s="72">
      <c r="A187" s="23">
        <f>IF(INSCRITOS_FORM!D187&lt;&gt;"",ROW()-4,"")</f>
        <v/>
      </c>
      <c r="B187" s="23">
        <f>INSCRITOS_FORM!AD187</f>
        <v/>
      </c>
      <c r="C187" s="23">
        <f>INSCRITOS_FORM!T187</f>
        <v/>
      </c>
      <c r="D187" s="23">
        <f>INSCRITOS_FORM!S187</f>
        <v/>
      </c>
      <c r="E187" s="23">
        <f>INSCRITOS_FORM!G187</f>
        <v/>
      </c>
      <c r="F187" s="23">
        <f>INSCRITOS_FORM!L187</f>
        <v/>
      </c>
      <c r="G187" s="23">
        <f t="array" ref="G187">IFERROR(INDEX(CONFIG!$A$22:$A$35,MATCH(F187,CONFIG!$B$22:$B$35,0)),0)</f>
        <v/>
      </c>
      <c r="H187" s="23">
        <f>INSCRITOS_FORM!M187</f>
        <v/>
      </c>
      <c r="I187" s="23">
        <f>INSCRITOS_FORM!O187</f>
        <v/>
      </c>
      <c r="J187" s="23">
        <f>INSCRITOS_FORM!J187</f>
        <v/>
      </c>
      <c r="K187" s="23">
        <f>INSCRITOS_FORM!K187</f>
        <v/>
      </c>
      <c r="L187" s="23">
        <f>INSCRITOS_FORM!U187</f>
        <v/>
      </c>
      <c r="M187" s="23">
        <f>INSCRITOS_FORM!V187</f>
        <v/>
      </c>
      <c r="N187" s="23">
        <f>INSCRITOS_FORM!W187</f>
        <v/>
      </c>
      <c r="O187" s="23">
        <f>INSCRITOS_FORM!X187</f>
        <v/>
      </c>
      <c r="P187" s="23">
        <f>INSCRITOS_FORM!AB187</f>
        <v/>
      </c>
      <c r="Q187" s="23">
        <f>IF(B187="","",IF(AND(OR(P187="Pagado",P187="Beca",P187="Invitado"),OR(L187="Sí",M187="Sí")),"Sí","No"))</f>
        <v/>
      </c>
      <c r="R187" s="23">
        <f>IF(AND(C187=TORNEO_ACTIVO!$B$3,Q187="Sí"),G187*10000-A187,-1)</f>
        <v/>
      </c>
    </row>
    <row r="188" ht="14.25" customHeight="1" s="72">
      <c r="A188" s="23">
        <f>IF(INSCRITOS_FORM!D188&lt;&gt;"",ROW()-4,"")</f>
        <v/>
      </c>
      <c r="B188" s="23">
        <f>INSCRITOS_FORM!AD188</f>
        <v/>
      </c>
      <c r="C188" s="23">
        <f>INSCRITOS_FORM!T188</f>
        <v/>
      </c>
      <c r="D188" s="23">
        <f>INSCRITOS_FORM!S188</f>
        <v/>
      </c>
      <c r="E188" s="23">
        <f>INSCRITOS_FORM!G188</f>
        <v/>
      </c>
      <c r="F188" s="23">
        <f>INSCRITOS_FORM!L188</f>
        <v/>
      </c>
      <c r="G188" s="23">
        <f t="array" ref="G188">IFERROR(INDEX(CONFIG!$A$22:$A$35,MATCH(F188,CONFIG!$B$22:$B$35,0)),0)</f>
        <v/>
      </c>
      <c r="H188" s="23">
        <f>INSCRITOS_FORM!M188</f>
        <v/>
      </c>
      <c r="I188" s="23">
        <f>INSCRITOS_FORM!O188</f>
        <v/>
      </c>
      <c r="J188" s="23">
        <f>INSCRITOS_FORM!J188</f>
        <v/>
      </c>
      <c r="K188" s="23">
        <f>INSCRITOS_FORM!K188</f>
        <v/>
      </c>
      <c r="L188" s="23">
        <f>INSCRITOS_FORM!U188</f>
        <v/>
      </c>
      <c r="M188" s="23">
        <f>INSCRITOS_FORM!V188</f>
        <v/>
      </c>
      <c r="N188" s="23">
        <f>INSCRITOS_FORM!W188</f>
        <v/>
      </c>
      <c r="O188" s="23">
        <f>INSCRITOS_FORM!X188</f>
        <v/>
      </c>
      <c r="P188" s="23">
        <f>INSCRITOS_FORM!AB188</f>
        <v/>
      </c>
      <c r="Q188" s="23">
        <f>IF(B188="","",IF(AND(OR(P188="Pagado",P188="Beca",P188="Invitado"),OR(L188="Sí",M188="Sí")),"Sí","No"))</f>
        <v/>
      </c>
      <c r="R188" s="23">
        <f>IF(AND(C188=TORNEO_ACTIVO!$B$3,Q188="Sí"),G188*10000-A188,-1)</f>
        <v/>
      </c>
    </row>
    <row r="189" ht="14.25" customHeight="1" s="72">
      <c r="A189" s="23">
        <f>IF(INSCRITOS_FORM!D189&lt;&gt;"",ROW()-4,"")</f>
        <v/>
      </c>
      <c r="B189" s="23">
        <f>INSCRITOS_FORM!AD189</f>
        <v/>
      </c>
      <c r="C189" s="23">
        <f>INSCRITOS_FORM!T189</f>
        <v/>
      </c>
      <c r="D189" s="23">
        <f>INSCRITOS_FORM!S189</f>
        <v/>
      </c>
      <c r="E189" s="23">
        <f>INSCRITOS_FORM!G189</f>
        <v/>
      </c>
      <c r="F189" s="23">
        <f>INSCRITOS_FORM!L189</f>
        <v/>
      </c>
      <c r="G189" s="23">
        <f t="array" ref="G189">IFERROR(INDEX(CONFIG!$A$22:$A$35,MATCH(F189,CONFIG!$B$22:$B$35,0)),0)</f>
        <v/>
      </c>
      <c r="H189" s="23">
        <f>INSCRITOS_FORM!M189</f>
        <v/>
      </c>
      <c r="I189" s="23">
        <f>INSCRITOS_FORM!O189</f>
        <v/>
      </c>
      <c r="J189" s="23">
        <f>INSCRITOS_FORM!J189</f>
        <v/>
      </c>
      <c r="K189" s="23">
        <f>INSCRITOS_FORM!K189</f>
        <v/>
      </c>
      <c r="L189" s="23">
        <f>INSCRITOS_FORM!U189</f>
        <v/>
      </c>
      <c r="M189" s="23">
        <f>INSCRITOS_FORM!V189</f>
        <v/>
      </c>
      <c r="N189" s="23">
        <f>INSCRITOS_FORM!W189</f>
        <v/>
      </c>
      <c r="O189" s="23">
        <f>INSCRITOS_FORM!X189</f>
        <v/>
      </c>
      <c r="P189" s="23">
        <f>INSCRITOS_FORM!AB189</f>
        <v/>
      </c>
      <c r="Q189" s="23">
        <f>IF(B189="","",IF(AND(OR(P189="Pagado",P189="Beca",P189="Invitado"),OR(L189="Sí",M189="Sí")),"Sí","No"))</f>
        <v/>
      </c>
      <c r="R189" s="23">
        <f>IF(AND(C189=TORNEO_ACTIVO!$B$3,Q189="Sí"),G189*10000-A189,-1)</f>
        <v/>
      </c>
    </row>
    <row r="190" ht="14.25" customHeight="1" s="72">
      <c r="A190" s="23">
        <f>IF(INSCRITOS_FORM!D190&lt;&gt;"",ROW()-4,"")</f>
        <v/>
      </c>
      <c r="B190" s="23">
        <f>INSCRITOS_FORM!AD190</f>
        <v/>
      </c>
      <c r="C190" s="23">
        <f>INSCRITOS_FORM!T190</f>
        <v/>
      </c>
      <c r="D190" s="23">
        <f>INSCRITOS_FORM!S190</f>
        <v/>
      </c>
      <c r="E190" s="23">
        <f>INSCRITOS_FORM!G190</f>
        <v/>
      </c>
      <c r="F190" s="23">
        <f>INSCRITOS_FORM!L190</f>
        <v/>
      </c>
      <c r="G190" s="23">
        <f t="array" ref="G190">IFERROR(INDEX(CONFIG!$A$22:$A$35,MATCH(F190,CONFIG!$B$22:$B$35,0)),0)</f>
        <v/>
      </c>
      <c r="H190" s="23">
        <f>INSCRITOS_FORM!M190</f>
        <v/>
      </c>
      <c r="I190" s="23">
        <f>INSCRITOS_FORM!O190</f>
        <v/>
      </c>
      <c r="J190" s="23">
        <f>INSCRITOS_FORM!J190</f>
        <v/>
      </c>
      <c r="K190" s="23">
        <f>INSCRITOS_FORM!K190</f>
        <v/>
      </c>
      <c r="L190" s="23">
        <f>INSCRITOS_FORM!U190</f>
        <v/>
      </c>
      <c r="M190" s="23">
        <f>INSCRITOS_FORM!V190</f>
        <v/>
      </c>
      <c r="N190" s="23">
        <f>INSCRITOS_FORM!W190</f>
        <v/>
      </c>
      <c r="O190" s="23">
        <f>INSCRITOS_FORM!X190</f>
        <v/>
      </c>
      <c r="P190" s="23">
        <f>INSCRITOS_FORM!AB190</f>
        <v/>
      </c>
      <c r="Q190" s="23">
        <f>IF(B190="","",IF(AND(OR(P190="Pagado",P190="Beca",P190="Invitado"),OR(L190="Sí",M190="Sí")),"Sí","No"))</f>
        <v/>
      </c>
      <c r="R190" s="23">
        <f>IF(AND(C190=TORNEO_ACTIVO!$B$3,Q190="Sí"),G190*10000-A190,-1)</f>
        <v/>
      </c>
    </row>
    <row r="191" ht="14.25" customHeight="1" s="72">
      <c r="A191" s="23">
        <f>IF(INSCRITOS_FORM!D191&lt;&gt;"",ROW()-4,"")</f>
        <v/>
      </c>
      <c r="B191" s="23">
        <f>INSCRITOS_FORM!AD191</f>
        <v/>
      </c>
      <c r="C191" s="23">
        <f>INSCRITOS_FORM!T191</f>
        <v/>
      </c>
      <c r="D191" s="23">
        <f>INSCRITOS_FORM!S191</f>
        <v/>
      </c>
      <c r="E191" s="23">
        <f>INSCRITOS_FORM!G191</f>
        <v/>
      </c>
      <c r="F191" s="23">
        <f>INSCRITOS_FORM!L191</f>
        <v/>
      </c>
      <c r="G191" s="23">
        <f t="array" ref="G191">IFERROR(INDEX(CONFIG!$A$22:$A$35,MATCH(F191,CONFIG!$B$22:$B$35,0)),0)</f>
        <v/>
      </c>
      <c r="H191" s="23">
        <f>INSCRITOS_FORM!M191</f>
        <v/>
      </c>
      <c r="I191" s="23">
        <f>INSCRITOS_FORM!O191</f>
        <v/>
      </c>
      <c r="J191" s="23">
        <f>INSCRITOS_FORM!J191</f>
        <v/>
      </c>
      <c r="K191" s="23">
        <f>INSCRITOS_FORM!K191</f>
        <v/>
      </c>
      <c r="L191" s="23">
        <f>INSCRITOS_FORM!U191</f>
        <v/>
      </c>
      <c r="M191" s="23">
        <f>INSCRITOS_FORM!V191</f>
        <v/>
      </c>
      <c r="N191" s="23">
        <f>INSCRITOS_FORM!W191</f>
        <v/>
      </c>
      <c r="O191" s="23">
        <f>INSCRITOS_FORM!X191</f>
        <v/>
      </c>
      <c r="P191" s="23">
        <f>INSCRITOS_FORM!AB191</f>
        <v/>
      </c>
      <c r="Q191" s="23">
        <f>IF(B191="","",IF(AND(OR(P191="Pagado",P191="Beca",P191="Invitado"),OR(L191="Sí",M191="Sí")),"Sí","No"))</f>
        <v/>
      </c>
      <c r="R191" s="23">
        <f>IF(AND(C191=TORNEO_ACTIVO!$B$3,Q191="Sí"),G191*10000-A191,-1)</f>
        <v/>
      </c>
    </row>
    <row r="192" ht="14.25" customHeight="1" s="72">
      <c r="A192" s="23">
        <f>IF(INSCRITOS_FORM!D192&lt;&gt;"",ROW()-4,"")</f>
        <v/>
      </c>
      <c r="B192" s="23">
        <f>INSCRITOS_FORM!AD192</f>
        <v/>
      </c>
      <c r="C192" s="23">
        <f>INSCRITOS_FORM!T192</f>
        <v/>
      </c>
      <c r="D192" s="23">
        <f>INSCRITOS_FORM!S192</f>
        <v/>
      </c>
      <c r="E192" s="23">
        <f>INSCRITOS_FORM!G192</f>
        <v/>
      </c>
      <c r="F192" s="23">
        <f>INSCRITOS_FORM!L192</f>
        <v/>
      </c>
      <c r="G192" s="23">
        <f t="array" ref="G192">IFERROR(INDEX(CONFIG!$A$22:$A$35,MATCH(F192,CONFIG!$B$22:$B$35,0)),0)</f>
        <v/>
      </c>
      <c r="H192" s="23">
        <f>INSCRITOS_FORM!M192</f>
        <v/>
      </c>
      <c r="I192" s="23">
        <f>INSCRITOS_FORM!O192</f>
        <v/>
      </c>
      <c r="J192" s="23">
        <f>INSCRITOS_FORM!J192</f>
        <v/>
      </c>
      <c r="K192" s="23">
        <f>INSCRITOS_FORM!K192</f>
        <v/>
      </c>
      <c r="L192" s="23">
        <f>INSCRITOS_FORM!U192</f>
        <v/>
      </c>
      <c r="M192" s="23">
        <f>INSCRITOS_FORM!V192</f>
        <v/>
      </c>
      <c r="N192" s="23">
        <f>INSCRITOS_FORM!W192</f>
        <v/>
      </c>
      <c r="O192" s="23">
        <f>INSCRITOS_FORM!X192</f>
        <v/>
      </c>
      <c r="P192" s="23">
        <f>INSCRITOS_FORM!AB192</f>
        <v/>
      </c>
      <c r="Q192" s="23">
        <f>IF(B192="","",IF(AND(OR(P192="Pagado",P192="Beca",P192="Invitado"),OR(L192="Sí",M192="Sí")),"Sí","No"))</f>
        <v/>
      </c>
      <c r="R192" s="23">
        <f>IF(AND(C192=TORNEO_ACTIVO!$B$3,Q192="Sí"),G192*10000-A192,-1)</f>
        <v/>
      </c>
    </row>
    <row r="193" ht="14.25" customHeight="1" s="72">
      <c r="A193" s="23">
        <f>IF(INSCRITOS_FORM!D193&lt;&gt;"",ROW()-4,"")</f>
        <v/>
      </c>
      <c r="B193" s="23">
        <f>INSCRITOS_FORM!AD193</f>
        <v/>
      </c>
      <c r="C193" s="23">
        <f>INSCRITOS_FORM!T193</f>
        <v/>
      </c>
      <c r="D193" s="23">
        <f>INSCRITOS_FORM!S193</f>
        <v/>
      </c>
      <c r="E193" s="23">
        <f>INSCRITOS_FORM!G193</f>
        <v/>
      </c>
      <c r="F193" s="23">
        <f>INSCRITOS_FORM!L193</f>
        <v/>
      </c>
      <c r="G193" s="23">
        <f t="array" ref="G193">IFERROR(INDEX(CONFIG!$A$22:$A$35,MATCH(F193,CONFIG!$B$22:$B$35,0)),0)</f>
        <v/>
      </c>
      <c r="H193" s="23">
        <f>INSCRITOS_FORM!M193</f>
        <v/>
      </c>
      <c r="I193" s="23">
        <f>INSCRITOS_FORM!O193</f>
        <v/>
      </c>
      <c r="J193" s="23">
        <f>INSCRITOS_FORM!J193</f>
        <v/>
      </c>
      <c r="K193" s="23">
        <f>INSCRITOS_FORM!K193</f>
        <v/>
      </c>
      <c r="L193" s="23">
        <f>INSCRITOS_FORM!U193</f>
        <v/>
      </c>
      <c r="M193" s="23">
        <f>INSCRITOS_FORM!V193</f>
        <v/>
      </c>
      <c r="N193" s="23">
        <f>INSCRITOS_FORM!W193</f>
        <v/>
      </c>
      <c r="O193" s="23">
        <f>INSCRITOS_FORM!X193</f>
        <v/>
      </c>
      <c r="P193" s="23">
        <f>INSCRITOS_FORM!AB193</f>
        <v/>
      </c>
      <c r="Q193" s="23">
        <f>IF(B193="","",IF(AND(OR(P193="Pagado",P193="Beca",P193="Invitado"),OR(L193="Sí",M193="Sí")),"Sí","No"))</f>
        <v/>
      </c>
      <c r="R193" s="23">
        <f>IF(AND(C193=TORNEO_ACTIVO!$B$3,Q193="Sí"),G193*10000-A193,-1)</f>
        <v/>
      </c>
    </row>
    <row r="194" ht="14.25" customHeight="1" s="72">
      <c r="A194" s="23">
        <f>IF(INSCRITOS_FORM!D194&lt;&gt;"",ROW()-4,"")</f>
        <v/>
      </c>
      <c r="B194" s="23">
        <f>INSCRITOS_FORM!AD194</f>
        <v/>
      </c>
      <c r="C194" s="23">
        <f>INSCRITOS_FORM!T194</f>
        <v/>
      </c>
      <c r="D194" s="23">
        <f>INSCRITOS_FORM!S194</f>
        <v/>
      </c>
      <c r="E194" s="23">
        <f>INSCRITOS_FORM!G194</f>
        <v/>
      </c>
      <c r="F194" s="23">
        <f>INSCRITOS_FORM!L194</f>
        <v/>
      </c>
      <c r="G194" s="23">
        <f t="array" ref="G194">IFERROR(INDEX(CONFIG!$A$22:$A$35,MATCH(F194,CONFIG!$B$22:$B$35,0)),0)</f>
        <v/>
      </c>
      <c r="H194" s="23">
        <f>INSCRITOS_FORM!M194</f>
        <v/>
      </c>
      <c r="I194" s="23">
        <f>INSCRITOS_FORM!O194</f>
        <v/>
      </c>
      <c r="J194" s="23">
        <f>INSCRITOS_FORM!J194</f>
        <v/>
      </c>
      <c r="K194" s="23">
        <f>INSCRITOS_FORM!K194</f>
        <v/>
      </c>
      <c r="L194" s="23">
        <f>INSCRITOS_FORM!U194</f>
        <v/>
      </c>
      <c r="M194" s="23">
        <f>INSCRITOS_FORM!V194</f>
        <v/>
      </c>
      <c r="N194" s="23">
        <f>INSCRITOS_FORM!W194</f>
        <v/>
      </c>
      <c r="O194" s="23">
        <f>INSCRITOS_FORM!X194</f>
        <v/>
      </c>
      <c r="P194" s="23">
        <f>INSCRITOS_FORM!AB194</f>
        <v/>
      </c>
      <c r="Q194" s="23">
        <f>IF(B194="","",IF(AND(OR(P194="Pagado",P194="Beca",P194="Invitado"),OR(L194="Sí",M194="Sí")),"Sí","No"))</f>
        <v/>
      </c>
      <c r="R194" s="23">
        <f>IF(AND(C194=TORNEO_ACTIVO!$B$3,Q194="Sí"),G194*10000-A194,-1)</f>
        <v/>
      </c>
    </row>
    <row r="195" ht="14.25" customHeight="1" s="72">
      <c r="A195" s="23">
        <f>IF(INSCRITOS_FORM!D195&lt;&gt;"",ROW()-4,"")</f>
        <v/>
      </c>
      <c r="B195" s="23">
        <f>INSCRITOS_FORM!AD195</f>
        <v/>
      </c>
      <c r="C195" s="23">
        <f>INSCRITOS_FORM!T195</f>
        <v/>
      </c>
      <c r="D195" s="23">
        <f>INSCRITOS_FORM!S195</f>
        <v/>
      </c>
      <c r="E195" s="23">
        <f>INSCRITOS_FORM!G195</f>
        <v/>
      </c>
      <c r="F195" s="23">
        <f>INSCRITOS_FORM!L195</f>
        <v/>
      </c>
      <c r="G195" s="23">
        <f t="array" ref="G195">IFERROR(INDEX(CONFIG!$A$22:$A$35,MATCH(F195,CONFIG!$B$22:$B$35,0)),0)</f>
        <v/>
      </c>
      <c r="H195" s="23">
        <f>INSCRITOS_FORM!M195</f>
        <v/>
      </c>
      <c r="I195" s="23">
        <f>INSCRITOS_FORM!O195</f>
        <v/>
      </c>
      <c r="J195" s="23">
        <f>INSCRITOS_FORM!J195</f>
        <v/>
      </c>
      <c r="K195" s="23">
        <f>INSCRITOS_FORM!K195</f>
        <v/>
      </c>
      <c r="L195" s="23">
        <f>INSCRITOS_FORM!U195</f>
        <v/>
      </c>
      <c r="M195" s="23">
        <f>INSCRITOS_FORM!V195</f>
        <v/>
      </c>
      <c r="N195" s="23">
        <f>INSCRITOS_FORM!W195</f>
        <v/>
      </c>
      <c r="O195" s="23">
        <f>INSCRITOS_FORM!X195</f>
        <v/>
      </c>
      <c r="P195" s="23">
        <f>INSCRITOS_FORM!AB195</f>
        <v/>
      </c>
      <c r="Q195" s="23">
        <f>IF(B195="","",IF(AND(OR(P195="Pagado",P195="Beca",P195="Invitado"),OR(L195="Sí",M195="Sí")),"Sí","No"))</f>
        <v/>
      </c>
      <c r="R195" s="23">
        <f>IF(AND(C195=TORNEO_ACTIVO!$B$3,Q195="Sí"),G195*10000-A195,-1)</f>
        <v/>
      </c>
    </row>
    <row r="196" ht="14.25" customHeight="1" s="72">
      <c r="A196" s="23">
        <f>IF(INSCRITOS_FORM!D196&lt;&gt;"",ROW()-4,"")</f>
        <v/>
      </c>
      <c r="B196" s="23">
        <f>INSCRITOS_FORM!AD196</f>
        <v/>
      </c>
      <c r="C196" s="23">
        <f>INSCRITOS_FORM!T196</f>
        <v/>
      </c>
      <c r="D196" s="23">
        <f>INSCRITOS_FORM!S196</f>
        <v/>
      </c>
      <c r="E196" s="23">
        <f>INSCRITOS_FORM!G196</f>
        <v/>
      </c>
      <c r="F196" s="23">
        <f>INSCRITOS_FORM!L196</f>
        <v/>
      </c>
      <c r="G196" s="23">
        <f t="array" ref="G196">IFERROR(INDEX(CONFIG!$A$22:$A$35,MATCH(F196,CONFIG!$B$22:$B$35,0)),0)</f>
        <v/>
      </c>
      <c r="H196" s="23">
        <f>INSCRITOS_FORM!M196</f>
        <v/>
      </c>
      <c r="I196" s="23">
        <f>INSCRITOS_FORM!O196</f>
        <v/>
      </c>
      <c r="J196" s="23">
        <f>INSCRITOS_FORM!J196</f>
        <v/>
      </c>
      <c r="K196" s="23">
        <f>INSCRITOS_FORM!K196</f>
        <v/>
      </c>
      <c r="L196" s="23">
        <f>INSCRITOS_FORM!U196</f>
        <v/>
      </c>
      <c r="M196" s="23">
        <f>INSCRITOS_FORM!V196</f>
        <v/>
      </c>
      <c r="N196" s="23">
        <f>INSCRITOS_FORM!W196</f>
        <v/>
      </c>
      <c r="O196" s="23">
        <f>INSCRITOS_FORM!X196</f>
        <v/>
      </c>
      <c r="P196" s="23">
        <f>INSCRITOS_FORM!AB196</f>
        <v/>
      </c>
      <c r="Q196" s="23">
        <f>IF(B196="","",IF(AND(OR(P196="Pagado",P196="Beca",P196="Invitado"),OR(L196="Sí",M196="Sí")),"Sí","No"))</f>
        <v/>
      </c>
      <c r="R196" s="23">
        <f>IF(AND(C196=TORNEO_ACTIVO!$B$3,Q196="Sí"),G196*10000-A196,-1)</f>
        <v/>
      </c>
    </row>
    <row r="197" ht="14.25" customHeight="1" s="72">
      <c r="A197" s="23">
        <f>IF(INSCRITOS_FORM!D197&lt;&gt;"",ROW()-4,"")</f>
        <v/>
      </c>
      <c r="B197" s="23">
        <f>INSCRITOS_FORM!AD197</f>
        <v/>
      </c>
      <c r="C197" s="23">
        <f>INSCRITOS_FORM!T197</f>
        <v/>
      </c>
      <c r="D197" s="23">
        <f>INSCRITOS_FORM!S197</f>
        <v/>
      </c>
      <c r="E197" s="23">
        <f>INSCRITOS_FORM!G197</f>
        <v/>
      </c>
      <c r="F197" s="23">
        <f>INSCRITOS_FORM!L197</f>
        <v/>
      </c>
      <c r="G197" s="23">
        <f t="array" ref="G197">IFERROR(INDEX(CONFIG!$A$22:$A$35,MATCH(F197,CONFIG!$B$22:$B$35,0)),0)</f>
        <v/>
      </c>
      <c r="H197" s="23">
        <f>INSCRITOS_FORM!M197</f>
        <v/>
      </c>
      <c r="I197" s="23">
        <f>INSCRITOS_FORM!O197</f>
        <v/>
      </c>
      <c r="J197" s="23">
        <f>INSCRITOS_FORM!J197</f>
        <v/>
      </c>
      <c r="K197" s="23">
        <f>INSCRITOS_FORM!K197</f>
        <v/>
      </c>
      <c r="L197" s="23">
        <f>INSCRITOS_FORM!U197</f>
        <v/>
      </c>
      <c r="M197" s="23">
        <f>INSCRITOS_FORM!V197</f>
        <v/>
      </c>
      <c r="N197" s="23">
        <f>INSCRITOS_FORM!W197</f>
        <v/>
      </c>
      <c r="O197" s="23">
        <f>INSCRITOS_FORM!X197</f>
        <v/>
      </c>
      <c r="P197" s="23">
        <f>INSCRITOS_FORM!AB197</f>
        <v/>
      </c>
      <c r="Q197" s="23">
        <f>IF(B197="","",IF(AND(OR(P197="Pagado",P197="Beca",P197="Invitado"),OR(L197="Sí",M197="Sí")),"Sí","No"))</f>
        <v/>
      </c>
      <c r="R197" s="23">
        <f>IF(AND(C197=TORNEO_ACTIVO!$B$3,Q197="Sí"),G197*10000-A197,-1)</f>
        <v/>
      </c>
    </row>
    <row r="198" ht="14.25" customHeight="1" s="72">
      <c r="A198" s="23">
        <f>IF(INSCRITOS_FORM!D198&lt;&gt;"",ROW()-4,"")</f>
        <v/>
      </c>
      <c r="B198" s="23">
        <f>INSCRITOS_FORM!AD198</f>
        <v/>
      </c>
      <c r="C198" s="23">
        <f>INSCRITOS_FORM!T198</f>
        <v/>
      </c>
      <c r="D198" s="23">
        <f>INSCRITOS_FORM!S198</f>
        <v/>
      </c>
      <c r="E198" s="23">
        <f>INSCRITOS_FORM!G198</f>
        <v/>
      </c>
      <c r="F198" s="23">
        <f>INSCRITOS_FORM!L198</f>
        <v/>
      </c>
      <c r="G198" s="23">
        <f t="array" ref="G198">IFERROR(INDEX(CONFIG!$A$22:$A$35,MATCH(F198,CONFIG!$B$22:$B$35,0)),0)</f>
        <v/>
      </c>
      <c r="H198" s="23">
        <f>INSCRITOS_FORM!M198</f>
        <v/>
      </c>
      <c r="I198" s="23">
        <f>INSCRITOS_FORM!O198</f>
        <v/>
      </c>
      <c r="J198" s="23">
        <f>INSCRITOS_FORM!J198</f>
        <v/>
      </c>
      <c r="K198" s="23">
        <f>INSCRITOS_FORM!K198</f>
        <v/>
      </c>
      <c r="L198" s="23">
        <f>INSCRITOS_FORM!U198</f>
        <v/>
      </c>
      <c r="M198" s="23">
        <f>INSCRITOS_FORM!V198</f>
        <v/>
      </c>
      <c r="N198" s="23">
        <f>INSCRITOS_FORM!W198</f>
        <v/>
      </c>
      <c r="O198" s="23">
        <f>INSCRITOS_FORM!X198</f>
        <v/>
      </c>
      <c r="P198" s="23">
        <f>INSCRITOS_FORM!AB198</f>
        <v/>
      </c>
      <c r="Q198" s="23">
        <f>IF(B198="","",IF(AND(OR(P198="Pagado",P198="Beca",P198="Invitado"),OR(L198="Sí",M198="Sí")),"Sí","No"))</f>
        <v/>
      </c>
      <c r="R198" s="23">
        <f>IF(AND(C198=TORNEO_ACTIVO!$B$3,Q198="Sí"),G198*10000-A198,-1)</f>
        <v/>
      </c>
    </row>
    <row r="199" ht="14.25" customHeight="1" s="72">
      <c r="A199" s="23">
        <f>IF(INSCRITOS_FORM!D199&lt;&gt;"",ROW()-4,"")</f>
        <v/>
      </c>
      <c r="B199" s="23">
        <f>INSCRITOS_FORM!AD199</f>
        <v/>
      </c>
      <c r="C199" s="23">
        <f>INSCRITOS_FORM!T199</f>
        <v/>
      </c>
      <c r="D199" s="23">
        <f>INSCRITOS_FORM!S199</f>
        <v/>
      </c>
      <c r="E199" s="23">
        <f>INSCRITOS_FORM!G199</f>
        <v/>
      </c>
      <c r="F199" s="23">
        <f>INSCRITOS_FORM!L199</f>
        <v/>
      </c>
      <c r="G199" s="23">
        <f t="array" ref="G199">IFERROR(INDEX(CONFIG!$A$22:$A$35,MATCH(F199,CONFIG!$B$22:$B$35,0)),0)</f>
        <v/>
      </c>
      <c r="H199" s="23">
        <f>INSCRITOS_FORM!M199</f>
        <v/>
      </c>
      <c r="I199" s="23">
        <f>INSCRITOS_FORM!O199</f>
        <v/>
      </c>
      <c r="J199" s="23">
        <f>INSCRITOS_FORM!J199</f>
        <v/>
      </c>
      <c r="K199" s="23">
        <f>INSCRITOS_FORM!K199</f>
        <v/>
      </c>
      <c r="L199" s="23">
        <f>INSCRITOS_FORM!U199</f>
        <v/>
      </c>
      <c r="M199" s="23">
        <f>INSCRITOS_FORM!V199</f>
        <v/>
      </c>
      <c r="N199" s="23">
        <f>INSCRITOS_FORM!W199</f>
        <v/>
      </c>
      <c r="O199" s="23">
        <f>INSCRITOS_FORM!X199</f>
        <v/>
      </c>
      <c r="P199" s="23">
        <f>INSCRITOS_FORM!AB199</f>
        <v/>
      </c>
      <c r="Q199" s="23">
        <f>IF(B199="","",IF(AND(OR(P199="Pagado",P199="Beca",P199="Invitado"),OR(L199="Sí",M199="Sí")),"Sí","No"))</f>
        <v/>
      </c>
      <c r="R199" s="23">
        <f>IF(AND(C199=TORNEO_ACTIVO!$B$3,Q199="Sí"),G199*10000-A199,-1)</f>
        <v/>
      </c>
    </row>
    <row r="200" ht="14.25" customHeight="1" s="72">
      <c r="A200" s="23">
        <f>IF(INSCRITOS_FORM!D200&lt;&gt;"",ROW()-4,"")</f>
        <v/>
      </c>
      <c r="B200" s="23">
        <f>INSCRITOS_FORM!AD200</f>
        <v/>
      </c>
      <c r="C200" s="23">
        <f>INSCRITOS_FORM!T200</f>
        <v/>
      </c>
      <c r="D200" s="23">
        <f>INSCRITOS_FORM!S200</f>
        <v/>
      </c>
      <c r="E200" s="23">
        <f>INSCRITOS_FORM!G200</f>
        <v/>
      </c>
      <c r="F200" s="23">
        <f>INSCRITOS_FORM!L200</f>
        <v/>
      </c>
      <c r="G200" s="23">
        <f t="array" ref="G200">IFERROR(INDEX(CONFIG!$A$22:$A$35,MATCH(F200,CONFIG!$B$22:$B$35,0)),0)</f>
        <v/>
      </c>
      <c r="H200" s="23">
        <f>INSCRITOS_FORM!M200</f>
        <v/>
      </c>
      <c r="I200" s="23">
        <f>INSCRITOS_FORM!O200</f>
        <v/>
      </c>
      <c r="J200" s="23">
        <f>INSCRITOS_FORM!J200</f>
        <v/>
      </c>
      <c r="K200" s="23">
        <f>INSCRITOS_FORM!K200</f>
        <v/>
      </c>
      <c r="L200" s="23">
        <f>INSCRITOS_FORM!U200</f>
        <v/>
      </c>
      <c r="M200" s="23">
        <f>INSCRITOS_FORM!V200</f>
        <v/>
      </c>
      <c r="N200" s="23">
        <f>INSCRITOS_FORM!W200</f>
        <v/>
      </c>
      <c r="O200" s="23">
        <f>INSCRITOS_FORM!X200</f>
        <v/>
      </c>
      <c r="P200" s="23">
        <f>INSCRITOS_FORM!AB200</f>
        <v/>
      </c>
      <c r="Q200" s="23">
        <f>IF(B200="","",IF(AND(OR(P200="Pagado",P200="Beca",P200="Invitado"),OR(L200="Sí",M200="Sí")),"Sí","No"))</f>
        <v/>
      </c>
      <c r="R200" s="23">
        <f>IF(AND(C200=TORNEO_ACTIVO!$B$3,Q200="Sí"),G200*10000-A200,-1)</f>
        <v/>
      </c>
    </row>
    <row r="201" ht="14.25" customHeight="1" s="72">
      <c r="A201" s="23">
        <f>IF(INSCRITOS_FORM!D201&lt;&gt;"",ROW()-4,"")</f>
        <v/>
      </c>
      <c r="B201" s="23">
        <f>INSCRITOS_FORM!AD201</f>
        <v/>
      </c>
      <c r="C201" s="23">
        <f>INSCRITOS_FORM!T201</f>
        <v/>
      </c>
      <c r="D201" s="23">
        <f>INSCRITOS_FORM!S201</f>
        <v/>
      </c>
      <c r="E201" s="23">
        <f>INSCRITOS_FORM!G201</f>
        <v/>
      </c>
      <c r="F201" s="23">
        <f>INSCRITOS_FORM!L201</f>
        <v/>
      </c>
      <c r="G201" s="23">
        <f t="array" ref="G201">IFERROR(INDEX(CONFIG!$A$22:$A$35,MATCH(F201,CONFIG!$B$22:$B$35,0)),0)</f>
        <v/>
      </c>
      <c r="H201" s="23">
        <f>INSCRITOS_FORM!M201</f>
        <v/>
      </c>
      <c r="I201" s="23">
        <f>INSCRITOS_FORM!O201</f>
        <v/>
      </c>
      <c r="J201" s="23">
        <f>INSCRITOS_FORM!J201</f>
        <v/>
      </c>
      <c r="K201" s="23">
        <f>INSCRITOS_FORM!K201</f>
        <v/>
      </c>
      <c r="L201" s="23">
        <f>INSCRITOS_FORM!U201</f>
        <v/>
      </c>
      <c r="M201" s="23">
        <f>INSCRITOS_FORM!V201</f>
        <v/>
      </c>
      <c r="N201" s="23">
        <f>INSCRITOS_FORM!W201</f>
        <v/>
      </c>
      <c r="O201" s="23">
        <f>INSCRITOS_FORM!X201</f>
        <v/>
      </c>
      <c r="P201" s="23">
        <f>INSCRITOS_FORM!AB201</f>
        <v/>
      </c>
      <c r="Q201" s="23">
        <f>IF(B201="","",IF(AND(OR(P201="Pagado",P201="Beca",P201="Invitado"),OR(L201="Sí",M201="Sí")),"Sí","No"))</f>
        <v/>
      </c>
      <c r="R201" s="23">
        <f>IF(AND(C201=TORNEO_ACTIVO!$B$3,Q201="Sí"),G201*10000-A201,-1)</f>
        <v/>
      </c>
    </row>
    <row r="202" ht="14.25" customHeight="1" s="72">
      <c r="A202" s="23">
        <f>IF(INSCRITOS_FORM!D202&lt;&gt;"",ROW()-4,"")</f>
        <v/>
      </c>
      <c r="B202" s="23">
        <f>INSCRITOS_FORM!AD202</f>
        <v/>
      </c>
      <c r="C202" s="23">
        <f>INSCRITOS_FORM!T202</f>
        <v/>
      </c>
      <c r="D202" s="23">
        <f>INSCRITOS_FORM!S202</f>
        <v/>
      </c>
      <c r="E202" s="23">
        <f>INSCRITOS_FORM!G202</f>
        <v/>
      </c>
      <c r="F202" s="23">
        <f>INSCRITOS_FORM!L202</f>
        <v/>
      </c>
      <c r="G202" s="23">
        <f t="array" ref="G202">IFERROR(INDEX(CONFIG!$A$22:$A$35,MATCH(F202,CONFIG!$B$22:$B$35,0)),0)</f>
        <v/>
      </c>
      <c r="H202" s="23">
        <f>INSCRITOS_FORM!M202</f>
        <v/>
      </c>
      <c r="I202" s="23">
        <f>INSCRITOS_FORM!O202</f>
        <v/>
      </c>
      <c r="J202" s="23">
        <f>INSCRITOS_FORM!J202</f>
        <v/>
      </c>
      <c r="K202" s="23">
        <f>INSCRITOS_FORM!K202</f>
        <v/>
      </c>
      <c r="L202" s="23">
        <f>INSCRITOS_FORM!U202</f>
        <v/>
      </c>
      <c r="M202" s="23">
        <f>INSCRITOS_FORM!V202</f>
        <v/>
      </c>
      <c r="N202" s="23">
        <f>INSCRITOS_FORM!W202</f>
        <v/>
      </c>
      <c r="O202" s="23">
        <f>INSCRITOS_FORM!X202</f>
        <v/>
      </c>
      <c r="P202" s="23">
        <f>INSCRITOS_FORM!AB202</f>
        <v/>
      </c>
      <c r="Q202" s="23">
        <f>IF(B202="","",IF(AND(OR(P202="Pagado",P202="Beca",P202="Invitado"),OR(L202="Sí",M202="Sí")),"Sí","No"))</f>
        <v/>
      </c>
      <c r="R202" s="23">
        <f>IF(AND(C202=TORNEO_ACTIVO!$B$3,Q202="Sí"),G202*10000-A202,-1)</f>
        <v/>
      </c>
    </row>
    <row r="203" ht="14.25" customHeight="1" s="72">
      <c r="A203" s="23">
        <f>IF(INSCRITOS_FORM!D203&lt;&gt;"",ROW()-4,"")</f>
        <v/>
      </c>
      <c r="B203" s="23">
        <f>INSCRITOS_FORM!AD203</f>
        <v/>
      </c>
      <c r="C203" s="23">
        <f>INSCRITOS_FORM!T203</f>
        <v/>
      </c>
      <c r="D203" s="23">
        <f>INSCRITOS_FORM!S203</f>
        <v/>
      </c>
      <c r="E203" s="23">
        <f>INSCRITOS_FORM!G203</f>
        <v/>
      </c>
      <c r="F203" s="23">
        <f>INSCRITOS_FORM!L203</f>
        <v/>
      </c>
      <c r="G203" s="23">
        <f t="array" ref="G203">IFERROR(INDEX(CONFIG!$A$22:$A$35,MATCH(F203,CONFIG!$B$22:$B$35,0)),0)</f>
        <v/>
      </c>
      <c r="H203" s="23">
        <f>INSCRITOS_FORM!M203</f>
        <v/>
      </c>
      <c r="I203" s="23">
        <f>INSCRITOS_FORM!O203</f>
        <v/>
      </c>
      <c r="J203" s="23">
        <f>INSCRITOS_FORM!J203</f>
        <v/>
      </c>
      <c r="K203" s="23">
        <f>INSCRITOS_FORM!K203</f>
        <v/>
      </c>
      <c r="L203" s="23">
        <f>INSCRITOS_FORM!U203</f>
        <v/>
      </c>
      <c r="M203" s="23">
        <f>INSCRITOS_FORM!V203</f>
        <v/>
      </c>
      <c r="N203" s="23">
        <f>INSCRITOS_FORM!W203</f>
        <v/>
      </c>
      <c r="O203" s="23">
        <f>INSCRITOS_FORM!X203</f>
        <v/>
      </c>
      <c r="P203" s="23">
        <f>INSCRITOS_FORM!AB203</f>
        <v/>
      </c>
      <c r="Q203" s="23">
        <f>IF(B203="","",IF(AND(OR(P203="Pagado",P203="Beca",P203="Invitado"),OR(L203="Sí",M203="Sí")),"Sí","No"))</f>
        <v/>
      </c>
      <c r="R203" s="23">
        <f>IF(AND(C203=TORNEO_ACTIVO!$B$3,Q203="Sí"),G203*10000-A203,-1)</f>
        <v/>
      </c>
    </row>
    <row r="204" ht="14.25" customHeight="1" s="72">
      <c r="A204" s="23">
        <f>IF(INSCRITOS_FORM!D204&lt;&gt;"",ROW()-4,"")</f>
        <v/>
      </c>
      <c r="B204" s="23">
        <f>INSCRITOS_FORM!AD204</f>
        <v/>
      </c>
      <c r="C204" s="23">
        <f>INSCRITOS_FORM!T204</f>
        <v/>
      </c>
      <c r="D204" s="23">
        <f>INSCRITOS_FORM!S204</f>
        <v/>
      </c>
      <c r="E204" s="23">
        <f>INSCRITOS_FORM!G204</f>
        <v/>
      </c>
      <c r="F204" s="23">
        <f>INSCRITOS_FORM!L204</f>
        <v/>
      </c>
      <c r="G204" s="23">
        <f t="array" ref="G204">IFERROR(INDEX(CONFIG!$A$22:$A$35,MATCH(F204,CONFIG!$B$22:$B$35,0)),0)</f>
        <v/>
      </c>
      <c r="H204" s="23">
        <f>INSCRITOS_FORM!M204</f>
        <v/>
      </c>
      <c r="I204" s="23">
        <f>INSCRITOS_FORM!O204</f>
        <v/>
      </c>
      <c r="J204" s="23">
        <f>INSCRITOS_FORM!J204</f>
        <v/>
      </c>
      <c r="K204" s="23">
        <f>INSCRITOS_FORM!K204</f>
        <v/>
      </c>
      <c r="L204" s="23">
        <f>INSCRITOS_FORM!U204</f>
        <v/>
      </c>
      <c r="M204" s="23">
        <f>INSCRITOS_FORM!V204</f>
        <v/>
      </c>
      <c r="N204" s="23">
        <f>INSCRITOS_FORM!W204</f>
        <v/>
      </c>
      <c r="O204" s="23">
        <f>INSCRITOS_FORM!X204</f>
        <v/>
      </c>
      <c r="P204" s="23">
        <f>INSCRITOS_FORM!AB204</f>
        <v/>
      </c>
      <c r="Q204" s="23">
        <f>IF(B204="","",IF(AND(OR(P204="Pagado",P204="Beca",P204="Invitado"),OR(L204="Sí",M204="Sí")),"Sí","No"))</f>
        <v/>
      </c>
      <c r="R204" s="23">
        <f>IF(AND(C204=TORNEO_ACTIVO!$B$3,Q204="Sí"),G204*10000-A204,-1)</f>
        <v/>
      </c>
    </row>
    <row r="205" ht="14.25" customHeight="1" s="72">
      <c r="A205" s="23">
        <f>IF(INSCRITOS_FORM!D205&lt;&gt;"",ROW()-4,"")</f>
        <v/>
      </c>
      <c r="B205" s="23">
        <f>INSCRITOS_FORM!AD205</f>
        <v/>
      </c>
      <c r="C205" s="23">
        <f>INSCRITOS_FORM!T205</f>
        <v/>
      </c>
      <c r="D205" s="23">
        <f>INSCRITOS_FORM!S205</f>
        <v/>
      </c>
      <c r="E205" s="23">
        <f>INSCRITOS_FORM!G205</f>
        <v/>
      </c>
      <c r="F205" s="23">
        <f>INSCRITOS_FORM!L205</f>
        <v/>
      </c>
      <c r="G205" s="23">
        <f t="array" ref="G205">IFERROR(INDEX(CONFIG!$A$22:$A$35,MATCH(F205,CONFIG!$B$22:$B$35,0)),0)</f>
        <v/>
      </c>
      <c r="H205" s="23">
        <f>INSCRITOS_FORM!M205</f>
        <v/>
      </c>
      <c r="I205" s="23">
        <f>INSCRITOS_FORM!O205</f>
        <v/>
      </c>
      <c r="J205" s="23">
        <f>INSCRITOS_FORM!J205</f>
        <v/>
      </c>
      <c r="K205" s="23">
        <f>INSCRITOS_FORM!K205</f>
        <v/>
      </c>
      <c r="L205" s="23">
        <f>INSCRITOS_FORM!U205</f>
        <v/>
      </c>
      <c r="M205" s="23">
        <f>INSCRITOS_FORM!V205</f>
        <v/>
      </c>
      <c r="N205" s="23">
        <f>INSCRITOS_FORM!W205</f>
        <v/>
      </c>
      <c r="O205" s="23">
        <f>INSCRITOS_FORM!X205</f>
        <v/>
      </c>
      <c r="P205" s="23">
        <f>INSCRITOS_FORM!AB205</f>
        <v/>
      </c>
      <c r="Q205" s="23">
        <f>IF(B205="","",IF(AND(OR(P205="Pagado",P205="Beca",P205="Invitado"),OR(L205="Sí",M205="Sí")),"Sí","No"))</f>
        <v/>
      </c>
      <c r="R205" s="23">
        <f>IF(AND(C205=TORNEO_ACTIVO!$B$3,Q205="Sí"),G205*10000-A205,-1)</f>
        <v/>
      </c>
    </row>
    <row r="206" ht="14.25" customHeight="1" s="72">
      <c r="A206" s="23">
        <f>IF(INSCRITOS_FORM!D206&lt;&gt;"",ROW()-4,"")</f>
        <v/>
      </c>
      <c r="B206" s="23">
        <f>INSCRITOS_FORM!AD206</f>
        <v/>
      </c>
      <c r="C206" s="23">
        <f>INSCRITOS_FORM!T206</f>
        <v/>
      </c>
      <c r="D206" s="23">
        <f>INSCRITOS_FORM!S206</f>
        <v/>
      </c>
      <c r="E206" s="23">
        <f>INSCRITOS_FORM!G206</f>
        <v/>
      </c>
      <c r="F206" s="23">
        <f>INSCRITOS_FORM!L206</f>
        <v/>
      </c>
      <c r="G206" s="23">
        <f t="array" ref="G206">IFERROR(INDEX(CONFIG!$A$22:$A$35,MATCH(F206,CONFIG!$B$22:$B$35,0)),0)</f>
        <v/>
      </c>
      <c r="H206" s="23">
        <f>INSCRITOS_FORM!M206</f>
        <v/>
      </c>
      <c r="I206" s="23">
        <f>INSCRITOS_FORM!O206</f>
        <v/>
      </c>
      <c r="J206" s="23">
        <f>INSCRITOS_FORM!J206</f>
        <v/>
      </c>
      <c r="K206" s="23">
        <f>INSCRITOS_FORM!K206</f>
        <v/>
      </c>
      <c r="L206" s="23">
        <f>INSCRITOS_FORM!U206</f>
        <v/>
      </c>
      <c r="M206" s="23">
        <f>INSCRITOS_FORM!V206</f>
        <v/>
      </c>
      <c r="N206" s="23">
        <f>INSCRITOS_FORM!W206</f>
        <v/>
      </c>
      <c r="O206" s="23">
        <f>INSCRITOS_FORM!X206</f>
        <v/>
      </c>
      <c r="P206" s="23">
        <f>INSCRITOS_FORM!AB206</f>
        <v/>
      </c>
      <c r="Q206" s="23">
        <f>IF(B206="","",IF(AND(OR(P206="Pagado",P206="Beca",P206="Invitado"),OR(L206="Sí",M206="Sí")),"Sí","No"))</f>
        <v/>
      </c>
      <c r="R206" s="23">
        <f>IF(AND(C206=TORNEO_ACTIVO!$B$3,Q206="Sí"),G206*10000-A206,-1)</f>
        <v/>
      </c>
    </row>
    <row r="207" ht="14.25" customHeight="1" s="72">
      <c r="A207" s="23">
        <f>IF(INSCRITOS_FORM!D207&lt;&gt;"",ROW()-4,"")</f>
        <v/>
      </c>
      <c r="B207" s="23">
        <f>INSCRITOS_FORM!AD207</f>
        <v/>
      </c>
      <c r="C207" s="23">
        <f>INSCRITOS_FORM!T207</f>
        <v/>
      </c>
      <c r="D207" s="23">
        <f>INSCRITOS_FORM!S207</f>
        <v/>
      </c>
      <c r="E207" s="23">
        <f>INSCRITOS_FORM!G207</f>
        <v/>
      </c>
      <c r="F207" s="23">
        <f>INSCRITOS_FORM!L207</f>
        <v/>
      </c>
      <c r="G207" s="23">
        <f t="array" ref="G207">IFERROR(INDEX(CONFIG!$A$22:$A$35,MATCH(F207,CONFIG!$B$22:$B$35,0)),0)</f>
        <v/>
      </c>
      <c r="H207" s="23">
        <f>INSCRITOS_FORM!M207</f>
        <v/>
      </c>
      <c r="I207" s="23">
        <f>INSCRITOS_FORM!O207</f>
        <v/>
      </c>
      <c r="J207" s="23">
        <f>INSCRITOS_FORM!J207</f>
        <v/>
      </c>
      <c r="K207" s="23">
        <f>INSCRITOS_FORM!K207</f>
        <v/>
      </c>
      <c r="L207" s="23">
        <f>INSCRITOS_FORM!U207</f>
        <v/>
      </c>
      <c r="M207" s="23">
        <f>INSCRITOS_FORM!V207</f>
        <v/>
      </c>
      <c r="N207" s="23">
        <f>INSCRITOS_FORM!W207</f>
        <v/>
      </c>
      <c r="O207" s="23">
        <f>INSCRITOS_FORM!X207</f>
        <v/>
      </c>
      <c r="P207" s="23">
        <f>INSCRITOS_FORM!AB207</f>
        <v/>
      </c>
      <c r="Q207" s="23">
        <f>IF(B207="","",IF(AND(OR(P207="Pagado",P207="Beca",P207="Invitado"),OR(L207="Sí",M207="Sí")),"Sí","No"))</f>
        <v/>
      </c>
      <c r="R207" s="23">
        <f>IF(AND(C207=TORNEO_ACTIVO!$B$3,Q207="Sí"),G207*10000-A207,-1)</f>
        <v/>
      </c>
    </row>
    <row r="208" ht="14.25" customHeight="1" s="72">
      <c r="A208" s="23">
        <f>IF(INSCRITOS_FORM!D208&lt;&gt;"",ROW()-4,"")</f>
        <v/>
      </c>
      <c r="B208" s="23">
        <f>INSCRITOS_FORM!AD208</f>
        <v/>
      </c>
      <c r="C208" s="23">
        <f>INSCRITOS_FORM!T208</f>
        <v/>
      </c>
      <c r="D208" s="23">
        <f>INSCRITOS_FORM!S208</f>
        <v/>
      </c>
      <c r="E208" s="23">
        <f>INSCRITOS_FORM!G208</f>
        <v/>
      </c>
      <c r="F208" s="23">
        <f>INSCRITOS_FORM!L208</f>
        <v/>
      </c>
      <c r="G208" s="23">
        <f t="array" ref="G208">IFERROR(INDEX(CONFIG!$A$22:$A$35,MATCH(F208,CONFIG!$B$22:$B$35,0)),0)</f>
        <v/>
      </c>
      <c r="H208" s="23">
        <f>INSCRITOS_FORM!M208</f>
        <v/>
      </c>
      <c r="I208" s="23">
        <f>INSCRITOS_FORM!O208</f>
        <v/>
      </c>
      <c r="J208" s="23">
        <f>INSCRITOS_FORM!J208</f>
        <v/>
      </c>
      <c r="K208" s="23">
        <f>INSCRITOS_FORM!K208</f>
        <v/>
      </c>
      <c r="L208" s="23">
        <f>INSCRITOS_FORM!U208</f>
        <v/>
      </c>
      <c r="M208" s="23">
        <f>INSCRITOS_FORM!V208</f>
        <v/>
      </c>
      <c r="N208" s="23">
        <f>INSCRITOS_FORM!W208</f>
        <v/>
      </c>
      <c r="O208" s="23">
        <f>INSCRITOS_FORM!X208</f>
        <v/>
      </c>
      <c r="P208" s="23">
        <f>INSCRITOS_FORM!AB208</f>
        <v/>
      </c>
      <c r="Q208" s="23">
        <f>IF(B208="","",IF(AND(OR(P208="Pagado",P208="Beca",P208="Invitado"),OR(L208="Sí",M208="Sí")),"Sí","No"))</f>
        <v/>
      </c>
      <c r="R208" s="23">
        <f>IF(AND(C208=TORNEO_ACTIVO!$B$3,Q208="Sí"),G208*10000-A208,-1)</f>
        <v/>
      </c>
    </row>
    <row r="209" ht="14.25" customHeight="1" s="72">
      <c r="A209" s="23">
        <f>IF(INSCRITOS_FORM!D209&lt;&gt;"",ROW()-4,"")</f>
        <v/>
      </c>
      <c r="B209" s="23">
        <f>INSCRITOS_FORM!AD209</f>
        <v/>
      </c>
      <c r="C209" s="23">
        <f>INSCRITOS_FORM!T209</f>
        <v/>
      </c>
      <c r="D209" s="23">
        <f>INSCRITOS_FORM!S209</f>
        <v/>
      </c>
      <c r="E209" s="23">
        <f>INSCRITOS_FORM!G209</f>
        <v/>
      </c>
      <c r="F209" s="23">
        <f>INSCRITOS_FORM!L209</f>
        <v/>
      </c>
      <c r="G209" s="23">
        <f t="array" ref="G209">IFERROR(INDEX(CONFIG!$A$22:$A$35,MATCH(F209,CONFIG!$B$22:$B$35,0)),0)</f>
        <v/>
      </c>
      <c r="H209" s="23">
        <f>INSCRITOS_FORM!M209</f>
        <v/>
      </c>
      <c r="I209" s="23">
        <f>INSCRITOS_FORM!O209</f>
        <v/>
      </c>
      <c r="J209" s="23">
        <f>INSCRITOS_FORM!J209</f>
        <v/>
      </c>
      <c r="K209" s="23">
        <f>INSCRITOS_FORM!K209</f>
        <v/>
      </c>
      <c r="L209" s="23">
        <f>INSCRITOS_FORM!U209</f>
        <v/>
      </c>
      <c r="M209" s="23">
        <f>INSCRITOS_FORM!V209</f>
        <v/>
      </c>
      <c r="N209" s="23">
        <f>INSCRITOS_FORM!W209</f>
        <v/>
      </c>
      <c r="O209" s="23">
        <f>INSCRITOS_FORM!X209</f>
        <v/>
      </c>
      <c r="P209" s="23">
        <f>INSCRITOS_FORM!AB209</f>
        <v/>
      </c>
      <c r="Q209" s="23">
        <f>IF(B209="","",IF(AND(OR(P209="Pagado",P209="Beca",P209="Invitado"),OR(L209="Sí",M209="Sí")),"Sí","No"))</f>
        <v/>
      </c>
      <c r="R209" s="23">
        <f>IF(AND(C209=TORNEO_ACTIVO!$B$3,Q209="Sí"),G209*10000-A209,-1)</f>
        <v/>
      </c>
    </row>
    <row r="210" ht="14.25" customHeight="1" s="72">
      <c r="A210" s="23">
        <f>IF(INSCRITOS_FORM!D210&lt;&gt;"",ROW()-4,"")</f>
        <v/>
      </c>
      <c r="B210" s="23">
        <f>INSCRITOS_FORM!AD210</f>
        <v/>
      </c>
      <c r="C210" s="23">
        <f>INSCRITOS_FORM!T210</f>
        <v/>
      </c>
      <c r="D210" s="23">
        <f>INSCRITOS_FORM!S210</f>
        <v/>
      </c>
      <c r="E210" s="23">
        <f>INSCRITOS_FORM!G210</f>
        <v/>
      </c>
      <c r="F210" s="23">
        <f>INSCRITOS_FORM!L210</f>
        <v/>
      </c>
      <c r="G210" s="23">
        <f t="array" ref="G210">IFERROR(INDEX(CONFIG!$A$22:$A$35,MATCH(F210,CONFIG!$B$22:$B$35,0)),0)</f>
        <v/>
      </c>
      <c r="H210" s="23">
        <f>INSCRITOS_FORM!M210</f>
        <v/>
      </c>
      <c r="I210" s="23">
        <f>INSCRITOS_FORM!O210</f>
        <v/>
      </c>
      <c r="J210" s="23">
        <f>INSCRITOS_FORM!J210</f>
        <v/>
      </c>
      <c r="K210" s="23">
        <f>INSCRITOS_FORM!K210</f>
        <v/>
      </c>
      <c r="L210" s="23">
        <f>INSCRITOS_FORM!U210</f>
        <v/>
      </c>
      <c r="M210" s="23">
        <f>INSCRITOS_FORM!V210</f>
        <v/>
      </c>
      <c r="N210" s="23">
        <f>INSCRITOS_FORM!W210</f>
        <v/>
      </c>
      <c r="O210" s="23">
        <f>INSCRITOS_FORM!X210</f>
        <v/>
      </c>
      <c r="P210" s="23">
        <f>INSCRITOS_FORM!AB210</f>
        <v/>
      </c>
      <c r="Q210" s="23">
        <f>IF(B210="","",IF(AND(OR(P210="Pagado",P210="Beca",P210="Invitado"),OR(L210="Sí",M210="Sí")),"Sí","No"))</f>
        <v/>
      </c>
      <c r="R210" s="23">
        <f>IF(AND(C210=TORNEO_ACTIVO!$B$3,Q210="Sí"),G210*10000-A210,-1)</f>
        <v/>
      </c>
    </row>
    <row r="211" ht="14.25" customHeight="1" s="72">
      <c r="A211" s="23">
        <f>IF(INSCRITOS_FORM!D211&lt;&gt;"",ROW()-4,"")</f>
        <v/>
      </c>
      <c r="B211" s="23">
        <f>INSCRITOS_FORM!AD211</f>
        <v/>
      </c>
      <c r="C211" s="23">
        <f>INSCRITOS_FORM!T211</f>
        <v/>
      </c>
      <c r="D211" s="23">
        <f>INSCRITOS_FORM!S211</f>
        <v/>
      </c>
      <c r="E211" s="23">
        <f>INSCRITOS_FORM!G211</f>
        <v/>
      </c>
      <c r="F211" s="23">
        <f>INSCRITOS_FORM!L211</f>
        <v/>
      </c>
      <c r="G211" s="23">
        <f t="array" ref="G211">IFERROR(INDEX(CONFIG!$A$22:$A$35,MATCH(F211,CONFIG!$B$22:$B$35,0)),0)</f>
        <v/>
      </c>
      <c r="H211" s="23">
        <f>INSCRITOS_FORM!M211</f>
        <v/>
      </c>
      <c r="I211" s="23">
        <f>INSCRITOS_FORM!O211</f>
        <v/>
      </c>
      <c r="J211" s="23">
        <f>INSCRITOS_FORM!J211</f>
        <v/>
      </c>
      <c r="K211" s="23">
        <f>INSCRITOS_FORM!K211</f>
        <v/>
      </c>
      <c r="L211" s="23">
        <f>INSCRITOS_FORM!U211</f>
        <v/>
      </c>
      <c r="M211" s="23">
        <f>INSCRITOS_FORM!V211</f>
        <v/>
      </c>
      <c r="N211" s="23">
        <f>INSCRITOS_FORM!W211</f>
        <v/>
      </c>
      <c r="O211" s="23">
        <f>INSCRITOS_FORM!X211</f>
        <v/>
      </c>
      <c r="P211" s="23">
        <f>INSCRITOS_FORM!AB211</f>
        <v/>
      </c>
      <c r="Q211" s="23">
        <f>IF(B211="","",IF(AND(OR(P211="Pagado",P211="Beca",P211="Invitado"),OR(L211="Sí",M211="Sí")),"Sí","No"))</f>
        <v/>
      </c>
      <c r="R211" s="23">
        <f>IF(AND(C211=TORNEO_ACTIVO!$B$3,Q211="Sí"),G211*10000-A211,-1)</f>
        <v/>
      </c>
    </row>
    <row r="212" ht="14.25" customHeight="1" s="72">
      <c r="A212" s="23">
        <f>IF(INSCRITOS_FORM!D212&lt;&gt;"",ROW()-4,"")</f>
        <v/>
      </c>
      <c r="B212" s="23">
        <f>INSCRITOS_FORM!AD212</f>
        <v/>
      </c>
      <c r="C212" s="23">
        <f>INSCRITOS_FORM!T212</f>
        <v/>
      </c>
      <c r="D212" s="23">
        <f>INSCRITOS_FORM!S212</f>
        <v/>
      </c>
      <c r="E212" s="23">
        <f>INSCRITOS_FORM!G212</f>
        <v/>
      </c>
      <c r="F212" s="23">
        <f>INSCRITOS_FORM!L212</f>
        <v/>
      </c>
      <c r="G212" s="23">
        <f t="array" ref="G212">IFERROR(INDEX(CONFIG!$A$22:$A$35,MATCH(F212,CONFIG!$B$22:$B$35,0)),0)</f>
        <v/>
      </c>
      <c r="H212" s="23">
        <f>INSCRITOS_FORM!M212</f>
        <v/>
      </c>
      <c r="I212" s="23">
        <f>INSCRITOS_FORM!O212</f>
        <v/>
      </c>
      <c r="J212" s="23">
        <f>INSCRITOS_FORM!J212</f>
        <v/>
      </c>
      <c r="K212" s="23">
        <f>INSCRITOS_FORM!K212</f>
        <v/>
      </c>
      <c r="L212" s="23">
        <f>INSCRITOS_FORM!U212</f>
        <v/>
      </c>
      <c r="M212" s="23">
        <f>INSCRITOS_FORM!V212</f>
        <v/>
      </c>
      <c r="N212" s="23">
        <f>INSCRITOS_FORM!W212</f>
        <v/>
      </c>
      <c r="O212" s="23">
        <f>INSCRITOS_FORM!X212</f>
        <v/>
      </c>
      <c r="P212" s="23">
        <f>INSCRITOS_FORM!AB212</f>
        <v/>
      </c>
      <c r="Q212" s="23">
        <f>IF(B212="","",IF(AND(OR(P212="Pagado",P212="Beca",P212="Invitado"),OR(L212="Sí",M212="Sí")),"Sí","No"))</f>
        <v/>
      </c>
      <c r="R212" s="23">
        <f>IF(AND(C212=TORNEO_ACTIVO!$B$3,Q212="Sí"),G212*10000-A212,-1)</f>
        <v/>
      </c>
    </row>
    <row r="213" ht="14.25" customHeight="1" s="72">
      <c r="A213" s="23">
        <f>IF(INSCRITOS_FORM!D213&lt;&gt;"",ROW()-4,"")</f>
        <v/>
      </c>
      <c r="B213" s="23">
        <f>INSCRITOS_FORM!AD213</f>
        <v/>
      </c>
      <c r="C213" s="23">
        <f>INSCRITOS_FORM!T213</f>
        <v/>
      </c>
      <c r="D213" s="23">
        <f>INSCRITOS_FORM!S213</f>
        <v/>
      </c>
      <c r="E213" s="23">
        <f>INSCRITOS_FORM!G213</f>
        <v/>
      </c>
      <c r="F213" s="23">
        <f>INSCRITOS_FORM!L213</f>
        <v/>
      </c>
      <c r="G213" s="23">
        <f t="array" ref="G213">IFERROR(INDEX(CONFIG!$A$22:$A$35,MATCH(F213,CONFIG!$B$22:$B$35,0)),0)</f>
        <v/>
      </c>
      <c r="H213" s="23">
        <f>INSCRITOS_FORM!M213</f>
        <v/>
      </c>
      <c r="I213" s="23">
        <f>INSCRITOS_FORM!O213</f>
        <v/>
      </c>
      <c r="J213" s="23">
        <f>INSCRITOS_FORM!J213</f>
        <v/>
      </c>
      <c r="K213" s="23">
        <f>INSCRITOS_FORM!K213</f>
        <v/>
      </c>
      <c r="L213" s="23">
        <f>INSCRITOS_FORM!U213</f>
        <v/>
      </c>
      <c r="M213" s="23">
        <f>INSCRITOS_FORM!V213</f>
        <v/>
      </c>
      <c r="N213" s="23">
        <f>INSCRITOS_FORM!W213</f>
        <v/>
      </c>
      <c r="O213" s="23">
        <f>INSCRITOS_FORM!X213</f>
        <v/>
      </c>
      <c r="P213" s="23">
        <f>INSCRITOS_FORM!AB213</f>
        <v/>
      </c>
      <c r="Q213" s="23">
        <f>IF(B213="","",IF(AND(OR(P213="Pagado",P213="Beca",P213="Invitado"),OR(L213="Sí",M213="Sí")),"Sí","No"))</f>
        <v/>
      </c>
      <c r="R213" s="23">
        <f>IF(AND(C213=TORNEO_ACTIVO!$B$3,Q213="Sí"),G213*10000-A213,-1)</f>
        <v/>
      </c>
    </row>
    <row r="214" ht="14.25" customHeight="1" s="72">
      <c r="A214" s="23">
        <f>IF(INSCRITOS_FORM!D214&lt;&gt;"",ROW()-4,"")</f>
        <v/>
      </c>
      <c r="B214" s="23">
        <f>INSCRITOS_FORM!AD214</f>
        <v/>
      </c>
      <c r="C214" s="23">
        <f>INSCRITOS_FORM!T214</f>
        <v/>
      </c>
      <c r="D214" s="23">
        <f>INSCRITOS_FORM!S214</f>
        <v/>
      </c>
      <c r="E214" s="23">
        <f>INSCRITOS_FORM!G214</f>
        <v/>
      </c>
      <c r="F214" s="23">
        <f>INSCRITOS_FORM!L214</f>
        <v/>
      </c>
      <c r="G214" s="23">
        <f t="array" ref="G214">IFERROR(INDEX(CONFIG!$A$22:$A$35,MATCH(F214,CONFIG!$B$22:$B$35,0)),0)</f>
        <v/>
      </c>
      <c r="H214" s="23">
        <f>INSCRITOS_FORM!M214</f>
        <v/>
      </c>
      <c r="I214" s="23">
        <f>INSCRITOS_FORM!O214</f>
        <v/>
      </c>
      <c r="J214" s="23">
        <f>INSCRITOS_FORM!J214</f>
        <v/>
      </c>
      <c r="K214" s="23">
        <f>INSCRITOS_FORM!K214</f>
        <v/>
      </c>
      <c r="L214" s="23">
        <f>INSCRITOS_FORM!U214</f>
        <v/>
      </c>
      <c r="M214" s="23">
        <f>INSCRITOS_FORM!V214</f>
        <v/>
      </c>
      <c r="N214" s="23">
        <f>INSCRITOS_FORM!W214</f>
        <v/>
      </c>
      <c r="O214" s="23">
        <f>INSCRITOS_FORM!X214</f>
        <v/>
      </c>
      <c r="P214" s="23">
        <f>INSCRITOS_FORM!AB214</f>
        <v/>
      </c>
      <c r="Q214" s="23">
        <f>IF(B214="","",IF(AND(OR(P214="Pagado",P214="Beca",P214="Invitado"),OR(L214="Sí",M214="Sí")),"Sí","No"))</f>
        <v/>
      </c>
      <c r="R214" s="23">
        <f>IF(AND(C214=TORNEO_ACTIVO!$B$3,Q214="Sí"),G214*10000-A214,-1)</f>
        <v/>
      </c>
    </row>
    <row r="215" ht="14.25" customHeight="1" s="72">
      <c r="A215" s="23">
        <f>IF(INSCRITOS_FORM!D215&lt;&gt;"",ROW()-4,"")</f>
        <v/>
      </c>
      <c r="B215" s="23">
        <f>INSCRITOS_FORM!AD215</f>
        <v/>
      </c>
      <c r="C215" s="23">
        <f>INSCRITOS_FORM!T215</f>
        <v/>
      </c>
      <c r="D215" s="23">
        <f>INSCRITOS_FORM!S215</f>
        <v/>
      </c>
      <c r="E215" s="23">
        <f>INSCRITOS_FORM!G215</f>
        <v/>
      </c>
      <c r="F215" s="23">
        <f>INSCRITOS_FORM!L215</f>
        <v/>
      </c>
      <c r="G215" s="23">
        <f t="array" ref="G215">IFERROR(INDEX(CONFIG!$A$22:$A$35,MATCH(F215,CONFIG!$B$22:$B$35,0)),0)</f>
        <v/>
      </c>
      <c r="H215" s="23">
        <f>INSCRITOS_FORM!M215</f>
        <v/>
      </c>
      <c r="I215" s="23">
        <f>INSCRITOS_FORM!O215</f>
        <v/>
      </c>
      <c r="J215" s="23">
        <f>INSCRITOS_FORM!J215</f>
        <v/>
      </c>
      <c r="K215" s="23">
        <f>INSCRITOS_FORM!K215</f>
        <v/>
      </c>
      <c r="L215" s="23">
        <f>INSCRITOS_FORM!U215</f>
        <v/>
      </c>
      <c r="M215" s="23">
        <f>INSCRITOS_FORM!V215</f>
        <v/>
      </c>
      <c r="N215" s="23">
        <f>INSCRITOS_FORM!W215</f>
        <v/>
      </c>
      <c r="O215" s="23">
        <f>INSCRITOS_FORM!X215</f>
        <v/>
      </c>
      <c r="P215" s="23">
        <f>INSCRITOS_FORM!AB215</f>
        <v/>
      </c>
      <c r="Q215" s="23">
        <f>IF(B215="","",IF(AND(OR(P215="Pagado",P215="Beca",P215="Invitado"),OR(L215="Sí",M215="Sí")),"Sí","No"))</f>
        <v/>
      </c>
      <c r="R215" s="23">
        <f>IF(AND(C215=TORNEO_ACTIVO!$B$3,Q215="Sí"),G215*10000-A215,-1)</f>
        <v/>
      </c>
    </row>
    <row r="216" ht="14.25" customHeight="1" s="72">
      <c r="A216" s="23">
        <f>IF(INSCRITOS_FORM!D216&lt;&gt;"",ROW()-4,"")</f>
        <v/>
      </c>
      <c r="B216" s="23">
        <f>INSCRITOS_FORM!AD216</f>
        <v/>
      </c>
      <c r="C216" s="23">
        <f>INSCRITOS_FORM!T216</f>
        <v/>
      </c>
      <c r="D216" s="23">
        <f>INSCRITOS_FORM!S216</f>
        <v/>
      </c>
      <c r="E216" s="23">
        <f>INSCRITOS_FORM!G216</f>
        <v/>
      </c>
      <c r="F216" s="23">
        <f>INSCRITOS_FORM!L216</f>
        <v/>
      </c>
      <c r="G216" s="23">
        <f t="array" ref="G216">IFERROR(INDEX(CONFIG!$A$22:$A$35,MATCH(F216,CONFIG!$B$22:$B$35,0)),0)</f>
        <v/>
      </c>
      <c r="H216" s="23">
        <f>INSCRITOS_FORM!M216</f>
        <v/>
      </c>
      <c r="I216" s="23">
        <f>INSCRITOS_FORM!O216</f>
        <v/>
      </c>
      <c r="J216" s="23">
        <f>INSCRITOS_FORM!J216</f>
        <v/>
      </c>
      <c r="K216" s="23">
        <f>INSCRITOS_FORM!K216</f>
        <v/>
      </c>
      <c r="L216" s="23">
        <f>INSCRITOS_FORM!U216</f>
        <v/>
      </c>
      <c r="M216" s="23">
        <f>INSCRITOS_FORM!V216</f>
        <v/>
      </c>
      <c r="N216" s="23">
        <f>INSCRITOS_FORM!W216</f>
        <v/>
      </c>
      <c r="O216" s="23">
        <f>INSCRITOS_FORM!X216</f>
        <v/>
      </c>
      <c r="P216" s="23">
        <f>INSCRITOS_FORM!AB216</f>
        <v/>
      </c>
      <c r="Q216" s="23">
        <f>IF(B216="","",IF(AND(OR(P216="Pagado",P216="Beca",P216="Invitado"),OR(L216="Sí",M216="Sí")),"Sí","No"))</f>
        <v/>
      </c>
      <c r="R216" s="23">
        <f>IF(AND(C216=TORNEO_ACTIVO!$B$3,Q216="Sí"),G216*10000-A216,-1)</f>
        <v/>
      </c>
    </row>
    <row r="217" ht="14.25" customHeight="1" s="72">
      <c r="A217" s="23">
        <f>IF(INSCRITOS_FORM!D217&lt;&gt;"",ROW()-4,"")</f>
        <v/>
      </c>
      <c r="B217" s="23">
        <f>INSCRITOS_FORM!AD217</f>
        <v/>
      </c>
      <c r="C217" s="23">
        <f>INSCRITOS_FORM!T217</f>
        <v/>
      </c>
      <c r="D217" s="23">
        <f>INSCRITOS_FORM!S217</f>
        <v/>
      </c>
      <c r="E217" s="23">
        <f>INSCRITOS_FORM!G217</f>
        <v/>
      </c>
      <c r="F217" s="23">
        <f>INSCRITOS_FORM!L217</f>
        <v/>
      </c>
      <c r="G217" s="23">
        <f t="array" ref="G217">IFERROR(INDEX(CONFIG!$A$22:$A$35,MATCH(F217,CONFIG!$B$22:$B$35,0)),0)</f>
        <v/>
      </c>
      <c r="H217" s="23">
        <f>INSCRITOS_FORM!M217</f>
        <v/>
      </c>
      <c r="I217" s="23">
        <f>INSCRITOS_FORM!O217</f>
        <v/>
      </c>
      <c r="J217" s="23">
        <f>INSCRITOS_FORM!J217</f>
        <v/>
      </c>
      <c r="K217" s="23">
        <f>INSCRITOS_FORM!K217</f>
        <v/>
      </c>
      <c r="L217" s="23">
        <f>INSCRITOS_FORM!U217</f>
        <v/>
      </c>
      <c r="M217" s="23">
        <f>INSCRITOS_FORM!V217</f>
        <v/>
      </c>
      <c r="N217" s="23">
        <f>INSCRITOS_FORM!W217</f>
        <v/>
      </c>
      <c r="O217" s="23">
        <f>INSCRITOS_FORM!X217</f>
        <v/>
      </c>
      <c r="P217" s="23">
        <f>INSCRITOS_FORM!AB217</f>
        <v/>
      </c>
      <c r="Q217" s="23">
        <f>IF(B217="","",IF(AND(OR(P217="Pagado",P217="Beca",P217="Invitado"),OR(L217="Sí",M217="Sí")),"Sí","No"))</f>
        <v/>
      </c>
      <c r="R217" s="23">
        <f>IF(AND(C217=TORNEO_ACTIVO!$B$3,Q217="Sí"),G217*10000-A217,-1)</f>
        <v/>
      </c>
    </row>
    <row r="218" ht="14.25" customHeight="1" s="72">
      <c r="A218" s="23">
        <f>IF(INSCRITOS_FORM!D218&lt;&gt;"",ROW()-4,"")</f>
        <v/>
      </c>
      <c r="B218" s="23">
        <f>INSCRITOS_FORM!AD218</f>
        <v/>
      </c>
      <c r="C218" s="23">
        <f>INSCRITOS_FORM!T218</f>
        <v/>
      </c>
      <c r="D218" s="23">
        <f>INSCRITOS_FORM!S218</f>
        <v/>
      </c>
      <c r="E218" s="23">
        <f>INSCRITOS_FORM!G218</f>
        <v/>
      </c>
      <c r="F218" s="23">
        <f>INSCRITOS_FORM!L218</f>
        <v/>
      </c>
      <c r="G218" s="23">
        <f t="array" ref="G218">IFERROR(INDEX(CONFIG!$A$22:$A$35,MATCH(F218,CONFIG!$B$22:$B$35,0)),0)</f>
        <v/>
      </c>
      <c r="H218" s="23">
        <f>INSCRITOS_FORM!M218</f>
        <v/>
      </c>
      <c r="I218" s="23">
        <f>INSCRITOS_FORM!O218</f>
        <v/>
      </c>
      <c r="J218" s="23">
        <f>INSCRITOS_FORM!J218</f>
        <v/>
      </c>
      <c r="K218" s="23">
        <f>INSCRITOS_FORM!K218</f>
        <v/>
      </c>
      <c r="L218" s="23">
        <f>INSCRITOS_FORM!U218</f>
        <v/>
      </c>
      <c r="M218" s="23">
        <f>INSCRITOS_FORM!V218</f>
        <v/>
      </c>
      <c r="N218" s="23">
        <f>INSCRITOS_FORM!W218</f>
        <v/>
      </c>
      <c r="O218" s="23">
        <f>INSCRITOS_FORM!X218</f>
        <v/>
      </c>
      <c r="P218" s="23">
        <f>INSCRITOS_FORM!AB218</f>
        <v/>
      </c>
      <c r="Q218" s="23">
        <f>IF(B218="","",IF(AND(OR(P218="Pagado",P218="Beca",P218="Invitado"),OR(L218="Sí",M218="Sí")),"Sí","No"))</f>
        <v/>
      </c>
      <c r="R218" s="23">
        <f>IF(AND(C218=TORNEO_ACTIVO!$B$3,Q218="Sí"),G218*10000-A218,-1)</f>
        <v/>
      </c>
    </row>
    <row r="219" ht="14.25" customHeight="1" s="72">
      <c r="A219" s="23">
        <f>IF(INSCRITOS_FORM!D219&lt;&gt;"",ROW()-4,"")</f>
        <v/>
      </c>
      <c r="B219" s="23">
        <f>INSCRITOS_FORM!AD219</f>
        <v/>
      </c>
      <c r="C219" s="23">
        <f>INSCRITOS_FORM!T219</f>
        <v/>
      </c>
      <c r="D219" s="23">
        <f>INSCRITOS_FORM!S219</f>
        <v/>
      </c>
      <c r="E219" s="23">
        <f>INSCRITOS_FORM!G219</f>
        <v/>
      </c>
      <c r="F219" s="23">
        <f>INSCRITOS_FORM!L219</f>
        <v/>
      </c>
      <c r="G219" s="23">
        <f t="array" ref="G219">IFERROR(INDEX(CONFIG!$A$22:$A$35,MATCH(F219,CONFIG!$B$22:$B$35,0)),0)</f>
        <v/>
      </c>
      <c r="H219" s="23">
        <f>INSCRITOS_FORM!M219</f>
        <v/>
      </c>
      <c r="I219" s="23">
        <f>INSCRITOS_FORM!O219</f>
        <v/>
      </c>
      <c r="J219" s="23">
        <f>INSCRITOS_FORM!J219</f>
        <v/>
      </c>
      <c r="K219" s="23">
        <f>INSCRITOS_FORM!K219</f>
        <v/>
      </c>
      <c r="L219" s="23">
        <f>INSCRITOS_FORM!U219</f>
        <v/>
      </c>
      <c r="M219" s="23">
        <f>INSCRITOS_FORM!V219</f>
        <v/>
      </c>
      <c r="N219" s="23">
        <f>INSCRITOS_FORM!W219</f>
        <v/>
      </c>
      <c r="O219" s="23">
        <f>INSCRITOS_FORM!X219</f>
        <v/>
      </c>
      <c r="P219" s="23">
        <f>INSCRITOS_FORM!AB219</f>
        <v/>
      </c>
      <c r="Q219" s="23">
        <f>IF(B219="","",IF(AND(OR(P219="Pagado",P219="Beca",P219="Invitado"),OR(L219="Sí",M219="Sí")),"Sí","No"))</f>
        <v/>
      </c>
      <c r="R219" s="23">
        <f>IF(AND(C219=TORNEO_ACTIVO!$B$3,Q219="Sí"),G219*10000-A219,-1)</f>
        <v/>
      </c>
    </row>
    <row r="220" ht="14.25" customHeight="1" s="72">
      <c r="A220" s="23">
        <f>IF(INSCRITOS_FORM!D220&lt;&gt;"",ROW()-4,"")</f>
        <v/>
      </c>
      <c r="B220" s="23">
        <f>INSCRITOS_FORM!AD220</f>
        <v/>
      </c>
      <c r="C220" s="23">
        <f>INSCRITOS_FORM!T220</f>
        <v/>
      </c>
      <c r="D220" s="23">
        <f>INSCRITOS_FORM!S220</f>
        <v/>
      </c>
      <c r="E220" s="23">
        <f>INSCRITOS_FORM!G220</f>
        <v/>
      </c>
      <c r="F220" s="23">
        <f>INSCRITOS_FORM!L220</f>
        <v/>
      </c>
      <c r="G220" s="23">
        <f t="array" ref="G220">IFERROR(INDEX(CONFIG!$A$22:$A$35,MATCH(F220,CONFIG!$B$22:$B$35,0)),0)</f>
        <v/>
      </c>
      <c r="H220" s="23">
        <f>INSCRITOS_FORM!M220</f>
        <v/>
      </c>
      <c r="I220" s="23">
        <f>INSCRITOS_FORM!O220</f>
        <v/>
      </c>
      <c r="J220" s="23">
        <f>INSCRITOS_FORM!J220</f>
        <v/>
      </c>
      <c r="K220" s="23">
        <f>INSCRITOS_FORM!K220</f>
        <v/>
      </c>
      <c r="L220" s="23">
        <f>INSCRITOS_FORM!U220</f>
        <v/>
      </c>
      <c r="M220" s="23">
        <f>INSCRITOS_FORM!V220</f>
        <v/>
      </c>
      <c r="N220" s="23">
        <f>INSCRITOS_FORM!W220</f>
        <v/>
      </c>
      <c r="O220" s="23">
        <f>INSCRITOS_FORM!X220</f>
        <v/>
      </c>
      <c r="P220" s="23">
        <f>INSCRITOS_FORM!AB220</f>
        <v/>
      </c>
      <c r="Q220" s="23">
        <f>IF(B220="","",IF(AND(OR(P220="Pagado",P220="Beca",P220="Invitado"),OR(L220="Sí",M220="Sí")),"Sí","No"))</f>
        <v/>
      </c>
      <c r="R220" s="23">
        <f>IF(AND(C220=TORNEO_ACTIVO!$B$3,Q220="Sí"),G220*10000-A220,-1)</f>
        <v/>
      </c>
    </row>
    <row r="221" ht="14.25" customHeight="1" s="72">
      <c r="A221" s="23">
        <f>IF(INSCRITOS_FORM!D221&lt;&gt;"",ROW()-4,"")</f>
        <v/>
      </c>
      <c r="B221" s="23">
        <f>INSCRITOS_FORM!AD221</f>
        <v/>
      </c>
      <c r="C221" s="23">
        <f>INSCRITOS_FORM!T221</f>
        <v/>
      </c>
      <c r="D221" s="23">
        <f>INSCRITOS_FORM!S221</f>
        <v/>
      </c>
      <c r="E221" s="23">
        <f>INSCRITOS_FORM!G221</f>
        <v/>
      </c>
      <c r="F221" s="23">
        <f>INSCRITOS_FORM!L221</f>
        <v/>
      </c>
      <c r="G221" s="23">
        <f t="array" ref="G221">IFERROR(INDEX(CONFIG!$A$22:$A$35,MATCH(F221,CONFIG!$B$22:$B$35,0)),0)</f>
        <v/>
      </c>
      <c r="H221" s="23">
        <f>INSCRITOS_FORM!M221</f>
        <v/>
      </c>
      <c r="I221" s="23">
        <f>INSCRITOS_FORM!O221</f>
        <v/>
      </c>
      <c r="J221" s="23">
        <f>INSCRITOS_FORM!J221</f>
        <v/>
      </c>
      <c r="K221" s="23">
        <f>INSCRITOS_FORM!K221</f>
        <v/>
      </c>
      <c r="L221" s="23">
        <f>INSCRITOS_FORM!U221</f>
        <v/>
      </c>
      <c r="M221" s="23">
        <f>INSCRITOS_FORM!V221</f>
        <v/>
      </c>
      <c r="N221" s="23">
        <f>INSCRITOS_FORM!W221</f>
        <v/>
      </c>
      <c r="O221" s="23">
        <f>INSCRITOS_FORM!X221</f>
        <v/>
      </c>
      <c r="P221" s="23">
        <f>INSCRITOS_FORM!AB221</f>
        <v/>
      </c>
      <c r="Q221" s="23">
        <f>IF(B221="","",IF(AND(OR(P221="Pagado",P221="Beca",P221="Invitado"),OR(L221="Sí",M221="Sí")),"Sí","No"))</f>
        <v/>
      </c>
      <c r="R221" s="23">
        <f>IF(AND(C221=TORNEO_ACTIVO!$B$3,Q221="Sí"),G221*10000-A221,-1)</f>
        <v/>
      </c>
    </row>
    <row r="222" ht="14.25" customHeight="1" s="72">
      <c r="A222" s="23">
        <f>IF(INSCRITOS_FORM!D222&lt;&gt;"",ROW()-4,"")</f>
        <v/>
      </c>
      <c r="B222" s="23">
        <f>INSCRITOS_FORM!AD222</f>
        <v/>
      </c>
      <c r="C222" s="23">
        <f>INSCRITOS_FORM!T222</f>
        <v/>
      </c>
      <c r="D222" s="23">
        <f>INSCRITOS_FORM!S222</f>
        <v/>
      </c>
      <c r="E222" s="23">
        <f>INSCRITOS_FORM!G222</f>
        <v/>
      </c>
      <c r="F222" s="23">
        <f>INSCRITOS_FORM!L222</f>
        <v/>
      </c>
      <c r="G222" s="23">
        <f t="array" ref="G222">IFERROR(INDEX(CONFIG!$A$22:$A$35,MATCH(F222,CONFIG!$B$22:$B$35,0)),0)</f>
        <v/>
      </c>
      <c r="H222" s="23">
        <f>INSCRITOS_FORM!M222</f>
        <v/>
      </c>
      <c r="I222" s="23">
        <f>INSCRITOS_FORM!O222</f>
        <v/>
      </c>
      <c r="J222" s="23">
        <f>INSCRITOS_FORM!J222</f>
        <v/>
      </c>
      <c r="K222" s="23">
        <f>INSCRITOS_FORM!K222</f>
        <v/>
      </c>
      <c r="L222" s="23">
        <f>INSCRITOS_FORM!U222</f>
        <v/>
      </c>
      <c r="M222" s="23">
        <f>INSCRITOS_FORM!V222</f>
        <v/>
      </c>
      <c r="N222" s="23">
        <f>INSCRITOS_FORM!W222</f>
        <v/>
      </c>
      <c r="O222" s="23">
        <f>INSCRITOS_FORM!X222</f>
        <v/>
      </c>
      <c r="P222" s="23">
        <f>INSCRITOS_FORM!AB222</f>
        <v/>
      </c>
      <c r="Q222" s="23">
        <f>IF(B222="","",IF(AND(OR(P222="Pagado",P222="Beca",P222="Invitado"),OR(L222="Sí",M222="Sí")),"Sí","No"))</f>
        <v/>
      </c>
      <c r="R222" s="23">
        <f>IF(AND(C222=TORNEO_ACTIVO!$B$3,Q222="Sí"),G222*10000-A222,-1)</f>
        <v/>
      </c>
    </row>
    <row r="223" ht="14.25" customHeight="1" s="72">
      <c r="A223" s="23">
        <f>IF(INSCRITOS_FORM!D223&lt;&gt;"",ROW()-4,"")</f>
        <v/>
      </c>
      <c r="B223" s="23">
        <f>INSCRITOS_FORM!AD223</f>
        <v/>
      </c>
      <c r="C223" s="23">
        <f>INSCRITOS_FORM!T223</f>
        <v/>
      </c>
      <c r="D223" s="23">
        <f>INSCRITOS_FORM!S223</f>
        <v/>
      </c>
      <c r="E223" s="23">
        <f>INSCRITOS_FORM!G223</f>
        <v/>
      </c>
      <c r="F223" s="23">
        <f>INSCRITOS_FORM!L223</f>
        <v/>
      </c>
      <c r="G223" s="23">
        <f t="array" ref="G223">IFERROR(INDEX(CONFIG!$A$22:$A$35,MATCH(F223,CONFIG!$B$22:$B$35,0)),0)</f>
        <v/>
      </c>
      <c r="H223" s="23">
        <f>INSCRITOS_FORM!M223</f>
        <v/>
      </c>
      <c r="I223" s="23">
        <f>INSCRITOS_FORM!O223</f>
        <v/>
      </c>
      <c r="J223" s="23">
        <f>INSCRITOS_FORM!J223</f>
        <v/>
      </c>
      <c r="K223" s="23">
        <f>INSCRITOS_FORM!K223</f>
        <v/>
      </c>
      <c r="L223" s="23">
        <f>INSCRITOS_FORM!U223</f>
        <v/>
      </c>
      <c r="M223" s="23">
        <f>INSCRITOS_FORM!V223</f>
        <v/>
      </c>
      <c r="N223" s="23">
        <f>INSCRITOS_FORM!W223</f>
        <v/>
      </c>
      <c r="O223" s="23">
        <f>INSCRITOS_FORM!X223</f>
        <v/>
      </c>
      <c r="P223" s="23">
        <f>INSCRITOS_FORM!AB223</f>
        <v/>
      </c>
      <c r="Q223" s="23">
        <f>IF(B223="","",IF(AND(OR(P223="Pagado",P223="Beca",P223="Invitado"),OR(L223="Sí",M223="Sí")),"Sí","No"))</f>
        <v/>
      </c>
      <c r="R223" s="23">
        <f>IF(AND(C223=TORNEO_ACTIVO!$B$3,Q223="Sí"),G223*10000-A223,-1)</f>
        <v/>
      </c>
    </row>
    <row r="224" ht="14.25" customHeight="1" s="72">
      <c r="A224" s="23">
        <f>IF(INSCRITOS_FORM!D224&lt;&gt;"",ROW()-4,"")</f>
        <v/>
      </c>
      <c r="B224" s="23">
        <f>INSCRITOS_FORM!AD224</f>
        <v/>
      </c>
      <c r="C224" s="23">
        <f>INSCRITOS_FORM!T224</f>
        <v/>
      </c>
      <c r="D224" s="23">
        <f>INSCRITOS_FORM!S224</f>
        <v/>
      </c>
      <c r="E224" s="23">
        <f>INSCRITOS_FORM!G224</f>
        <v/>
      </c>
      <c r="F224" s="23">
        <f>INSCRITOS_FORM!L224</f>
        <v/>
      </c>
      <c r="G224" s="23">
        <f t="array" ref="G224">IFERROR(INDEX(CONFIG!$A$22:$A$35,MATCH(F224,CONFIG!$B$22:$B$35,0)),0)</f>
        <v/>
      </c>
      <c r="H224" s="23">
        <f>INSCRITOS_FORM!M224</f>
        <v/>
      </c>
      <c r="I224" s="23">
        <f>INSCRITOS_FORM!O224</f>
        <v/>
      </c>
      <c r="J224" s="23">
        <f>INSCRITOS_FORM!J224</f>
        <v/>
      </c>
      <c r="K224" s="23">
        <f>INSCRITOS_FORM!K224</f>
        <v/>
      </c>
      <c r="L224" s="23">
        <f>INSCRITOS_FORM!U224</f>
        <v/>
      </c>
      <c r="M224" s="23">
        <f>INSCRITOS_FORM!V224</f>
        <v/>
      </c>
      <c r="N224" s="23">
        <f>INSCRITOS_FORM!W224</f>
        <v/>
      </c>
      <c r="O224" s="23">
        <f>INSCRITOS_FORM!X224</f>
        <v/>
      </c>
      <c r="P224" s="23">
        <f>INSCRITOS_FORM!AB224</f>
        <v/>
      </c>
      <c r="Q224" s="23">
        <f>IF(B224="","",IF(AND(OR(P224="Pagado",P224="Beca",P224="Invitado"),OR(L224="Sí",M224="Sí")),"Sí","No"))</f>
        <v/>
      </c>
      <c r="R224" s="23">
        <f>IF(AND(C224=TORNEO_ACTIVO!$B$3,Q224="Sí"),G224*10000-A224,-1)</f>
        <v/>
      </c>
    </row>
    <row r="225" ht="14.25" customHeight="1" s="72">
      <c r="A225" s="23">
        <f>IF(INSCRITOS_FORM!D225&lt;&gt;"",ROW()-4,"")</f>
        <v/>
      </c>
      <c r="B225" s="23">
        <f>INSCRITOS_FORM!AD225</f>
        <v/>
      </c>
      <c r="C225" s="23">
        <f>INSCRITOS_FORM!T225</f>
        <v/>
      </c>
      <c r="D225" s="23">
        <f>INSCRITOS_FORM!S225</f>
        <v/>
      </c>
      <c r="E225" s="23">
        <f>INSCRITOS_FORM!G225</f>
        <v/>
      </c>
      <c r="F225" s="23">
        <f>INSCRITOS_FORM!L225</f>
        <v/>
      </c>
      <c r="G225" s="23">
        <f t="array" ref="G225">IFERROR(INDEX(CONFIG!$A$22:$A$35,MATCH(F225,CONFIG!$B$22:$B$35,0)),0)</f>
        <v/>
      </c>
      <c r="H225" s="23">
        <f>INSCRITOS_FORM!M225</f>
        <v/>
      </c>
      <c r="I225" s="23">
        <f>INSCRITOS_FORM!O225</f>
        <v/>
      </c>
      <c r="J225" s="23">
        <f>INSCRITOS_FORM!J225</f>
        <v/>
      </c>
      <c r="K225" s="23">
        <f>INSCRITOS_FORM!K225</f>
        <v/>
      </c>
      <c r="L225" s="23">
        <f>INSCRITOS_FORM!U225</f>
        <v/>
      </c>
      <c r="M225" s="23">
        <f>INSCRITOS_FORM!V225</f>
        <v/>
      </c>
      <c r="N225" s="23">
        <f>INSCRITOS_FORM!W225</f>
        <v/>
      </c>
      <c r="O225" s="23">
        <f>INSCRITOS_FORM!X225</f>
        <v/>
      </c>
      <c r="P225" s="23">
        <f>INSCRITOS_FORM!AB225</f>
        <v/>
      </c>
      <c r="Q225" s="23">
        <f>IF(B225="","",IF(AND(OR(P225="Pagado",P225="Beca",P225="Invitado"),OR(L225="Sí",M225="Sí")),"Sí","No"))</f>
        <v/>
      </c>
      <c r="R225" s="23">
        <f>IF(AND(C225=TORNEO_ACTIVO!$B$3,Q225="Sí"),G225*10000-A225,-1)</f>
        <v/>
      </c>
    </row>
    <row r="226" ht="14.25" customHeight="1" s="72">
      <c r="A226" s="23">
        <f>IF(INSCRITOS_FORM!D226&lt;&gt;"",ROW()-4,"")</f>
        <v/>
      </c>
      <c r="B226" s="23">
        <f>INSCRITOS_FORM!AD226</f>
        <v/>
      </c>
      <c r="C226" s="23">
        <f>INSCRITOS_FORM!T226</f>
        <v/>
      </c>
      <c r="D226" s="23">
        <f>INSCRITOS_FORM!S226</f>
        <v/>
      </c>
      <c r="E226" s="23">
        <f>INSCRITOS_FORM!G226</f>
        <v/>
      </c>
      <c r="F226" s="23">
        <f>INSCRITOS_FORM!L226</f>
        <v/>
      </c>
      <c r="G226" s="23">
        <f t="array" ref="G226">IFERROR(INDEX(CONFIG!$A$22:$A$35,MATCH(F226,CONFIG!$B$22:$B$35,0)),0)</f>
        <v/>
      </c>
      <c r="H226" s="23">
        <f>INSCRITOS_FORM!M226</f>
        <v/>
      </c>
      <c r="I226" s="23">
        <f>INSCRITOS_FORM!O226</f>
        <v/>
      </c>
      <c r="J226" s="23">
        <f>INSCRITOS_FORM!J226</f>
        <v/>
      </c>
      <c r="K226" s="23">
        <f>INSCRITOS_FORM!K226</f>
        <v/>
      </c>
      <c r="L226" s="23">
        <f>INSCRITOS_FORM!U226</f>
        <v/>
      </c>
      <c r="M226" s="23">
        <f>INSCRITOS_FORM!V226</f>
        <v/>
      </c>
      <c r="N226" s="23">
        <f>INSCRITOS_FORM!W226</f>
        <v/>
      </c>
      <c r="O226" s="23">
        <f>INSCRITOS_FORM!X226</f>
        <v/>
      </c>
      <c r="P226" s="23">
        <f>INSCRITOS_FORM!AB226</f>
        <v/>
      </c>
      <c r="Q226" s="23">
        <f>IF(B226="","",IF(AND(OR(P226="Pagado",P226="Beca",P226="Invitado"),OR(L226="Sí",M226="Sí")),"Sí","No"))</f>
        <v/>
      </c>
      <c r="R226" s="23">
        <f>IF(AND(C226=TORNEO_ACTIVO!$B$3,Q226="Sí"),G226*10000-A226,-1)</f>
        <v/>
      </c>
    </row>
    <row r="227" ht="14.25" customHeight="1" s="72">
      <c r="A227" s="23">
        <f>IF(INSCRITOS_FORM!D227&lt;&gt;"",ROW()-4,"")</f>
        <v/>
      </c>
      <c r="B227" s="23">
        <f>INSCRITOS_FORM!AD227</f>
        <v/>
      </c>
      <c r="C227" s="23">
        <f>INSCRITOS_FORM!T227</f>
        <v/>
      </c>
      <c r="D227" s="23">
        <f>INSCRITOS_FORM!S227</f>
        <v/>
      </c>
      <c r="E227" s="23">
        <f>INSCRITOS_FORM!G227</f>
        <v/>
      </c>
      <c r="F227" s="23">
        <f>INSCRITOS_FORM!L227</f>
        <v/>
      </c>
      <c r="G227" s="23">
        <f t="array" ref="G227">IFERROR(INDEX(CONFIG!$A$22:$A$35,MATCH(F227,CONFIG!$B$22:$B$35,0)),0)</f>
        <v/>
      </c>
      <c r="H227" s="23">
        <f>INSCRITOS_FORM!M227</f>
        <v/>
      </c>
      <c r="I227" s="23">
        <f>INSCRITOS_FORM!O227</f>
        <v/>
      </c>
      <c r="J227" s="23">
        <f>INSCRITOS_FORM!J227</f>
        <v/>
      </c>
      <c r="K227" s="23">
        <f>INSCRITOS_FORM!K227</f>
        <v/>
      </c>
      <c r="L227" s="23">
        <f>INSCRITOS_FORM!U227</f>
        <v/>
      </c>
      <c r="M227" s="23">
        <f>INSCRITOS_FORM!V227</f>
        <v/>
      </c>
      <c r="N227" s="23">
        <f>INSCRITOS_FORM!W227</f>
        <v/>
      </c>
      <c r="O227" s="23">
        <f>INSCRITOS_FORM!X227</f>
        <v/>
      </c>
      <c r="P227" s="23">
        <f>INSCRITOS_FORM!AB227</f>
        <v/>
      </c>
      <c r="Q227" s="23">
        <f>IF(B227="","",IF(AND(OR(P227="Pagado",P227="Beca",P227="Invitado"),OR(L227="Sí",M227="Sí")),"Sí","No"))</f>
        <v/>
      </c>
      <c r="R227" s="23">
        <f>IF(AND(C227=TORNEO_ACTIVO!$B$3,Q227="Sí"),G227*10000-A227,-1)</f>
        <v/>
      </c>
    </row>
    <row r="228" ht="14.25" customHeight="1" s="72">
      <c r="A228" s="23">
        <f>IF(INSCRITOS_FORM!D228&lt;&gt;"",ROW()-4,"")</f>
        <v/>
      </c>
      <c r="B228" s="23">
        <f>INSCRITOS_FORM!AD228</f>
        <v/>
      </c>
      <c r="C228" s="23">
        <f>INSCRITOS_FORM!T228</f>
        <v/>
      </c>
      <c r="D228" s="23">
        <f>INSCRITOS_FORM!S228</f>
        <v/>
      </c>
      <c r="E228" s="23">
        <f>INSCRITOS_FORM!G228</f>
        <v/>
      </c>
      <c r="F228" s="23">
        <f>INSCRITOS_FORM!L228</f>
        <v/>
      </c>
      <c r="G228" s="23">
        <f t="array" ref="G228">IFERROR(INDEX(CONFIG!$A$22:$A$35,MATCH(F228,CONFIG!$B$22:$B$35,0)),0)</f>
        <v/>
      </c>
      <c r="H228" s="23">
        <f>INSCRITOS_FORM!M228</f>
        <v/>
      </c>
      <c r="I228" s="23">
        <f>INSCRITOS_FORM!O228</f>
        <v/>
      </c>
      <c r="J228" s="23">
        <f>INSCRITOS_FORM!J228</f>
        <v/>
      </c>
      <c r="K228" s="23">
        <f>INSCRITOS_FORM!K228</f>
        <v/>
      </c>
      <c r="L228" s="23">
        <f>INSCRITOS_FORM!U228</f>
        <v/>
      </c>
      <c r="M228" s="23">
        <f>INSCRITOS_FORM!V228</f>
        <v/>
      </c>
      <c r="N228" s="23">
        <f>INSCRITOS_FORM!W228</f>
        <v/>
      </c>
      <c r="O228" s="23">
        <f>INSCRITOS_FORM!X228</f>
        <v/>
      </c>
      <c r="P228" s="23">
        <f>INSCRITOS_FORM!AB228</f>
        <v/>
      </c>
      <c r="Q228" s="23">
        <f>IF(B228="","",IF(AND(OR(P228="Pagado",P228="Beca",P228="Invitado"),OR(L228="Sí",M228="Sí")),"Sí","No"))</f>
        <v/>
      </c>
      <c r="R228" s="23">
        <f>IF(AND(C228=TORNEO_ACTIVO!$B$3,Q228="Sí"),G228*10000-A228,-1)</f>
        <v/>
      </c>
    </row>
    <row r="229" ht="14.25" customHeight="1" s="72">
      <c r="A229" s="23">
        <f>IF(INSCRITOS_FORM!D229&lt;&gt;"",ROW()-4,"")</f>
        <v/>
      </c>
      <c r="B229" s="23">
        <f>INSCRITOS_FORM!AD229</f>
        <v/>
      </c>
      <c r="C229" s="23">
        <f>INSCRITOS_FORM!T229</f>
        <v/>
      </c>
      <c r="D229" s="23">
        <f>INSCRITOS_FORM!S229</f>
        <v/>
      </c>
      <c r="E229" s="23">
        <f>INSCRITOS_FORM!G229</f>
        <v/>
      </c>
      <c r="F229" s="23">
        <f>INSCRITOS_FORM!L229</f>
        <v/>
      </c>
      <c r="G229" s="23">
        <f t="array" ref="G229">IFERROR(INDEX(CONFIG!$A$22:$A$35,MATCH(F229,CONFIG!$B$22:$B$35,0)),0)</f>
        <v/>
      </c>
      <c r="H229" s="23">
        <f>INSCRITOS_FORM!M229</f>
        <v/>
      </c>
      <c r="I229" s="23">
        <f>INSCRITOS_FORM!O229</f>
        <v/>
      </c>
      <c r="J229" s="23">
        <f>INSCRITOS_FORM!J229</f>
        <v/>
      </c>
      <c r="K229" s="23">
        <f>INSCRITOS_FORM!K229</f>
        <v/>
      </c>
      <c r="L229" s="23">
        <f>INSCRITOS_FORM!U229</f>
        <v/>
      </c>
      <c r="M229" s="23">
        <f>INSCRITOS_FORM!V229</f>
        <v/>
      </c>
      <c r="N229" s="23">
        <f>INSCRITOS_FORM!W229</f>
        <v/>
      </c>
      <c r="O229" s="23">
        <f>INSCRITOS_FORM!X229</f>
        <v/>
      </c>
      <c r="P229" s="23">
        <f>INSCRITOS_FORM!AB229</f>
        <v/>
      </c>
      <c r="Q229" s="23">
        <f>IF(B229="","",IF(AND(OR(P229="Pagado",P229="Beca",P229="Invitado"),OR(L229="Sí",M229="Sí")),"Sí","No"))</f>
        <v/>
      </c>
      <c r="R229" s="23">
        <f>IF(AND(C229=TORNEO_ACTIVO!$B$3,Q229="Sí"),G229*10000-A229,-1)</f>
        <v/>
      </c>
    </row>
    <row r="230" ht="14.25" customHeight="1" s="72">
      <c r="A230" s="23">
        <f>IF(INSCRITOS_FORM!D230&lt;&gt;"",ROW()-4,"")</f>
        <v/>
      </c>
      <c r="B230" s="23">
        <f>INSCRITOS_FORM!AD230</f>
        <v/>
      </c>
      <c r="C230" s="23">
        <f>INSCRITOS_FORM!T230</f>
        <v/>
      </c>
      <c r="D230" s="23">
        <f>INSCRITOS_FORM!S230</f>
        <v/>
      </c>
      <c r="E230" s="23">
        <f>INSCRITOS_FORM!G230</f>
        <v/>
      </c>
      <c r="F230" s="23">
        <f>INSCRITOS_FORM!L230</f>
        <v/>
      </c>
      <c r="G230" s="23">
        <f t="array" ref="G230">IFERROR(INDEX(CONFIG!$A$22:$A$35,MATCH(F230,CONFIG!$B$22:$B$35,0)),0)</f>
        <v/>
      </c>
      <c r="H230" s="23">
        <f>INSCRITOS_FORM!M230</f>
        <v/>
      </c>
      <c r="I230" s="23">
        <f>INSCRITOS_FORM!O230</f>
        <v/>
      </c>
      <c r="J230" s="23">
        <f>INSCRITOS_FORM!J230</f>
        <v/>
      </c>
      <c r="K230" s="23">
        <f>INSCRITOS_FORM!K230</f>
        <v/>
      </c>
      <c r="L230" s="23">
        <f>INSCRITOS_FORM!U230</f>
        <v/>
      </c>
      <c r="M230" s="23">
        <f>INSCRITOS_FORM!V230</f>
        <v/>
      </c>
      <c r="N230" s="23">
        <f>INSCRITOS_FORM!W230</f>
        <v/>
      </c>
      <c r="O230" s="23">
        <f>INSCRITOS_FORM!X230</f>
        <v/>
      </c>
      <c r="P230" s="23">
        <f>INSCRITOS_FORM!AB230</f>
        <v/>
      </c>
      <c r="Q230" s="23">
        <f>IF(B230="","",IF(AND(OR(P230="Pagado",P230="Beca",P230="Invitado"),OR(L230="Sí",M230="Sí")),"Sí","No"))</f>
        <v/>
      </c>
      <c r="R230" s="23">
        <f>IF(AND(C230=TORNEO_ACTIVO!$B$3,Q230="Sí"),G230*10000-A230,-1)</f>
        <v/>
      </c>
    </row>
    <row r="231" ht="14.25" customHeight="1" s="72">
      <c r="A231" s="23">
        <f>IF(INSCRITOS_FORM!D231&lt;&gt;"",ROW()-4,"")</f>
        <v/>
      </c>
      <c r="B231" s="23">
        <f>INSCRITOS_FORM!AD231</f>
        <v/>
      </c>
      <c r="C231" s="23">
        <f>INSCRITOS_FORM!T231</f>
        <v/>
      </c>
      <c r="D231" s="23">
        <f>INSCRITOS_FORM!S231</f>
        <v/>
      </c>
      <c r="E231" s="23">
        <f>INSCRITOS_FORM!G231</f>
        <v/>
      </c>
      <c r="F231" s="23">
        <f>INSCRITOS_FORM!L231</f>
        <v/>
      </c>
      <c r="G231" s="23">
        <f t="array" ref="G231">IFERROR(INDEX(CONFIG!$A$22:$A$35,MATCH(F231,CONFIG!$B$22:$B$35,0)),0)</f>
        <v/>
      </c>
      <c r="H231" s="23">
        <f>INSCRITOS_FORM!M231</f>
        <v/>
      </c>
      <c r="I231" s="23">
        <f>INSCRITOS_FORM!O231</f>
        <v/>
      </c>
      <c r="J231" s="23">
        <f>INSCRITOS_FORM!J231</f>
        <v/>
      </c>
      <c r="K231" s="23">
        <f>INSCRITOS_FORM!K231</f>
        <v/>
      </c>
      <c r="L231" s="23">
        <f>INSCRITOS_FORM!U231</f>
        <v/>
      </c>
      <c r="M231" s="23">
        <f>INSCRITOS_FORM!V231</f>
        <v/>
      </c>
      <c r="N231" s="23">
        <f>INSCRITOS_FORM!W231</f>
        <v/>
      </c>
      <c r="O231" s="23">
        <f>INSCRITOS_FORM!X231</f>
        <v/>
      </c>
      <c r="P231" s="23">
        <f>INSCRITOS_FORM!AB231</f>
        <v/>
      </c>
      <c r="Q231" s="23">
        <f>IF(B231="","",IF(AND(OR(P231="Pagado",P231="Beca",P231="Invitado"),OR(L231="Sí",M231="Sí")),"Sí","No"))</f>
        <v/>
      </c>
      <c r="R231" s="23">
        <f>IF(AND(C231=TORNEO_ACTIVO!$B$3,Q231="Sí"),G231*10000-A231,-1)</f>
        <v/>
      </c>
    </row>
    <row r="232" ht="14.25" customHeight="1" s="72">
      <c r="A232" s="23">
        <f>IF(INSCRITOS_FORM!D232&lt;&gt;"",ROW()-4,"")</f>
        <v/>
      </c>
      <c r="B232" s="23">
        <f>INSCRITOS_FORM!AD232</f>
        <v/>
      </c>
      <c r="C232" s="23">
        <f>INSCRITOS_FORM!T232</f>
        <v/>
      </c>
      <c r="D232" s="23">
        <f>INSCRITOS_FORM!S232</f>
        <v/>
      </c>
      <c r="E232" s="23">
        <f>INSCRITOS_FORM!G232</f>
        <v/>
      </c>
      <c r="F232" s="23">
        <f>INSCRITOS_FORM!L232</f>
        <v/>
      </c>
      <c r="G232" s="23">
        <f t="array" ref="G232">IFERROR(INDEX(CONFIG!$A$22:$A$35,MATCH(F232,CONFIG!$B$22:$B$35,0)),0)</f>
        <v/>
      </c>
      <c r="H232" s="23">
        <f>INSCRITOS_FORM!M232</f>
        <v/>
      </c>
      <c r="I232" s="23">
        <f>INSCRITOS_FORM!O232</f>
        <v/>
      </c>
      <c r="J232" s="23">
        <f>INSCRITOS_FORM!J232</f>
        <v/>
      </c>
      <c r="K232" s="23">
        <f>INSCRITOS_FORM!K232</f>
        <v/>
      </c>
      <c r="L232" s="23">
        <f>INSCRITOS_FORM!U232</f>
        <v/>
      </c>
      <c r="M232" s="23">
        <f>INSCRITOS_FORM!V232</f>
        <v/>
      </c>
      <c r="N232" s="23">
        <f>INSCRITOS_FORM!W232</f>
        <v/>
      </c>
      <c r="O232" s="23">
        <f>INSCRITOS_FORM!X232</f>
        <v/>
      </c>
      <c r="P232" s="23">
        <f>INSCRITOS_FORM!AB232</f>
        <v/>
      </c>
      <c r="Q232" s="23">
        <f>IF(B232="","",IF(AND(OR(P232="Pagado",P232="Beca",P232="Invitado"),OR(L232="Sí",M232="Sí")),"Sí","No"))</f>
        <v/>
      </c>
      <c r="R232" s="23">
        <f>IF(AND(C232=TORNEO_ACTIVO!$B$3,Q232="Sí"),G232*10000-A232,-1)</f>
        <v/>
      </c>
    </row>
    <row r="233" ht="14.25" customHeight="1" s="72">
      <c r="A233" s="23">
        <f>IF(INSCRITOS_FORM!D233&lt;&gt;"",ROW()-4,"")</f>
        <v/>
      </c>
      <c r="B233" s="23">
        <f>INSCRITOS_FORM!AD233</f>
        <v/>
      </c>
      <c r="C233" s="23">
        <f>INSCRITOS_FORM!T233</f>
        <v/>
      </c>
      <c r="D233" s="23">
        <f>INSCRITOS_FORM!S233</f>
        <v/>
      </c>
      <c r="E233" s="23">
        <f>INSCRITOS_FORM!G233</f>
        <v/>
      </c>
      <c r="F233" s="23">
        <f>INSCRITOS_FORM!L233</f>
        <v/>
      </c>
      <c r="G233" s="23">
        <f t="array" ref="G233">IFERROR(INDEX(CONFIG!$A$22:$A$35,MATCH(F233,CONFIG!$B$22:$B$35,0)),0)</f>
        <v/>
      </c>
      <c r="H233" s="23">
        <f>INSCRITOS_FORM!M233</f>
        <v/>
      </c>
      <c r="I233" s="23">
        <f>INSCRITOS_FORM!O233</f>
        <v/>
      </c>
      <c r="J233" s="23">
        <f>INSCRITOS_FORM!J233</f>
        <v/>
      </c>
      <c r="K233" s="23">
        <f>INSCRITOS_FORM!K233</f>
        <v/>
      </c>
      <c r="L233" s="23">
        <f>INSCRITOS_FORM!U233</f>
        <v/>
      </c>
      <c r="M233" s="23">
        <f>INSCRITOS_FORM!V233</f>
        <v/>
      </c>
      <c r="N233" s="23">
        <f>INSCRITOS_FORM!W233</f>
        <v/>
      </c>
      <c r="O233" s="23">
        <f>INSCRITOS_FORM!X233</f>
        <v/>
      </c>
      <c r="P233" s="23">
        <f>INSCRITOS_FORM!AB233</f>
        <v/>
      </c>
      <c r="Q233" s="23">
        <f>IF(B233="","",IF(AND(OR(P233="Pagado",P233="Beca",P233="Invitado"),OR(L233="Sí",M233="Sí")),"Sí","No"))</f>
        <v/>
      </c>
      <c r="R233" s="23">
        <f>IF(AND(C233=TORNEO_ACTIVO!$B$3,Q233="Sí"),G233*10000-A233,-1)</f>
        <v/>
      </c>
    </row>
    <row r="234" ht="14.25" customHeight="1" s="72">
      <c r="A234" s="23">
        <f>IF(INSCRITOS_FORM!D234&lt;&gt;"",ROW()-4,"")</f>
        <v/>
      </c>
      <c r="B234" s="23">
        <f>INSCRITOS_FORM!AD234</f>
        <v/>
      </c>
      <c r="C234" s="23">
        <f>INSCRITOS_FORM!T234</f>
        <v/>
      </c>
      <c r="D234" s="23">
        <f>INSCRITOS_FORM!S234</f>
        <v/>
      </c>
      <c r="E234" s="23">
        <f>INSCRITOS_FORM!G234</f>
        <v/>
      </c>
      <c r="F234" s="23">
        <f>INSCRITOS_FORM!L234</f>
        <v/>
      </c>
      <c r="G234" s="23">
        <f t="array" ref="G234">IFERROR(INDEX(CONFIG!$A$22:$A$35,MATCH(F234,CONFIG!$B$22:$B$35,0)),0)</f>
        <v/>
      </c>
      <c r="H234" s="23">
        <f>INSCRITOS_FORM!M234</f>
        <v/>
      </c>
      <c r="I234" s="23">
        <f>INSCRITOS_FORM!O234</f>
        <v/>
      </c>
      <c r="J234" s="23">
        <f>INSCRITOS_FORM!J234</f>
        <v/>
      </c>
      <c r="K234" s="23">
        <f>INSCRITOS_FORM!K234</f>
        <v/>
      </c>
      <c r="L234" s="23">
        <f>INSCRITOS_FORM!U234</f>
        <v/>
      </c>
      <c r="M234" s="23">
        <f>INSCRITOS_FORM!V234</f>
        <v/>
      </c>
      <c r="N234" s="23">
        <f>INSCRITOS_FORM!W234</f>
        <v/>
      </c>
      <c r="O234" s="23">
        <f>INSCRITOS_FORM!X234</f>
        <v/>
      </c>
      <c r="P234" s="23">
        <f>INSCRITOS_FORM!AB234</f>
        <v/>
      </c>
      <c r="Q234" s="23">
        <f>IF(B234="","",IF(AND(OR(P234="Pagado",P234="Beca",P234="Invitado"),OR(L234="Sí",M234="Sí")),"Sí","No"))</f>
        <v/>
      </c>
      <c r="R234" s="23">
        <f>IF(AND(C234=TORNEO_ACTIVO!$B$3,Q234="Sí"),G234*10000-A234,-1)</f>
        <v/>
      </c>
    </row>
    <row r="235" ht="14.25" customHeight="1" s="72">
      <c r="A235" s="23">
        <f>IF(INSCRITOS_FORM!D235&lt;&gt;"",ROW()-4,"")</f>
        <v/>
      </c>
      <c r="B235" s="23">
        <f>INSCRITOS_FORM!AD235</f>
        <v/>
      </c>
      <c r="C235" s="23">
        <f>INSCRITOS_FORM!T235</f>
        <v/>
      </c>
      <c r="D235" s="23">
        <f>INSCRITOS_FORM!S235</f>
        <v/>
      </c>
      <c r="E235" s="23">
        <f>INSCRITOS_FORM!G235</f>
        <v/>
      </c>
      <c r="F235" s="23">
        <f>INSCRITOS_FORM!L235</f>
        <v/>
      </c>
      <c r="G235" s="23">
        <f t="array" ref="G235">IFERROR(INDEX(CONFIG!$A$22:$A$35,MATCH(F235,CONFIG!$B$22:$B$35,0)),0)</f>
        <v/>
      </c>
      <c r="H235" s="23">
        <f>INSCRITOS_FORM!M235</f>
        <v/>
      </c>
      <c r="I235" s="23">
        <f>INSCRITOS_FORM!O235</f>
        <v/>
      </c>
      <c r="J235" s="23">
        <f>INSCRITOS_FORM!J235</f>
        <v/>
      </c>
      <c r="K235" s="23">
        <f>INSCRITOS_FORM!K235</f>
        <v/>
      </c>
      <c r="L235" s="23">
        <f>INSCRITOS_FORM!U235</f>
        <v/>
      </c>
      <c r="M235" s="23">
        <f>INSCRITOS_FORM!V235</f>
        <v/>
      </c>
      <c r="N235" s="23">
        <f>INSCRITOS_FORM!W235</f>
        <v/>
      </c>
      <c r="O235" s="23">
        <f>INSCRITOS_FORM!X235</f>
        <v/>
      </c>
      <c r="P235" s="23">
        <f>INSCRITOS_FORM!AB235</f>
        <v/>
      </c>
      <c r="Q235" s="23">
        <f>IF(B235="","",IF(AND(OR(P235="Pagado",P235="Beca",P235="Invitado"),OR(L235="Sí",M235="Sí")),"Sí","No"))</f>
        <v/>
      </c>
      <c r="R235" s="23">
        <f>IF(AND(C235=TORNEO_ACTIVO!$B$3,Q235="Sí"),G235*10000-A235,-1)</f>
        <v/>
      </c>
    </row>
    <row r="236" ht="14.25" customHeight="1" s="72">
      <c r="A236" s="23">
        <f>IF(INSCRITOS_FORM!D236&lt;&gt;"",ROW()-4,"")</f>
        <v/>
      </c>
      <c r="B236" s="23">
        <f>INSCRITOS_FORM!AD236</f>
        <v/>
      </c>
      <c r="C236" s="23">
        <f>INSCRITOS_FORM!T236</f>
        <v/>
      </c>
      <c r="D236" s="23">
        <f>INSCRITOS_FORM!S236</f>
        <v/>
      </c>
      <c r="E236" s="23">
        <f>INSCRITOS_FORM!G236</f>
        <v/>
      </c>
      <c r="F236" s="23">
        <f>INSCRITOS_FORM!L236</f>
        <v/>
      </c>
      <c r="G236" s="23">
        <f t="array" ref="G236">IFERROR(INDEX(CONFIG!$A$22:$A$35,MATCH(F236,CONFIG!$B$22:$B$35,0)),0)</f>
        <v/>
      </c>
      <c r="H236" s="23">
        <f>INSCRITOS_FORM!M236</f>
        <v/>
      </c>
      <c r="I236" s="23">
        <f>INSCRITOS_FORM!O236</f>
        <v/>
      </c>
      <c r="J236" s="23">
        <f>INSCRITOS_FORM!J236</f>
        <v/>
      </c>
      <c r="K236" s="23">
        <f>INSCRITOS_FORM!K236</f>
        <v/>
      </c>
      <c r="L236" s="23">
        <f>INSCRITOS_FORM!U236</f>
        <v/>
      </c>
      <c r="M236" s="23">
        <f>INSCRITOS_FORM!V236</f>
        <v/>
      </c>
      <c r="N236" s="23">
        <f>INSCRITOS_FORM!W236</f>
        <v/>
      </c>
      <c r="O236" s="23">
        <f>INSCRITOS_FORM!X236</f>
        <v/>
      </c>
      <c r="P236" s="23">
        <f>INSCRITOS_FORM!AB236</f>
        <v/>
      </c>
      <c r="Q236" s="23">
        <f>IF(B236="","",IF(AND(OR(P236="Pagado",P236="Beca",P236="Invitado"),OR(L236="Sí",M236="Sí")),"Sí","No"))</f>
        <v/>
      </c>
      <c r="R236" s="23">
        <f>IF(AND(C236=TORNEO_ACTIVO!$B$3,Q236="Sí"),G236*10000-A236,-1)</f>
        <v/>
      </c>
    </row>
    <row r="237" ht="14.25" customHeight="1" s="72">
      <c r="A237" s="23">
        <f>IF(INSCRITOS_FORM!D237&lt;&gt;"",ROW()-4,"")</f>
        <v/>
      </c>
      <c r="B237" s="23">
        <f>INSCRITOS_FORM!AD237</f>
        <v/>
      </c>
      <c r="C237" s="23">
        <f>INSCRITOS_FORM!T237</f>
        <v/>
      </c>
      <c r="D237" s="23">
        <f>INSCRITOS_FORM!S237</f>
        <v/>
      </c>
      <c r="E237" s="23">
        <f>INSCRITOS_FORM!G237</f>
        <v/>
      </c>
      <c r="F237" s="23">
        <f>INSCRITOS_FORM!L237</f>
        <v/>
      </c>
      <c r="G237" s="23">
        <f t="array" ref="G237">IFERROR(INDEX(CONFIG!$A$22:$A$35,MATCH(F237,CONFIG!$B$22:$B$35,0)),0)</f>
        <v/>
      </c>
      <c r="H237" s="23">
        <f>INSCRITOS_FORM!M237</f>
        <v/>
      </c>
      <c r="I237" s="23">
        <f>INSCRITOS_FORM!O237</f>
        <v/>
      </c>
      <c r="J237" s="23">
        <f>INSCRITOS_FORM!J237</f>
        <v/>
      </c>
      <c r="K237" s="23">
        <f>INSCRITOS_FORM!K237</f>
        <v/>
      </c>
      <c r="L237" s="23">
        <f>INSCRITOS_FORM!U237</f>
        <v/>
      </c>
      <c r="M237" s="23">
        <f>INSCRITOS_FORM!V237</f>
        <v/>
      </c>
      <c r="N237" s="23">
        <f>INSCRITOS_FORM!W237</f>
        <v/>
      </c>
      <c r="O237" s="23">
        <f>INSCRITOS_FORM!X237</f>
        <v/>
      </c>
      <c r="P237" s="23">
        <f>INSCRITOS_FORM!AB237</f>
        <v/>
      </c>
      <c r="Q237" s="23">
        <f>IF(B237="","",IF(AND(OR(P237="Pagado",P237="Beca",P237="Invitado"),OR(L237="Sí",M237="Sí")),"Sí","No"))</f>
        <v/>
      </c>
      <c r="R237" s="23">
        <f>IF(AND(C237=TORNEO_ACTIVO!$B$3,Q237="Sí"),G237*10000-A237,-1)</f>
        <v/>
      </c>
    </row>
    <row r="238" ht="14.25" customHeight="1" s="72">
      <c r="A238" s="23">
        <f>IF(INSCRITOS_FORM!D238&lt;&gt;"",ROW()-4,"")</f>
        <v/>
      </c>
      <c r="B238" s="23">
        <f>INSCRITOS_FORM!AD238</f>
        <v/>
      </c>
      <c r="C238" s="23">
        <f>INSCRITOS_FORM!T238</f>
        <v/>
      </c>
      <c r="D238" s="23">
        <f>INSCRITOS_FORM!S238</f>
        <v/>
      </c>
      <c r="E238" s="23">
        <f>INSCRITOS_FORM!G238</f>
        <v/>
      </c>
      <c r="F238" s="23">
        <f>INSCRITOS_FORM!L238</f>
        <v/>
      </c>
      <c r="G238" s="23">
        <f t="array" ref="G238">IFERROR(INDEX(CONFIG!$A$22:$A$35,MATCH(F238,CONFIG!$B$22:$B$35,0)),0)</f>
        <v/>
      </c>
      <c r="H238" s="23">
        <f>INSCRITOS_FORM!M238</f>
        <v/>
      </c>
      <c r="I238" s="23">
        <f>INSCRITOS_FORM!O238</f>
        <v/>
      </c>
      <c r="J238" s="23">
        <f>INSCRITOS_FORM!J238</f>
        <v/>
      </c>
      <c r="K238" s="23">
        <f>INSCRITOS_FORM!K238</f>
        <v/>
      </c>
      <c r="L238" s="23">
        <f>INSCRITOS_FORM!U238</f>
        <v/>
      </c>
      <c r="M238" s="23">
        <f>INSCRITOS_FORM!V238</f>
        <v/>
      </c>
      <c r="N238" s="23">
        <f>INSCRITOS_FORM!W238</f>
        <v/>
      </c>
      <c r="O238" s="23">
        <f>INSCRITOS_FORM!X238</f>
        <v/>
      </c>
      <c r="P238" s="23">
        <f>INSCRITOS_FORM!AB238</f>
        <v/>
      </c>
      <c r="Q238" s="23">
        <f>IF(B238="","",IF(AND(OR(P238="Pagado",P238="Beca",P238="Invitado"),OR(L238="Sí",M238="Sí")),"Sí","No"))</f>
        <v/>
      </c>
      <c r="R238" s="23">
        <f>IF(AND(C238=TORNEO_ACTIVO!$B$3,Q238="Sí"),G238*10000-A238,-1)</f>
        <v/>
      </c>
    </row>
    <row r="239" ht="14.25" customHeight="1" s="72">
      <c r="A239" s="23">
        <f>IF(INSCRITOS_FORM!D239&lt;&gt;"",ROW()-4,"")</f>
        <v/>
      </c>
      <c r="B239" s="23">
        <f>INSCRITOS_FORM!AD239</f>
        <v/>
      </c>
      <c r="C239" s="23">
        <f>INSCRITOS_FORM!T239</f>
        <v/>
      </c>
      <c r="D239" s="23">
        <f>INSCRITOS_FORM!S239</f>
        <v/>
      </c>
      <c r="E239" s="23">
        <f>INSCRITOS_FORM!G239</f>
        <v/>
      </c>
      <c r="F239" s="23">
        <f>INSCRITOS_FORM!L239</f>
        <v/>
      </c>
      <c r="G239" s="23">
        <f t="array" ref="G239">IFERROR(INDEX(CONFIG!$A$22:$A$35,MATCH(F239,CONFIG!$B$22:$B$35,0)),0)</f>
        <v/>
      </c>
      <c r="H239" s="23">
        <f>INSCRITOS_FORM!M239</f>
        <v/>
      </c>
      <c r="I239" s="23">
        <f>INSCRITOS_FORM!O239</f>
        <v/>
      </c>
      <c r="J239" s="23">
        <f>INSCRITOS_FORM!J239</f>
        <v/>
      </c>
      <c r="K239" s="23">
        <f>INSCRITOS_FORM!K239</f>
        <v/>
      </c>
      <c r="L239" s="23">
        <f>INSCRITOS_FORM!U239</f>
        <v/>
      </c>
      <c r="M239" s="23">
        <f>INSCRITOS_FORM!V239</f>
        <v/>
      </c>
      <c r="N239" s="23">
        <f>INSCRITOS_FORM!W239</f>
        <v/>
      </c>
      <c r="O239" s="23">
        <f>INSCRITOS_FORM!X239</f>
        <v/>
      </c>
      <c r="P239" s="23">
        <f>INSCRITOS_FORM!AB239</f>
        <v/>
      </c>
      <c r="Q239" s="23">
        <f>IF(B239="","",IF(AND(OR(P239="Pagado",P239="Beca",P239="Invitado"),OR(L239="Sí",M239="Sí")),"Sí","No"))</f>
        <v/>
      </c>
      <c r="R239" s="23">
        <f>IF(AND(C239=TORNEO_ACTIVO!$B$3,Q239="Sí"),G239*10000-A239,-1)</f>
        <v/>
      </c>
    </row>
    <row r="240" ht="14.25" customHeight="1" s="72">
      <c r="A240" s="23">
        <f>IF(INSCRITOS_FORM!D240&lt;&gt;"",ROW()-4,"")</f>
        <v/>
      </c>
      <c r="B240" s="23">
        <f>INSCRITOS_FORM!AD240</f>
        <v/>
      </c>
      <c r="C240" s="23">
        <f>INSCRITOS_FORM!T240</f>
        <v/>
      </c>
      <c r="D240" s="23">
        <f>INSCRITOS_FORM!S240</f>
        <v/>
      </c>
      <c r="E240" s="23">
        <f>INSCRITOS_FORM!G240</f>
        <v/>
      </c>
      <c r="F240" s="23">
        <f>INSCRITOS_FORM!L240</f>
        <v/>
      </c>
      <c r="G240" s="23">
        <f t="array" ref="G240">IFERROR(INDEX(CONFIG!$A$22:$A$35,MATCH(F240,CONFIG!$B$22:$B$35,0)),0)</f>
        <v/>
      </c>
      <c r="H240" s="23">
        <f>INSCRITOS_FORM!M240</f>
        <v/>
      </c>
      <c r="I240" s="23">
        <f>INSCRITOS_FORM!O240</f>
        <v/>
      </c>
      <c r="J240" s="23">
        <f>INSCRITOS_FORM!J240</f>
        <v/>
      </c>
      <c r="K240" s="23">
        <f>INSCRITOS_FORM!K240</f>
        <v/>
      </c>
      <c r="L240" s="23">
        <f>INSCRITOS_FORM!U240</f>
        <v/>
      </c>
      <c r="M240" s="23">
        <f>INSCRITOS_FORM!V240</f>
        <v/>
      </c>
      <c r="N240" s="23">
        <f>INSCRITOS_FORM!W240</f>
        <v/>
      </c>
      <c r="O240" s="23">
        <f>INSCRITOS_FORM!X240</f>
        <v/>
      </c>
      <c r="P240" s="23">
        <f>INSCRITOS_FORM!AB240</f>
        <v/>
      </c>
      <c r="Q240" s="23">
        <f>IF(B240="","",IF(AND(OR(P240="Pagado",P240="Beca",P240="Invitado"),OR(L240="Sí",M240="Sí")),"Sí","No"))</f>
        <v/>
      </c>
      <c r="R240" s="23">
        <f>IF(AND(C240=TORNEO_ACTIVO!$B$3,Q240="Sí"),G240*10000-A240,-1)</f>
        <v/>
      </c>
    </row>
    <row r="241" ht="14.25" customHeight="1" s="72">
      <c r="A241" s="23">
        <f>IF(INSCRITOS_FORM!D241&lt;&gt;"",ROW()-4,"")</f>
        <v/>
      </c>
      <c r="B241" s="23">
        <f>INSCRITOS_FORM!AD241</f>
        <v/>
      </c>
      <c r="C241" s="23">
        <f>INSCRITOS_FORM!T241</f>
        <v/>
      </c>
      <c r="D241" s="23">
        <f>INSCRITOS_FORM!S241</f>
        <v/>
      </c>
      <c r="E241" s="23">
        <f>INSCRITOS_FORM!G241</f>
        <v/>
      </c>
      <c r="F241" s="23">
        <f>INSCRITOS_FORM!L241</f>
        <v/>
      </c>
      <c r="G241" s="23">
        <f t="array" ref="G241">IFERROR(INDEX(CONFIG!$A$22:$A$35,MATCH(F241,CONFIG!$B$22:$B$35,0)),0)</f>
        <v/>
      </c>
      <c r="H241" s="23">
        <f>INSCRITOS_FORM!M241</f>
        <v/>
      </c>
      <c r="I241" s="23">
        <f>INSCRITOS_FORM!O241</f>
        <v/>
      </c>
      <c r="J241" s="23">
        <f>INSCRITOS_FORM!J241</f>
        <v/>
      </c>
      <c r="K241" s="23">
        <f>INSCRITOS_FORM!K241</f>
        <v/>
      </c>
      <c r="L241" s="23">
        <f>INSCRITOS_FORM!U241</f>
        <v/>
      </c>
      <c r="M241" s="23">
        <f>INSCRITOS_FORM!V241</f>
        <v/>
      </c>
      <c r="N241" s="23">
        <f>INSCRITOS_FORM!W241</f>
        <v/>
      </c>
      <c r="O241" s="23">
        <f>INSCRITOS_FORM!X241</f>
        <v/>
      </c>
      <c r="P241" s="23">
        <f>INSCRITOS_FORM!AB241</f>
        <v/>
      </c>
      <c r="Q241" s="23">
        <f>IF(B241="","",IF(AND(OR(P241="Pagado",P241="Beca",P241="Invitado"),OR(L241="Sí",M241="Sí")),"Sí","No"))</f>
        <v/>
      </c>
      <c r="R241" s="23">
        <f>IF(AND(C241=TORNEO_ACTIVO!$B$3,Q241="Sí"),G241*10000-A241,-1)</f>
        <v/>
      </c>
    </row>
    <row r="242" ht="14.25" customHeight="1" s="72">
      <c r="A242" s="23">
        <f>IF(INSCRITOS_FORM!D242&lt;&gt;"",ROW()-4,"")</f>
        <v/>
      </c>
      <c r="B242" s="23">
        <f>INSCRITOS_FORM!AD242</f>
        <v/>
      </c>
      <c r="C242" s="23">
        <f>INSCRITOS_FORM!T242</f>
        <v/>
      </c>
      <c r="D242" s="23">
        <f>INSCRITOS_FORM!S242</f>
        <v/>
      </c>
      <c r="E242" s="23">
        <f>INSCRITOS_FORM!G242</f>
        <v/>
      </c>
      <c r="F242" s="23">
        <f>INSCRITOS_FORM!L242</f>
        <v/>
      </c>
      <c r="G242" s="23">
        <f t="array" ref="G242">IFERROR(INDEX(CONFIG!$A$22:$A$35,MATCH(F242,CONFIG!$B$22:$B$35,0)),0)</f>
        <v/>
      </c>
      <c r="H242" s="23">
        <f>INSCRITOS_FORM!M242</f>
        <v/>
      </c>
      <c r="I242" s="23">
        <f>INSCRITOS_FORM!O242</f>
        <v/>
      </c>
      <c r="J242" s="23">
        <f>INSCRITOS_FORM!J242</f>
        <v/>
      </c>
      <c r="K242" s="23">
        <f>INSCRITOS_FORM!K242</f>
        <v/>
      </c>
      <c r="L242" s="23">
        <f>INSCRITOS_FORM!U242</f>
        <v/>
      </c>
      <c r="M242" s="23">
        <f>INSCRITOS_FORM!V242</f>
        <v/>
      </c>
      <c r="N242" s="23">
        <f>INSCRITOS_FORM!W242</f>
        <v/>
      </c>
      <c r="O242" s="23">
        <f>INSCRITOS_FORM!X242</f>
        <v/>
      </c>
      <c r="P242" s="23">
        <f>INSCRITOS_FORM!AB242</f>
        <v/>
      </c>
      <c r="Q242" s="23">
        <f>IF(B242="","",IF(AND(OR(P242="Pagado",P242="Beca",P242="Invitado"),OR(L242="Sí",M242="Sí")),"Sí","No"))</f>
        <v/>
      </c>
      <c r="R242" s="23">
        <f>IF(AND(C242=TORNEO_ACTIVO!$B$3,Q242="Sí"),G242*10000-A242,-1)</f>
        <v/>
      </c>
    </row>
    <row r="243" ht="14.25" customHeight="1" s="72">
      <c r="A243" s="23">
        <f>IF(INSCRITOS_FORM!D243&lt;&gt;"",ROW()-4,"")</f>
        <v/>
      </c>
      <c r="B243" s="23">
        <f>INSCRITOS_FORM!AD243</f>
        <v/>
      </c>
      <c r="C243" s="23">
        <f>INSCRITOS_FORM!T243</f>
        <v/>
      </c>
      <c r="D243" s="23">
        <f>INSCRITOS_FORM!S243</f>
        <v/>
      </c>
      <c r="E243" s="23">
        <f>INSCRITOS_FORM!G243</f>
        <v/>
      </c>
      <c r="F243" s="23">
        <f>INSCRITOS_FORM!L243</f>
        <v/>
      </c>
      <c r="G243" s="23">
        <f t="array" ref="G243">IFERROR(INDEX(CONFIG!$A$22:$A$35,MATCH(F243,CONFIG!$B$22:$B$35,0)),0)</f>
        <v/>
      </c>
      <c r="H243" s="23">
        <f>INSCRITOS_FORM!M243</f>
        <v/>
      </c>
      <c r="I243" s="23">
        <f>INSCRITOS_FORM!O243</f>
        <v/>
      </c>
      <c r="J243" s="23">
        <f>INSCRITOS_FORM!J243</f>
        <v/>
      </c>
      <c r="K243" s="23">
        <f>INSCRITOS_FORM!K243</f>
        <v/>
      </c>
      <c r="L243" s="23">
        <f>INSCRITOS_FORM!U243</f>
        <v/>
      </c>
      <c r="M243" s="23">
        <f>INSCRITOS_FORM!V243</f>
        <v/>
      </c>
      <c r="N243" s="23">
        <f>INSCRITOS_FORM!W243</f>
        <v/>
      </c>
      <c r="O243" s="23">
        <f>INSCRITOS_FORM!X243</f>
        <v/>
      </c>
      <c r="P243" s="23">
        <f>INSCRITOS_FORM!AB243</f>
        <v/>
      </c>
      <c r="Q243" s="23">
        <f>IF(B243="","",IF(AND(OR(P243="Pagado",P243="Beca",P243="Invitado"),OR(L243="Sí",M243="Sí")),"Sí","No"))</f>
        <v/>
      </c>
      <c r="R243" s="23">
        <f>IF(AND(C243=TORNEO_ACTIVO!$B$3,Q243="Sí"),G243*10000-A243,-1)</f>
        <v/>
      </c>
    </row>
    <row r="244" ht="14.25" customHeight="1" s="72">
      <c r="A244" s="23">
        <f>IF(INSCRITOS_FORM!D244&lt;&gt;"",ROW()-4,"")</f>
        <v/>
      </c>
      <c r="B244" s="23">
        <f>INSCRITOS_FORM!AD244</f>
        <v/>
      </c>
      <c r="C244" s="23">
        <f>INSCRITOS_FORM!T244</f>
        <v/>
      </c>
      <c r="D244" s="23">
        <f>INSCRITOS_FORM!S244</f>
        <v/>
      </c>
      <c r="E244" s="23">
        <f>INSCRITOS_FORM!G244</f>
        <v/>
      </c>
      <c r="F244" s="23">
        <f>INSCRITOS_FORM!L244</f>
        <v/>
      </c>
      <c r="G244" s="23">
        <f t="array" ref="G244">IFERROR(INDEX(CONFIG!$A$22:$A$35,MATCH(F244,CONFIG!$B$22:$B$35,0)),0)</f>
        <v/>
      </c>
      <c r="H244" s="23">
        <f>INSCRITOS_FORM!M244</f>
        <v/>
      </c>
      <c r="I244" s="23">
        <f>INSCRITOS_FORM!O244</f>
        <v/>
      </c>
      <c r="J244" s="23">
        <f>INSCRITOS_FORM!J244</f>
        <v/>
      </c>
      <c r="K244" s="23">
        <f>INSCRITOS_FORM!K244</f>
        <v/>
      </c>
      <c r="L244" s="23">
        <f>INSCRITOS_FORM!U244</f>
        <v/>
      </c>
      <c r="M244" s="23">
        <f>INSCRITOS_FORM!V244</f>
        <v/>
      </c>
      <c r="N244" s="23">
        <f>INSCRITOS_FORM!W244</f>
        <v/>
      </c>
      <c r="O244" s="23">
        <f>INSCRITOS_FORM!X244</f>
        <v/>
      </c>
      <c r="P244" s="23">
        <f>INSCRITOS_FORM!AB244</f>
        <v/>
      </c>
      <c r="Q244" s="23">
        <f>IF(B244="","",IF(AND(OR(P244="Pagado",P244="Beca",P244="Invitado"),OR(L244="Sí",M244="Sí")),"Sí","No"))</f>
        <v/>
      </c>
      <c r="R244" s="23">
        <f>IF(AND(C244=TORNEO_ACTIVO!$B$3,Q244="Sí"),G244*10000-A244,-1)</f>
        <v/>
      </c>
    </row>
    <row r="245" ht="14.25" customHeight="1" s="72">
      <c r="A245" s="23">
        <f>IF(INSCRITOS_FORM!D245&lt;&gt;"",ROW()-4,"")</f>
        <v/>
      </c>
      <c r="B245" s="23">
        <f>INSCRITOS_FORM!AD245</f>
        <v/>
      </c>
      <c r="C245" s="23">
        <f>INSCRITOS_FORM!T245</f>
        <v/>
      </c>
      <c r="D245" s="23">
        <f>INSCRITOS_FORM!S245</f>
        <v/>
      </c>
      <c r="E245" s="23">
        <f>INSCRITOS_FORM!G245</f>
        <v/>
      </c>
      <c r="F245" s="23">
        <f>INSCRITOS_FORM!L245</f>
        <v/>
      </c>
      <c r="G245" s="23">
        <f t="array" ref="G245">IFERROR(INDEX(CONFIG!$A$22:$A$35,MATCH(F245,CONFIG!$B$22:$B$35,0)),0)</f>
        <v/>
      </c>
      <c r="H245" s="23">
        <f>INSCRITOS_FORM!M245</f>
        <v/>
      </c>
      <c r="I245" s="23">
        <f>INSCRITOS_FORM!O245</f>
        <v/>
      </c>
      <c r="J245" s="23">
        <f>INSCRITOS_FORM!J245</f>
        <v/>
      </c>
      <c r="K245" s="23">
        <f>INSCRITOS_FORM!K245</f>
        <v/>
      </c>
      <c r="L245" s="23">
        <f>INSCRITOS_FORM!U245</f>
        <v/>
      </c>
      <c r="M245" s="23">
        <f>INSCRITOS_FORM!V245</f>
        <v/>
      </c>
      <c r="N245" s="23">
        <f>INSCRITOS_FORM!W245</f>
        <v/>
      </c>
      <c r="O245" s="23">
        <f>INSCRITOS_FORM!X245</f>
        <v/>
      </c>
      <c r="P245" s="23">
        <f>INSCRITOS_FORM!AB245</f>
        <v/>
      </c>
      <c r="Q245" s="23">
        <f>IF(B245="","",IF(AND(OR(P245="Pagado",P245="Beca",P245="Invitado"),OR(L245="Sí",M245="Sí")),"Sí","No"))</f>
        <v/>
      </c>
      <c r="R245" s="23">
        <f>IF(AND(C245=TORNEO_ACTIVO!$B$3,Q245="Sí"),G245*10000-A245,-1)</f>
        <v/>
      </c>
    </row>
    <row r="246" ht="14.25" customHeight="1" s="72">
      <c r="A246" s="23">
        <f>IF(INSCRITOS_FORM!D246&lt;&gt;"",ROW()-4,"")</f>
        <v/>
      </c>
      <c r="B246" s="23">
        <f>INSCRITOS_FORM!AD246</f>
        <v/>
      </c>
      <c r="C246" s="23">
        <f>INSCRITOS_FORM!T246</f>
        <v/>
      </c>
      <c r="D246" s="23">
        <f>INSCRITOS_FORM!S246</f>
        <v/>
      </c>
      <c r="E246" s="23">
        <f>INSCRITOS_FORM!G246</f>
        <v/>
      </c>
      <c r="F246" s="23">
        <f>INSCRITOS_FORM!L246</f>
        <v/>
      </c>
      <c r="G246" s="23">
        <f t="array" ref="G246">IFERROR(INDEX(CONFIG!$A$22:$A$35,MATCH(F246,CONFIG!$B$22:$B$35,0)),0)</f>
        <v/>
      </c>
      <c r="H246" s="23">
        <f>INSCRITOS_FORM!M246</f>
        <v/>
      </c>
      <c r="I246" s="23">
        <f>INSCRITOS_FORM!O246</f>
        <v/>
      </c>
      <c r="J246" s="23">
        <f>INSCRITOS_FORM!J246</f>
        <v/>
      </c>
      <c r="K246" s="23">
        <f>INSCRITOS_FORM!K246</f>
        <v/>
      </c>
      <c r="L246" s="23">
        <f>INSCRITOS_FORM!U246</f>
        <v/>
      </c>
      <c r="M246" s="23">
        <f>INSCRITOS_FORM!V246</f>
        <v/>
      </c>
      <c r="N246" s="23">
        <f>INSCRITOS_FORM!W246</f>
        <v/>
      </c>
      <c r="O246" s="23">
        <f>INSCRITOS_FORM!X246</f>
        <v/>
      </c>
      <c r="P246" s="23">
        <f>INSCRITOS_FORM!AB246</f>
        <v/>
      </c>
      <c r="Q246" s="23">
        <f>IF(B246="","",IF(AND(OR(P246="Pagado",P246="Beca",P246="Invitado"),OR(L246="Sí",M246="Sí")),"Sí","No"))</f>
        <v/>
      </c>
      <c r="R246" s="23">
        <f>IF(AND(C246=TORNEO_ACTIVO!$B$3,Q246="Sí"),G246*10000-A246,-1)</f>
        <v/>
      </c>
    </row>
    <row r="247" ht="14.25" customHeight="1" s="72">
      <c r="A247" s="23">
        <f>IF(INSCRITOS_FORM!D247&lt;&gt;"",ROW()-4,"")</f>
        <v/>
      </c>
      <c r="B247" s="23">
        <f>INSCRITOS_FORM!AD247</f>
        <v/>
      </c>
      <c r="C247" s="23">
        <f>INSCRITOS_FORM!T247</f>
        <v/>
      </c>
      <c r="D247" s="23">
        <f>INSCRITOS_FORM!S247</f>
        <v/>
      </c>
      <c r="E247" s="23">
        <f>INSCRITOS_FORM!G247</f>
        <v/>
      </c>
      <c r="F247" s="23">
        <f>INSCRITOS_FORM!L247</f>
        <v/>
      </c>
      <c r="G247" s="23">
        <f t="array" ref="G247">IFERROR(INDEX(CONFIG!$A$22:$A$35,MATCH(F247,CONFIG!$B$22:$B$35,0)),0)</f>
        <v/>
      </c>
      <c r="H247" s="23">
        <f>INSCRITOS_FORM!M247</f>
        <v/>
      </c>
      <c r="I247" s="23">
        <f>INSCRITOS_FORM!O247</f>
        <v/>
      </c>
      <c r="J247" s="23">
        <f>INSCRITOS_FORM!J247</f>
        <v/>
      </c>
      <c r="K247" s="23">
        <f>INSCRITOS_FORM!K247</f>
        <v/>
      </c>
      <c r="L247" s="23">
        <f>INSCRITOS_FORM!U247</f>
        <v/>
      </c>
      <c r="M247" s="23">
        <f>INSCRITOS_FORM!V247</f>
        <v/>
      </c>
      <c r="N247" s="23">
        <f>INSCRITOS_FORM!W247</f>
        <v/>
      </c>
      <c r="O247" s="23">
        <f>INSCRITOS_FORM!X247</f>
        <v/>
      </c>
      <c r="P247" s="23">
        <f>INSCRITOS_FORM!AB247</f>
        <v/>
      </c>
      <c r="Q247" s="23">
        <f>IF(B247="","",IF(AND(OR(P247="Pagado",P247="Beca",P247="Invitado"),OR(L247="Sí",M247="Sí")),"Sí","No"))</f>
        <v/>
      </c>
      <c r="R247" s="23">
        <f>IF(AND(C247=TORNEO_ACTIVO!$B$3,Q247="Sí"),G247*10000-A247,-1)</f>
        <v/>
      </c>
    </row>
    <row r="248" ht="14.25" customHeight="1" s="72">
      <c r="A248" s="23">
        <f>IF(INSCRITOS_FORM!D248&lt;&gt;"",ROW()-4,"")</f>
        <v/>
      </c>
      <c r="B248" s="23">
        <f>INSCRITOS_FORM!AD248</f>
        <v/>
      </c>
      <c r="C248" s="23">
        <f>INSCRITOS_FORM!T248</f>
        <v/>
      </c>
      <c r="D248" s="23">
        <f>INSCRITOS_FORM!S248</f>
        <v/>
      </c>
      <c r="E248" s="23">
        <f>INSCRITOS_FORM!G248</f>
        <v/>
      </c>
      <c r="F248" s="23">
        <f>INSCRITOS_FORM!L248</f>
        <v/>
      </c>
      <c r="G248" s="23">
        <f t="array" ref="G248">IFERROR(INDEX(CONFIG!$A$22:$A$35,MATCH(F248,CONFIG!$B$22:$B$35,0)),0)</f>
        <v/>
      </c>
      <c r="H248" s="23">
        <f>INSCRITOS_FORM!M248</f>
        <v/>
      </c>
      <c r="I248" s="23">
        <f>INSCRITOS_FORM!O248</f>
        <v/>
      </c>
      <c r="J248" s="23">
        <f>INSCRITOS_FORM!J248</f>
        <v/>
      </c>
      <c r="K248" s="23">
        <f>INSCRITOS_FORM!K248</f>
        <v/>
      </c>
      <c r="L248" s="23">
        <f>INSCRITOS_FORM!U248</f>
        <v/>
      </c>
      <c r="M248" s="23">
        <f>INSCRITOS_FORM!V248</f>
        <v/>
      </c>
      <c r="N248" s="23">
        <f>INSCRITOS_FORM!W248</f>
        <v/>
      </c>
      <c r="O248" s="23">
        <f>INSCRITOS_FORM!X248</f>
        <v/>
      </c>
      <c r="P248" s="23">
        <f>INSCRITOS_FORM!AB248</f>
        <v/>
      </c>
      <c r="Q248" s="23">
        <f>IF(B248="","",IF(AND(OR(P248="Pagado",P248="Beca",P248="Invitado"),OR(L248="Sí",M248="Sí")),"Sí","No"))</f>
        <v/>
      </c>
      <c r="R248" s="23">
        <f>IF(AND(C248=TORNEO_ACTIVO!$B$3,Q248="Sí"),G248*10000-A248,-1)</f>
        <v/>
      </c>
    </row>
    <row r="249" ht="14.25" customHeight="1" s="72">
      <c r="A249" s="23">
        <f>IF(INSCRITOS_FORM!D249&lt;&gt;"",ROW()-4,"")</f>
        <v/>
      </c>
      <c r="B249" s="23">
        <f>INSCRITOS_FORM!AD249</f>
        <v/>
      </c>
      <c r="C249" s="23">
        <f>INSCRITOS_FORM!T249</f>
        <v/>
      </c>
      <c r="D249" s="23">
        <f>INSCRITOS_FORM!S249</f>
        <v/>
      </c>
      <c r="E249" s="23">
        <f>INSCRITOS_FORM!G249</f>
        <v/>
      </c>
      <c r="F249" s="23">
        <f>INSCRITOS_FORM!L249</f>
        <v/>
      </c>
      <c r="G249" s="23">
        <f t="array" ref="G249">IFERROR(INDEX(CONFIG!$A$22:$A$35,MATCH(F249,CONFIG!$B$22:$B$35,0)),0)</f>
        <v/>
      </c>
      <c r="H249" s="23">
        <f>INSCRITOS_FORM!M249</f>
        <v/>
      </c>
      <c r="I249" s="23">
        <f>INSCRITOS_FORM!O249</f>
        <v/>
      </c>
      <c r="J249" s="23">
        <f>INSCRITOS_FORM!J249</f>
        <v/>
      </c>
      <c r="K249" s="23">
        <f>INSCRITOS_FORM!K249</f>
        <v/>
      </c>
      <c r="L249" s="23">
        <f>INSCRITOS_FORM!U249</f>
        <v/>
      </c>
      <c r="M249" s="23">
        <f>INSCRITOS_FORM!V249</f>
        <v/>
      </c>
      <c r="N249" s="23">
        <f>INSCRITOS_FORM!W249</f>
        <v/>
      </c>
      <c r="O249" s="23">
        <f>INSCRITOS_FORM!X249</f>
        <v/>
      </c>
      <c r="P249" s="23">
        <f>INSCRITOS_FORM!AB249</f>
        <v/>
      </c>
      <c r="Q249" s="23">
        <f>IF(B249="","",IF(AND(OR(P249="Pagado",P249="Beca",P249="Invitado"),OR(L249="Sí",M249="Sí")),"Sí","No"))</f>
        <v/>
      </c>
      <c r="R249" s="23">
        <f>IF(AND(C249=TORNEO_ACTIVO!$B$3,Q249="Sí"),G249*10000-A249,-1)</f>
        <v/>
      </c>
    </row>
    <row r="250" ht="14.25" customHeight="1" s="72">
      <c r="A250" s="23">
        <f>IF(INSCRITOS_FORM!D250&lt;&gt;"",ROW()-4,"")</f>
        <v/>
      </c>
      <c r="B250" s="23">
        <f>INSCRITOS_FORM!AD250</f>
        <v/>
      </c>
      <c r="C250" s="23">
        <f>INSCRITOS_FORM!T250</f>
        <v/>
      </c>
      <c r="D250" s="23">
        <f>INSCRITOS_FORM!S250</f>
        <v/>
      </c>
      <c r="E250" s="23">
        <f>INSCRITOS_FORM!G250</f>
        <v/>
      </c>
      <c r="F250" s="23">
        <f>INSCRITOS_FORM!L250</f>
        <v/>
      </c>
      <c r="G250" s="23">
        <f t="array" ref="G250">IFERROR(INDEX(CONFIG!$A$22:$A$35,MATCH(F250,CONFIG!$B$22:$B$35,0)),0)</f>
        <v/>
      </c>
      <c r="H250" s="23">
        <f>INSCRITOS_FORM!M250</f>
        <v/>
      </c>
      <c r="I250" s="23">
        <f>INSCRITOS_FORM!O250</f>
        <v/>
      </c>
      <c r="J250" s="23">
        <f>INSCRITOS_FORM!J250</f>
        <v/>
      </c>
      <c r="K250" s="23">
        <f>INSCRITOS_FORM!K250</f>
        <v/>
      </c>
      <c r="L250" s="23">
        <f>INSCRITOS_FORM!U250</f>
        <v/>
      </c>
      <c r="M250" s="23">
        <f>INSCRITOS_FORM!V250</f>
        <v/>
      </c>
      <c r="N250" s="23">
        <f>INSCRITOS_FORM!W250</f>
        <v/>
      </c>
      <c r="O250" s="23">
        <f>INSCRITOS_FORM!X250</f>
        <v/>
      </c>
      <c r="P250" s="23">
        <f>INSCRITOS_FORM!AB250</f>
        <v/>
      </c>
      <c r="Q250" s="23">
        <f>IF(B250="","",IF(AND(OR(P250="Pagado",P250="Beca",P250="Invitado"),OR(L250="Sí",M250="Sí")),"Sí","No"))</f>
        <v/>
      </c>
      <c r="R250" s="23">
        <f>IF(AND(C250=TORNEO_ACTIVO!$B$3,Q250="Sí"),G250*10000-A250,-1)</f>
        <v/>
      </c>
    </row>
    <row r="251" ht="14.25" customHeight="1" s="72">
      <c r="A251" s="23">
        <f>IF(INSCRITOS_FORM!D251&lt;&gt;"",ROW()-4,"")</f>
        <v/>
      </c>
      <c r="B251" s="23">
        <f>INSCRITOS_FORM!AD251</f>
        <v/>
      </c>
      <c r="C251" s="23">
        <f>INSCRITOS_FORM!T251</f>
        <v/>
      </c>
      <c r="D251" s="23">
        <f>INSCRITOS_FORM!S251</f>
        <v/>
      </c>
      <c r="E251" s="23">
        <f>INSCRITOS_FORM!G251</f>
        <v/>
      </c>
      <c r="F251" s="23">
        <f>INSCRITOS_FORM!L251</f>
        <v/>
      </c>
      <c r="G251" s="23">
        <f t="array" ref="G251">IFERROR(INDEX(CONFIG!$A$22:$A$35,MATCH(F251,CONFIG!$B$22:$B$35,0)),0)</f>
        <v/>
      </c>
      <c r="H251" s="23">
        <f>INSCRITOS_FORM!M251</f>
        <v/>
      </c>
      <c r="I251" s="23">
        <f>INSCRITOS_FORM!O251</f>
        <v/>
      </c>
      <c r="J251" s="23">
        <f>INSCRITOS_FORM!J251</f>
        <v/>
      </c>
      <c r="K251" s="23">
        <f>INSCRITOS_FORM!K251</f>
        <v/>
      </c>
      <c r="L251" s="23">
        <f>INSCRITOS_FORM!U251</f>
        <v/>
      </c>
      <c r="M251" s="23">
        <f>INSCRITOS_FORM!V251</f>
        <v/>
      </c>
      <c r="N251" s="23">
        <f>INSCRITOS_FORM!W251</f>
        <v/>
      </c>
      <c r="O251" s="23">
        <f>INSCRITOS_FORM!X251</f>
        <v/>
      </c>
      <c r="P251" s="23">
        <f>INSCRITOS_FORM!AB251</f>
        <v/>
      </c>
      <c r="Q251" s="23">
        <f>IF(B251="","",IF(AND(OR(P251="Pagado",P251="Beca",P251="Invitado"),OR(L251="Sí",M251="Sí")),"Sí","No"))</f>
        <v/>
      </c>
      <c r="R251" s="23">
        <f>IF(AND(C251=TORNEO_ACTIVO!$B$3,Q251="Sí"),G251*10000-A251,-1)</f>
        <v/>
      </c>
    </row>
    <row r="252" ht="14.25" customHeight="1" s="72">
      <c r="A252" s="23">
        <f>IF(INSCRITOS_FORM!D252&lt;&gt;"",ROW()-4,"")</f>
        <v/>
      </c>
      <c r="B252" s="23">
        <f>INSCRITOS_FORM!AD252</f>
        <v/>
      </c>
      <c r="C252" s="23">
        <f>INSCRITOS_FORM!T252</f>
        <v/>
      </c>
      <c r="D252" s="23">
        <f>INSCRITOS_FORM!S252</f>
        <v/>
      </c>
      <c r="E252" s="23">
        <f>INSCRITOS_FORM!G252</f>
        <v/>
      </c>
      <c r="F252" s="23">
        <f>INSCRITOS_FORM!L252</f>
        <v/>
      </c>
      <c r="G252" s="23">
        <f t="array" ref="G252">IFERROR(INDEX(CONFIG!$A$22:$A$35,MATCH(F252,CONFIG!$B$22:$B$35,0)),0)</f>
        <v/>
      </c>
      <c r="H252" s="23">
        <f>INSCRITOS_FORM!M252</f>
        <v/>
      </c>
      <c r="I252" s="23">
        <f>INSCRITOS_FORM!O252</f>
        <v/>
      </c>
      <c r="J252" s="23">
        <f>INSCRITOS_FORM!J252</f>
        <v/>
      </c>
      <c r="K252" s="23">
        <f>INSCRITOS_FORM!K252</f>
        <v/>
      </c>
      <c r="L252" s="23">
        <f>INSCRITOS_FORM!U252</f>
        <v/>
      </c>
      <c r="M252" s="23">
        <f>INSCRITOS_FORM!V252</f>
        <v/>
      </c>
      <c r="N252" s="23">
        <f>INSCRITOS_FORM!W252</f>
        <v/>
      </c>
      <c r="O252" s="23">
        <f>INSCRITOS_FORM!X252</f>
        <v/>
      </c>
      <c r="P252" s="23">
        <f>INSCRITOS_FORM!AB252</f>
        <v/>
      </c>
      <c r="Q252" s="23">
        <f>IF(B252="","",IF(AND(OR(P252="Pagado",P252="Beca",P252="Invitado"),OR(L252="Sí",M252="Sí")),"Sí","No"))</f>
        <v/>
      </c>
      <c r="R252" s="23">
        <f>IF(AND(C252=TORNEO_ACTIVO!$B$3,Q252="Sí"),G252*10000-A252,-1)</f>
        <v/>
      </c>
    </row>
    <row r="253" ht="14.25" customHeight="1" s="72">
      <c r="A253" s="23">
        <f>IF(INSCRITOS_FORM!D253&lt;&gt;"",ROW()-4,"")</f>
        <v/>
      </c>
      <c r="B253" s="23">
        <f>INSCRITOS_FORM!AD253</f>
        <v/>
      </c>
      <c r="C253" s="23">
        <f>INSCRITOS_FORM!T253</f>
        <v/>
      </c>
      <c r="D253" s="23">
        <f>INSCRITOS_FORM!S253</f>
        <v/>
      </c>
      <c r="E253" s="23">
        <f>INSCRITOS_FORM!G253</f>
        <v/>
      </c>
      <c r="F253" s="23">
        <f>INSCRITOS_FORM!L253</f>
        <v/>
      </c>
      <c r="G253" s="23">
        <f t="array" ref="G253">IFERROR(INDEX(CONFIG!$A$22:$A$35,MATCH(F253,CONFIG!$B$22:$B$35,0)),0)</f>
        <v/>
      </c>
      <c r="H253" s="23">
        <f>INSCRITOS_FORM!M253</f>
        <v/>
      </c>
      <c r="I253" s="23">
        <f>INSCRITOS_FORM!O253</f>
        <v/>
      </c>
      <c r="J253" s="23">
        <f>INSCRITOS_FORM!J253</f>
        <v/>
      </c>
      <c r="K253" s="23">
        <f>INSCRITOS_FORM!K253</f>
        <v/>
      </c>
      <c r="L253" s="23">
        <f>INSCRITOS_FORM!U253</f>
        <v/>
      </c>
      <c r="M253" s="23">
        <f>INSCRITOS_FORM!V253</f>
        <v/>
      </c>
      <c r="N253" s="23">
        <f>INSCRITOS_FORM!W253</f>
        <v/>
      </c>
      <c r="O253" s="23">
        <f>INSCRITOS_FORM!X253</f>
        <v/>
      </c>
      <c r="P253" s="23">
        <f>INSCRITOS_FORM!AB253</f>
        <v/>
      </c>
      <c r="Q253" s="23">
        <f>IF(B253="","",IF(AND(OR(P253="Pagado",P253="Beca",P253="Invitado"),OR(L253="Sí",M253="Sí")),"Sí","No"))</f>
        <v/>
      </c>
      <c r="R253" s="23">
        <f>IF(AND(C253=TORNEO_ACTIVO!$B$3,Q253="Sí"),G253*10000-A253,-1)</f>
        <v/>
      </c>
    </row>
    <row r="254" ht="14.25" customHeight="1" s="72">
      <c r="A254" s="23">
        <f>IF(INSCRITOS_FORM!D254&lt;&gt;"",ROW()-4,"")</f>
        <v/>
      </c>
      <c r="B254" s="23">
        <f>INSCRITOS_FORM!AD254</f>
        <v/>
      </c>
      <c r="C254" s="23">
        <f>INSCRITOS_FORM!T254</f>
        <v/>
      </c>
      <c r="D254" s="23">
        <f>INSCRITOS_FORM!S254</f>
        <v/>
      </c>
      <c r="E254" s="23">
        <f>INSCRITOS_FORM!G254</f>
        <v/>
      </c>
      <c r="F254" s="23">
        <f>INSCRITOS_FORM!L254</f>
        <v/>
      </c>
      <c r="G254" s="23">
        <f t="array" ref="G254">IFERROR(INDEX(CONFIG!$A$22:$A$35,MATCH(F254,CONFIG!$B$22:$B$35,0)),0)</f>
        <v/>
      </c>
      <c r="H254" s="23">
        <f>INSCRITOS_FORM!M254</f>
        <v/>
      </c>
      <c r="I254" s="23">
        <f>INSCRITOS_FORM!O254</f>
        <v/>
      </c>
      <c r="J254" s="23">
        <f>INSCRITOS_FORM!J254</f>
        <v/>
      </c>
      <c r="K254" s="23">
        <f>INSCRITOS_FORM!K254</f>
        <v/>
      </c>
      <c r="L254" s="23">
        <f>INSCRITOS_FORM!U254</f>
        <v/>
      </c>
      <c r="M254" s="23">
        <f>INSCRITOS_FORM!V254</f>
        <v/>
      </c>
      <c r="N254" s="23">
        <f>INSCRITOS_FORM!W254</f>
        <v/>
      </c>
      <c r="O254" s="23">
        <f>INSCRITOS_FORM!X254</f>
        <v/>
      </c>
      <c r="P254" s="23">
        <f>INSCRITOS_FORM!AB254</f>
        <v/>
      </c>
      <c r="Q254" s="23">
        <f>IF(B254="","",IF(AND(OR(P254="Pagado",P254="Beca",P254="Invitado"),OR(L254="Sí",M254="Sí")),"Sí","No"))</f>
        <v/>
      </c>
      <c r="R254" s="23">
        <f>IF(AND(C254=TORNEO_ACTIVO!$B$3,Q254="Sí"),G254*10000-A254,-1)</f>
        <v/>
      </c>
    </row>
    <row r="255" ht="14.25" customHeight="1" s="72">
      <c r="A255" s="23">
        <f>IF(INSCRITOS_FORM!D255&lt;&gt;"",ROW()-4,"")</f>
        <v/>
      </c>
      <c r="B255" s="23">
        <f>INSCRITOS_FORM!AD255</f>
        <v/>
      </c>
      <c r="C255" s="23">
        <f>INSCRITOS_FORM!T255</f>
        <v/>
      </c>
      <c r="D255" s="23">
        <f>INSCRITOS_FORM!S255</f>
        <v/>
      </c>
      <c r="E255" s="23">
        <f>INSCRITOS_FORM!G255</f>
        <v/>
      </c>
      <c r="F255" s="23">
        <f>INSCRITOS_FORM!L255</f>
        <v/>
      </c>
      <c r="G255" s="23">
        <f t="array" ref="G255">IFERROR(INDEX(CONFIG!$A$22:$A$35,MATCH(F255,CONFIG!$B$22:$B$35,0)),0)</f>
        <v/>
      </c>
      <c r="H255" s="23">
        <f>INSCRITOS_FORM!M255</f>
        <v/>
      </c>
      <c r="I255" s="23">
        <f>INSCRITOS_FORM!O255</f>
        <v/>
      </c>
      <c r="J255" s="23">
        <f>INSCRITOS_FORM!J255</f>
        <v/>
      </c>
      <c r="K255" s="23">
        <f>INSCRITOS_FORM!K255</f>
        <v/>
      </c>
      <c r="L255" s="23">
        <f>INSCRITOS_FORM!U255</f>
        <v/>
      </c>
      <c r="M255" s="23">
        <f>INSCRITOS_FORM!V255</f>
        <v/>
      </c>
      <c r="N255" s="23">
        <f>INSCRITOS_FORM!W255</f>
        <v/>
      </c>
      <c r="O255" s="23">
        <f>INSCRITOS_FORM!X255</f>
        <v/>
      </c>
      <c r="P255" s="23">
        <f>INSCRITOS_FORM!AB255</f>
        <v/>
      </c>
      <c r="Q255" s="23">
        <f>IF(B255="","",IF(AND(OR(P255="Pagado",P255="Beca",P255="Invitado"),OR(L255="Sí",M255="Sí")),"Sí","No"))</f>
        <v/>
      </c>
      <c r="R255" s="23">
        <f>IF(AND(C255=TORNEO_ACTIVO!$B$3,Q255="Sí"),G255*10000-A255,-1)</f>
        <v/>
      </c>
    </row>
    <row r="256" ht="14.25" customHeight="1" s="72">
      <c r="A256" s="23">
        <f>IF(INSCRITOS_FORM!D256&lt;&gt;"",ROW()-4,"")</f>
        <v/>
      </c>
      <c r="B256" s="23">
        <f>INSCRITOS_FORM!AD256</f>
        <v/>
      </c>
      <c r="C256" s="23">
        <f>INSCRITOS_FORM!T256</f>
        <v/>
      </c>
      <c r="D256" s="23">
        <f>INSCRITOS_FORM!S256</f>
        <v/>
      </c>
      <c r="E256" s="23">
        <f>INSCRITOS_FORM!G256</f>
        <v/>
      </c>
      <c r="F256" s="23">
        <f>INSCRITOS_FORM!L256</f>
        <v/>
      </c>
      <c r="G256" s="23">
        <f t="array" ref="G256">IFERROR(INDEX(CONFIG!$A$22:$A$35,MATCH(F256,CONFIG!$B$22:$B$35,0)),0)</f>
        <v/>
      </c>
      <c r="H256" s="23">
        <f>INSCRITOS_FORM!M256</f>
        <v/>
      </c>
      <c r="I256" s="23">
        <f>INSCRITOS_FORM!O256</f>
        <v/>
      </c>
      <c r="J256" s="23">
        <f>INSCRITOS_FORM!J256</f>
        <v/>
      </c>
      <c r="K256" s="23">
        <f>INSCRITOS_FORM!K256</f>
        <v/>
      </c>
      <c r="L256" s="23">
        <f>INSCRITOS_FORM!U256</f>
        <v/>
      </c>
      <c r="M256" s="23">
        <f>INSCRITOS_FORM!V256</f>
        <v/>
      </c>
      <c r="N256" s="23">
        <f>INSCRITOS_FORM!W256</f>
        <v/>
      </c>
      <c r="O256" s="23">
        <f>INSCRITOS_FORM!X256</f>
        <v/>
      </c>
      <c r="P256" s="23">
        <f>INSCRITOS_FORM!AB256</f>
        <v/>
      </c>
      <c r="Q256" s="23">
        <f>IF(B256="","",IF(AND(OR(P256="Pagado",P256="Beca",P256="Invitado"),OR(L256="Sí",M256="Sí")),"Sí","No"))</f>
        <v/>
      </c>
      <c r="R256" s="23">
        <f>IF(AND(C256=TORNEO_ACTIVO!$B$3,Q256="Sí"),G256*10000-A256,-1)</f>
        <v/>
      </c>
    </row>
    <row r="257" ht="14.25" customHeight="1" s="72">
      <c r="A257" s="23">
        <f>IF(INSCRITOS_FORM!D257&lt;&gt;"",ROW()-4,"")</f>
        <v/>
      </c>
      <c r="B257" s="23">
        <f>INSCRITOS_FORM!AD257</f>
        <v/>
      </c>
      <c r="C257" s="23">
        <f>INSCRITOS_FORM!T257</f>
        <v/>
      </c>
      <c r="D257" s="23">
        <f>INSCRITOS_FORM!S257</f>
        <v/>
      </c>
      <c r="E257" s="23">
        <f>INSCRITOS_FORM!G257</f>
        <v/>
      </c>
      <c r="F257" s="23">
        <f>INSCRITOS_FORM!L257</f>
        <v/>
      </c>
      <c r="G257" s="23">
        <f t="array" ref="G257">IFERROR(INDEX(CONFIG!$A$22:$A$35,MATCH(F257,CONFIG!$B$22:$B$35,0)),0)</f>
        <v/>
      </c>
      <c r="H257" s="23">
        <f>INSCRITOS_FORM!M257</f>
        <v/>
      </c>
      <c r="I257" s="23">
        <f>INSCRITOS_FORM!O257</f>
        <v/>
      </c>
      <c r="J257" s="23">
        <f>INSCRITOS_FORM!J257</f>
        <v/>
      </c>
      <c r="K257" s="23">
        <f>INSCRITOS_FORM!K257</f>
        <v/>
      </c>
      <c r="L257" s="23">
        <f>INSCRITOS_FORM!U257</f>
        <v/>
      </c>
      <c r="M257" s="23">
        <f>INSCRITOS_FORM!V257</f>
        <v/>
      </c>
      <c r="N257" s="23">
        <f>INSCRITOS_FORM!W257</f>
        <v/>
      </c>
      <c r="O257" s="23">
        <f>INSCRITOS_FORM!X257</f>
        <v/>
      </c>
      <c r="P257" s="23">
        <f>INSCRITOS_FORM!AB257</f>
        <v/>
      </c>
      <c r="Q257" s="23">
        <f>IF(B257="","",IF(AND(OR(P257="Pagado",P257="Beca",P257="Invitado"),OR(L257="Sí",M257="Sí")),"Sí","No"))</f>
        <v/>
      </c>
      <c r="R257" s="23">
        <f>IF(AND(C257=TORNEO_ACTIVO!$B$3,Q257="Sí"),G257*10000-A257,-1)</f>
        <v/>
      </c>
    </row>
    <row r="258" ht="14.25" customHeight="1" s="72">
      <c r="A258" s="23">
        <f>IF(INSCRITOS_FORM!D258&lt;&gt;"",ROW()-4,"")</f>
        <v/>
      </c>
      <c r="B258" s="23">
        <f>INSCRITOS_FORM!AD258</f>
        <v/>
      </c>
      <c r="C258" s="23">
        <f>INSCRITOS_FORM!T258</f>
        <v/>
      </c>
      <c r="D258" s="23">
        <f>INSCRITOS_FORM!S258</f>
        <v/>
      </c>
      <c r="E258" s="23">
        <f>INSCRITOS_FORM!G258</f>
        <v/>
      </c>
      <c r="F258" s="23">
        <f>INSCRITOS_FORM!L258</f>
        <v/>
      </c>
      <c r="G258" s="23">
        <f t="array" ref="G258">IFERROR(INDEX(CONFIG!$A$22:$A$35,MATCH(F258,CONFIG!$B$22:$B$35,0)),0)</f>
        <v/>
      </c>
      <c r="H258" s="23">
        <f>INSCRITOS_FORM!M258</f>
        <v/>
      </c>
      <c r="I258" s="23">
        <f>INSCRITOS_FORM!O258</f>
        <v/>
      </c>
      <c r="J258" s="23">
        <f>INSCRITOS_FORM!J258</f>
        <v/>
      </c>
      <c r="K258" s="23">
        <f>INSCRITOS_FORM!K258</f>
        <v/>
      </c>
      <c r="L258" s="23">
        <f>INSCRITOS_FORM!U258</f>
        <v/>
      </c>
      <c r="M258" s="23">
        <f>INSCRITOS_FORM!V258</f>
        <v/>
      </c>
      <c r="N258" s="23">
        <f>INSCRITOS_FORM!W258</f>
        <v/>
      </c>
      <c r="O258" s="23">
        <f>INSCRITOS_FORM!X258</f>
        <v/>
      </c>
      <c r="P258" s="23">
        <f>INSCRITOS_FORM!AB258</f>
        <v/>
      </c>
      <c r="Q258" s="23">
        <f>IF(B258="","",IF(AND(OR(P258="Pagado",P258="Beca",P258="Invitado"),OR(L258="Sí",M258="Sí")),"Sí","No"))</f>
        <v/>
      </c>
      <c r="R258" s="23">
        <f>IF(AND(C258=TORNEO_ACTIVO!$B$3,Q258="Sí"),G258*10000-A258,-1)</f>
        <v/>
      </c>
    </row>
    <row r="259" ht="14.25" customHeight="1" s="72">
      <c r="A259" s="23">
        <f>IF(INSCRITOS_FORM!D259&lt;&gt;"",ROW()-4,"")</f>
        <v/>
      </c>
      <c r="B259" s="23">
        <f>INSCRITOS_FORM!AD259</f>
        <v/>
      </c>
      <c r="C259" s="23">
        <f>INSCRITOS_FORM!T259</f>
        <v/>
      </c>
      <c r="D259" s="23">
        <f>INSCRITOS_FORM!S259</f>
        <v/>
      </c>
      <c r="E259" s="23">
        <f>INSCRITOS_FORM!G259</f>
        <v/>
      </c>
      <c r="F259" s="23">
        <f>INSCRITOS_FORM!L259</f>
        <v/>
      </c>
      <c r="G259" s="23">
        <f t="array" ref="G259">IFERROR(INDEX(CONFIG!$A$22:$A$35,MATCH(F259,CONFIG!$B$22:$B$35,0)),0)</f>
        <v/>
      </c>
      <c r="H259" s="23">
        <f>INSCRITOS_FORM!M259</f>
        <v/>
      </c>
      <c r="I259" s="23">
        <f>INSCRITOS_FORM!O259</f>
        <v/>
      </c>
      <c r="J259" s="23">
        <f>INSCRITOS_FORM!J259</f>
        <v/>
      </c>
      <c r="K259" s="23">
        <f>INSCRITOS_FORM!K259</f>
        <v/>
      </c>
      <c r="L259" s="23">
        <f>INSCRITOS_FORM!U259</f>
        <v/>
      </c>
      <c r="M259" s="23">
        <f>INSCRITOS_FORM!V259</f>
        <v/>
      </c>
      <c r="N259" s="23">
        <f>INSCRITOS_FORM!W259</f>
        <v/>
      </c>
      <c r="O259" s="23">
        <f>INSCRITOS_FORM!X259</f>
        <v/>
      </c>
      <c r="P259" s="23">
        <f>INSCRITOS_FORM!AB259</f>
        <v/>
      </c>
      <c r="Q259" s="23">
        <f>IF(B259="","",IF(AND(OR(P259="Pagado",P259="Beca",P259="Invitado"),OR(L259="Sí",M259="Sí")),"Sí","No"))</f>
        <v/>
      </c>
      <c r="R259" s="23">
        <f>IF(AND(C259=TORNEO_ACTIVO!$B$3,Q259="Sí"),G259*10000-A259,-1)</f>
        <v/>
      </c>
    </row>
    <row r="260" ht="14.25" customHeight="1" s="72">
      <c r="A260" s="23">
        <f>IF(INSCRITOS_FORM!D260&lt;&gt;"",ROW()-4,"")</f>
        <v/>
      </c>
      <c r="B260" s="23">
        <f>INSCRITOS_FORM!AD260</f>
        <v/>
      </c>
      <c r="C260" s="23">
        <f>INSCRITOS_FORM!T260</f>
        <v/>
      </c>
      <c r="D260" s="23">
        <f>INSCRITOS_FORM!S260</f>
        <v/>
      </c>
      <c r="E260" s="23">
        <f>INSCRITOS_FORM!G260</f>
        <v/>
      </c>
      <c r="F260" s="23">
        <f>INSCRITOS_FORM!L260</f>
        <v/>
      </c>
      <c r="G260" s="23">
        <f t="array" ref="G260">IFERROR(INDEX(CONFIG!$A$22:$A$35,MATCH(F260,CONFIG!$B$22:$B$35,0)),0)</f>
        <v/>
      </c>
      <c r="H260" s="23">
        <f>INSCRITOS_FORM!M260</f>
        <v/>
      </c>
      <c r="I260" s="23">
        <f>INSCRITOS_FORM!O260</f>
        <v/>
      </c>
      <c r="J260" s="23">
        <f>INSCRITOS_FORM!J260</f>
        <v/>
      </c>
      <c r="K260" s="23">
        <f>INSCRITOS_FORM!K260</f>
        <v/>
      </c>
      <c r="L260" s="23">
        <f>INSCRITOS_FORM!U260</f>
        <v/>
      </c>
      <c r="M260" s="23">
        <f>INSCRITOS_FORM!V260</f>
        <v/>
      </c>
      <c r="N260" s="23">
        <f>INSCRITOS_FORM!W260</f>
        <v/>
      </c>
      <c r="O260" s="23">
        <f>INSCRITOS_FORM!X260</f>
        <v/>
      </c>
      <c r="P260" s="23">
        <f>INSCRITOS_FORM!AB260</f>
        <v/>
      </c>
      <c r="Q260" s="23">
        <f>IF(B260="","",IF(AND(OR(P260="Pagado",P260="Beca",P260="Invitado"),OR(L260="Sí",M260="Sí")),"Sí","No"))</f>
        <v/>
      </c>
      <c r="R260" s="23">
        <f>IF(AND(C260=TORNEO_ACTIVO!$B$3,Q260="Sí"),G260*10000-A260,-1)</f>
        <v/>
      </c>
    </row>
    <row r="261" ht="14.25" customHeight="1" s="72">
      <c r="A261" s="23">
        <f>IF(INSCRITOS_FORM!D261&lt;&gt;"",ROW()-4,"")</f>
        <v/>
      </c>
      <c r="B261" s="23">
        <f>INSCRITOS_FORM!AD261</f>
        <v/>
      </c>
      <c r="C261" s="23">
        <f>INSCRITOS_FORM!T261</f>
        <v/>
      </c>
      <c r="D261" s="23">
        <f>INSCRITOS_FORM!S261</f>
        <v/>
      </c>
      <c r="E261" s="23">
        <f>INSCRITOS_FORM!G261</f>
        <v/>
      </c>
      <c r="F261" s="23">
        <f>INSCRITOS_FORM!L261</f>
        <v/>
      </c>
      <c r="G261" s="23">
        <f t="array" ref="G261">IFERROR(INDEX(CONFIG!$A$22:$A$35,MATCH(F261,CONFIG!$B$22:$B$35,0)),0)</f>
        <v/>
      </c>
      <c r="H261" s="23">
        <f>INSCRITOS_FORM!M261</f>
        <v/>
      </c>
      <c r="I261" s="23">
        <f>INSCRITOS_FORM!O261</f>
        <v/>
      </c>
      <c r="J261" s="23">
        <f>INSCRITOS_FORM!J261</f>
        <v/>
      </c>
      <c r="K261" s="23">
        <f>INSCRITOS_FORM!K261</f>
        <v/>
      </c>
      <c r="L261" s="23">
        <f>INSCRITOS_FORM!U261</f>
        <v/>
      </c>
      <c r="M261" s="23">
        <f>INSCRITOS_FORM!V261</f>
        <v/>
      </c>
      <c r="N261" s="23">
        <f>INSCRITOS_FORM!W261</f>
        <v/>
      </c>
      <c r="O261" s="23">
        <f>INSCRITOS_FORM!X261</f>
        <v/>
      </c>
      <c r="P261" s="23">
        <f>INSCRITOS_FORM!AB261</f>
        <v/>
      </c>
      <c r="Q261" s="23">
        <f>IF(B261="","",IF(AND(OR(P261="Pagado",P261="Beca",P261="Invitado"),OR(L261="Sí",M261="Sí")),"Sí","No"))</f>
        <v/>
      </c>
      <c r="R261" s="23">
        <f>IF(AND(C261=TORNEO_ACTIVO!$B$3,Q261="Sí"),G261*10000-A261,-1)</f>
        <v/>
      </c>
    </row>
    <row r="262" ht="14.25" customHeight="1" s="72">
      <c r="A262" s="23">
        <f>IF(INSCRITOS_FORM!D262&lt;&gt;"",ROW()-4,"")</f>
        <v/>
      </c>
      <c r="B262" s="23">
        <f>INSCRITOS_FORM!AD262</f>
        <v/>
      </c>
      <c r="C262" s="23">
        <f>INSCRITOS_FORM!T262</f>
        <v/>
      </c>
      <c r="D262" s="23">
        <f>INSCRITOS_FORM!S262</f>
        <v/>
      </c>
      <c r="E262" s="23">
        <f>INSCRITOS_FORM!G262</f>
        <v/>
      </c>
      <c r="F262" s="23">
        <f>INSCRITOS_FORM!L262</f>
        <v/>
      </c>
      <c r="G262" s="23">
        <f t="array" ref="G262">IFERROR(INDEX(CONFIG!$A$22:$A$35,MATCH(F262,CONFIG!$B$22:$B$35,0)),0)</f>
        <v/>
      </c>
      <c r="H262" s="23">
        <f>INSCRITOS_FORM!M262</f>
        <v/>
      </c>
      <c r="I262" s="23">
        <f>INSCRITOS_FORM!O262</f>
        <v/>
      </c>
      <c r="J262" s="23">
        <f>INSCRITOS_FORM!J262</f>
        <v/>
      </c>
      <c r="K262" s="23">
        <f>INSCRITOS_FORM!K262</f>
        <v/>
      </c>
      <c r="L262" s="23">
        <f>INSCRITOS_FORM!U262</f>
        <v/>
      </c>
      <c r="M262" s="23">
        <f>INSCRITOS_FORM!V262</f>
        <v/>
      </c>
      <c r="N262" s="23">
        <f>INSCRITOS_FORM!W262</f>
        <v/>
      </c>
      <c r="O262" s="23">
        <f>INSCRITOS_FORM!X262</f>
        <v/>
      </c>
      <c r="P262" s="23">
        <f>INSCRITOS_FORM!AB262</f>
        <v/>
      </c>
      <c r="Q262" s="23">
        <f>IF(B262="","",IF(AND(OR(P262="Pagado",P262="Beca",P262="Invitado"),OR(L262="Sí",M262="Sí")),"Sí","No"))</f>
        <v/>
      </c>
      <c r="R262" s="23">
        <f>IF(AND(C262=TORNEO_ACTIVO!$B$3,Q262="Sí"),G262*10000-A262,-1)</f>
        <v/>
      </c>
    </row>
    <row r="263" ht="14.25" customHeight="1" s="72">
      <c r="A263" s="23">
        <f>IF(INSCRITOS_FORM!D263&lt;&gt;"",ROW()-4,"")</f>
        <v/>
      </c>
      <c r="B263" s="23">
        <f>INSCRITOS_FORM!AD263</f>
        <v/>
      </c>
      <c r="C263" s="23">
        <f>INSCRITOS_FORM!T263</f>
        <v/>
      </c>
      <c r="D263" s="23">
        <f>INSCRITOS_FORM!S263</f>
        <v/>
      </c>
      <c r="E263" s="23">
        <f>INSCRITOS_FORM!G263</f>
        <v/>
      </c>
      <c r="F263" s="23">
        <f>INSCRITOS_FORM!L263</f>
        <v/>
      </c>
      <c r="G263" s="23">
        <f t="array" ref="G263">IFERROR(INDEX(CONFIG!$A$22:$A$35,MATCH(F263,CONFIG!$B$22:$B$35,0)),0)</f>
        <v/>
      </c>
      <c r="H263" s="23">
        <f>INSCRITOS_FORM!M263</f>
        <v/>
      </c>
      <c r="I263" s="23">
        <f>INSCRITOS_FORM!O263</f>
        <v/>
      </c>
      <c r="J263" s="23">
        <f>INSCRITOS_FORM!J263</f>
        <v/>
      </c>
      <c r="K263" s="23">
        <f>INSCRITOS_FORM!K263</f>
        <v/>
      </c>
      <c r="L263" s="23">
        <f>INSCRITOS_FORM!U263</f>
        <v/>
      </c>
      <c r="M263" s="23">
        <f>INSCRITOS_FORM!V263</f>
        <v/>
      </c>
      <c r="N263" s="23">
        <f>INSCRITOS_FORM!W263</f>
        <v/>
      </c>
      <c r="O263" s="23">
        <f>INSCRITOS_FORM!X263</f>
        <v/>
      </c>
      <c r="P263" s="23">
        <f>INSCRITOS_FORM!AB263</f>
        <v/>
      </c>
      <c r="Q263" s="23">
        <f>IF(B263="","",IF(AND(OR(P263="Pagado",P263="Beca",P263="Invitado"),OR(L263="Sí",M263="Sí")),"Sí","No"))</f>
        <v/>
      </c>
      <c r="R263" s="23">
        <f>IF(AND(C263=TORNEO_ACTIVO!$B$3,Q263="Sí"),G263*10000-A263,-1)</f>
        <v/>
      </c>
    </row>
    <row r="264" ht="14.25" customHeight="1" s="72">
      <c r="A264" s="23">
        <f>IF(INSCRITOS_FORM!D264&lt;&gt;"",ROW()-4,"")</f>
        <v/>
      </c>
      <c r="B264" s="23">
        <f>INSCRITOS_FORM!AD264</f>
        <v/>
      </c>
      <c r="C264" s="23">
        <f>INSCRITOS_FORM!T264</f>
        <v/>
      </c>
      <c r="D264" s="23">
        <f>INSCRITOS_FORM!S264</f>
        <v/>
      </c>
      <c r="E264" s="23">
        <f>INSCRITOS_FORM!G264</f>
        <v/>
      </c>
      <c r="F264" s="23">
        <f>INSCRITOS_FORM!L264</f>
        <v/>
      </c>
      <c r="G264" s="23">
        <f t="array" ref="G264">IFERROR(INDEX(CONFIG!$A$22:$A$35,MATCH(F264,CONFIG!$B$22:$B$35,0)),0)</f>
        <v/>
      </c>
      <c r="H264" s="23">
        <f>INSCRITOS_FORM!M264</f>
        <v/>
      </c>
      <c r="I264" s="23">
        <f>INSCRITOS_FORM!O264</f>
        <v/>
      </c>
      <c r="J264" s="23">
        <f>INSCRITOS_FORM!J264</f>
        <v/>
      </c>
      <c r="K264" s="23">
        <f>INSCRITOS_FORM!K264</f>
        <v/>
      </c>
      <c r="L264" s="23">
        <f>INSCRITOS_FORM!U264</f>
        <v/>
      </c>
      <c r="M264" s="23">
        <f>INSCRITOS_FORM!V264</f>
        <v/>
      </c>
      <c r="N264" s="23">
        <f>INSCRITOS_FORM!W264</f>
        <v/>
      </c>
      <c r="O264" s="23">
        <f>INSCRITOS_FORM!X264</f>
        <v/>
      </c>
      <c r="P264" s="23">
        <f>INSCRITOS_FORM!AB264</f>
        <v/>
      </c>
      <c r="Q264" s="23">
        <f>IF(B264="","",IF(AND(OR(P264="Pagado",P264="Beca",P264="Invitado"),OR(L264="Sí",M264="Sí")),"Sí","No"))</f>
        <v/>
      </c>
      <c r="R264" s="23">
        <f>IF(AND(C264=TORNEO_ACTIVO!$B$3,Q264="Sí"),G264*10000-A264,-1)</f>
        <v/>
      </c>
    </row>
    <row r="265" ht="14.25" customHeight="1" s="72">
      <c r="A265" s="23">
        <f>IF(INSCRITOS_FORM!D265&lt;&gt;"",ROW()-4,"")</f>
        <v/>
      </c>
      <c r="B265" s="23">
        <f>INSCRITOS_FORM!AD265</f>
        <v/>
      </c>
      <c r="C265" s="23">
        <f>INSCRITOS_FORM!T265</f>
        <v/>
      </c>
      <c r="D265" s="23">
        <f>INSCRITOS_FORM!S265</f>
        <v/>
      </c>
      <c r="E265" s="23">
        <f>INSCRITOS_FORM!G265</f>
        <v/>
      </c>
      <c r="F265" s="23">
        <f>INSCRITOS_FORM!L265</f>
        <v/>
      </c>
      <c r="G265" s="23">
        <f t="array" ref="G265">IFERROR(INDEX(CONFIG!$A$22:$A$35,MATCH(F265,CONFIG!$B$22:$B$35,0)),0)</f>
        <v/>
      </c>
      <c r="H265" s="23">
        <f>INSCRITOS_FORM!M265</f>
        <v/>
      </c>
      <c r="I265" s="23">
        <f>INSCRITOS_FORM!O265</f>
        <v/>
      </c>
      <c r="J265" s="23">
        <f>INSCRITOS_FORM!J265</f>
        <v/>
      </c>
      <c r="K265" s="23">
        <f>INSCRITOS_FORM!K265</f>
        <v/>
      </c>
      <c r="L265" s="23">
        <f>INSCRITOS_FORM!U265</f>
        <v/>
      </c>
      <c r="M265" s="23">
        <f>INSCRITOS_FORM!V265</f>
        <v/>
      </c>
      <c r="N265" s="23">
        <f>INSCRITOS_FORM!W265</f>
        <v/>
      </c>
      <c r="O265" s="23">
        <f>INSCRITOS_FORM!X265</f>
        <v/>
      </c>
      <c r="P265" s="23">
        <f>INSCRITOS_FORM!AB265</f>
        <v/>
      </c>
      <c r="Q265" s="23">
        <f>IF(B265="","",IF(AND(OR(P265="Pagado",P265="Beca",P265="Invitado"),OR(L265="Sí",M265="Sí")),"Sí","No"))</f>
        <v/>
      </c>
      <c r="R265" s="23">
        <f>IF(AND(C265=TORNEO_ACTIVO!$B$3,Q265="Sí"),G265*10000-A265,-1)</f>
        <v/>
      </c>
    </row>
    <row r="266" ht="14.25" customHeight="1" s="72">
      <c r="A266" s="23">
        <f>IF(INSCRITOS_FORM!D266&lt;&gt;"",ROW()-4,"")</f>
        <v/>
      </c>
      <c r="B266" s="23">
        <f>INSCRITOS_FORM!AD266</f>
        <v/>
      </c>
      <c r="C266" s="23">
        <f>INSCRITOS_FORM!T266</f>
        <v/>
      </c>
      <c r="D266" s="23">
        <f>INSCRITOS_FORM!S266</f>
        <v/>
      </c>
      <c r="E266" s="23">
        <f>INSCRITOS_FORM!G266</f>
        <v/>
      </c>
      <c r="F266" s="23">
        <f>INSCRITOS_FORM!L266</f>
        <v/>
      </c>
      <c r="G266" s="23">
        <f t="array" ref="G266">IFERROR(INDEX(CONFIG!$A$22:$A$35,MATCH(F266,CONFIG!$B$22:$B$35,0)),0)</f>
        <v/>
      </c>
      <c r="H266" s="23">
        <f>INSCRITOS_FORM!M266</f>
        <v/>
      </c>
      <c r="I266" s="23">
        <f>INSCRITOS_FORM!O266</f>
        <v/>
      </c>
      <c r="J266" s="23">
        <f>INSCRITOS_FORM!J266</f>
        <v/>
      </c>
      <c r="K266" s="23">
        <f>INSCRITOS_FORM!K266</f>
        <v/>
      </c>
      <c r="L266" s="23">
        <f>INSCRITOS_FORM!U266</f>
        <v/>
      </c>
      <c r="M266" s="23">
        <f>INSCRITOS_FORM!V266</f>
        <v/>
      </c>
      <c r="N266" s="23">
        <f>INSCRITOS_FORM!W266</f>
        <v/>
      </c>
      <c r="O266" s="23">
        <f>INSCRITOS_FORM!X266</f>
        <v/>
      </c>
      <c r="P266" s="23">
        <f>INSCRITOS_FORM!AB266</f>
        <v/>
      </c>
      <c r="Q266" s="23">
        <f>IF(B266="","",IF(AND(OR(P266="Pagado",P266="Beca",P266="Invitado"),OR(L266="Sí",M266="Sí")),"Sí","No"))</f>
        <v/>
      </c>
      <c r="R266" s="23">
        <f>IF(AND(C266=TORNEO_ACTIVO!$B$3,Q266="Sí"),G266*10000-A266,-1)</f>
        <v/>
      </c>
    </row>
    <row r="267" ht="14.25" customHeight="1" s="72">
      <c r="A267" s="23">
        <f>IF(INSCRITOS_FORM!D267&lt;&gt;"",ROW()-4,"")</f>
        <v/>
      </c>
      <c r="B267" s="23">
        <f>INSCRITOS_FORM!AD267</f>
        <v/>
      </c>
      <c r="C267" s="23">
        <f>INSCRITOS_FORM!T267</f>
        <v/>
      </c>
      <c r="D267" s="23">
        <f>INSCRITOS_FORM!S267</f>
        <v/>
      </c>
      <c r="E267" s="23">
        <f>INSCRITOS_FORM!G267</f>
        <v/>
      </c>
      <c r="F267" s="23">
        <f>INSCRITOS_FORM!L267</f>
        <v/>
      </c>
      <c r="G267" s="23">
        <f t="array" ref="G267">IFERROR(INDEX(CONFIG!$A$22:$A$35,MATCH(F267,CONFIG!$B$22:$B$35,0)),0)</f>
        <v/>
      </c>
      <c r="H267" s="23">
        <f>INSCRITOS_FORM!M267</f>
        <v/>
      </c>
      <c r="I267" s="23">
        <f>INSCRITOS_FORM!O267</f>
        <v/>
      </c>
      <c r="J267" s="23">
        <f>INSCRITOS_FORM!J267</f>
        <v/>
      </c>
      <c r="K267" s="23">
        <f>INSCRITOS_FORM!K267</f>
        <v/>
      </c>
      <c r="L267" s="23">
        <f>INSCRITOS_FORM!U267</f>
        <v/>
      </c>
      <c r="M267" s="23">
        <f>INSCRITOS_FORM!V267</f>
        <v/>
      </c>
      <c r="N267" s="23">
        <f>INSCRITOS_FORM!W267</f>
        <v/>
      </c>
      <c r="O267" s="23">
        <f>INSCRITOS_FORM!X267</f>
        <v/>
      </c>
      <c r="P267" s="23">
        <f>INSCRITOS_FORM!AB267</f>
        <v/>
      </c>
      <c r="Q267" s="23">
        <f>IF(B267="","",IF(AND(OR(P267="Pagado",P267="Beca",P267="Invitado"),OR(L267="Sí",M267="Sí")),"Sí","No"))</f>
        <v/>
      </c>
      <c r="R267" s="23">
        <f>IF(AND(C267=TORNEO_ACTIVO!$B$3,Q267="Sí"),G267*10000-A267,-1)</f>
        <v/>
      </c>
    </row>
    <row r="268" ht="14.25" customHeight="1" s="72">
      <c r="A268" s="23">
        <f>IF(INSCRITOS_FORM!D268&lt;&gt;"",ROW()-4,"")</f>
        <v/>
      </c>
      <c r="B268" s="23">
        <f>INSCRITOS_FORM!AD268</f>
        <v/>
      </c>
      <c r="C268" s="23">
        <f>INSCRITOS_FORM!T268</f>
        <v/>
      </c>
      <c r="D268" s="23">
        <f>INSCRITOS_FORM!S268</f>
        <v/>
      </c>
      <c r="E268" s="23">
        <f>INSCRITOS_FORM!G268</f>
        <v/>
      </c>
      <c r="F268" s="23">
        <f>INSCRITOS_FORM!L268</f>
        <v/>
      </c>
      <c r="G268" s="23">
        <f t="array" ref="G268">IFERROR(INDEX(CONFIG!$A$22:$A$35,MATCH(F268,CONFIG!$B$22:$B$35,0)),0)</f>
        <v/>
      </c>
      <c r="H268" s="23">
        <f>INSCRITOS_FORM!M268</f>
        <v/>
      </c>
      <c r="I268" s="23">
        <f>INSCRITOS_FORM!O268</f>
        <v/>
      </c>
      <c r="J268" s="23">
        <f>INSCRITOS_FORM!J268</f>
        <v/>
      </c>
      <c r="K268" s="23">
        <f>INSCRITOS_FORM!K268</f>
        <v/>
      </c>
      <c r="L268" s="23">
        <f>INSCRITOS_FORM!U268</f>
        <v/>
      </c>
      <c r="M268" s="23">
        <f>INSCRITOS_FORM!V268</f>
        <v/>
      </c>
      <c r="N268" s="23">
        <f>INSCRITOS_FORM!W268</f>
        <v/>
      </c>
      <c r="O268" s="23">
        <f>INSCRITOS_FORM!X268</f>
        <v/>
      </c>
      <c r="P268" s="23">
        <f>INSCRITOS_FORM!AB268</f>
        <v/>
      </c>
      <c r="Q268" s="23">
        <f>IF(B268="","",IF(AND(OR(P268="Pagado",P268="Beca",P268="Invitado"),OR(L268="Sí",M268="Sí")),"Sí","No"))</f>
        <v/>
      </c>
      <c r="R268" s="23">
        <f>IF(AND(C268=TORNEO_ACTIVO!$B$3,Q268="Sí"),G268*10000-A268,-1)</f>
        <v/>
      </c>
    </row>
    <row r="269" ht="14.25" customHeight="1" s="72">
      <c r="A269" s="23">
        <f>IF(INSCRITOS_FORM!D269&lt;&gt;"",ROW()-4,"")</f>
        <v/>
      </c>
      <c r="B269" s="23">
        <f>INSCRITOS_FORM!AD269</f>
        <v/>
      </c>
      <c r="C269" s="23">
        <f>INSCRITOS_FORM!T269</f>
        <v/>
      </c>
      <c r="D269" s="23">
        <f>INSCRITOS_FORM!S269</f>
        <v/>
      </c>
      <c r="E269" s="23">
        <f>INSCRITOS_FORM!G269</f>
        <v/>
      </c>
      <c r="F269" s="23">
        <f>INSCRITOS_FORM!L269</f>
        <v/>
      </c>
      <c r="G269" s="23">
        <f t="array" ref="G269">IFERROR(INDEX(CONFIG!$A$22:$A$35,MATCH(F269,CONFIG!$B$22:$B$35,0)),0)</f>
        <v/>
      </c>
      <c r="H269" s="23">
        <f>INSCRITOS_FORM!M269</f>
        <v/>
      </c>
      <c r="I269" s="23">
        <f>INSCRITOS_FORM!O269</f>
        <v/>
      </c>
      <c r="J269" s="23">
        <f>INSCRITOS_FORM!J269</f>
        <v/>
      </c>
      <c r="K269" s="23">
        <f>INSCRITOS_FORM!K269</f>
        <v/>
      </c>
      <c r="L269" s="23">
        <f>INSCRITOS_FORM!U269</f>
        <v/>
      </c>
      <c r="M269" s="23">
        <f>INSCRITOS_FORM!V269</f>
        <v/>
      </c>
      <c r="N269" s="23">
        <f>INSCRITOS_FORM!W269</f>
        <v/>
      </c>
      <c r="O269" s="23">
        <f>INSCRITOS_FORM!X269</f>
        <v/>
      </c>
      <c r="P269" s="23">
        <f>INSCRITOS_FORM!AB269</f>
        <v/>
      </c>
      <c r="Q269" s="23">
        <f>IF(B269="","",IF(AND(OR(P269="Pagado",P269="Beca",P269="Invitado"),OR(L269="Sí",M269="Sí")),"Sí","No"))</f>
        <v/>
      </c>
      <c r="R269" s="23">
        <f>IF(AND(C269=TORNEO_ACTIVO!$B$3,Q269="Sí"),G269*10000-A269,-1)</f>
        <v/>
      </c>
    </row>
    <row r="270" ht="14.25" customHeight="1" s="72">
      <c r="A270" s="23">
        <f>IF(INSCRITOS_FORM!D270&lt;&gt;"",ROW()-4,"")</f>
        <v/>
      </c>
      <c r="B270" s="23">
        <f>INSCRITOS_FORM!AD270</f>
        <v/>
      </c>
      <c r="C270" s="23">
        <f>INSCRITOS_FORM!T270</f>
        <v/>
      </c>
      <c r="D270" s="23">
        <f>INSCRITOS_FORM!S270</f>
        <v/>
      </c>
      <c r="E270" s="23">
        <f>INSCRITOS_FORM!G270</f>
        <v/>
      </c>
      <c r="F270" s="23">
        <f>INSCRITOS_FORM!L270</f>
        <v/>
      </c>
      <c r="G270" s="23">
        <f t="array" ref="G270">IFERROR(INDEX(CONFIG!$A$22:$A$35,MATCH(F270,CONFIG!$B$22:$B$35,0)),0)</f>
        <v/>
      </c>
      <c r="H270" s="23">
        <f>INSCRITOS_FORM!M270</f>
        <v/>
      </c>
      <c r="I270" s="23">
        <f>INSCRITOS_FORM!O270</f>
        <v/>
      </c>
      <c r="J270" s="23">
        <f>INSCRITOS_FORM!J270</f>
        <v/>
      </c>
      <c r="K270" s="23">
        <f>INSCRITOS_FORM!K270</f>
        <v/>
      </c>
      <c r="L270" s="23">
        <f>INSCRITOS_FORM!U270</f>
        <v/>
      </c>
      <c r="M270" s="23">
        <f>INSCRITOS_FORM!V270</f>
        <v/>
      </c>
      <c r="N270" s="23">
        <f>INSCRITOS_FORM!W270</f>
        <v/>
      </c>
      <c r="O270" s="23">
        <f>INSCRITOS_FORM!X270</f>
        <v/>
      </c>
      <c r="P270" s="23">
        <f>INSCRITOS_FORM!AB270</f>
        <v/>
      </c>
      <c r="Q270" s="23">
        <f>IF(B270="","",IF(AND(OR(P270="Pagado",P270="Beca",P270="Invitado"),OR(L270="Sí",M270="Sí")),"Sí","No"))</f>
        <v/>
      </c>
      <c r="R270" s="23">
        <f>IF(AND(C270=TORNEO_ACTIVO!$B$3,Q270="Sí"),G270*10000-A270,-1)</f>
        <v/>
      </c>
    </row>
    <row r="271" ht="14.25" customHeight="1" s="72">
      <c r="A271" s="23">
        <f>IF(INSCRITOS_FORM!D271&lt;&gt;"",ROW()-4,"")</f>
        <v/>
      </c>
      <c r="B271" s="23">
        <f>INSCRITOS_FORM!AD271</f>
        <v/>
      </c>
      <c r="C271" s="23">
        <f>INSCRITOS_FORM!T271</f>
        <v/>
      </c>
      <c r="D271" s="23">
        <f>INSCRITOS_FORM!S271</f>
        <v/>
      </c>
      <c r="E271" s="23">
        <f>INSCRITOS_FORM!G271</f>
        <v/>
      </c>
      <c r="F271" s="23">
        <f>INSCRITOS_FORM!L271</f>
        <v/>
      </c>
      <c r="G271" s="23">
        <f t="array" ref="G271">IFERROR(INDEX(CONFIG!$A$22:$A$35,MATCH(F271,CONFIG!$B$22:$B$35,0)),0)</f>
        <v/>
      </c>
      <c r="H271" s="23">
        <f>INSCRITOS_FORM!M271</f>
        <v/>
      </c>
      <c r="I271" s="23">
        <f>INSCRITOS_FORM!O271</f>
        <v/>
      </c>
      <c r="J271" s="23">
        <f>INSCRITOS_FORM!J271</f>
        <v/>
      </c>
      <c r="K271" s="23">
        <f>INSCRITOS_FORM!K271</f>
        <v/>
      </c>
      <c r="L271" s="23">
        <f>INSCRITOS_FORM!U271</f>
        <v/>
      </c>
      <c r="M271" s="23">
        <f>INSCRITOS_FORM!V271</f>
        <v/>
      </c>
      <c r="N271" s="23">
        <f>INSCRITOS_FORM!W271</f>
        <v/>
      </c>
      <c r="O271" s="23">
        <f>INSCRITOS_FORM!X271</f>
        <v/>
      </c>
      <c r="P271" s="23">
        <f>INSCRITOS_FORM!AB271</f>
        <v/>
      </c>
      <c r="Q271" s="23">
        <f>IF(B271="","",IF(AND(OR(P271="Pagado",P271="Beca",P271="Invitado"),OR(L271="Sí",M271="Sí")),"Sí","No"))</f>
        <v/>
      </c>
      <c r="R271" s="23">
        <f>IF(AND(C271=TORNEO_ACTIVO!$B$3,Q271="Sí"),G271*10000-A271,-1)</f>
        <v/>
      </c>
    </row>
    <row r="272" ht="14.25" customHeight="1" s="72">
      <c r="A272" s="23">
        <f>IF(INSCRITOS_FORM!D272&lt;&gt;"",ROW()-4,"")</f>
        <v/>
      </c>
      <c r="B272" s="23">
        <f>INSCRITOS_FORM!AD272</f>
        <v/>
      </c>
      <c r="C272" s="23">
        <f>INSCRITOS_FORM!T272</f>
        <v/>
      </c>
      <c r="D272" s="23">
        <f>INSCRITOS_FORM!S272</f>
        <v/>
      </c>
      <c r="E272" s="23">
        <f>INSCRITOS_FORM!G272</f>
        <v/>
      </c>
      <c r="F272" s="23">
        <f>INSCRITOS_FORM!L272</f>
        <v/>
      </c>
      <c r="G272" s="23">
        <f t="array" ref="G272">IFERROR(INDEX(CONFIG!$A$22:$A$35,MATCH(F272,CONFIG!$B$22:$B$35,0)),0)</f>
        <v/>
      </c>
      <c r="H272" s="23">
        <f>INSCRITOS_FORM!M272</f>
        <v/>
      </c>
      <c r="I272" s="23">
        <f>INSCRITOS_FORM!O272</f>
        <v/>
      </c>
      <c r="J272" s="23">
        <f>INSCRITOS_FORM!J272</f>
        <v/>
      </c>
      <c r="K272" s="23">
        <f>INSCRITOS_FORM!K272</f>
        <v/>
      </c>
      <c r="L272" s="23">
        <f>INSCRITOS_FORM!U272</f>
        <v/>
      </c>
      <c r="M272" s="23">
        <f>INSCRITOS_FORM!V272</f>
        <v/>
      </c>
      <c r="N272" s="23">
        <f>INSCRITOS_FORM!W272</f>
        <v/>
      </c>
      <c r="O272" s="23">
        <f>INSCRITOS_FORM!X272</f>
        <v/>
      </c>
      <c r="P272" s="23">
        <f>INSCRITOS_FORM!AB272</f>
        <v/>
      </c>
      <c r="Q272" s="23">
        <f>IF(B272="","",IF(AND(OR(P272="Pagado",P272="Beca",P272="Invitado"),OR(L272="Sí",M272="Sí")),"Sí","No"))</f>
        <v/>
      </c>
      <c r="R272" s="23">
        <f>IF(AND(C272=TORNEO_ACTIVO!$B$3,Q272="Sí"),G272*10000-A272,-1)</f>
        <v/>
      </c>
    </row>
    <row r="273" ht="14.25" customHeight="1" s="72">
      <c r="A273" s="23">
        <f>IF(INSCRITOS_FORM!D273&lt;&gt;"",ROW()-4,"")</f>
        <v/>
      </c>
      <c r="B273" s="23">
        <f>INSCRITOS_FORM!AD273</f>
        <v/>
      </c>
      <c r="C273" s="23">
        <f>INSCRITOS_FORM!T273</f>
        <v/>
      </c>
      <c r="D273" s="23">
        <f>INSCRITOS_FORM!S273</f>
        <v/>
      </c>
      <c r="E273" s="23">
        <f>INSCRITOS_FORM!G273</f>
        <v/>
      </c>
      <c r="F273" s="23">
        <f>INSCRITOS_FORM!L273</f>
        <v/>
      </c>
      <c r="G273" s="23">
        <f t="array" ref="G273">IFERROR(INDEX(CONFIG!$A$22:$A$35,MATCH(F273,CONFIG!$B$22:$B$35,0)),0)</f>
        <v/>
      </c>
      <c r="H273" s="23">
        <f>INSCRITOS_FORM!M273</f>
        <v/>
      </c>
      <c r="I273" s="23">
        <f>INSCRITOS_FORM!O273</f>
        <v/>
      </c>
      <c r="J273" s="23">
        <f>INSCRITOS_FORM!J273</f>
        <v/>
      </c>
      <c r="K273" s="23">
        <f>INSCRITOS_FORM!K273</f>
        <v/>
      </c>
      <c r="L273" s="23">
        <f>INSCRITOS_FORM!U273</f>
        <v/>
      </c>
      <c r="M273" s="23">
        <f>INSCRITOS_FORM!V273</f>
        <v/>
      </c>
      <c r="N273" s="23">
        <f>INSCRITOS_FORM!W273</f>
        <v/>
      </c>
      <c r="O273" s="23">
        <f>INSCRITOS_FORM!X273</f>
        <v/>
      </c>
      <c r="P273" s="23">
        <f>INSCRITOS_FORM!AB273</f>
        <v/>
      </c>
      <c r="Q273" s="23">
        <f>IF(B273="","",IF(AND(OR(P273="Pagado",P273="Beca",P273="Invitado"),OR(L273="Sí",M273="Sí")),"Sí","No"))</f>
        <v/>
      </c>
      <c r="R273" s="23">
        <f>IF(AND(C273=TORNEO_ACTIVO!$B$3,Q273="Sí"),G273*10000-A273,-1)</f>
        <v/>
      </c>
    </row>
    <row r="274" ht="14.25" customHeight="1" s="72">
      <c r="A274" s="23">
        <f>IF(INSCRITOS_FORM!D274&lt;&gt;"",ROW()-4,"")</f>
        <v/>
      </c>
      <c r="B274" s="23">
        <f>INSCRITOS_FORM!AD274</f>
        <v/>
      </c>
      <c r="C274" s="23">
        <f>INSCRITOS_FORM!T274</f>
        <v/>
      </c>
      <c r="D274" s="23">
        <f>INSCRITOS_FORM!S274</f>
        <v/>
      </c>
      <c r="E274" s="23">
        <f>INSCRITOS_FORM!G274</f>
        <v/>
      </c>
      <c r="F274" s="23">
        <f>INSCRITOS_FORM!L274</f>
        <v/>
      </c>
      <c r="G274" s="23">
        <f t="array" ref="G274">IFERROR(INDEX(CONFIG!$A$22:$A$35,MATCH(F274,CONFIG!$B$22:$B$35,0)),0)</f>
        <v/>
      </c>
      <c r="H274" s="23">
        <f>INSCRITOS_FORM!M274</f>
        <v/>
      </c>
      <c r="I274" s="23">
        <f>INSCRITOS_FORM!O274</f>
        <v/>
      </c>
      <c r="J274" s="23">
        <f>INSCRITOS_FORM!J274</f>
        <v/>
      </c>
      <c r="K274" s="23">
        <f>INSCRITOS_FORM!K274</f>
        <v/>
      </c>
      <c r="L274" s="23">
        <f>INSCRITOS_FORM!U274</f>
        <v/>
      </c>
      <c r="M274" s="23">
        <f>INSCRITOS_FORM!V274</f>
        <v/>
      </c>
      <c r="N274" s="23">
        <f>INSCRITOS_FORM!W274</f>
        <v/>
      </c>
      <c r="O274" s="23">
        <f>INSCRITOS_FORM!X274</f>
        <v/>
      </c>
      <c r="P274" s="23">
        <f>INSCRITOS_FORM!AB274</f>
        <v/>
      </c>
      <c r="Q274" s="23">
        <f>IF(B274="","",IF(AND(OR(P274="Pagado",P274="Beca",P274="Invitado"),OR(L274="Sí",M274="Sí")),"Sí","No"))</f>
        <v/>
      </c>
      <c r="R274" s="23">
        <f>IF(AND(C274=TORNEO_ACTIVO!$B$3,Q274="Sí"),G274*10000-A274,-1)</f>
        <v/>
      </c>
    </row>
    <row r="275" ht="14.25" customHeight="1" s="72">
      <c r="A275" s="23">
        <f>IF(INSCRITOS_FORM!D275&lt;&gt;"",ROW()-4,"")</f>
        <v/>
      </c>
      <c r="B275" s="23">
        <f>INSCRITOS_FORM!AD275</f>
        <v/>
      </c>
      <c r="C275" s="23">
        <f>INSCRITOS_FORM!T275</f>
        <v/>
      </c>
      <c r="D275" s="23">
        <f>INSCRITOS_FORM!S275</f>
        <v/>
      </c>
      <c r="E275" s="23">
        <f>INSCRITOS_FORM!G275</f>
        <v/>
      </c>
      <c r="F275" s="23">
        <f>INSCRITOS_FORM!L275</f>
        <v/>
      </c>
      <c r="G275" s="23">
        <f t="array" ref="G275">IFERROR(INDEX(CONFIG!$A$22:$A$35,MATCH(F275,CONFIG!$B$22:$B$35,0)),0)</f>
        <v/>
      </c>
      <c r="H275" s="23">
        <f>INSCRITOS_FORM!M275</f>
        <v/>
      </c>
      <c r="I275" s="23">
        <f>INSCRITOS_FORM!O275</f>
        <v/>
      </c>
      <c r="J275" s="23">
        <f>INSCRITOS_FORM!J275</f>
        <v/>
      </c>
      <c r="K275" s="23">
        <f>INSCRITOS_FORM!K275</f>
        <v/>
      </c>
      <c r="L275" s="23">
        <f>INSCRITOS_FORM!U275</f>
        <v/>
      </c>
      <c r="M275" s="23">
        <f>INSCRITOS_FORM!V275</f>
        <v/>
      </c>
      <c r="N275" s="23">
        <f>INSCRITOS_FORM!W275</f>
        <v/>
      </c>
      <c r="O275" s="23">
        <f>INSCRITOS_FORM!X275</f>
        <v/>
      </c>
      <c r="P275" s="23">
        <f>INSCRITOS_FORM!AB275</f>
        <v/>
      </c>
      <c r="Q275" s="23">
        <f>IF(B275="","",IF(AND(OR(P275="Pagado",P275="Beca",P275="Invitado"),OR(L275="Sí",M275="Sí")),"Sí","No"))</f>
        <v/>
      </c>
      <c r="R275" s="23">
        <f>IF(AND(C275=TORNEO_ACTIVO!$B$3,Q275="Sí"),G275*10000-A275,-1)</f>
        <v/>
      </c>
    </row>
    <row r="276" ht="14.25" customHeight="1" s="72">
      <c r="A276" s="23">
        <f>IF(INSCRITOS_FORM!D276&lt;&gt;"",ROW()-4,"")</f>
        <v/>
      </c>
      <c r="B276" s="23">
        <f>INSCRITOS_FORM!AD276</f>
        <v/>
      </c>
      <c r="C276" s="23">
        <f>INSCRITOS_FORM!T276</f>
        <v/>
      </c>
      <c r="D276" s="23">
        <f>INSCRITOS_FORM!S276</f>
        <v/>
      </c>
      <c r="E276" s="23">
        <f>INSCRITOS_FORM!G276</f>
        <v/>
      </c>
      <c r="F276" s="23">
        <f>INSCRITOS_FORM!L276</f>
        <v/>
      </c>
      <c r="G276" s="23">
        <f t="array" ref="G276">IFERROR(INDEX(CONFIG!$A$22:$A$35,MATCH(F276,CONFIG!$B$22:$B$35,0)),0)</f>
        <v/>
      </c>
      <c r="H276" s="23">
        <f>INSCRITOS_FORM!M276</f>
        <v/>
      </c>
      <c r="I276" s="23">
        <f>INSCRITOS_FORM!O276</f>
        <v/>
      </c>
      <c r="J276" s="23">
        <f>INSCRITOS_FORM!J276</f>
        <v/>
      </c>
      <c r="K276" s="23">
        <f>INSCRITOS_FORM!K276</f>
        <v/>
      </c>
      <c r="L276" s="23">
        <f>INSCRITOS_FORM!U276</f>
        <v/>
      </c>
      <c r="M276" s="23">
        <f>INSCRITOS_FORM!V276</f>
        <v/>
      </c>
      <c r="N276" s="23">
        <f>INSCRITOS_FORM!W276</f>
        <v/>
      </c>
      <c r="O276" s="23">
        <f>INSCRITOS_FORM!X276</f>
        <v/>
      </c>
      <c r="P276" s="23">
        <f>INSCRITOS_FORM!AB276</f>
        <v/>
      </c>
      <c r="Q276" s="23">
        <f>IF(B276="","",IF(AND(OR(P276="Pagado",P276="Beca",P276="Invitado"),OR(L276="Sí",M276="Sí")),"Sí","No"))</f>
        <v/>
      </c>
      <c r="R276" s="23">
        <f>IF(AND(C276=TORNEO_ACTIVO!$B$3,Q276="Sí"),G276*10000-A276,-1)</f>
        <v/>
      </c>
    </row>
    <row r="277" ht="14.25" customHeight="1" s="72">
      <c r="A277" s="23">
        <f>IF(INSCRITOS_FORM!D277&lt;&gt;"",ROW()-4,"")</f>
        <v/>
      </c>
      <c r="B277" s="23">
        <f>INSCRITOS_FORM!AD277</f>
        <v/>
      </c>
      <c r="C277" s="23">
        <f>INSCRITOS_FORM!T277</f>
        <v/>
      </c>
      <c r="D277" s="23">
        <f>INSCRITOS_FORM!S277</f>
        <v/>
      </c>
      <c r="E277" s="23">
        <f>INSCRITOS_FORM!G277</f>
        <v/>
      </c>
      <c r="F277" s="23">
        <f>INSCRITOS_FORM!L277</f>
        <v/>
      </c>
      <c r="G277" s="23">
        <f t="array" ref="G277">IFERROR(INDEX(CONFIG!$A$22:$A$35,MATCH(F277,CONFIG!$B$22:$B$35,0)),0)</f>
        <v/>
      </c>
      <c r="H277" s="23">
        <f>INSCRITOS_FORM!M277</f>
        <v/>
      </c>
      <c r="I277" s="23">
        <f>INSCRITOS_FORM!O277</f>
        <v/>
      </c>
      <c r="J277" s="23">
        <f>INSCRITOS_FORM!J277</f>
        <v/>
      </c>
      <c r="K277" s="23">
        <f>INSCRITOS_FORM!K277</f>
        <v/>
      </c>
      <c r="L277" s="23">
        <f>INSCRITOS_FORM!U277</f>
        <v/>
      </c>
      <c r="M277" s="23">
        <f>INSCRITOS_FORM!V277</f>
        <v/>
      </c>
      <c r="N277" s="23">
        <f>INSCRITOS_FORM!W277</f>
        <v/>
      </c>
      <c r="O277" s="23">
        <f>INSCRITOS_FORM!X277</f>
        <v/>
      </c>
      <c r="P277" s="23">
        <f>INSCRITOS_FORM!AB277</f>
        <v/>
      </c>
      <c r="Q277" s="23">
        <f>IF(B277="","",IF(AND(OR(P277="Pagado",P277="Beca",P277="Invitado"),OR(L277="Sí",M277="Sí")),"Sí","No"))</f>
        <v/>
      </c>
      <c r="R277" s="23">
        <f>IF(AND(C277=TORNEO_ACTIVO!$B$3,Q277="Sí"),G277*10000-A277,-1)</f>
        <v/>
      </c>
    </row>
    <row r="278" ht="14.25" customHeight="1" s="72">
      <c r="A278" s="23">
        <f>IF(INSCRITOS_FORM!D278&lt;&gt;"",ROW()-4,"")</f>
        <v/>
      </c>
      <c r="B278" s="23">
        <f>INSCRITOS_FORM!AD278</f>
        <v/>
      </c>
      <c r="C278" s="23">
        <f>INSCRITOS_FORM!T278</f>
        <v/>
      </c>
      <c r="D278" s="23">
        <f>INSCRITOS_FORM!S278</f>
        <v/>
      </c>
      <c r="E278" s="23">
        <f>INSCRITOS_FORM!G278</f>
        <v/>
      </c>
      <c r="F278" s="23">
        <f>INSCRITOS_FORM!L278</f>
        <v/>
      </c>
      <c r="G278" s="23">
        <f t="array" ref="G278">IFERROR(INDEX(CONFIG!$A$22:$A$35,MATCH(F278,CONFIG!$B$22:$B$35,0)),0)</f>
        <v/>
      </c>
      <c r="H278" s="23">
        <f>INSCRITOS_FORM!M278</f>
        <v/>
      </c>
      <c r="I278" s="23">
        <f>INSCRITOS_FORM!O278</f>
        <v/>
      </c>
      <c r="J278" s="23">
        <f>INSCRITOS_FORM!J278</f>
        <v/>
      </c>
      <c r="K278" s="23">
        <f>INSCRITOS_FORM!K278</f>
        <v/>
      </c>
      <c r="L278" s="23">
        <f>INSCRITOS_FORM!U278</f>
        <v/>
      </c>
      <c r="M278" s="23">
        <f>INSCRITOS_FORM!V278</f>
        <v/>
      </c>
      <c r="N278" s="23">
        <f>INSCRITOS_FORM!W278</f>
        <v/>
      </c>
      <c r="O278" s="23">
        <f>INSCRITOS_FORM!X278</f>
        <v/>
      </c>
      <c r="P278" s="23">
        <f>INSCRITOS_FORM!AB278</f>
        <v/>
      </c>
      <c r="Q278" s="23">
        <f>IF(B278="","",IF(AND(OR(P278="Pagado",P278="Beca",P278="Invitado"),OR(L278="Sí",M278="Sí")),"Sí","No"))</f>
        <v/>
      </c>
      <c r="R278" s="23">
        <f>IF(AND(C278=TORNEO_ACTIVO!$B$3,Q278="Sí"),G278*10000-A278,-1)</f>
        <v/>
      </c>
    </row>
    <row r="279" ht="14.25" customHeight="1" s="72">
      <c r="A279" s="23">
        <f>IF(INSCRITOS_FORM!D279&lt;&gt;"",ROW()-4,"")</f>
        <v/>
      </c>
      <c r="B279" s="23">
        <f>INSCRITOS_FORM!AD279</f>
        <v/>
      </c>
      <c r="C279" s="23">
        <f>INSCRITOS_FORM!T279</f>
        <v/>
      </c>
      <c r="D279" s="23">
        <f>INSCRITOS_FORM!S279</f>
        <v/>
      </c>
      <c r="E279" s="23">
        <f>INSCRITOS_FORM!G279</f>
        <v/>
      </c>
      <c r="F279" s="23">
        <f>INSCRITOS_FORM!L279</f>
        <v/>
      </c>
      <c r="G279" s="23">
        <f t="array" ref="G279">IFERROR(INDEX(CONFIG!$A$22:$A$35,MATCH(F279,CONFIG!$B$22:$B$35,0)),0)</f>
        <v/>
      </c>
      <c r="H279" s="23">
        <f>INSCRITOS_FORM!M279</f>
        <v/>
      </c>
      <c r="I279" s="23">
        <f>INSCRITOS_FORM!O279</f>
        <v/>
      </c>
      <c r="J279" s="23">
        <f>INSCRITOS_FORM!J279</f>
        <v/>
      </c>
      <c r="K279" s="23">
        <f>INSCRITOS_FORM!K279</f>
        <v/>
      </c>
      <c r="L279" s="23">
        <f>INSCRITOS_FORM!U279</f>
        <v/>
      </c>
      <c r="M279" s="23">
        <f>INSCRITOS_FORM!V279</f>
        <v/>
      </c>
      <c r="N279" s="23">
        <f>INSCRITOS_FORM!W279</f>
        <v/>
      </c>
      <c r="O279" s="23">
        <f>INSCRITOS_FORM!X279</f>
        <v/>
      </c>
      <c r="P279" s="23">
        <f>INSCRITOS_FORM!AB279</f>
        <v/>
      </c>
      <c r="Q279" s="23">
        <f>IF(B279="","",IF(AND(OR(P279="Pagado",P279="Beca",P279="Invitado"),OR(L279="Sí",M279="Sí")),"Sí","No"))</f>
        <v/>
      </c>
      <c r="R279" s="23">
        <f>IF(AND(C279=TORNEO_ACTIVO!$B$3,Q279="Sí"),G279*10000-A279,-1)</f>
        <v/>
      </c>
    </row>
    <row r="280" ht="14.25" customHeight="1" s="72">
      <c r="A280" s="23">
        <f>IF(INSCRITOS_FORM!D280&lt;&gt;"",ROW()-4,"")</f>
        <v/>
      </c>
      <c r="B280" s="23">
        <f>INSCRITOS_FORM!AD280</f>
        <v/>
      </c>
      <c r="C280" s="23">
        <f>INSCRITOS_FORM!T280</f>
        <v/>
      </c>
      <c r="D280" s="23">
        <f>INSCRITOS_FORM!S280</f>
        <v/>
      </c>
      <c r="E280" s="23">
        <f>INSCRITOS_FORM!G280</f>
        <v/>
      </c>
      <c r="F280" s="23">
        <f>INSCRITOS_FORM!L280</f>
        <v/>
      </c>
      <c r="G280" s="23">
        <f t="array" ref="G280">IFERROR(INDEX(CONFIG!$A$22:$A$35,MATCH(F280,CONFIG!$B$22:$B$35,0)),0)</f>
        <v/>
      </c>
      <c r="H280" s="23">
        <f>INSCRITOS_FORM!M280</f>
        <v/>
      </c>
      <c r="I280" s="23">
        <f>INSCRITOS_FORM!O280</f>
        <v/>
      </c>
      <c r="J280" s="23">
        <f>INSCRITOS_FORM!J280</f>
        <v/>
      </c>
      <c r="K280" s="23">
        <f>INSCRITOS_FORM!K280</f>
        <v/>
      </c>
      <c r="L280" s="23">
        <f>INSCRITOS_FORM!U280</f>
        <v/>
      </c>
      <c r="M280" s="23">
        <f>INSCRITOS_FORM!V280</f>
        <v/>
      </c>
      <c r="N280" s="23">
        <f>INSCRITOS_FORM!W280</f>
        <v/>
      </c>
      <c r="O280" s="23">
        <f>INSCRITOS_FORM!X280</f>
        <v/>
      </c>
      <c r="P280" s="23">
        <f>INSCRITOS_FORM!AB280</f>
        <v/>
      </c>
      <c r="Q280" s="23">
        <f>IF(B280="","",IF(AND(OR(P280="Pagado",P280="Beca",P280="Invitado"),OR(L280="Sí",M280="Sí")),"Sí","No"))</f>
        <v/>
      </c>
      <c r="R280" s="23">
        <f>IF(AND(C280=TORNEO_ACTIVO!$B$3,Q280="Sí"),G280*10000-A280,-1)</f>
        <v/>
      </c>
    </row>
    <row r="281" ht="14.25" customHeight="1" s="72">
      <c r="A281" s="23">
        <f>IF(INSCRITOS_FORM!D281&lt;&gt;"",ROW()-4,"")</f>
        <v/>
      </c>
      <c r="B281" s="23">
        <f>INSCRITOS_FORM!AD281</f>
        <v/>
      </c>
      <c r="C281" s="23">
        <f>INSCRITOS_FORM!T281</f>
        <v/>
      </c>
      <c r="D281" s="23">
        <f>INSCRITOS_FORM!S281</f>
        <v/>
      </c>
      <c r="E281" s="23">
        <f>INSCRITOS_FORM!G281</f>
        <v/>
      </c>
      <c r="F281" s="23">
        <f>INSCRITOS_FORM!L281</f>
        <v/>
      </c>
      <c r="G281" s="23">
        <f t="array" ref="G281">IFERROR(INDEX(CONFIG!$A$22:$A$35,MATCH(F281,CONFIG!$B$22:$B$35,0)),0)</f>
        <v/>
      </c>
      <c r="H281" s="23">
        <f>INSCRITOS_FORM!M281</f>
        <v/>
      </c>
      <c r="I281" s="23">
        <f>INSCRITOS_FORM!O281</f>
        <v/>
      </c>
      <c r="J281" s="23">
        <f>INSCRITOS_FORM!J281</f>
        <v/>
      </c>
      <c r="K281" s="23">
        <f>INSCRITOS_FORM!K281</f>
        <v/>
      </c>
      <c r="L281" s="23">
        <f>INSCRITOS_FORM!U281</f>
        <v/>
      </c>
      <c r="M281" s="23">
        <f>INSCRITOS_FORM!V281</f>
        <v/>
      </c>
      <c r="N281" s="23">
        <f>INSCRITOS_FORM!W281</f>
        <v/>
      </c>
      <c r="O281" s="23">
        <f>INSCRITOS_FORM!X281</f>
        <v/>
      </c>
      <c r="P281" s="23">
        <f>INSCRITOS_FORM!AB281</f>
        <v/>
      </c>
      <c r="Q281" s="23">
        <f>IF(B281="","",IF(AND(OR(P281="Pagado",P281="Beca",P281="Invitado"),OR(L281="Sí",M281="Sí")),"Sí","No"))</f>
        <v/>
      </c>
      <c r="R281" s="23">
        <f>IF(AND(C281=TORNEO_ACTIVO!$B$3,Q281="Sí"),G281*10000-A281,-1)</f>
        <v/>
      </c>
    </row>
    <row r="282" ht="14.25" customHeight="1" s="72">
      <c r="A282" s="23">
        <f>IF(INSCRITOS_FORM!D282&lt;&gt;"",ROW()-4,"")</f>
        <v/>
      </c>
      <c r="B282" s="23">
        <f>INSCRITOS_FORM!AD282</f>
        <v/>
      </c>
      <c r="C282" s="23">
        <f>INSCRITOS_FORM!T282</f>
        <v/>
      </c>
      <c r="D282" s="23">
        <f>INSCRITOS_FORM!S282</f>
        <v/>
      </c>
      <c r="E282" s="23">
        <f>INSCRITOS_FORM!G282</f>
        <v/>
      </c>
      <c r="F282" s="23">
        <f>INSCRITOS_FORM!L282</f>
        <v/>
      </c>
      <c r="G282" s="23">
        <f t="array" ref="G282">IFERROR(INDEX(CONFIG!$A$22:$A$35,MATCH(F282,CONFIG!$B$22:$B$35,0)),0)</f>
        <v/>
      </c>
      <c r="H282" s="23">
        <f>INSCRITOS_FORM!M282</f>
        <v/>
      </c>
      <c r="I282" s="23">
        <f>INSCRITOS_FORM!O282</f>
        <v/>
      </c>
      <c r="J282" s="23">
        <f>INSCRITOS_FORM!J282</f>
        <v/>
      </c>
      <c r="K282" s="23">
        <f>INSCRITOS_FORM!K282</f>
        <v/>
      </c>
      <c r="L282" s="23">
        <f>INSCRITOS_FORM!U282</f>
        <v/>
      </c>
      <c r="M282" s="23">
        <f>INSCRITOS_FORM!V282</f>
        <v/>
      </c>
      <c r="N282" s="23">
        <f>INSCRITOS_FORM!W282</f>
        <v/>
      </c>
      <c r="O282" s="23">
        <f>INSCRITOS_FORM!X282</f>
        <v/>
      </c>
      <c r="P282" s="23">
        <f>INSCRITOS_FORM!AB282</f>
        <v/>
      </c>
      <c r="Q282" s="23">
        <f>IF(B282="","",IF(AND(OR(P282="Pagado",P282="Beca",P282="Invitado"),OR(L282="Sí",M282="Sí")),"Sí","No"))</f>
        <v/>
      </c>
      <c r="R282" s="23">
        <f>IF(AND(C282=TORNEO_ACTIVO!$B$3,Q282="Sí"),G282*10000-A282,-1)</f>
        <v/>
      </c>
    </row>
    <row r="283" ht="14.25" customHeight="1" s="72">
      <c r="A283" s="23">
        <f>IF(INSCRITOS_FORM!D283&lt;&gt;"",ROW()-4,"")</f>
        <v/>
      </c>
      <c r="B283" s="23">
        <f>INSCRITOS_FORM!AD283</f>
        <v/>
      </c>
      <c r="C283" s="23">
        <f>INSCRITOS_FORM!T283</f>
        <v/>
      </c>
      <c r="D283" s="23">
        <f>INSCRITOS_FORM!S283</f>
        <v/>
      </c>
      <c r="E283" s="23">
        <f>INSCRITOS_FORM!G283</f>
        <v/>
      </c>
      <c r="F283" s="23">
        <f>INSCRITOS_FORM!L283</f>
        <v/>
      </c>
      <c r="G283" s="23">
        <f t="array" ref="G283">IFERROR(INDEX(CONFIG!$A$22:$A$35,MATCH(F283,CONFIG!$B$22:$B$35,0)),0)</f>
        <v/>
      </c>
      <c r="H283" s="23">
        <f>INSCRITOS_FORM!M283</f>
        <v/>
      </c>
      <c r="I283" s="23">
        <f>INSCRITOS_FORM!O283</f>
        <v/>
      </c>
      <c r="J283" s="23">
        <f>INSCRITOS_FORM!J283</f>
        <v/>
      </c>
      <c r="K283" s="23">
        <f>INSCRITOS_FORM!K283</f>
        <v/>
      </c>
      <c r="L283" s="23">
        <f>INSCRITOS_FORM!U283</f>
        <v/>
      </c>
      <c r="M283" s="23">
        <f>INSCRITOS_FORM!V283</f>
        <v/>
      </c>
      <c r="N283" s="23">
        <f>INSCRITOS_FORM!W283</f>
        <v/>
      </c>
      <c r="O283" s="23">
        <f>INSCRITOS_FORM!X283</f>
        <v/>
      </c>
      <c r="P283" s="23">
        <f>INSCRITOS_FORM!AB283</f>
        <v/>
      </c>
      <c r="Q283" s="23">
        <f>IF(B283="","",IF(AND(OR(P283="Pagado",P283="Beca",P283="Invitado"),OR(L283="Sí",M283="Sí")),"Sí","No"))</f>
        <v/>
      </c>
      <c r="R283" s="23">
        <f>IF(AND(C283=TORNEO_ACTIVO!$B$3,Q283="Sí"),G283*10000-A283,-1)</f>
        <v/>
      </c>
    </row>
    <row r="284" ht="14.25" customHeight="1" s="72">
      <c r="A284" s="23">
        <f>IF(INSCRITOS_FORM!D284&lt;&gt;"",ROW()-4,"")</f>
        <v/>
      </c>
      <c r="B284" s="23">
        <f>INSCRITOS_FORM!AD284</f>
        <v/>
      </c>
      <c r="C284" s="23">
        <f>INSCRITOS_FORM!T284</f>
        <v/>
      </c>
      <c r="D284" s="23">
        <f>INSCRITOS_FORM!S284</f>
        <v/>
      </c>
      <c r="E284" s="23">
        <f>INSCRITOS_FORM!G284</f>
        <v/>
      </c>
      <c r="F284" s="23">
        <f>INSCRITOS_FORM!L284</f>
        <v/>
      </c>
      <c r="G284" s="23">
        <f t="array" ref="G284">IFERROR(INDEX(CONFIG!$A$22:$A$35,MATCH(F284,CONFIG!$B$22:$B$35,0)),0)</f>
        <v/>
      </c>
      <c r="H284" s="23">
        <f>INSCRITOS_FORM!M284</f>
        <v/>
      </c>
      <c r="I284" s="23">
        <f>INSCRITOS_FORM!O284</f>
        <v/>
      </c>
      <c r="J284" s="23">
        <f>INSCRITOS_FORM!J284</f>
        <v/>
      </c>
      <c r="K284" s="23">
        <f>INSCRITOS_FORM!K284</f>
        <v/>
      </c>
      <c r="L284" s="23">
        <f>INSCRITOS_FORM!U284</f>
        <v/>
      </c>
      <c r="M284" s="23">
        <f>INSCRITOS_FORM!V284</f>
        <v/>
      </c>
      <c r="N284" s="23">
        <f>INSCRITOS_FORM!W284</f>
        <v/>
      </c>
      <c r="O284" s="23">
        <f>INSCRITOS_FORM!X284</f>
        <v/>
      </c>
      <c r="P284" s="23">
        <f>INSCRITOS_FORM!AB284</f>
        <v/>
      </c>
      <c r="Q284" s="23">
        <f>IF(B284="","",IF(AND(OR(P284="Pagado",P284="Beca",P284="Invitado"),OR(L284="Sí",M284="Sí")),"Sí","No"))</f>
        <v/>
      </c>
      <c r="R284" s="23">
        <f>IF(AND(C284=TORNEO_ACTIVO!$B$3,Q284="Sí"),G284*10000-A284,-1)</f>
        <v/>
      </c>
    </row>
    <row r="285" ht="14.25" customHeight="1" s="72">
      <c r="A285" s="23">
        <f>IF(INSCRITOS_FORM!D285&lt;&gt;"",ROW()-4,"")</f>
        <v/>
      </c>
      <c r="B285" s="23">
        <f>INSCRITOS_FORM!AD285</f>
        <v/>
      </c>
      <c r="C285" s="23">
        <f>INSCRITOS_FORM!T285</f>
        <v/>
      </c>
      <c r="D285" s="23">
        <f>INSCRITOS_FORM!S285</f>
        <v/>
      </c>
      <c r="E285" s="23">
        <f>INSCRITOS_FORM!G285</f>
        <v/>
      </c>
      <c r="F285" s="23">
        <f>INSCRITOS_FORM!L285</f>
        <v/>
      </c>
      <c r="G285" s="23">
        <f t="array" ref="G285">IFERROR(INDEX(CONFIG!$A$22:$A$35,MATCH(F285,CONFIG!$B$22:$B$35,0)),0)</f>
        <v/>
      </c>
      <c r="H285" s="23">
        <f>INSCRITOS_FORM!M285</f>
        <v/>
      </c>
      <c r="I285" s="23">
        <f>INSCRITOS_FORM!O285</f>
        <v/>
      </c>
      <c r="J285" s="23">
        <f>INSCRITOS_FORM!J285</f>
        <v/>
      </c>
      <c r="K285" s="23">
        <f>INSCRITOS_FORM!K285</f>
        <v/>
      </c>
      <c r="L285" s="23">
        <f>INSCRITOS_FORM!U285</f>
        <v/>
      </c>
      <c r="M285" s="23">
        <f>INSCRITOS_FORM!V285</f>
        <v/>
      </c>
      <c r="N285" s="23">
        <f>INSCRITOS_FORM!W285</f>
        <v/>
      </c>
      <c r="O285" s="23">
        <f>INSCRITOS_FORM!X285</f>
        <v/>
      </c>
      <c r="P285" s="23">
        <f>INSCRITOS_FORM!AB285</f>
        <v/>
      </c>
      <c r="Q285" s="23">
        <f>IF(B285="","",IF(AND(OR(P285="Pagado",P285="Beca",P285="Invitado"),OR(L285="Sí",M285="Sí")),"Sí","No"))</f>
        <v/>
      </c>
      <c r="R285" s="23">
        <f>IF(AND(C285=TORNEO_ACTIVO!$B$3,Q285="Sí"),G285*10000-A285,-1)</f>
        <v/>
      </c>
    </row>
    <row r="286" ht="14.25" customHeight="1" s="72">
      <c r="A286" s="23">
        <f>IF(INSCRITOS_FORM!D286&lt;&gt;"",ROW()-4,"")</f>
        <v/>
      </c>
      <c r="B286" s="23">
        <f>INSCRITOS_FORM!AD286</f>
        <v/>
      </c>
      <c r="C286" s="23">
        <f>INSCRITOS_FORM!T286</f>
        <v/>
      </c>
      <c r="D286" s="23">
        <f>INSCRITOS_FORM!S286</f>
        <v/>
      </c>
      <c r="E286" s="23">
        <f>INSCRITOS_FORM!G286</f>
        <v/>
      </c>
      <c r="F286" s="23">
        <f>INSCRITOS_FORM!L286</f>
        <v/>
      </c>
      <c r="G286" s="23">
        <f t="array" ref="G286">IFERROR(INDEX(CONFIG!$A$22:$A$35,MATCH(F286,CONFIG!$B$22:$B$35,0)),0)</f>
        <v/>
      </c>
      <c r="H286" s="23">
        <f>INSCRITOS_FORM!M286</f>
        <v/>
      </c>
      <c r="I286" s="23">
        <f>INSCRITOS_FORM!O286</f>
        <v/>
      </c>
      <c r="J286" s="23">
        <f>INSCRITOS_FORM!J286</f>
        <v/>
      </c>
      <c r="K286" s="23">
        <f>INSCRITOS_FORM!K286</f>
        <v/>
      </c>
      <c r="L286" s="23">
        <f>INSCRITOS_FORM!U286</f>
        <v/>
      </c>
      <c r="M286" s="23">
        <f>INSCRITOS_FORM!V286</f>
        <v/>
      </c>
      <c r="N286" s="23">
        <f>INSCRITOS_FORM!W286</f>
        <v/>
      </c>
      <c r="O286" s="23">
        <f>INSCRITOS_FORM!X286</f>
        <v/>
      </c>
      <c r="P286" s="23">
        <f>INSCRITOS_FORM!AB286</f>
        <v/>
      </c>
      <c r="Q286" s="23">
        <f>IF(B286="","",IF(AND(OR(P286="Pagado",P286="Beca",P286="Invitado"),OR(L286="Sí",M286="Sí")),"Sí","No"))</f>
        <v/>
      </c>
      <c r="R286" s="23">
        <f>IF(AND(C286=TORNEO_ACTIVO!$B$3,Q286="Sí"),G286*10000-A286,-1)</f>
        <v/>
      </c>
    </row>
    <row r="287" ht="14.25" customHeight="1" s="72">
      <c r="A287" s="23">
        <f>IF(INSCRITOS_FORM!D287&lt;&gt;"",ROW()-4,"")</f>
        <v/>
      </c>
      <c r="B287" s="23">
        <f>INSCRITOS_FORM!AD287</f>
        <v/>
      </c>
      <c r="C287" s="23">
        <f>INSCRITOS_FORM!T287</f>
        <v/>
      </c>
      <c r="D287" s="23">
        <f>INSCRITOS_FORM!S287</f>
        <v/>
      </c>
      <c r="E287" s="23">
        <f>INSCRITOS_FORM!G287</f>
        <v/>
      </c>
      <c r="F287" s="23">
        <f>INSCRITOS_FORM!L287</f>
        <v/>
      </c>
      <c r="G287" s="23">
        <f t="array" ref="G287">IFERROR(INDEX(CONFIG!$A$22:$A$35,MATCH(F287,CONFIG!$B$22:$B$35,0)),0)</f>
        <v/>
      </c>
      <c r="H287" s="23">
        <f>INSCRITOS_FORM!M287</f>
        <v/>
      </c>
      <c r="I287" s="23">
        <f>INSCRITOS_FORM!O287</f>
        <v/>
      </c>
      <c r="J287" s="23">
        <f>INSCRITOS_FORM!J287</f>
        <v/>
      </c>
      <c r="K287" s="23">
        <f>INSCRITOS_FORM!K287</f>
        <v/>
      </c>
      <c r="L287" s="23">
        <f>INSCRITOS_FORM!U287</f>
        <v/>
      </c>
      <c r="M287" s="23">
        <f>INSCRITOS_FORM!V287</f>
        <v/>
      </c>
      <c r="N287" s="23">
        <f>INSCRITOS_FORM!W287</f>
        <v/>
      </c>
      <c r="O287" s="23">
        <f>INSCRITOS_FORM!X287</f>
        <v/>
      </c>
      <c r="P287" s="23">
        <f>INSCRITOS_FORM!AB287</f>
        <v/>
      </c>
      <c r="Q287" s="23">
        <f>IF(B287="","",IF(AND(OR(P287="Pagado",P287="Beca",P287="Invitado"),OR(L287="Sí",M287="Sí")),"Sí","No"))</f>
        <v/>
      </c>
      <c r="R287" s="23">
        <f>IF(AND(C287=TORNEO_ACTIVO!$B$3,Q287="Sí"),G287*10000-A287,-1)</f>
        <v/>
      </c>
    </row>
    <row r="288" ht="14.25" customHeight="1" s="72">
      <c r="A288" s="23">
        <f>IF(INSCRITOS_FORM!D288&lt;&gt;"",ROW()-4,"")</f>
        <v/>
      </c>
      <c r="B288" s="23">
        <f>INSCRITOS_FORM!AD288</f>
        <v/>
      </c>
      <c r="C288" s="23">
        <f>INSCRITOS_FORM!T288</f>
        <v/>
      </c>
      <c r="D288" s="23">
        <f>INSCRITOS_FORM!S288</f>
        <v/>
      </c>
      <c r="E288" s="23">
        <f>INSCRITOS_FORM!G288</f>
        <v/>
      </c>
      <c r="F288" s="23">
        <f>INSCRITOS_FORM!L288</f>
        <v/>
      </c>
      <c r="G288" s="23">
        <f t="array" ref="G288">IFERROR(INDEX(CONFIG!$A$22:$A$35,MATCH(F288,CONFIG!$B$22:$B$35,0)),0)</f>
        <v/>
      </c>
      <c r="H288" s="23">
        <f>INSCRITOS_FORM!M288</f>
        <v/>
      </c>
      <c r="I288" s="23">
        <f>INSCRITOS_FORM!O288</f>
        <v/>
      </c>
      <c r="J288" s="23">
        <f>INSCRITOS_FORM!J288</f>
        <v/>
      </c>
      <c r="K288" s="23">
        <f>INSCRITOS_FORM!K288</f>
        <v/>
      </c>
      <c r="L288" s="23">
        <f>INSCRITOS_FORM!U288</f>
        <v/>
      </c>
      <c r="M288" s="23">
        <f>INSCRITOS_FORM!V288</f>
        <v/>
      </c>
      <c r="N288" s="23">
        <f>INSCRITOS_FORM!W288</f>
        <v/>
      </c>
      <c r="O288" s="23">
        <f>INSCRITOS_FORM!X288</f>
        <v/>
      </c>
      <c r="P288" s="23">
        <f>INSCRITOS_FORM!AB288</f>
        <v/>
      </c>
      <c r="Q288" s="23">
        <f>IF(B288="","",IF(AND(OR(P288="Pagado",P288="Beca",P288="Invitado"),OR(L288="Sí",M288="Sí")),"Sí","No"))</f>
        <v/>
      </c>
      <c r="R288" s="23">
        <f>IF(AND(C288=TORNEO_ACTIVO!$B$3,Q288="Sí"),G288*10000-A288,-1)</f>
        <v/>
      </c>
    </row>
    <row r="289" ht="14.25" customHeight="1" s="72">
      <c r="A289" s="23">
        <f>IF(INSCRITOS_FORM!D289&lt;&gt;"",ROW()-4,"")</f>
        <v/>
      </c>
      <c r="B289" s="23">
        <f>INSCRITOS_FORM!AD289</f>
        <v/>
      </c>
      <c r="C289" s="23">
        <f>INSCRITOS_FORM!T289</f>
        <v/>
      </c>
      <c r="D289" s="23">
        <f>INSCRITOS_FORM!S289</f>
        <v/>
      </c>
      <c r="E289" s="23">
        <f>INSCRITOS_FORM!G289</f>
        <v/>
      </c>
      <c r="F289" s="23">
        <f>INSCRITOS_FORM!L289</f>
        <v/>
      </c>
      <c r="G289" s="23">
        <f t="array" ref="G289">IFERROR(INDEX(CONFIG!$A$22:$A$35,MATCH(F289,CONFIG!$B$22:$B$35,0)),0)</f>
        <v/>
      </c>
      <c r="H289" s="23">
        <f>INSCRITOS_FORM!M289</f>
        <v/>
      </c>
      <c r="I289" s="23">
        <f>INSCRITOS_FORM!O289</f>
        <v/>
      </c>
      <c r="J289" s="23">
        <f>INSCRITOS_FORM!J289</f>
        <v/>
      </c>
      <c r="K289" s="23">
        <f>INSCRITOS_FORM!K289</f>
        <v/>
      </c>
      <c r="L289" s="23">
        <f>INSCRITOS_FORM!U289</f>
        <v/>
      </c>
      <c r="M289" s="23">
        <f>INSCRITOS_FORM!V289</f>
        <v/>
      </c>
      <c r="N289" s="23">
        <f>INSCRITOS_FORM!W289</f>
        <v/>
      </c>
      <c r="O289" s="23">
        <f>INSCRITOS_FORM!X289</f>
        <v/>
      </c>
      <c r="P289" s="23">
        <f>INSCRITOS_FORM!AB289</f>
        <v/>
      </c>
      <c r="Q289" s="23">
        <f>IF(B289="","",IF(AND(OR(P289="Pagado",P289="Beca",P289="Invitado"),OR(L289="Sí",M289="Sí")),"Sí","No"))</f>
        <v/>
      </c>
      <c r="R289" s="23">
        <f>IF(AND(C289=TORNEO_ACTIVO!$B$3,Q289="Sí"),G289*10000-A289,-1)</f>
        <v/>
      </c>
    </row>
    <row r="290" ht="14.25" customHeight="1" s="72">
      <c r="A290" s="23">
        <f>IF(INSCRITOS_FORM!D290&lt;&gt;"",ROW()-4,"")</f>
        <v/>
      </c>
      <c r="B290" s="23">
        <f>INSCRITOS_FORM!AD290</f>
        <v/>
      </c>
      <c r="C290" s="23">
        <f>INSCRITOS_FORM!T290</f>
        <v/>
      </c>
      <c r="D290" s="23">
        <f>INSCRITOS_FORM!S290</f>
        <v/>
      </c>
      <c r="E290" s="23">
        <f>INSCRITOS_FORM!G290</f>
        <v/>
      </c>
      <c r="F290" s="23">
        <f>INSCRITOS_FORM!L290</f>
        <v/>
      </c>
      <c r="G290" s="23">
        <f t="array" ref="G290">IFERROR(INDEX(CONFIG!$A$22:$A$35,MATCH(F290,CONFIG!$B$22:$B$35,0)),0)</f>
        <v/>
      </c>
      <c r="H290" s="23">
        <f>INSCRITOS_FORM!M290</f>
        <v/>
      </c>
      <c r="I290" s="23">
        <f>INSCRITOS_FORM!O290</f>
        <v/>
      </c>
      <c r="J290" s="23">
        <f>INSCRITOS_FORM!J290</f>
        <v/>
      </c>
      <c r="K290" s="23">
        <f>INSCRITOS_FORM!K290</f>
        <v/>
      </c>
      <c r="L290" s="23">
        <f>INSCRITOS_FORM!U290</f>
        <v/>
      </c>
      <c r="M290" s="23">
        <f>INSCRITOS_FORM!V290</f>
        <v/>
      </c>
      <c r="N290" s="23">
        <f>INSCRITOS_FORM!W290</f>
        <v/>
      </c>
      <c r="O290" s="23">
        <f>INSCRITOS_FORM!X290</f>
        <v/>
      </c>
      <c r="P290" s="23">
        <f>INSCRITOS_FORM!AB290</f>
        <v/>
      </c>
      <c r="Q290" s="23">
        <f>IF(B290="","",IF(AND(OR(P290="Pagado",P290="Beca",P290="Invitado"),OR(L290="Sí",M290="Sí")),"Sí","No"))</f>
        <v/>
      </c>
      <c r="R290" s="23">
        <f>IF(AND(C290=TORNEO_ACTIVO!$B$3,Q290="Sí"),G290*10000-A290,-1)</f>
        <v/>
      </c>
    </row>
    <row r="291" ht="14.25" customHeight="1" s="72">
      <c r="A291" s="23">
        <f>IF(INSCRITOS_FORM!D291&lt;&gt;"",ROW()-4,"")</f>
        <v/>
      </c>
      <c r="B291" s="23">
        <f>INSCRITOS_FORM!AD291</f>
        <v/>
      </c>
      <c r="C291" s="23">
        <f>INSCRITOS_FORM!T291</f>
        <v/>
      </c>
      <c r="D291" s="23">
        <f>INSCRITOS_FORM!S291</f>
        <v/>
      </c>
      <c r="E291" s="23">
        <f>INSCRITOS_FORM!G291</f>
        <v/>
      </c>
      <c r="F291" s="23">
        <f>INSCRITOS_FORM!L291</f>
        <v/>
      </c>
      <c r="G291" s="23">
        <f t="array" ref="G291">IFERROR(INDEX(CONFIG!$A$22:$A$35,MATCH(F291,CONFIG!$B$22:$B$35,0)),0)</f>
        <v/>
      </c>
      <c r="H291" s="23">
        <f>INSCRITOS_FORM!M291</f>
        <v/>
      </c>
      <c r="I291" s="23">
        <f>INSCRITOS_FORM!O291</f>
        <v/>
      </c>
      <c r="J291" s="23">
        <f>INSCRITOS_FORM!J291</f>
        <v/>
      </c>
      <c r="K291" s="23">
        <f>INSCRITOS_FORM!K291</f>
        <v/>
      </c>
      <c r="L291" s="23">
        <f>INSCRITOS_FORM!U291</f>
        <v/>
      </c>
      <c r="M291" s="23">
        <f>INSCRITOS_FORM!V291</f>
        <v/>
      </c>
      <c r="N291" s="23">
        <f>INSCRITOS_FORM!W291</f>
        <v/>
      </c>
      <c r="O291" s="23">
        <f>INSCRITOS_FORM!X291</f>
        <v/>
      </c>
      <c r="P291" s="23">
        <f>INSCRITOS_FORM!AB291</f>
        <v/>
      </c>
      <c r="Q291" s="23">
        <f>IF(B291="","",IF(AND(OR(P291="Pagado",P291="Beca",P291="Invitado"),OR(L291="Sí",M291="Sí")),"Sí","No"))</f>
        <v/>
      </c>
      <c r="R291" s="23">
        <f>IF(AND(C291=TORNEO_ACTIVO!$B$3,Q291="Sí"),G291*10000-A291,-1)</f>
        <v/>
      </c>
    </row>
    <row r="292" ht="14.25" customHeight="1" s="72">
      <c r="A292" s="23">
        <f>IF(INSCRITOS_FORM!D292&lt;&gt;"",ROW()-4,"")</f>
        <v/>
      </c>
      <c r="B292" s="23">
        <f>INSCRITOS_FORM!AD292</f>
        <v/>
      </c>
      <c r="C292" s="23">
        <f>INSCRITOS_FORM!T292</f>
        <v/>
      </c>
      <c r="D292" s="23">
        <f>INSCRITOS_FORM!S292</f>
        <v/>
      </c>
      <c r="E292" s="23">
        <f>INSCRITOS_FORM!G292</f>
        <v/>
      </c>
      <c r="F292" s="23">
        <f>INSCRITOS_FORM!L292</f>
        <v/>
      </c>
      <c r="G292" s="23">
        <f t="array" ref="G292">IFERROR(INDEX(CONFIG!$A$22:$A$35,MATCH(F292,CONFIG!$B$22:$B$35,0)),0)</f>
        <v/>
      </c>
      <c r="H292" s="23">
        <f>INSCRITOS_FORM!M292</f>
        <v/>
      </c>
      <c r="I292" s="23">
        <f>INSCRITOS_FORM!O292</f>
        <v/>
      </c>
      <c r="J292" s="23">
        <f>INSCRITOS_FORM!J292</f>
        <v/>
      </c>
      <c r="K292" s="23">
        <f>INSCRITOS_FORM!K292</f>
        <v/>
      </c>
      <c r="L292" s="23">
        <f>INSCRITOS_FORM!U292</f>
        <v/>
      </c>
      <c r="M292" s="23">
        <f>INSCRITOS_FORM!V292</f>
        <v/>
      </c>
      <c r="N292" s="23">
        <f>INSCRITOS_FORM!W292</f>
        <v/>
      </c>
      <c r="O292" s="23">
        <f>INSCRITOS_FORM!X292</f>
        <v/>
      </c>
      <c r="P292" s="23">
        <f>INSCRITOS_FORM!AB292</f>
        <v/>
      </c>
      <c r="Q292" s="23">
        <f>IF(B292="","",IF(AND(OR(P292="Pagado",P292="Beca",P292="Invitado"),OR(L292="Sí",M292="Sí")),"Sí","No"))</f>
        <v/>
      </c>
      <c r="R292" s="23">
        <f>IF(AND(C292=TORNEO_ACTIVO!$B$3,Q292="Sí"),G292*10000-A292,-1)</f>
        <v/>
      </c>
    </row>
    <row r="293" ht="14.25" customHeight="1" s="72">
      <c r="A293" s="23">
        <f>IF(INSCRITOS_FORM!D293&lt;&gt;"",ROW()-4,"")</f>
        <v/>
      </c>
      <c r="B293" s="23">
        <f>INSCRITOS_FORM!AD293</f>
        <v/>
      </c>
      <c r="C293" s="23">
        <f>INSCRITOS_FORM!T293</f>
        <v/>
      </c>
      <c r="D293" s="23">
        <f>INSCRITOS_FORM!S293</f>
        <v/>
      </c>
      <c r="E293" s="23">
        <f>INSCRITOS_FORM!G293</f>
        <v/>
      </c>
      <c r="F293" s="23">
        <f>INSCRITOS_FORM!L293</f>
        <v/>
      </c>
      <c r="G293" s="23">
        <f t="array" ref="G293">IFERROR(INDEX(CONFIG!$A$22:$A$35,MATCH(F293,CONFIG!$B$22:$B$35,0)),0)</f>
        <v/>
      </c>
      <c r="H293" s="23">
        <f>INSCRITOS_FORM!M293</f>
        <v/>
      </c>
      <c r="I293" s="23">
        <f>INSCRITOS_FORM!O293</f>
        <v/>
      </c>
      <c r="J293" s="23">
        <f>INSCRITOS_FORM!J293</f>
        <v/>
      </c>
      <c r="K293" s="23">
        <f>INSCRITOS_FORM!K293</f>
        <v/>
      </c>
      <c r="L293" s="23">
        <f>INSCRITOS_FORM!U293</f>
        <v/>
      </c>
      <c r="M293" s="23">
        <f>INSCRITOS_FORM!V293</f>
        <v/>
      </c>
      <c r="N293" s="23">
        <f>INSCRITOS_FORM!W293</f>
        <v/>
      </c>
      <c r="O293" s="23">
        <f>INSCRITOS_FORM!X293</f>
        <v/>
      </c>
      <c r="P293" s="23">
        <f>INSCRITOS_FORM!AB293</f>
        <v/>
      </c>
      <c r="Q293" s="23">
        <f>IF(B293="","",IF(AND(OR(P293="Pagado",P293="Beca",P293="Invitado"),OR(L293="Sí",M293="Sí")),"Sí","No"))</f>
        <v/>
      </c>
      <c r="R293" s="23">
        <f>IF(AND(C293=TORNEO_ACTIVO!$B$3,Q293="Sí"),G293*10000-A293,-1)</f>
        <v/>
      </c>
    </row>
    <row r="294" ht="14.25" customHeight="1" s="72">
      <c r="A294" s="23">
        <f>IF(INSCRITOS_FORM!D294&lt;&gt;"",ROW()-4,"")</f>
        <v/>
      </c>
      <c r="B294" s="23">
        <f>INSCRITOS_FORM!AD294</f>
        <v/>
      </c>
      <c r="C294" s="23">
        <f>INSCRITOS_FORM!T294</f>
        <v/>
      </c>
      <c r="D294" s="23">
        <f>INSCRITOS_FORM!S294</f>
        <v/>
      </c>
      <c r="E294" s="23">
        <f>INSCRITOS_FORM!G294</f>
        <v/>
      </c>
      <c r="F294" s="23">
        <f>INSCRITOS_FORM!L294</f>
        <v/>
      </c>
      <c r="G294" s="23">
        <f t="array" ref="G294">IFERROR(INDEX(CONFIG!$A$22:$A$35,MATCH(F294,CONFIG!$B$22:$B$35,0)),0)</f>
        <v/>
      </c>
      <c r="H294" s="23">
        <f>INSCRITOS_FORM!M294</f>
        <v/>
      </c>
      <c r="I294" s="23">
        <f>INSCRITOS_FORM!O294</f>
        <v/>
      </c>
      <c r="J294" s="23">
        <f>INSCRITOS_FORM!J294</f>
        <v/>
      </c>
      <c r="K294" s="23">
        <f>INSCRITOS_FORM!K294</f>
        <v/>
      </c>
      <c r="L294" s="23">
        <f>INSCRITOS_FORM!U294</f>
        <v/>
      </c>
      <c r="M294" s="23">
        <f>INSCRITOS_FORM!V294</f>
        <v/>
      </c>
      <c r="N294" s="23">
        <f>INSCRITOS_FORM!W294</f>
        <v/>
      </c>
      <c r="O294" s="23">
        <f>INSCRITOS_FORM!X294</f>
        <v/>
      </c>
      <c r="P294" s="23">
        <f>INSCRITOS_FORM!AB294</f>
        <v/>
      </c>
      <c r="Q294" s="23">
        <f>IF(B294="","",IF(AND(OR(P294="Pagado",P294="Beca",P294="Invitado"),OR(L294="Sí",M294="Sí")),"Sí","No"))</f>
        <v/>
      </c>
      <c r="R294" s="23">
        <f>IF(AND(C294=TORNEO_ACTIVO!$B$3,Q294="Sí"),G294*10000-A294,-1)</f>
        <v/>
      </c>
    </row>
    <row r="295" ht="14.25" customHeight="1" s="72">
      <c r="A295" s="23">
        <f>IF(INSCRITOS_FORM!D295&lt;&gt;"",ROW()-4,"")</f>
        <v/>
      </c>
      <c r="B295" s="23">
        <f>INSCRITOS_FORM!AD295</f>
        <v/>
      </c>
      <c r="C295" s="23">
        <f>INSCRITOS_FORM!T295</f>
        <v/>
      </c>
      <c r="D295" s="23">
        <f>INSCRITOS_FORM!S295</f>
        <v/>
      </c>
      <c r="E295" s="23">
        <f>INSCRITOS_FORM!G295</f>
        <v/>
      </c>
      <c r="F295" s="23">
        <f>INSCRITOS_FORM!L295</f>
        <v/>
      </c>
      <c r="G295" s="23">
        <f t="array" ref="G295">IFERROR(INDEX(CONFIG!$A$22:$A$35,MATCH(F295,CONFIG!$B$22:$B$35,0)),0)</f>
        <v/>
      </c>
      <c r="H295" s="23">
        <f>INSCRITOS_FORM!M295</f>
        <v/>
      </c>
      <c r="I295" s="23">
        <f>INSCRITOS_FORM!O295</f>
        <v/>
      </c>
      <c r="J295" s="23">
        <f>INSCRITOS_FORM!J295</f>
        <v/>
      </c>
      <c r="K295" s="23">
        <f>INSCRITOS_FORM!K295</f>
        <v/>
      </c>
      <c r="L295" s="23">
        <f>INSCRITOS_FORM!U295</f>
        <v/>
      </c>
      <c r="M295" s="23">
        <f>INSCRITOS_FORM!V295</f>
        <v/>
      </c>
      <c r="N295" s="23">
        <f>INSCRITOS_FORM!W295</f>
        <v/>
      </c>
      <c r="O295" s="23">
        <f>INSCRITOS_FORM!X295</f>
        <v/>
      </c>
      <c r="P295" s="23">
        <f>INSCRITOS_FORM!AB295</f>
        <v/>
      </c>
      <c r="Q295" s="23">
        <f>IF(B295="","",IF(AND(OR(P295="Pagado",P295="Beca",P295="Invitado"),OR(L295="Sí",M295="Sí")),"Sí","No"))</f>
        <v/>
      </c>
      <c r="R295" s="23">
        <f>IF(AND(C295=TORNEO_ACTIVO!$B$3,Q295="Sí"),G295*10000-A295,-1)</f>
        <v/>
      </c>
    </row>
    <row r="296" ht="14.25" customHeight="1" s="72">
      <c r="A296" s="23">
        <f>IF(INSCRITOS_FORM!D296&lt;&gt;"",ROW()-4,"")</f>
        <v/>
      </c>
      <c r="B296" s="23">
        <f>INSCRITOS_FORM!AD296</f>
        <v/>
      </c>
      <c r="C296" s="23">
        <f>INSCRITOS_FORM!T296</f>
        <v/>
      </c>
      <c r="D296" s="23">
        <f>INSCRITOS_FORM!S296</f>
        <v/>
      </c>
      <c r="E296" s="23">
        <f>INSCRITOS_FORM!G296</f>
        <v/>
      </c>
      <c r="F296" s="23">
        <f>INSCRITOS_FORM!L296</f>
        <v/>
      </c>
      <c r="G296" s="23">
        <f t="array" ref="G296">IFERROR(INDEX(CONFIG!$A$22:$A$35,MATCH(F296,CONFIG!$B$22:$B$35,0)),0)</f>
        <v/>
      </c>
      <c r="H296" s="23">
        <f>INSCRITOS_FORM!M296</f>
        <v/>
      </c>
      <c r="I296" s="23">
        <f>INSCRITOS_FORM!O296</f>
        <v/>
      </c>
      <c r="J296" s="23">
        <f>INSCRITOS_FORM!J296</f>
        <v/>
      </c>
      <c r="K296" s="23">
        <f>INSCRITOS_FORM!K296</f>
        <v/>
      </c>
      <c r="L296" s="23">
        <f>INSCRITOS_FORM!U296</f>
        <v/>
      </c>
      <c r="M296" s="23">
        <f>INSCRITOS_FORM!V296</f>
        <v/>
      </c>
      <c r="N296" s="23">
        <f>INSCRITOS_FORM!W296</f>
        <v/>
      </c>
      <c r="O296" s="23">
        <f>INSCRITOS_FORM!X296</f>
        <v/>
      </c>
      <c r="P296" s="23">
        <f>INSCRITOS_FORM!AB296</f>
        <v/>
      </c>
      <c r="Q296" s="23">
        <f>IF(B296="","",IF(AND(OR(P296="Pagado",P296="Beca",P296="Invitado"),OR(L296="Sí",M296="Sí")),"Sí","No"))</f>
        <v/>
      </c>
      <c r="R296" s="23">
        <f>IF(AND(C296=TORNEO_ACTIVO!$B$3,Q296="Sí"),G296*10000-A296,-1)</f>
        <v/>
      </c>
    </row>
    <row r="297" ht="14.25" customHeight="1" s="72">
      <c r="A297" s="23">
        <f>IF(INSCRITOS_FORM!D297&lt;&gt;"",ROW()-4,"")</f>
        <v/>
      </c>
      <c r="B297" s="23">
        <f>INSCRITOS_FORM!AD297</f>
        <v/>
      </c>
      <c r="C297" s="23">
        <f>INSCRITOS_FORM!T297</f>
        <v/>
      </c>
      <c r="D297" s="23">
        <f>INSCRITOS_FORM!S297</f>
        <v/>
      </c>
      <c r="E297" s="23">
        <f>INSCRITOS_FORM!G297</f>
        <v/>
      </c>
      <c r="F297" s="23">
        <f>INSCRITOS_FORM!L297</f>
        <v/>
      </c>
      <c r="G297" s="23">
        <f t="array" ref="G297">IFERROR(INDEX(CONFIG!$A$22:$A$35,MATCH(F297,CONFIG!$B$22:$B$35,0)),0)</f>
        <v/>
      </c>
      <c r="H297" s="23">
        <f>INSCRITOS_FORM!M297</f>
        <v/>
      </c>
      <c r="I297" s="23">
        <f>INSCRITOS_FORM!O297</f>
        <v/>
      </c>
      <c r="J297" s="23">
        <f>INSCRITOS_FORM!J297</f>
        <v/>
      </c>
      <c r="K297" s="23">
        <f>INSCRITOS_FORM!K297</f>
        <v/>
      </c>
      <c r="L297" s="23">
        <f>INSCRITOS_FORM!U297</f>
        <v/>
      </c>
      <c r="M297" s="23">
        <f>INSCRITOS_FORM!V297</f>
        <v/>
      </c>
      <c r="N297" s="23">
        <f>INSCRITOS_FORM!W297</f>
        <v/>
      </c>
      <c r="O297" s="23">
        <f>INSCRITOS_FORM!X297</f>
        <v/>
      </c>
      <c r="P297" s="23">
        <f>INSCRITOS_FORM!AB297</f>
        <v/>
      </c>
      <c r="Q297" s="23">
        <f>IF(B297="","",IF(AND(OR(P297="Pagado",P297="Beca",P297="Invitado"),OR(L297="Sí",M297="Sí")),"Sí","No"))</f>
        <v/>
      </c>
      <c r="R297" s="23">
        <f>IF(AND(C297=TORNEO_ACTIVO!$B$3,Q297="Sí"),G297*10000-A297,-1)</f>
        <v/>
      </c>
    </row>
    <row r="298" ht="14.25" customHeight="1" s="72">
      <c r="A298" s="23">
        <f>IF(INSCRITOS_FORM!D298&lt;&gt;"",ROW()-4,"")</f>
        <v/>
      </c>
      <c r="B298" s="23">
        <f>INSCRITOS_FORM!AD298</f>
        <v/>
      </c>
      <c r="C298" s="23">
        <f>INSCRITOS_FORM!T298</f>
        <v/>
      </c>
      <c r="D298" s="23">
        <f>INSCRITOS_FORM!S298</f>
        <v/>
      </c>
      <c r="E298" s="23">
        <f>INSCRITOS_FORM!G298</f>
        <v/>
      </c>
      <c r="F298" s="23">
        <f>INSCRITOS_FORM!L298</f>
        <v/>
      </c>
      <c r="G298" s="23">
        <f t="array" ref="G298">IFERROR(INDEX(CONFIG!$A$22:$A$35,MATCH(F298,CONFIG!$B$22:$B$35,0)),0)</f>
        <v/>
      </c>
      <c r="H298" s="23">
        <f>INSCRITOS_FORM!M298</f>
        <v/>
      </c>
      <c r="I298" s="23">
        <f>INSCRITOS_FORM!O298</f>
        <v/>
      </c>
      <c r="J298" s="23">
        <f>INSCRITOS_FORM!J298</f>
        <v/>
      </c>
      <c r="K298" s="23">
        <f>INSCRITOS_FORM!K298</f>
        <v/>
      </c>
      <c r="L298" s="23">
        <f>INSCRITOS_FORM!U298</f>
        <v/>
      </c>
      <c r="M298" s="23">
        <f>INSCRITOS_FORM!V298</f>
        <v/>
      </c>
      <c r="N298" s="23">
        <f>INSCRITOS_FORM!W298</f>
        <v/>
      </c>
      <c r="O298" s="23">
        <f>INSCRITOS_FORM!X298</f>
        <v/>
      </c>
      <c r="P298" s="23">
        <f>INSCRITOS_FORM!AB298</f>
        <v/>
      </c>
      <c r="Q298" s="23">
        <f>IF(B298="","",IF(AND(OR(P298="Pagado",P298="Beca",P298="Invitado"),OR(L298="Sí",M298="Sí")),"Sí","No"))</f>
        <v/>
      </c>
      <c r="R298" s="23">
        <f>IF(AND(C298=TORNEO_ACTIVO!$B$3,Q298="Sí"),G298*10000-A298,-1)</f>
        <v/>
      </c>
    </row>
    <row r="299" ht="14.25" customHeight="1" s="72">
      <c r="A299" s="23">
        <f>IF(INSCRITOS_FORM!D299&lt;&gt;"",ROW()-4,"")</f>
        <v/>
      </c>
      <c r="B299" s="23">
        <f>INSCRITOS_FORM!AD299</f>
        <v/>
      </c>
      <c r="C299" s="23">
        <f>INSCRITOS_FORM!T299</f>
        <v/>
      </c>
      <c r="D299" s="23">
        <f>INSCRITOS_FORM!S299</f>
        <v/>
      </c>
      <c r="E299" s="23">
        <f>INSCRITOS_FORM!G299</f>
        <v/>
      </c>
      <c r="F299" s="23">
        <f>INSCRITOS_FORM!L299</f>
        <v/>
      </c>
      <c r="G299" s="23">
        <f t="array" ref="G299">IFERROR(INDEX(CONFIG!$A$22:$A$35,MATCH(F299,CONFIG!$B$22:$B$35,0)),0)</f>
        <v/>
      </c>
      <c r="H299" s="23">
        <f>INSCRITOS_FORM!M299</f>
        <v/>
      </c>
      <c r="I299" s="23">
        <f>INSCRITOS_FORM!O299</f>
        <v/>
      </c>
      <c r="J299" s="23">
        <f>INSCRITOS_FORM!J299</f>
        <v/>
      </c>
      <c r="K299" s="23">
        <f>INSCRITOS_FORM!K299</f>
        <v/>
      </c>
      <c r="L299" s="23">
        <f>INSCRITOS_FORM!U299</f>
        <v/>
      </c>
      <c r="M299" s="23">
        <f>INSCRITOS_FORM!V299</f>
        <v/>
      </c>
      <c r="N299" s="23">
        <f>INSCRITOS_FORM!W299</f>
        <v/>
      </c>
      <c r="O299" s="23">
        <f>INSCRITOS_FORM!X299</f>
        <v/>
      </c>
      <c r="P299" s="23">
        <f>INSCRITOS_FORM!AB299</f>
        <v/>
      </c>
      <c r="Q299" s="23">
        <f>IF(B299="","",IF(AND(OR(P299="Pagado",P299="Beca",P299="Invitado"),OR(L299="Sí",M299="Sí")),"Sí","No"))</f>
        <v/>
      </c>
      <c r="R299" s="23">
        <f>IF(AND(C299=TORNEO_ACTIVO!$B$3,Q299="Sí"),G299*10000-A299,-1)</f>
        <v/>
      </c>
    </row>
    <row r="300" ht="14.25" customHeight="1" s="72">
      <c r="A300" s="23">
        <f>IF(INSCRITOS_FORM!D300&lt;&gt;"",ROW()-4,"")</f>
        <v/>
      </c>
      <c r="B300" s="23">
        <f>INSCRITOS_FORM!AD300</f>
        <v/>
      </c>
      <c r="C300" s="23">
        <f>INSCRITOS_FORM!T300</f>
        <v/>
      </c>
      <c r="D300" s="23">
        <f>INSCRITOS_FORM!S300</f>
        <v/>
      </c>
      <c r="E300" s="23">
        <f>INSCRITOS_FORM!G300</f>
        <v/>
      </c>
      <c r="F300" s="23">
        <f>INSCRITOS_FORM!L300</f>
        <v/>
      </c>
      <c r="G300" s="23">
        <f t="array" ref="G300">IFERROR(INDEX(CONFIG!$A$22:$A$35,MATCH(F300,CONFIG!$B$22:$B$35,0)),0)</f>
        <v/>
      </c>
      <c r="H300" s="23">
        <f>INSCRITOS_FORM!M300</f>
        <v/>
      </c>
      <c r="I300" s="23">
        <f>INSCRITOS_FORM!O300</f>
        <v/>
      </c>
      <c r="J300" s="23">
        <f>INSCRITOS_FORM!J300</f>
        <v/>
      </c>
      <c r="K300" s="23">
        <f>INSCRITOS_FORM!K300</f>
        <v/>
      </c>
      <c r="L300" s="23">
        <f>INSCRITOS_FORM!U300</f>
        <v/>
      </c>
      <c r="M300" s="23">
        <f>INSCRITOS_FORM!V300</f>
        <v/>
      </c>
      <c r="N300" s="23">
        <f>INSCRITOS_FORM!W300</f>
        <v/>
      </c>
      <c r="O300" s="23">
        <f>INSCRITOS_FORM!X300</f>
        <v/>
      </c>
      <c r="P300" s="23">
        <f>INSCRITOS_FORM!AB300</f>
        <v/>
      </c>
      <c r="Q300" s="23">
        <f>IF(B300="","",IF(AND(OR(P300="Pagado",P300="Beca",P300="Invitado"),OR(L300="Sí",M300="Sí")),"Sí","No"))</f>
        <v/>
      </c>
      <c r="R300" s="23">
        <f>IF(AND(C300=TORNEO_ACTIVO!$B$3,Q300="Sí"),G300*10000-A300,-1)</f>
        <v/>
      </c>
    </row>
    <row r="301" ht="14.25" customHeight="1" s="72">
      <c r="A301" s="23">
        <f>IF(INSCRITOS_FORM!D301&lt;&gt;"",ROW()-4,"")</f>
        <v/>
      </c>
      <c r="B301" s="23">
        <f>INSCRITOS_FORM!AD301</f>
        <v/>
      </c>
      <c r="C301" s="23">
        <f>INSCRITOS_FORM!T301</f>
        <v/>
      </c>
      <c r="D301" s="23">
        <f>INSCRITOS_FORM!S301</f>
        <v/>
      </c>
      <c r="E301" s="23">
        <f>INSCRITOS_FORM!G301</f>
        <v/>
      </c>
      <c r="F301" s="23">
        <f>INSCRITOS_FORM!L301</f>
        <v/>
      </c>
      <c r="G301" s="23">
        <f t="array" ref="G301">IFERROR(INDEX(CONFIG!$A$22:$A$35,MATCH(F301,CONFIG!$B$22:$B$35,0)),0)</f>
        <v/>
      </c>
      <c r="H301" s="23">
        <f>INSCRITOS_FORM!M301</f>
        <v/>
      </c>
      <c r="I301" s="23">
        <f>INSCRITOS_FORM!O301</f>
        <v/>
      </c>
      <c r="J301" s="23">
        <f>INSCRITOS_FORM!J301</f>
        <v/>
      </c>
      <c r="K301" s="23">
        <f>INSCRITOS_FORM!K301</f>
        <v/>
      </c>
      <c r="L301" s="23">
        <f>INSCRITOS_FORM!U301</f>
        <v/>
      </c>
      <c r="M301" s="23">
        <f>INSCRITOS_FORM!V301</f>
        <v/>
      </c>
      <c r="N301" s="23">
        <f>INSCRITOS_FORM!W301</f>
        <v/>
      </c>
      <c r="O301" s="23">
        <f>INSCRITOS_FORM!X301</f>
        <v/>
      </c>
      <c r="P301" s="23">
        <f>INSCRITOS_FORM!AB301</f>
        <v/>
      </c>
      <c r="Q301" s="23">
        <f>IF(B301="","",IF(AND(OR(P301="Pagado",P301="Beca",P301="Invitado"),OR(L301="Sí",M301="Sí")),"Sí","No"))</f>
        <v/>
      </c>
      <c r="R301" s="23">
        <f>IF(AND(C301=TORNEO_ACTIVO!$B$3,Q301="Sí"),G301*10000-A301,-1)</f>
        <v/>
      </c>
    </row>
    <row r="302" ht="14.25" customHeight="1" s="72">
      <c r="A302" s="23">
        <f>IF(INSCRITOS_FORM!D302&lt;&gt;"",ROW()-4,"")</f>
        <v/>
      </c>
      <c r="B302" s="23">
        <f>INSCRITOS_FORM!AD302</f>
        <v/>
      </c>
      <c r="C302" s="23">
        <f>INSCRITOS_FORM!T302</f>
        <v/>
      </c>
      <c r="D302" s="23">
        <f>INSCRITOS_FORM!S302</f>
        <v/>
      </c>
      <c r="E302" s="23">
        <f>INSCRITOS_FORM!G302</f>
        <v/>
      </c>
      <c r="F302" s="23">
        <f>INSCRITOS_FORM!L302</f>
        <v/>
      </c>
      <c r="G302" s="23">
        <f t="array" ref="G302">IFERROR(INDEX(CONFIG!$A$22:$A$35,MATCH(F302,CONFIG!$B$22:$B$35,0)),0)</f>
        <v/>
      </c>
      <c r="H302" s="23">
        <f>INSCRITOS_FORM!M302</f>
        <v/>
      </c>
      <c r="I302" s="23">
        <f>INSCRITOS_FORM!O302</f>
        <v/>
      </c>
      <c r="J302" s="23">
        <f>INSCRITOS_FORM!J302</f>
        <v/>
      </c>
      <c r="K302" s="23">
        <f>INSCRITOS_FORM!K302</f>
        <v/>
      </c>
      <c r="L302" s="23">
        <f>INSCRITOS_FORM!U302</f>
        <v/>
      </c>
      <c r="M302" s="23">
        <f>INSCRITOS_FORM!V302</f>
        <v/>
      </c>
      <c r="N302" s="23">
        <f>INSCRITOS_FORM!W302</f>
        <v/>
      </c>
      <c r="O302" s="23">
        <f>INSCRITOS_FORM!X302</f>
        <v/>
      </c>
      <c r="P302" s="23">
        <f>INSCRITOS_FORM!AB302</f>
        <v/>
      </c>
      <c r="Q302" s="23">
        <f>IF(B302="","",IF(AND(OR(P302="Pagado",P302="Beca",P302="Invitado"),OR(L302="Sí",M302="Sí")),"Sí","No"))</f>
        <v/>
      </c>
      <c r="R302" s="23">
        <f>IF(AND(C302=TORNEO_ACTIVO!$B$3,Q302="Sí"),G302*10000-A302,-1)</f>
        <v/>
      </c>
    </row>
    <row r="303" ht="14.25" customHeight="1" s="72">
      <c r="A303" s="23">
        <f>IF(INSCRITOS_FORM!D303&lt;&gt;"",ROW()-4,"")</f>
        <v/>
      </c>
      <c r="B303" s="23">
        <f>INSCRITOS_FORM!AD303</f>
        <v/>
      </c>
      <c r="C303" s="23">
        <f>INSCRITOS_FORM!T303</f>
        <v/>
      </c>
      <c r="D303" s="23">
        <f>INSCRITOS_FORM!S303</f>
        <v/>
      </c>
      <c r="E303" s="23">
        <f>INSCRITOS_FORM!G303</f>
        <v/>
      </c>
      <c r="F303" s="23">
        <f>INSCRITOS_FORM!L303</f>
        <v/>
      </c>
      <c r="G303" s="23">
        <f t="array" ref="G303">IFERROR(INDEX(CONFIG!$A$22:$A$35,MATCH(F303,CONFIG!$B$22:$B$35,0)),0)</f>
        <v/>
      </c>
      <c r="H303" s="23">
        <f>INSCRITOS_FORM!M303</f>
        <v/>
      </c>
      <c r="I303" s="23">
        <f>INSCRITOS_FORM!O303</f>
        <v/>
      </c>
      <c r="J303" s="23">
        <f>INSCRITOS_FORM!J303</f>
        <v/>
      </c>
      <c r="K303" s="23">
        <f>INSCRITOS_FORM!K303</f>
        <v/>
      </c>
      <c r="L303" s="23">
        <f>INSCRITOS_FORM!U303</f>
        <v/>
      </c>
      <c r="M303" s="23">
        <f>INSCRITOS_FORM!V303</f>
        <v/>
      </c>
      <c r="N303" s="23">
        <f>INSCRITOS_FORM!W303</f>
        <v/>
      </c>
      <c r="O303" s="23">
        <f>INSCRITOS_FORM!X303</f>
        <v/>
      </c>
      <c r="P303" s="23">
        <f>INSCRITOS_FORM!AB303</f>
        <v/>
      </c>
      <c r="Q303" s="23">
        <f>IF(B303="","",IF(AND(OR(P303="Pagado",P303="Beca",P303="Invitado"),OR(L303="Sí",M303="Sí")),"Sí","No"))</f>
        <v/>
      </c>
      <c r="R303" s="23">
        <f>IF(AND(C303=TORNEO_ACTIVO!$B$3,Q303="Sí"),G303*10000-A303,-1)</f>
        <v/>
      </c>
    </row>
    <row r="304" ht="14.25" customHeight="1" s="72">
      <c r="A304" s="23">
        <f>IF(INSCRITOS_FORM!D304&lt;&gt;"",ROW()-4,"")</f>
        <v/>
      </c>
      <c r="B304" s="23">
        <f>INSCRITOS_FORM!AD304</f>
        <v/>
      </c>
      <c r="C304" s="23">
        <f>INSCRITOS_FORM!T304</f>
        <v/>
      </c>
      <c r="D304" s="23">
        <f>INSCRITOS_FORM!S304</f>
        <v/>
      </c>
      <c r="E304" s="23">
        <f>INSCRITOS_FORM!G304</f>
        <v/>
      </c>
      <c r="F304" s="23">
        <f>INSCRITOS_FORM!L304</f>
        <v/>
      </c>
      <c r="G304" s="23">
        <f t="array" ref="G304">IFERROR(INDEX(CONFIG!$A$22:$A$35,MATCH(F304,CONFIG!$B$22:$B$35,0)),0)</f>
        <v/>
      </c>
      <c r="H304" s="23">
        <f>INSCRITOS_FORM!M304</f>
        <v/>
      </c>
      <c r="I304" s="23">
        <f>INSCRITOS_FORM!O304</f>
        <v/>
      </c>
      <c r="J304" s="23">
        <f>INSCRITOS_FORM!J304</f>
        <v/>
      </c>
      <c r="K304" s="23">
        <f>INSCRITOS_FORM!K304</f>
        <v/>
      </c>
      <c r="L304" s="23">
        <f>INSCRITOS_FORM!U304</f>
        <v/>
      </c>
      <c r="M304" s="23">
        <f>INSCRITOS_FORM!V304</f>
        <v/>
      </c>
      <c r="N304" s="23">
        <f>INSCRITOS_FORM!W304</f>
        <v/>
      </c>
      <c r="O304" s="23">
        <f>INSCRITOS_FORM!X304</f>
        <v/>
      </c>
      <c r="P304" s="23">
        <f>INSCRITOS_FORM!AB304</f>
        <v/>
      </c>
      <c r="Q304" s="23">
        <f>IF(B304="","",IF(AND(OR(P304="Pagado",P304="Beca",P304="Invitado"),OR(L304="Sí",M304="Sí")),"Sí","No"))</f>
        <v/>
      </c>
      <c r="R304" s="23">
        <f>IF(AND(C304=TORNEO_ACTIVO!$B$3,Q304="Sí"),G304*10000-A304,-1)</f>
        <v/>
      </c>
    </row>
    <row r="305" ht="14.25" customHeight="1" s="72">
      <c r="A305" s="23">
        <f>IF(INSCRITOS_FORM!D305&lt;&gt;"",ROW()-4,"")</f>
        <v/>
      </c>
      <c r="B305" s="23">
        <f>INSCRITOS_FORM!AD305</f>
        <v/>
      </c>
      <c r="C305" s="23">
        <f>INSCRITOS_FORM!T305</f>
        <v/>
      </c>
      <c r="D305" s="23">
        <f>INSCRITOS_FORM!S305</f>
        <v/>
      </c>
      <c r="E305" s="23">
        <f>INSCRITOS_FORM!G305</f>
        <v/>
      </c>
      <c r="F305" s="23">
        <f>INSCRITOS_FORM!L305</f>
        <v/>
      </c>
      <c r="G305" s="23">
        <f t="array" ref="G305">IFERROR(INDEX(CONFIG!$A$22:$A$35,MATCH(F305,CONFIG!$B$22:$B$35,0)),0)</f>
        <v/>
      </c>
      <c r="H305" s="23">
        <f>INSCRITOS_FORM!M305</f>
        <v/>
      </c>
      <c r="I305" s="23">
        <f>INSCRITOS_FORM!O305</f>
        <v/>
      </c>
      <c r="J305" s="23">
        <f>INSCRITOS_FORM!J305</f>
        <v/>
      </c>
      <c r="K305" s="23">
        <f>INSCRITOS_FORM!K305</f>
        <v/>
      </c>
      <c r="L305" s="23">
        <f>INSCRITOS_FORM!U305</f>
        <v/>
      </c>
      <c r="M305" s="23">
        <f>INSCRITOS_FORM!V305</f>
        <v/>
      </c>
      <c r="N305" s="23">
        <f>INSCRITOS_FORM!W305</f>
        <v/>
      </c>
      <c r="O305" s="23">
        <f>INSCRITOS_FORM!X305</f>
        <v/>
      </c>
      <c r="P305" s="23">
        <f>INSCRITOS_FORM!AB305</f>
        <v/>
      </c>
      <c r="Q305" s="23">
        <f>IF(B305="","",IF(AND(OR(P305="Pagado",P305="Beca",P305="Invitado"),OR(L305="Sí",M305="Sí")),"Sí","No"))</f>
        <v/>
      </c>
      <c r="R305" s="23">
        <f>IF(AND(C305=TORNEO_ACTIVO!$B$3,Q305="Sí"),G305*10000-A305,-1)</f>
        <v/>
      </c>
    </row>
    <row r="306" ht="14.25" customHeight="1" s="72">
      <c r="A306" s="23">
        <f>IF(INSCRITOS_FORM!D306&lt;&gt;"",ROW()-4,"")</f>
        <v/>
      </c>
      <c r="B306" s="23">
        <f>INSCRITOS_FORM!AD306</f>
        <v/>
      </c>
      <c r="C306" s="23">
        <f>INSCRITOS_FORM!T306</f>
        <v/>
      </c>
      <c r="D306" s="23">
        <f>INSCRITOS_FORM!S306</f>
        <v/>
      </c>
      <c r="E306" s="23">
        <f>INSCRITOS_FORM!G306</f>
        <v/>
      </c>
      <c r="F306" s="23">
        <f>INSCRITOS_FORM!L306</f>
        <v/>
      </c>
      <c r="G306" s="23">
        <f t="array" ref="G306">IFERROR(INDEX(CONFIG!$A$22:$A$35,MATCH(F306,CONFIG!$B$22:$B$35,0)),0)</f>
        <v/>
      </c>
      <c r="H306" s="23">
        <f>INSCRITOS_FORM!M306</f>
        <v/>
      </c>
      <c r="I306" s="23">
        <f>INSCRITOS_FORM!O306</f>
        <v/>
      </c>
      <c r="J306" s="23">
        <f>INSCRITOS_FORM!J306</f>
        <v/>
      </c>
      <c r="K306" s="23">
        <f>INSCRITOS_FORM!K306</f>
        <v/>
      </c>
      <c r="L306" s="23">
        <f>INSCRITOS_FORM!U306</f>
        <v/>
      </c>
      <c r="M306" s="23">
        <f>INSCRITOS_FORM!V306</f>
        <v/>
      </c>
      <c r="N306" s="23">
        <f>INSCRITOS_FORM!W306</f>
        <v/>
      </c>
      <c r="O306" s="23">
        <f>INSCRITOS_FORM!X306</f>
        <v/>
      </c>
      <c r="P306" s="23">
        <f>INSCRITOS_FORM!AB306</f>
        <v/>
      </c>
      <c r="Q306" s="23">
        <f>IF(B306="","",IF(AND(OR(P306="Pagado",P306="Beca",P306="Invitado"),OR(L306="Sí",M306="Sí")),"Sí","No"))</f>
        <v/>
      </c>
      <c r="R306" s="23">
        <f>IF(AND(C306=TORNEO_ACTIVO!$B$3,Q306="Sí"),G306*10000-A306,-1)</f>
        <v/>
      </c>
    </row>
    <row r="307" ht="14.25" customHeight="1" s="72">
      <c r="A307" s="23">
        <f>IF(INSCRITOS_FORM!D307&lt;&gt;"",ROW()-4,"")</f>
        <v/>
      </c>
      <c r="B307" s="23">
        <f>INSCRITOS_FORM!AD307</f>
        <v/>
      </c>
      <c r="C307" s="23">
        <f>INSCRITOS_FORM!T307</f>
        <v/>
      </c>
      <c r="D307" s="23">
        <f>INSCRITOS_FORM!S307</f>
        <v/>
      </c>
      <c r="E307" s="23">
        <f>INSCRITOS_FORM!G307</f>
        <v/>
      </c>
      <c r="F307" s="23">
        <f>INSCRITOS_FORM!L307</f>
        <v/>
      </c>
      <c r="G307" s="23">
        <f t="array" ref="G307">IFERROR(INDEX(CONFIG!$A$22:$A$35,MATCH(F307,CONFIG!$B$22:$B$35,0)),0)</f>
        <v/>
      </c>
      <c r="H307" s="23">
        <f>INSCRITOS_FORM!M307</f>
        <v/>
      </c>
      <c r="I307" s="23">
        <f>INSCRITOS_FORM!O307</f>
        <v/>
      </c>
      <c r="J307" s="23">
        <f>INSCRITOS_FORM!J307</f>
        <v/>
      </c>
      <c r="K307" s="23">
        <f>INSCRITOS_FORM!K307</f>
        <v/>
      </c>
      <c r="L307" s="23">
        <f>INSCRITOS_FORM!U307</f>
        <v/>
      </c>
      <c r="M307" s="23">
        <f>INSCRITOS_FORM!V307</f>
        <v/>
      </c>
      <c r="N307" s="23">
        <f>INSCRITOS_FORM!W307</f>
        <v/>
      </c>
      <c r="O307" s="23">
        <f>INSCRITOS_FORM!X307</f>
        <v/>
      </c>
      <c r="P307" s="23">
        <f>INSCRITOS_FORM!AB307</f>
        <v/>
      </c>
      <c r="Q307" s="23">
        <f>IF(B307="","",IF(AND(OR(P307="Pagado",P307="Beca",P307="Invitado"),OR(L307="Sí",M307="Sí")),"Sí","No"))</f>
        <v/>
      </c>
      <c r="R307" s="23">
        <f>IF(AND(C307=TORNEO_ACTIVO!$B$3,Q307="Sí"),G307*10000-A307,-1)</f>
        <v/>
      </c>
    </row>
    <row r="308" ht="14.25" customHeight="1" s="72">
      <c r="A308" s="23">
        <f>IF(INSCRITOS_FORM!D308&lt;&gt;"",ROW()-4,"")</f>
        <v/>
      </c>
      <c r="B308" s="23">
        <f>INSCRITOS_FORM!AD308</f>
        <v/>
      </c>
      <c r="C308" s="23">
        <f>INSCRITOS_FORM!T308</f>
        <v/>
      </c>
      <c r="D308" s="23">
        <f>INSCRITOS_FORM!S308</f>
        <v/>
      </c>
      <c r="E308" s="23">
        <f>INSCRITOS_FORM!G308</f>
        <v/>
      </c>
      <c r="F308" s="23">
        <f>INSCRITOS_FORM!L308</f>
        <v/>
      </c>
      <c r="G308" s="23">
        <f t="array" ref="G308">IFERROR(INDEX(CONFIG!$A$22:$A$35,MATCH(F308,CONFIG!$B$22:$B$35,0)),0)</f>
        <v/>
      </c>
      <c r="H308" s="23">
        <f>INSCRITOS_FORM!M308</f>
        <v/>
      </c>
      <c r="I308" s="23">
        <f>INSCRITOS_FORM!O308</f>
        <v/>
      </c>
      <c r="J308" s="23">
        <f>INSCRITOS_FORM!J308</f>
        <v/>
      </c>
      <c r="K308" s="23">
        <f>INSCRITOS_FORM!K308</f>
        <v/>
      </c>
      <c r="L308" s="23">
        <f>INSCRITOS_FORM!U308</f>
        <v/>
      </c>
      <c r="M308" s="23">
        <f>INSCRITOS_FORM!V308</f>
        <v/>
      </c>
      <c r="N308" s="23">
        <f>INSCRITOS_FORM!W308</f>
        <v/>
      </c>
      <c r="O308" s="23">
        <f>INSCRITOS_FORM!X308</f>
        <v/>
      </c>
      <c r="P308" s="23">
        <f>INSCRITOS_FORM!AB308</f>
        <v/>
      </c>
      <c r="Q308" s="23">
        <f>IF(B308="","",IF(AND(OR(P308="Pagado",P308="Beca",P308="Invitado"),OR(L308="Sí",M308="Sí")),"Sí","No"))</f>
        <v/>
      </c>
      <c r="R308" s="23">
        <f>IF(AND(C308=TORNEO_ACTIVO!$B$3,Q308="Sí"),G308*10000-A308,-1)</f>
        <v/>
      </c>
    </row>
    <row r="309" ht="14.25" customHeight="1" s="72">
      <c r="A309" s="23">
        <f>IF(INSCRITOS_FORM!D309&lt;&gt;"",ROW()-4,"")</f>
        <v/>
      </c>
      <c r="B309" s="23">
        <f>INSCRITOS_FORM!AD309</f>
        <v/>
      </c>
      <c r="C309" s="23">
        <f>INSCRITOS_FORM!T309</f>
        <v/>
      </c>
      <c r="D309" s="23">
        <f>INSCRITOS_FORM!S309</f>
        <v/>
      </c>
      <c r="E309" s="23">
        <f>INSCRITOS_FORM!G309</f>
        <v/>
      </c>
      <c r="F309" s="23">
        <f>INSCRITOS_FORM!L309</f>
        <v/>
      </c>
      <c r="G309" s="23">
        <f t="array" ref="G309">IFERROR(INDEX(CONFIG!$A$22:$A$35,MATCH(F309,CONFIG!$B$22:$B$35,0)),0)</f>
        <v/>
      </c>
      <c r="H309" s="23">
        <f>INSCRITOS_FORM!M309</f>
        <v/>
      </c>
      <c r="I309" s="23">
        <f>INSCRITOS_FORM!O309</f>
        <v/>
      </c>
      <c r="J309" s="23">
        <f>INSCRITOS_FORM!J309</f>
        <v/>
      </c>
      <c r="K309" s="23">
        <f>INSCRITOS_FORM!K309</f>
        <v/>
      </c>
      <c r="L309" s="23">
        <f>INSCRITOS_FORM!U309</f>
        <v/>
      </c>
      <c r="M309" s="23">
        <f>INSCRITOS_FORM!V309</f>
        <v/>
      </c>
      <c r="N309" s="23">
        <f>INSCRITOS_FORM!W309</f>
        <v/>
      </c>
      <c r="O309" s="23">
        <f>INSCRITOS_FORM!X309</f>
        <v/>
      </c>
      <c r="P309" s="23">
        <f>INSCRITOS_FORM!AB309</f>
        <v/>
      </c>
      <c r="Q309" s="23">
        <f>IF(B309="","",IF(AND(OR(P309="Pagado",P309="Beca",P309="Invitado"),OR(L309="Sí",M309="Sí")),"Sí","No"))</f>
        <v/>
      </c>
      <c r="R309" s="23">
        <f>IF(AND(C309=TORNEO_ACTIVO!$B$3,Q309="Sí"),G309*10000-A309,-1)</f>
        <v/>
      </c>
    </row>
    <row r="310" ht="14.25" customHeight="1" s="72">
      <c r="A310" s="23">
        <f>IF(INSCRITOS_FORM!D310&lt;&gt;"",ROW()-4,"")</f>
        <v/>
      </c>
      <c r="B310" s="23">
        <f>INSCRITOS_FORM!AD310</f>
        <v/>
      </c>
      <c r="C310" s="23">
        <f>INSCRITOS_FORM!T310</f>
        <v/>
      </c>
      <c r="D310" s="23">
        <f>INSCRITOS_FORM!S310</f>
        <v/>
      </c>
      <c r="E310" s="23">
        <f>INSCRITOS_FORM!G310</f>
        <v/>
      </c>
      <c r="F310" s="23">
        <f>INSCRITOS_FORM!L310</f>
        <v/>
      </c>
      <c r="G310" s="23">
        <f t="array" ref="G310">IFERROR(INDEX(CONFIG!$A$22:$A$35,MATCH(F310,CONFIG!$B$22:$B$35,0)),0)</f>
        <v/>
      </c>
      <c r="H310" s="23">
        <f>INSCRITOS_FORM!M310</f>
        <v/>
      </c>
      <c r="I310" s="23">
        <f>INSCRITOS_FORM!O310</f>
        <v/>
      </c>
      <c r="J310" s="23">
        <f>INSCRITOS_FORM!J310</f>
        <v/>
      </c>
      <c r="K310" s="23">
        <f>INSCRITOS_FORM!K310</f>
        <v/>
      </c>
      <c r="L310" s="23">
        <f>INSCRITOS_FORM!U310</f>
        <v/>
      </c>
      <c r="M310" s="23">
        <f>INSCRITOS_FORM!V310</f>
        <v/>
      </c>
      <c r="N310" s="23">
        <f>INSCRITOS_FORM!W310</f>
        <v/>
      </c>
      <c r="O310" s="23">
        <f>INSCRITOS_FORM!X310</f>
        <v/>
      </c>
      <c r="P310" s="23">
        <f>INSCRITOS_FORM!AB310</f>
        <v/>
      </c>
      <c r="Q310" s="23">
        <f>IF(B310="","",IF(AND(OR(P310="Pagado",P310="Beca",P310="Invitado"),OR(L310="Sí",M310="Sí")),"Sí","No"))</f>
        <v/>
      </c>
      <c r="R310" s="23">
        <f>IF(AND(C310=TORNEO_ACTIVO!$B$3,Q310="Sí"),G310*10000-A310,-1)</f>
        <v/>
      </c>
    </row>
    <row r="311" ht="14.25" customHeight="1" s="72">
      <c r="A311" s="23">
        <f>IF(INSCRITOS_FORM!D311&lt;&gt;"",ROW()-4,"")</f>
        <v/>
      </c>
      <c r="B311" s="23">
        <f>INSCRITOS_FORM!AD311</f>
        <v/>
      </c>
      <c r="C311" s="23">
        <f>INSCRITOS_FORM!T311</f>
        <v/>
      </c>
      <c r="D311" s="23">
        <f>INSCRITOS_FORM!S311</f>
        <v/>
      </c>
      <c r="E311" s="23">
        <f>INSCRITOS_FORM!G311</f>
        <v/>
      </c>
      <c r="F311" s="23">
        <f>INSCRITOS_FORM!L311</f>
        <v/>
      </c>
      <c r="G311" s="23">
        <f t="array" ref="G311">IFERROR(INDEX(CONFIG!$A$22:$A$35,MATCH(F311,CONFIG!$B$22:$B$35,0)),0)</f>
        <v/>
      </c>
      <c r="H311" s="23">
        <f>INSCRITOS_FORM!M311</f>
        <v/>
      </c>
      <c r="I311" s="23">
        <f>INSCRITOS_FORM!O311</f>
        <v/>
      </c>
      <c r="J311" s="23">
        <f>INSCRITOS_FORM!J311</f>
        <v/>
      </c>
      <c r="K311" s="23">
        <f>INSCRITOS_FORM!K311</f>
        <v/>
      </c>
      <c r="L311" s="23">
        <f>INSCRITOS_FORM!U311</f>
        <v/>
      </c>
      <c r="M311" s="23">
        <f>INSCRITOS_FORM!V311</f>
        <v/>
      </c>
      <c r="N311" s="23">
        <f>INSCRITOS_FORM!W311</f>
        <v/>
      </c>
      <c r="O311" s="23">
        <f>INSCRITOS_FORM!X311</f>
        <v/>
      </c>
      <c r="P311" s="23">
        <f>INSCRITOS_FORM!AB311</f>
        <v/>
      </c>
      <c r="Q311" s="23">
        <f>IF(B311="","",IF(AND(OR(P311="Pagado",P311="Beca",P311="Invitado"),OR(L311="Sí",M311="Sí")),"Sí","No"))</f>
        <v/>
      </c>
      <c r="R311" s="23">
        <f>IF(AND(C311=TORNEO_ACTIVO!$B$3,Q311="Sí"),G311*10000-A311,-1)</f>
        <v/>
      </c>
    </row>
    <row r="312" ht="14.25" customHeight="1" s="72">
      <c r="A312" s="23">
        <f>IF(INSCRITOS_FORM!D312&lt;&gt;"",ROW()-4,"")</f>
        <v/>
      </c>
      <c r="B312" s="23">
        <f>INSCRITOS_FORM!AD312</f>
        <v/>
      </c>
      <c r="C312" s="23">
        <f>INSCRITOS_FORM!T312</f>
        <v/>
      </c>
      <c r="D312" s="23">
        <f>INSCRITOS_FORM!S312</f>
        <v/>
      </c>
      <c r="E312" s="23">
        <f>INSCRITOS_FORM!G312</f>
        <v/>
      </c>
      <c r="F312" s="23">
        <f>INSCRITOS_FORM!L312</f>
        <v/>
      </c>
      <c r="G312" s="23">
        <f t="array" ref="G312">IFERROR(INDEX(CONFIG!$A$22:$A$35,MATCH(F312,CONFIG!$B$22:$B$35,0)),0)</f>
        <v/>
      </c>
      <c r="H312" s="23">
        <f>INSCRITOS_FORM!M312</f>
        <v/>
      </c>
      <c r="I312" s="23">
        <f>INSCRITOS_FORM!O312</f>
        <v/>
      </c>
      <c r="J312" s="23">
        <f>INSCRITOS_FORM!J312</f>
        <v/>
      </c>
      <c r="K312" s="23">
        <f>INSCRITOS_FORM!K312</f>
        <v/>
      </c>
      <c r="L312" s="23">
        <f>INSCRITOS_FORM!U312</f>
        <v/>
      </c>
      <c r="M312" s="23">
        <f>INSCRITOS_FORM!V312</f>
        <v/>
      </c>
      <c r="N312" s="23">
        <f>INSCRITOS_FORM!W312</f>
        <v/>
      </c>
      <c r="O312" s="23">
        <f>INSCRITOS_FORM!X312</f>
        <v/>
      </c>
      <c r="P312" s="23">
        <f>INSCRITOS_FORM!AB312</f>
        <v/>
      </c>
      <c r="Q312" s="23">
        <f>IF(B312="","",IF(AND(OR(P312="Pagado",P312="Beca",P312="Invitado"),OR(L312="Sí",M312="Sí")),"Sí","No"))</f>
        <v/>
      </c>
      <c r="R312" s="23">
        <f>IF(AND(C312=TORNEO_ACTIVO!$B$3,Q312="Sí"),G312*10000-A312,-1)</f>
        <v/>
      </c>
    </row>
    <row r="313" ht="14.25" customHeight="1" s="72">
      <c r="A313" s="23">
        <f>IF(INSCRITOS_FORM!D313&lt;&gt;"",ROW()-4,"")</f>
        <v/>
      </c>
      <c r="B313" s="23">
        <f>INSCRITOS_FORM!AD313</f>
        <v/>
      </c>
      <c r="C313" s="23">
        <f>INSCRITOS_FORM!T313</f>
        <v/>
      </c>
      <c r="D313" s="23">
        <f>INSCRITOS_FORM!S313</f>
        <v/>
      </c>
      <c r="E313" s="23">
        <f>INSCRITOS_FORM!G313</f>
        <v/>
      </c>
      <c r="F313" s="23">
        <f>INSCRITOS_FORM!L313</f>
        <v/>
      </c>
      <c r="G313" s="23">
        <f t="array" ref="G313">IFERROR(INDEX(CONFIG!$A$22:$A$35,MATCH(F313,CONFIG!$B$22:$B$35,0)),0)</f>
        <v/>
      </c>
      <c r="H313" s="23">
        <f>INSCRITOS_FORM!M313</f>
        <v/>
      </c>
      <c r="I313" s="23">
        <f>INSCRITOS_FORM!O313</f>
        <v/>
      </c>
      <c r="J313" s="23">
        <f>INSCRITOS_FORM!J313</f>
        <v/>
      </c>
      <c r="K313" s="23">
        <f>INSCRITOS_FORM!K313</f>
        <v/>
      </c>
      <c r="L313" s="23">
        <f>INSCRITOS_FORM!U313</f>
        <v/>
      </c>
      <c r="M313" s="23">
        <f>INSCRITOS_FORM!V313</f>
        <v/>
      </c>
      <c r="N313" s="23">
        <f>INSCRITOS_FORM!W313</f>
        <v/>
      </c>
      <c r="O313" s="23">
        <f>INSCRITOS_FORM!X313</f>
        <v/>
      </c>
      <c r="P313" s="23">
        <f>INSCRITOS_FORM!AB313</f>
        <v/>
      </c>
      <c r="Q313" s="23">
        <f>IF(B313="","",IF(AND(OR(P313="Pagado",P313="Beca",P313="Invitado"),OR(L313="Sí",M313="Sí")),"Sí","No"))</f>
        <v/>
      </c>
      <c r="R313" s="23">
        <f>IF(AND(C313=TORNEO_ACTIVO!$B$3,Q313="Sí"),G313*10000-A313,-1)</f>
        <v/>
      </c>
    </row>
    <row r="314" ht="14.25" customHeight="1" s="72">
      <c r="A314" s="23">
        <f>IF(INSCRITOS_FORM!D314&lt;&gt;"",ROW()-4,"")</f>
        <v/>
      </c>
      <c r="B314" s="23">
        <f>INSCRITOS_FORM!AD314</f>
        <v/>
      </c>
      <c r="C314" s="23">
        <f>INSCRITOS_FORM!T314</f>
        <v/>
      </c>
      <c r="D314" s="23">
        <f>INSCRITOS_FORM!S314</f>
        <v/>
      </c>
      <c r="E314" s="23">
        <f>INSCRITOS_FORM!G314</f>
        <v/>
      </c>
      <c r="F314" s="23">
        <f>INSCRITOS_FORM!L314</f>
        <v/>
      </c>
      <c r="G314" s="23">
        <f t="array" ref="G314">IFERROR(INDEX(CONFIG!$A$22:$A$35,MATCH(F314,CONFIG!$B$22:$B$35,0)),0)</f>
        <v/>
      </c>
      <c r="H314" s="23">
        <f>INSCRITOS_FORM!M314</f>
        <v/>
      </c>
      <c r="I314" s="23">
        <f>INSCRITOS_FORM!O314</f>
        <v/>
      </c>
      <c r="J314" s="23">
        <f>INSCRITOS_FORM!J314</f>
        <v/>
      </c>
      <c r="K314" s="23">
        <f>INSCRITOS_FORM!K314</f>
        <v/>
      </c>
      <c r="L314" s="23">
        <f>INSCRITOS_FORM!U314</f>
        <v/>
      </c>
      <c r="M314" s="23">
        <f>INSCRITOS_FORM!V314</f>
        <v/>
      </c>
      <c r="N314" s="23">
        <f>INSCRITOS_FORM!W314</f>
        <v/>
      </c>
      <c r="O314" s="23">
        <f>INSCRITOS_FORM!X314</f>
        <v/>
      </c>
      <c r="P314" s="23">
        <f>INSCRITOS_FORM!AB314</f>
        <v/>
      </c>
      <c r="Q314" s="23">
        <f>IF(B314="","",IF(AND(OR(P314="Pagado",P314="Beca",P314="Invitado"),OR(L314="Sí",M314="Sí")),"Sí","No"))</f>
        <v/>
      </c>
      <c r="R314" s="23">
        <f>IF(AND(C314=TORNEO_ACTIVO!$B$3,Q314="Sí"),G314*10000-A314,-1)</f>
        <v/>
      </c>
    </row>
    <row r="315" ht="14.25" customHeight="1" s="72">
      <c r="A315" s="23">
        <f>IF(INSCRITOS_FORM!D315&lt;&gt;"",ROW()-4,"")</f>
        <v/>
      </c>
      <c r="B315" s="23">
        <f>INSCRITOS_FORM!AD315</f>
        <v/>
      </c>
      <c r="C315" s="23">
        <f>INSCRITOS_FORM!T315</f>
        <v/>
      </c>
      <c r="D315" s="23">
        <f>INSCRITOS_FORM!S315</f>
        <v/>
      </c>
      <c r="E315" s="23">
        <f>INSCRITOS_FORM!G315</f>
        <v/>
      </c>
      <c r="F315" s="23">
        <f>INSCRITOS_FORM!L315</f>
        <v/>
      </c>
      <c r="G315" s="23">
        <f t="array" ref="G315">IFERROR(INDEX(CONFIG!$A$22:$A$35,MATCH(F315,CONFIG!$B$22:$B$35,0)),0)</f>
        <v/>
      </c>
      <c r="H315" s="23">
        <f>INSCRITOS_FORM!M315</f>
        <v/>
      </c>
      <c r="I315" s="23">
        <f>INSCRITOS_FORM!O315</f>
        <v/>
      </c>
      <c r="J315" s="23">
        <f>INSCRITOS_FORM!J315</f>
        <v/>
      </c>
      <c r="K315" s="23">
        <f>INSCRITOS_FORM!K315</f>
        <v/>
      </c>
      <c r="L315" s="23">
        <f>INSCRITOS_FORM!U315</f>
        <v/>
      </c>
      <c r="M315" s="23">
        <f>INSCRITOS_FORM!V315</f>
        <v/>
      </c>
      <c r="N315" s="23">
        <f>INSCRITOS_FORM!W315</f>
        <v/>
      </c>
      <c r="O315" s="23">
        <f>INSCRITOS_FORM!X315</f>
        <v/>
      </c>
      <c r="P315" s="23">
        <f>INSCRITOS_FORM!AB315</f>
        <v/>
      </c>
      <c r="Q315" s="23">
        <f>IF(B315="","",IF(AND(OR(P315="Pagado",P315="Beca",P315="Invitado"),OR(L315="Sí",M315="Sí")),"Sí","No"))</f>
        <v/>
      </c>
      <c r="R315" s="23">
        <f>IF(AND(C315=TORNEO_ACTIVO!$B$3,Q315="Sí"),G315*10000-A315,-1)</f>
        <v/>
      </c>
    </row>
    <row r="316" ht="14.25" customHeight="1" s="72">
      <c r="A316" s="23">
        <f>IF(INSCRITOS_FORM!D316&lt;&gt;"",ROW()-4,"")</f>
        <v/>
      </c>
      <c r="B316" s="23">
        <f>INSCRITOS_FORM!AD316</f>
        <v/>
      </c>
      <c r="C316" s="23">
        <f>INSCRITOS_FORM!T316</f>
        <v/>
      </c>
      <c r="D316" s="23">
        <f>INSCRITOS_FORM!S316</f>
        <v/>
      </c>
      <c r="E316" s="23">
        <f>INSCRITOS_FORM!G316</f>
        <v/>
      </c>
      <c r="F316" s="23">
        <f>INSCRITOS_FORM!L316</f>
        <v/>
      </c>
      <c r="G316" s="23">
        <f t="array" ref="G316">IFERROR(INDEX(CONFIG!$A$22:$A$35,MATCH(F316,CONFIG!$B$22:$B$35,0)),0)</f>
        <v/>
      </c>
      <c r="H316" s="23">
        <f>INSCRITOS_FORM!M316</f>
        <v/>
      </c>
      <c r="I316" s="23">
        <f>INSCRITOS_FORM!O316</f>
        <v/>
      </c>
      <c r="J316" s="23">
        <f>INSCRITOS_FORM!J316</f>
        <v/>
      </c>
      <c r="K316" s="23">
        <f>INSCRITOS_FORM!K316</f>
        <v/>
      </c>
      <c r="L316" s="23">
        <f>INSCRITOS_FORM!U316</f>
        <v/>
      </c>
      <c r="M316" s="23">
        <f>INSCRITOS_FORM!V316</f>
        <v/>
      </c>
      <c r="N316" s="23">
        <f>INSCRITOS_FORM!W316</f>
        <v/>
      </c>
      <c r="O316" s="23">
        <f>INSCRITOS_FORM!X316</f>
        <v/>
      </c>
      <c r="P316" s="23">
        <f>INSCRITOS_FORM!AB316</f>
        <v/>
      </c>
      <c r="Q316" s="23">
        <f>IF(B316="","",IF(AND(OR(P316="Pagado",P316="Beca",P316="Invitado"),OR(L316="Sí",M316="Sí")),"Sí","No"))</f>
        <v/>
      </c>
      <c r="R316" s="23">
        <f>IF(AND(C316=TORNEO_ACTIVO!$B$3,Q316="Sí"),G316*10000-A316,-1)</f>
        <v/>
      </c>
    </row>
    <row r="317" ht="14.25" customHeight="1" s="72">
      <c r="A317" s="23">
        <f>IF(INSCRITOS_FORM!D317&lt;&gt;"",ROW()-4,"")</f>
        <v/>
      </c>
      <c r="B317" s="23">
        <f>INSCRITOS_FORM!AD317</f>
        <v/>
      </c>
      <c r="C317" s="23">
        <f>INSCRITOS_FORM!T317</f>
        <v/>
      </c>
      <c r="D317" s="23">
        <f>INSCRITOS_FORM!S317</f>
        <v/>
      </c>
      <c r="E317" s="23">
        <f>INSCRITOS_FORM!G317</f>
        <v/>
      </c>
      <c r="F317" s="23">
        <f>INSCRITOS_FORM!L317</f>
        <v/>
      </c>
      <c r="G317" s="23">
        <f t="array" ref="G317">IFERROR(INDEX(CONFIG!$A$22:$A$35,MATCH(F317,CONFIG!$B$22:$B$35,0)),0)</f>
        <v/>
      </c>
      <c r="H317" s="23">
        <f>INSCRITOS_FORM!M317</f>
        <v/>
      </c>
      <c r="I317" s="23">
        <f>INSCRITOS_FORM!O317</f>
        <v/>
      </c>
      <c r="J317" s="23">
        <f>INSCRITOS_FORM!J317</f>
        <v/>
      </c>
      <c r="K317" s="23">
        <f>INSCRITOS_FORM!K317</f>
        <v/>
      </c>
      <c r="L317" s="23">
        <f>INSCRITOS_FORM!U317</f>
        <v/>
      </c>
      <c r="M317" s="23">
        <f>INSCRITOS_FORM!V317</f>
        <v/>
      </c>
      <c r="N317" s="23">
        <f>INSCRITOS_FORM!W317</f>
        <v/>
      </c>
      <c r="O317" s="23">
        <f>INSCRITOS_FORM!X317</f>
        <v/>
      </c>
      <c r="P317" s="23">
        <f>INSCRITOS_FORM!AB317</f>
        <v/>
      </c>
      <c r="Q317" s="23">
        <f>IF(B317="","",IF(AND(OR(P317="Pagado",P317="Beca",P317="Invitado"),OR(L317="Sí",M317="Sí")),"Sí","No"))</f>
        <v/>
      </c>
      <c r="R317" s="23">
        <f>IF(AND(C317=TORNEO_ACTIVO!$B$3,Q317="Sí"),G317*10000-A317,-1)</f>
        <v/>
      </c>
    </row>
    <row r="318" ht="14.25" customHeight="1" s="72">
      <c r="A318" s="23">
        <f>IF(INSCRITOS_FORM!D318&lt;&gt;"",ROW()-4,"")</f>
        <v/>
      </c>
      <c r="B318" s="23">
        <f>INSCRITOS_FORM!AD318</f>
        <v/>
      </c>
      <c r="C318" s="23">
        <f>INSCRITOS_FORM!T318</f>
        <v/>
      </c>
      <c r="D318" s="23">
        <f>INSCRITOS_FORM!S318</f>
        <v/>
      </c>
      <c r="E318" s="23">
        <f>INSCRITOS_FORM!G318</f>
        <v/>
      </c>
      <c r="F318" s="23">
        <f>INSCRITOS_FORM!L318</f>
        <v/>
      </c>
      <c r="G318" s="23">
        <f t="array" ref="G318">IFERROR(INDEX(CONFIG!$A$22:$A$35,MATCH(F318,CONFIG!$B$22:$B$35,0)),0)</f>
        <v/>
      </c>
      <c r="H318" s="23">
        <f>INSCRITOS_FORM!M318</f>
        <v/>
      </c>
      <c r="I318" s="23">
        <f>INSCRITOS_FORM!O318</f>
        <v/>
      </c>
      <c r="J318" s="23">
        <f>INSCRITOS_FORM!J318</f>
        <v/>
      </c>
      <c r="K318" s="23">
        <f>INSCRITOS_FORM!K318</f>
        <v/>
      </c>
      <c r="L318" s="23">
        <f>INSCRITOS_FORM!U318</f>
        <v/>
      </c>
      <c r="M318" s="23">
        <f>INSCRITOS_FORM!V318</f>
        <v/>
      </c>
      <c r="N318" s="23">
        <f>INSCRITOS_FORM!W318</f>
        <v/>
      </c>
      <c r="O318" s="23">
        <f>INSCRITOS_FORM!X318</f>
        <v/>
      </c>
      <c r="P318" s="23">
        <f>INSCRITOS_FORM!AB318</f>
        <v/>
      </c>
      <c r="Q318" s="23">
        <f>IF(B318="","",IF(AND(OR(P318="Pagado",P318="Beca",P318="Invitado"),OR(L318="Sí",M318="Sí")),"Sí","No"))</f>
        <v/>
      </c>
      <c r="R318" s="23">
        <f>IF(AND(C318=TORNEO_ACTIVO!$B$3,Q318="Sí"),G318*10000-A318,-1)</f>
        <v/>
      </c>
    </row>
    <row r="319" ht="14.25" customHeight="1" s="72">
      <c r="A319" s="23">
        <f>IF(INSCRITOS_FORM!D319&lt;&gt;"",ROW()-4,"")</f>
        <v/>
      </c>
      <c r="B319" s="23">
        <f>INSCRITOS_FORM!AD319</f>
        <v/>
      </c>
      <c r="C319" s="23">
        <f>INSCRITOS_FORM!T319</f>
        <v/>
      </c>
      <c r="D319" s="23">
        <f>INSCRITOS_FORM!S319</f>
        <v/>
      </c>
      <c r="E319" s="23">
        <f>INSCRITOS_FORM!G319</f>
        <v/>
      </c>
      <c r="F319" s="23">
        <f>INSCRITOS_FORM!L319</f>
        <v/>
      </c>
      <c r="G319" s="23">
        <f t="array" ref="G319">IFERROR(INDEX(CONFIG!$A$22:$A$35,MATCH(F319,CONFIG!$B$22:$B$35,0)),0)</f>
        <v/>
      </c>
      <c r="H319" s="23">
        <f>INSCRITOS_FORM!M319</f>
        <v/>
      </c>
      <c r="I319" s="23">
        <f>INSCRITOS_FORM!O319</f>
        <v/>
      </c>
      <c r="J319" s="23">
        <f>INSCRITOS_FORM!J319</f>
        <v/>
      </c>
      <c r="K319" s="23">
        <f>INSCRITOS_FORM!K319</f>
        <v/>
      </c>
      <c r="L319" s="23">
        <f>INSCRITOS_FORM!U319</f>
        <v/>
      </c>
      <c r="M319" s="23">
        <f>INSCRITOS_FORM!V319</f>
        <v/>
      </c>
      <c r="N319" s="23">
        <f>INSCRITOS_FORM!W319</f>
        <v/>
      </c>
      <c r="O319" s="23">
        <f>INSCRITOS_FORM!X319</f>
        <v/>
      </c>
      <c r="P319" s="23">
        <f>INSCRITOS_FORM!AB319</f>
        <v/>
      </c>
      <c r="Q319" s="23">
        <f>IF(B319="","",IF(AND(OR(P319="Pagado",P319="Beca",P319="Invitado"),OR(L319="Sí",M319="Sí")),"Sí","No"))</f>
        <v/>
      </c>
      <c r="R319" s="23">
        <f>IF(AND(C319=TORNEO_ACTIVO!$B$3,Q319="Sí"),G319*10000-A319,-1)</f>
        <v/>
      </c>
    </row>
    <row r="320" ht="14.25" customHeight="1" s="72">
      <c r="A320" s="23">
        <f>IF(INSCRITOS_FORM!D320&lt;&gt;"",ROW()-4,"")</f>
        <v/>
      </c>
      <c r="B320" s="23">
        <f>INSCRITOS_FORM!AD320</f>
        <v/>
      </c>
      <c r="C320" s="23">
        <f>INSCRITOS_FORM!T320</f>
        <v/>
      </c>
      <c r="D320" s="23">
        <f>INSCRITOS_FORM!S320</f>
        <v/>
      </c>
      <c r="E320" s="23">
        <f>INSCRITOS_FORM!G320</f>
        <v/>
      </c>
      <c r="F320" s="23">
        <f>INSCRITOS_FORM!L320</f>
        <v/>
      </c>
      <c r="G320" s="23">
        <f t="array" ref="G320">IFERROR(INDEX(CONFIG!$A$22:$A$35,MATCH(F320,CONFIG!$B$22:$B$35,0)),0)</f>
        <v/>
      </c>
      <c r="H320" s="23">
        <f>INSCRITOS_FORM!M320</f>
        <v/>
      </c>
      <c r="I320" s="23">
        <f>INSCRITOS_FORM!O320</f>
        <v/>
      </c>
      <c r="J320" s="23">
        <f>INSCRITOS_FORM!J320</f>
        <v/>
      </c>
      <c r="K320" s="23">
        <f>INSCRITOS_FORM!K320</f>
        <v/>
      </c>
      <c r="L320" s="23">
        <f>INSCRITOS_FORM!U320</f>
        <v/>
      </c>
      <c r="M320" s="23">
        <f>INSCRITOS_FORM!V320</f>
        <v/>
      </c>
      <c r="N320" s="23">
        <f>INSCRITOS_FORM!W320</f>
        <v/>
      </c>
      <c r="O320" s="23">
        <f>INSCRITOS_FORM!X320</f>
        <v/>
      </c>
      <c r="P320" s="23">
        <f>INSCRITOS_FORM!AB320</f>
        <v/>
      </c>
      <c r="Q320" s="23">
        <f>IF(B320="","",IF(AND(OR(P320="Pagado",P320="Beca",P320="Invitado"),OR(L320="Sí",M320="Sí")),"Sí","No"))</f>
        <v/>
      </c>
      <c r="R320" s="23">
        <f>IF(AND(C320=TORNEO_ACTIVO!$B$3,Q320="Sí"),G320*10000-A320,-1)</f>
        <v/>
      </c>
    </row>
    <row r="321" ht="14.25" customHeight="1" s="72">
      <c r="A321" s="23">
        <f>IF(INSCRITOS_FORM!D321&lt;&gt;"",ROW()-4,"")</f>
        <v/>
      </c>
      <c r="B321" s="23">
        <f>INSCRITOS_FORM!AD321</f>
        <v/>
      </c>
      <c r="C321" s="23">
        <f>INSCRITOS_FORM!T321</f>
        <v/>
      </c>
      <c r="D321" s="23">
        <f>INSCRITOS_FORM!S321</f>
        <v/>
      </c>
      <c r="E321" s="23">
        <f>INSCRITOS_FORM!G321</f>
        <v/>
      </c>
      <c r="F321" s="23">
        <f>INSCRITOS_FORM!L321</f>
        <v/>
      </c>
      <c r="G321" s="23">
        <f t="array" ref="G321">IFERROR(INDEX(CONFIG!$A$22:$A$35,MATCH(F321,CONFIG!$B$22:$B$35,0)),0)</f>
        <v/>
      </c>
      <c r="H321" s="23">
        <f>INSCRITOS_FORM!M321</f>
        <v/>
      </c>
      <c r="I321" s="23">
        <f>INSCRITOS_FORM!O321</f>
        <v/>
      </c>
      <c r="J321" s="23">
        <f>INSCRITOS_FORM!J321</f>
        <v/>
      </c>
      <c r="K321" s="23">
        <f>INSCRITOS_FORM!K321</f>
        <v/>
      </c>
      <c r="L321" s="23">
        <f>INSCRITOS_FORM!U321</f>
        <v/>
      </c>
      <c r="M321" s="23">
        <f>INSCRITOS_FORM!V321</f>
        <v/>
      </c>
      <c r="N321" s="23">
        <f>INSCRITOS_FORM!W321</f>
        <v/>
      </c>
      <c r="O321" s="23">
        <f>INSCRITOS_FORM!X321</f>
        <v/>
      </c>
      <c r="P321" s="23">
        <f>INSCRITOS_FORM!AB321</f>
        <v/>
      </c>
      <c r="Q321" s="23">
        <f>IF(B321="","",IF(AND(OR(P321="Pagado",P321="Beca",P321="Invitado"),OR(L321="Sí",M321="Sí")),"Sí","No"))</f>
        <v/>
      </c>
      <c r="R321" s="23">
        <f>IF(AND(C321=TORNEO_ACTIVO!$B$3,Q321="Sí"),G321*10000-A321,-1)</f>
        <v/>
      </c>
    </row>
    <row r="322" ht="14.25" customHeight="1" s="72">
      <c r="A322" s="23">
        <f>IF(INSCRITOS_FORM!D322&lt;&gt;"",ROW()-4,"")</f>
        <v/>
      </c>
      <c r="B322" s="23">
        <f>INSCRITOS_FORM!AD322</f>
        <v/>
      </c>
      <c r="C322" s="23">
        <f>INSCRITOS_FORM!T322</f>
        <v/>
      </c>
      <c r="D322" s="23">
        <f>INSCRITOS_FORM!S322</f>
        <v/>
      </c>
      <c r="E322" s="23">
        <f>INSCRITOS_FORM!G322</f>
        <v/>
      </c>
      <c r="F322" s="23">
        <f>INSCRITOS_FORM!L322</f>
        <v/>
      </c>
      <c r="G322" s="23">
        <f t="array" ref="G322">IFERROR(INDEX(CONFIG!$A$22:$A$35,MATCH(F322,CONFIG!$B$22:$B$35,0)),0)</f>
        <v/>
      </c>
      <c r="H322" s="23">
        <f>INSCRITOS_FORM!M322</f>
        <v/>
      </c>
      <c r="I322" s="23">
        <f>INSCRITOS_FORM!O322</f>
        <v/>
      </c>
      <c r="J322" s="23">
        <f>INSCRITOS_FORM!J322</f>
        <v/>
      </c>
      <c r="K322" s="23">
        <f>INSCRITOS_FORM!K322</f>
        <v/>
      </c>
      <c r="L322" s="23">
        <f>INSCRITOS_FORM!U322</f>
        <v/>
      </c>
      <c r="M322" s="23">
        <f>INSCRITOS_FORM!V322</f>
        <v/>
      </c>
      <c r="N322" s="23">
        <f>INSCRITOS_FORM!W322</f>
        <v/>
      </c>
      <c r="O322" s="23">
        <f>INSCRITOS_FORM!X322</f>
        <v/>
      </c>
      <c r="P322" s="23">
        <f>INSCRITOS_FORM!AB322</f>
        <v/>
      </c>
      <c r="Q322" s="23">
        <f>IF(B322="","",IF(AND(OR(P322="Pagado",P322="Beca",P322="Invitado"),OR(L322="Sí",M322="Sí")),"Sí","No"))</f>
        <v/>
      </c>
      <c r="R322" s="23">
        <f>IF(AND(C322=TORNEO_ACTIVO!$B$3,Q322="Sí"),G322*10000-A322,-1)</f>
        <v/>
      </c>
    </row>
    <row r="323" ht="14.25" customHeight="1" s="72">
      <c r="A323" s="23">
        <f>IF(INSCRITOS_FORM!D323&lt;&gt;"",ROW()-4,"")</f>
        <v/>
      </c>
      <c r="B323" s="23">
        <f>INSCRITOS_FORM!AD323</f>
        <v/>
      </c>
      <c r="C323" s="23">
        <f>INSCRITOS_FORM!T323</f>
        <v/>
      </c>
      <c r="D323" s="23">
        <f>INSCRITOS_FORM!S323</f>
        <v/>
      </c>
      <c r="E323" s="23">
        <f>INSCRITOS_FORM!G323</f>
        <v/>
      </c>
      <c r="F323" s="23">
        <f>INSCRITOS_FORM!L323</f>
        <v/>
      </c>
      <c r="G323" s="23">
        <f t="array" ref="G323">IFERROR(INDEX(CONFIG!$A$22:$A$35,MATCH(F323,CONFIG!$B$22:$B$35,0)),0)</f>
        <v/>
      </c>
      <c r="H323" s="23">
        <f>INSCRITOS_FORM!M323</f>
        <v/>
      </c>
      <c r="I323" s="23">
        <f>INSCRITOS_FORM!O323</f>
        <v/>
      </c>
      <c r="J323" s="23">
        <f>INSCRITOS_FORM!J323</f>
        <v/>
      </c>
      <c r="K323" s="23">
        <f>INSCRITOS_FORM!K323</f>
        <v/>
      </c>
      <c r="L323" s="23">
        <f>INSCRITOS_FORM!U323</f>
        <v/>
      </c>
      <c r="M323" s="23">
        <f>INSCRITOS_FORM!V323</f>
        <v/>
      </c>
      <c r="N323" s="23">
        <f>INSCRITOS_FORM!W323</f>
        <v/>
      </c>
      <c r="O323" s="23">
        <f>INSCRITOS_FORM!X323</f>
        <v/>
      </c>
      <c r="P323" s="23">
        <f>INSCRITOS_FORM!AB323</f>
        <v/>
      </c>
      <c r="Q323" s="23">
        <f>IF(B323="","",IF(AND(OR(P323="Pagado",P323="Beca",P323="Invitado"),OR(L323="Sí",M323="Sí")),"Sí","No"))</f>
        <v/>
      </c>
      <c r="R323" s="23">
        <f>IF(AND(C323=TORNEO_ACTIVO!$B$3,Q323="Sí"),G323*10000-A323,-1)</f>
        <v/>
      </c>
    </row>
    <row r="324" ht="14.25" customHeight="1" s="72">
      <c r="A324" s="23">
        <f>IF(INSCRITOS_FORM!D324&lt;&gt;"",ROW()-4,"")</f>
        <v/>
      </c>
      <c r="B324" s="23">
        <f>INSCRITOS_FORM!AD324</f>
        <v/>
      </c>
      <c r="C324" s="23">
        <f>INSCRITOS_FORM!T324</f>
        <v/>
      </c>
      <c r="D324" s="23">
        <f>INSCRITOS_FORM!S324</f>
        <v/>
      </c>
      <c r="E324" s="23">
        <f>INSCRITOS_FORM!G324</f>
        <v/>
      </c>
      <c r="F324" s="23">
        <f>INSCRITOS_FORM!L324</f>
        <v/>
      </c>
      <c r="G324" s="23">
        <f t="array" ref="G324">IFERROR(INDEX(CONFIG!$A$22:$A$35,MATCH(F324,CONFIG!$B$22:$B$35,0)),0)</f>
        <v/>
      </c>
      <c r="H324" s="23">
        <f>INSCRITOS_FORM!M324</f>
        <v/>
      </c>
      <c r="I324" s="23">
        <f>INSCRITOS_FORM!O324</f>
        <v/>
      </c>
      <c r="J324" s="23">
        <f>INSCRITOS_FORM!J324</f>
        <v/>
      </c>
      <c r="K324" s="23">
        <f>INSCRITOS_FORM!K324</f>
        <v/>
      </c>
      <c r="L324" s="23">
        <f>INSCRITOS_FORM!U324</f>
        <v/>
      </c>
      <c r="M324" s="23">
        <f>INSCRITOS_FORM!V324</f>
        <v/>
      </c>
      <c r="N324" s="23">
        <f>INSCRITOS_FORM!W324</f>
        <v/>
      </c>
      <c r="O324" s="23">
        <f>INSCRITOS_FORM!X324</f>
        <v/>
      </c>
      <c r="P324" s="23">
        <f>INSCRITOS_FORM!AB324</f>
        <v/>
      </c>
      <c r="Q324" s="23">
        <f>IF(B324="","",IF(AND(OR(P324="Pagado",P324="Beca",P324="Invitado"),OR(L324="Sí",M324="Sí")),"Sí","No"))</f>
        <v/>
      </c>
      <c r="R324" s="23">
        <f>IF(AND(C324=TORNEO_ACTIVO!$B$3,Q324="Sí"),G324*10000-A324,-1)</f>
        <v/>
      </c>
    </row>
    <row r="325" ht="14.25" customHeight="1" s="72">
      <c r="A325" s="23">
        <f>IF(INSCRITOS_FORM!D325&lt;&gt;"",ROW()-4,"")</f>
        <v/>
      </c>
      <c r="B325" s="23">
        <f>INSCRITOS_FORM!AD325</f>
        <v/>
      </c>
      <c r="C325" s="23">
        <f>INSCRITOS_FORM!T325</f>
        <v/>
      </c>
      <c r="D325" s="23">
        <f>INSCRITOS_FORM!S325</f>
        <v/>
      </c>
      <c r="E325" s="23">
        <f>INSCRITOS_FORM!G325</f>
        <v/>
      </c>
      <c r="F325" s="23">
        <f>INSCRITOS_FORM!L325</f>
        <v/>
      </c>
      <c r="G325" s="23">
        <f t="array" ref="G325">IFERROR(INDEX(CONFIG!$A$22:$A$35,MATCH(F325,CONFIG!$B$22:$B$35,0)),0)</f>
        <v/>
      </c>
      <c r="H325" s="23">
        <f>INSCRITOS_FORM!M325</f>
        <v/>
      </c>
      <c r="I325" s="23">
        <f>INSCRITOS_FORM!O325</f>
        <v/>
      </c>
      <c r="J325" s="23">
        <f>INSCRITOS_FORM!J325</f>
        <v/>
      </c>
      <c r="K325" s="23">
        <f>INSCRITOS_FORM!K325</f>
        <v/>
      </c>
      <c r="L325" s="23">
        <f>INSCRITOS_FORM!U325</f>
        <v/>
      </c>
      <c r="M325" s="23">
        <f>INSCRITOS_FORM!V325</f>
        <v/>
      </c>
      <c r="N325" s="23">
        <f>INSCRITOS_FORM!W325</f>
        <v/>
      </c>
      <c r="O325" s="23">
        <f>INSCRITOS_FORM!X325</f>
        <v/>
      </c>
      <c r="P325" s="23">
        <f>INSCRITOS_FORM!AB325</f>
        <v/>
      </c>
      <c r="Q325" s="23">
        <f>IF(B325="","",IF(AND(OR(P325="Pagado",P325="Beca",P325="Invitado"),OR(L325="Sí",M325="Sí")),"Sí","No"))</f>
        <v/>
      </c>
      <c r="R325" s="23">
        <f>IF(AND(C325=TORNEO_ACTIVO!$B$3,Q325="Sí"),G325*10000-A325,-1)</f>
        <v/>
      </c>
    </row>
    <row r="326" ht="14.25" customHeight="1" s="72">
      <c r="A326" s="23">
        <f>IF(INSCRITOS_FORM!D326&lt;&gt;"",ROW()-4,"")</f>
        <v/>
      </c>
      <c r="B326" s="23">
        <f>INSCRITOS_FORM!AD326</f>
        <v/>
      </c>
      <c r="C326" s="23">
        <f>INSCRITOS_FORM!T326</f>
        <v/>
      </c>
      <c r="D326" s="23">
        <f>INSCRITOS_FORM!S326</f>
        <v/>
      </c>
      <c r="E326" s="23">
        <f>INSCRITOS_FORM!G326</f>
        <v/>
      </c>
      <c r="F326" s="23">
        <f>INSCRITOS_FORM!L326</f>
        <v/>
      </c>
      <c r="G326" s="23">
        <f t="array" ref="G326">IFERROR(INDEX(CONFIG!$A$22:$A$35,MATCH(F326,CONFIG!$B$22:$B$35,0)),0)</f>
        <v/>
      </c>
      <c r="H326" s="23">
        <f>INSCRITOS_FORM!M326</f>
        <v/>
      </c>
      <c r="I326" s="23">
        <f>INSCRITOS_FORM!O326</f>
        <v/>
      </c>
      <c r="J326" s="23">
        <f>INSCRITOS_FORM!J326</f>
        <v/>
      </c>
      <c r="K326" s="23">
        <f>INSCRITOS_FORM!K326</f>
        <v/>
      </c>
      <c r="L326" s="23">
        <f>INSCRITOS_FORM!U326</f>
        <v/>
      </c>
      <c r="M326" s="23">
        <f>INSCRITOS_FORM!V326</f>
        <v/>
      </c>
      <c r="N326" s="23">
        <f>INSCRITOS_FORM!W326</f>
        <v/>
      </c>
      <c r="O326" s="23">
        <f>INSCRITOS_FORM!X326</f>
        <v/>
      </c>
      <c r="P326" s="23">
        <f>INSCRITOS_FORM!AB326</f>
        <v/>
      </c>
      <c r="Q326" s="23">
        <f>IF(B326="","",IF(AND(OR(P326="Pagado",P326="Beca",P326="Invitado"),OR(L326="Sí",M326="Sí")),"Sí","No"))</f>
        <v/>
      </c>
      <c r="R326" s="23">
        <f>IF(AND(C326=TORNEO_ACTIVO!$B$3,Q326="Sí"),G326*10000-A326,-1)</f>
        <v/>
      </c>
    </row>
    <row r="327" ht="14.25" customHeight="1" s="72">
      <c r="A327" s="23">
        <f>IF(INSCRITOS_FORM!D327&lt;&gt;"",ROW()-4,"")</f>
        <v/>
      </c>
      <c r="B327" s="23">
        <f>INSCRITOS_FORM!AD327</f>
        <v/>
      </c>
      <c r="C327" s="23">
        <f>INSCRITOS_FORM!T327</f>
        <v/>
      </c>
      <c r="D327" s="23">
        <f>INSCRITOS_FORM!S327</f>
        <v/>
      </c>
      <c r="E327" s="23">
        <f>INSCRITOS_FORM!G327</f>
        <v/>
      </c>
      <c r="F327" s="23">
        <f>INSCRITOS_FORM!L327</f>
        <v/>
      </c>
      <c r="G327" s="23">
        <f t="array" ref="G327">IFERROR(INDEX(CONFIG!$A$22:$A$35,MATCH(F327,CONFIG!$B$22:$B$35,0)),0)</f>
        <v/>
      </c>
      <c r="H327" s="23">
        <f>INSCRITOS_FORM!M327</f>
        <v/>
      </c>
      <c r="I327" s="23">
        <f>INSCRITOS_FORM!O327</f>
        <v/>
      </c>
      <c r="J327" s="23">
        <f>INSCRITOS_FORM!J327</f>
        <v/>
      </c>
      <c r="K327" s="23">
        <f>INSCRITOS_FORM!K327</f>
        <v/>
      </c>
      <c r="L327" s="23">
        <f>INSCRITOS_FORM!U327</f>
        <v/>
      </c>
      <c r="M327" s="23">
        <f>INSCRITOS_FORM!V327</f>
        <v/>
      </c>
      <c r="N327" s="23">
        <f>INSCRITOS_FORM!W327</f>
        <v/>
      </c>
      <c r="O327" s="23">
        <f>INSCRITOS_FORM!X327</f>
        <v/>
      </c>
      <c r="P327" s="23">
        <f>INSCRITOS_FORM!AB327</f>
        <v/>
      </c>
      <c r="Q327" s="23">
        <f>IF(B327="","",IF(AND(OR(P327="Pagado",P327="Beca",P327="Invitado"),OR(L327="Sí",M327="Sí")),"Sí","No"))</f>
        <v/>
      </c>
      <c r="R327" s="23">
        <f>IF(AND(C327=TORNEO_ACTIVO!$B$3,Q327="Sí"),G327*10000-A327,-1)</f>
        <v/>
      </c>
    </row>
    <row r="328" ht="14.25" customHeight="1" s="72">
      <c r="A328" s="23">
        <f>IF(INSCRITOS_FORM!D328&lt;&gt;"",ROW()-4,"")</f>
        <v/>
      </c>
      <c r="B328" s="23">
        <f>INSCRITOS_FORM!AD328</f>
        <v/>
      </c>
      <c r="C328" s="23">
        <f>INSCRITOS_FORM!T328</f>
        <v/>
      </c>
      <c r="D328" s="23">
        <f>INSCRITOS_FORM!S328</f>
        <v/>
      </c>
      <c r="E328" s="23">
        <f>INSCRITOS_FORM!G328</f>
        <v/>
      </c>
      <c r="F328" s="23">
        <f>INSCRITOS_FORM!L328</f>
        <v/>
      </c>
      <c r="G328" s="23">
        <f t="array" ref="G328">IFERROR(INDEX(CONFIG!$A$22:$A$35,MATCH(F328,CONFIG!$B$22:$B$35,0)),0)</f>
        <v/>
      </c>
      <c r="H328" s="23">
        <f>INSCRITOS_FORM!M328</f>
        <v/>
      </c>
      <c r="I328" s="23">
        <f>INSCRITOS_FORM!O328</f>
        <v/>
      </c>
      <c r="J328" s="23">
        <f>INSCRITOS_FORM!J328</f>
        <v/>
      </c>
      <c r="K328" s="23">
        <f>INSCRITOS_FORM!K328</f>
        <v/>
      </c>
      <c r="L328" s="23">
        <f>INSCRITOS_FORM!U328</f>
        <v/>
      </c>
      <c r="M328" s="23">
        <f>INSCRITOS_FORM!V328</f>
        <v/>
      </c>
      <c r="N328" s="23">
        <f>INSCRITOS_FORM!W328</f>
        <v/>
      </c>
      <c r="O328" s="23">
        <f>INSCRITOS_FORM!X328</f>
        <v/>
      </c>
      <c r="P328" s="23">
        <f>INSCRITOS_FORM!AB328</f>
        <v/>
      </c>
      <c r="Q328" s="23">
        <f>IF(B328="","",IF(AND(OR(P328="Pagado",P328="Beca",P328="Invitado"),OR(L328="Sí",M328="Sí")),"Sí","No"))</f>
        <v/>
      </c>
      <c r="R328" s="23">
        <f>IF(AND(C328=TORNEO_ACTIVO!$B$3,Q328="Sí"),G328*10000-A328,-1)</f>
        <v/>
      </c>
    </row>
    <row r="329" ht="14.25" customHeight="1" s="72">
      <c r="A329" s="23">
        <f>IF(INSCRITOS_FORM!D329&lt;&gt;"",ROW()-4,"")</f>
        <v/>
      </c>
      <c r="B329" s="23">
        <f>INSCRITOS_FORM!AD329</f>
        <v/>
      </c>
      <c r="C329" s="23">
        <f>INSCRITOS_FORM!T329</f>
        <v/>
      </c>
      <c r="D329" s="23">
        <f>INSCRITOS_FORM!S329</f>
        <v/>
      </c>
      <c r="E329" s="23">
        <f>INSCRITOS_FORM!G329</f>
        <v/>
      </c>
      <c r="F329" s="23">
        <f>INSCRITOS_FORM!L329</f>
        <v/>
      </c>
      <c r="G329" s="23">
        <f t="array" ref="G329">IFERROR(INDEX(CONFIG!$A$22:$A$35,MATCH(F329,CONFIG!$B$22:$B$35,0)),0)</f>
        <v/>
      </c>
      <c r="H329" s="23">
        <f>INSCRITOS_FORM!M329</f>
        <v/>
      </c>
      <c r="I329" s="23">
        <f>INSCRITOS_FORM!O329</f>
        <v/>
      </c>
      <c r="J329" s="23">
        <f>INSCRITOS_FORM!J329</f>
        <v/>
      </c>
      <c r="K329" s="23">
        <f>INSCRITOS_FORM!K329</f>
        <v/>
      </c>
      <c r="L329" s="23">
        <f>INSCRITOS_FORM!U329</f>
        <v/>
      </c>
      <c r="M329" s="23">
        <f>INSCRITOS_FORM!V329</f>
        <v/>
      </c>
      <c r="N329" s="23">
        <f>INSCRITOS_FORM!W329</f>
        <v/>
      </c>
      <c r="O329" s="23">
        <f>INSCRITOS_FORM!X329</f>
        <v/>
      </c>
      <c r="P329" s="23">
        <f>INSCRITOS_FORM!AB329</f>
        <v/>
      </c>
      <c r="Q329" s="23">
        <f>IF(B329="","",IF(AND(OR(P329="Pagado",P329="Beca",P329="Invitado"),OR(L329="Sí",M329="Sí")),"Sí","No"))</f>
        <v/>
      </c>
      <c r="R329" s="23">
        <f>IF(AND(C329=TORNEO_ACTIVO!$B$3,Q329="Sí"),G329*10000-A329,-1)</f>
        <v/>
      </c>
    </row>
    <row r="330" ht="14.25" customHeight="1" s="72">
      <c r="A330" s="23">
        <f>IF(INSCRITOS_FORM!D330&lt;&gt;"",ROW()-4,"")</f>
        <v/>
      </c>
      <c r="B330" s="23">
        <f>INSCRITOS_FORM!AD330</f>
        <v/>
      </c>
      <c r="C330" s="23">
        <f>INSCRITOS_FORM!T330</f>
        <v/>
      </c>
      <c r="D330" s="23">
        <f>INSCRITOS_FORM!S330</f>
        <v/>
      </c>
      <c r="E330" s="23">
        <f>INSCRITOS_FORM!G330</f>
        <v/>
      </c>
      <c r="F330" s="23">
        <f>INSCRITOS_FORM!L330</f>
        <v/>
      </c>
      <c r="G330" s="23">
        <f t="array" ref="G330">IFERROR(INDEX(CONFIG!$A$22:$A$35,MATCH(F330,CONFIG!$B$22:$B$35,0)),0)</f>
        <v/>
      </c>
      <c r="H330" s="23">
        <f>INSCRITOS_FORM!M330</f>
        <v/>
      </c>
      <c r="I330" s="23">
        <f>INSCRITOS_FORM!O330</f>
        <v/>
      </c>
      <c r="J330" s="23">
        <f>INSCRITOS_FORM!J330</f>
        <v/>
      </c>
      <c r="K330" s="23">
        <f>INSCRITOS_FORM!K330</f>
        <v/>
      </c>
      <c r="L330" s="23">
        <f>INSCRITOS_FORM!U330</f>
        <v/>
      </c>
      <c r="M330" s="23">
        <f>INSCRITOS_FORM!V330</f>
        <v/>
      </c>
      <c r="N330" s="23">
        <f>INSCRITOS_FORM!W330</f>
        <v/>
      </c>
      <c r="O330" s="23">
        <f>INSCRITOS_FORM!X330</f>
        <v/>
      </c>
      <c r="P330" s="23">
        <f>INSCRITOS_FORM!AB330</f>
        <v/>
      </c>
      <c r="Q330" s="23">
        <f>IF(B330="","",IF(AND(OR(P330="Pagado",P330="Beca",P330="Invitado"),OR(L330="Sí",M330="Sí")),"Sí","No"))</f>
        <v/>
      </c>
      <c r="R330" s="23">
        <f>IF(AND(C330=TORNEO_ACTIVO!$B$3,Q330="Sí"),G330*10000-A330,-1)</f>
        <v/>
      </c>
    </row>
    <row r="331" ht="14.25" customHeight="1" s="72">
      <c r="A331" s="23">
        <f>IF(INSCRITOS_FORM!D331&lt;&gt;"",ROW()-4,"")</f>
        <v/>
      </c>
      <c r="B331" s="23">
        <f>INSCRITOS_FORM!AD331</f>
        <v/>
      </c>
      <c r="C331" s="23">
        <f>INSCRITOS_FORM!T331</f>
        <v/>
      </c>
      <c r="D331" s="23">
        <f>INSCRITOS_FORM!S331</f>
        <v/>
      </c>
      <c r="E331" s="23">
        <f>INSCRITOS_FORM!G331</f>
        <v/>
      </c>
      <c r="F331" s="23">
        <f>INSCRITOS_FORM!L331</f>
        <v/>
      </c>
      <c r="G331" s="23">
        <f t="array" ref="G331">IFERROR(INDEX(CONFIG!$A$22:$A$35,MATCH(F331,CONFIG!$B$22:$B$35,0)),0)</f>
        <v/>
      </c>
      <c r="H331" s="23">
        <f>INSCRITOS_FORM!M331</f>
        <v/>
      </c>
      <c r="I331" s="23">
        <f>INSCRITOS_FORM!O331</f>
        <v/>
      </c>
      <c r="J331" s="23">
        <f>INSCRITOS_FORM!J331</f>
        <v/>
      </c>
      <c r="K331" s="23">
        <f>INSCRITOS_FORM!K331</f>
        <v/>
      </c>
      <c r="L331" s="23">
        <f>INSCRITOS_FORM!U331</f>
        <v/>
      </c>
      <c r="M331" s="23">
        <f>INSCRITOS_FORM!V331</f>
        <v/>
      </c>
      <c r="N331" s="23">
        <f>INSCRITOS_FORM!W331</f>
        <v/>
      </c>
      <c r="O331" s="23">
        <f>INSCRITOS_FORM!X331</f>
        <v/>
      </c>
      <c r="P331" s="23">
        <f>INSCRITOS_FORM!AB331</f>
        <v/>
      </c>
      <c r="Q331" s="23">
        <f>IF(B331="","",IF(AND(OR(P331="Pagado",P331="Beca",P331="Invitado"),OR(L331="Sí",M331="Sí")),"Sí","No"))</f>
        <v/>
      </c>
      <c r="R331" s="23">
        <f>IF(AND(C331=TORNEO_ACTIVO!$B$3,Q331="Sí"),G331*10000-A331,-1)</f>
        <v/>
      </c>
    </row>
    <row r="332" ht="14.25" customHeight="1" s="72">
      <c r="A332" s="23">
        <f>IF(INSCRITOS_FORM!D332&lt;&gt;"",ROW()-4,"")</f>
        <v/>
      </c>
      <c r="B332" s="23">
        <f>INSCRITOS_FORM!AD332</f>
        <v/>
      </c>
      <c r="C332" s="23">
        <f>INSCRITOS_FORM!T332</f>
        <v/>
      </c>
      <c r="D332" s="23">
        <f>INSCRITOS_FORM!S332</f>
        <v/>
      </c>
      <c r="E332" s="23">
        <f>INSCRITOS_FORM!G332</f>
        <v/>
      </c>
      <c r="F332" s="23">
        <f>INSCRITOS_FORM!L332</f>
        <v/>
      </c>
      <c r="G332" s="23">
        <f t="array" ref="G332">IFERROR(INDEX(CONFIG!$A$22:$A$35,MATCH(F332,CONFIG!$B$22:$B$35,0)),0)</f>
        <v/>
      </c>
      <c r="H332" s="23">
        <f>INSCRITOS_FORM!M332</f>
        <v/>
      </c>
      <c r="I332" s="23">
        <f>INSCRITOS_FORM!O332</f>
        <v/>
      </c>
      <c r="J332" s="23">
        <f>INSCRITOS_FORM!J332</f>
        <v/>
      </c>
      <c r="K332" s="23">
        <f>INSCRITOS_FORM!K332</f>
        <v/>
      </c>
      <c r="L332" s="23">
        <f>INSCRITOS_FORM!U332</f>
        <v/>
      </c>
      <c r="M332" s="23">
        <f>INSCRITOS_FORM!V332</f>
        <v/>
      </c>
      <c r="N332" s="23">
        <f>INSCRITOS_FORM!W332</f>
        <v/>
      </c>
      <c r="O332" s="23">
        <f>INSCRITOS_FORM!X332</f>
        <v/>
      </c>
      <c r="P332" s="23">
        <f>INSCRITOS_FORM!AB332</f>
        <v/>
      </c>
      <c r="Q332" s="23">
        <f>IF(B332="","",IF(AND(OR(P332="Pagado",P332="Beca",P332="Invitado"),OR(L332="Sí",M332="Sí")),"Sí","No"))</f>
        <v/>
      </c>
      <c r="R332" s="23">
        <f>IF(AND(C332=TORNEO_ACTIVO!$B$3,Q332="Sí"),G332*10000-A332,-1)</f>
        <v/>
      </c>
    </row>
    <row r="333" ht="14.25" customHeight="1" s="72">
      <c r="A333" s="23">
        <f>IF(INSCRITOS_FORM!D333&lt;&gt;"",ROW()-4,"")</f>
        <v/>
      </c>
      <c r="B333" s="23">
        <f>INSCRITOS_FORM!AD333</f>
        <v/>
      </c>
      <c r="C333" s="23">
        <f>INSCRITOS_FORM!T333</f>
        <v/>
      </c>
      <c r="D333" s="23">
        <f>INSCRITOS_FORM!S333</f>
        <v/>
      </c>
      <c r="E333" s="23">
        <f>INSCRITOS_FORM!G333</f>
        <v/>
      </c>
      <c r="F333" s="23">
        <f>INSCRITOS_FORM!L333</f>
        <v/>
      </c>
      <c r="G333" s="23">
        <f t="array" ref="G333">IFERROR(INDEX(CONFIG!$A$22:$A$35,MATCH(F333,CONFIG!$B$22:$B$35,0)),0)</f>
        <v/>
      </c>
      <c r="H333" s="23">
        <f>INSCRITOS_FORM!M333</f>
        <v/>
      </c>
      <c r="I333" s="23">
        <f>INSCRITOS_FORM!O333</f>
        <v/>
      </c>
      <c r="J333" s="23">
        <f>INSCRITOS_FORM!J333</f>
        <v/>
      </c>
      <c r="K333" s="23">
        <f>INSCRITOS_FORM!K333</f>
        <v/>
      </c>
      <c r="L333" s="23">
        <f>INSCRITOS_FORM!U333</f>
        <v/>
      </c>
      <c r="M333" s="23">
        <f>INSCRITOS_FORM!V333</f>
        <v/>
      </c>
      <c r="N333" s="23">
        <f>INSCRITOS_FORM!W333</f>
        <v/>
      </c>
      <c r="O333" s="23">
        <f>INSCRITOS_FORM!X333</f>
        <v/>
      </c>
      <c r="P333" s="23">
        <f>INSCRITOS_FORM!AB333</f>
        <v/>
      </c>
      <c r="Q333" s="23">
        <f>IF(B333="","",IF(AND(OR(P333="Pagado",P333="Beca",P333="Invitado"),OR(L333="Sí",M333="Sí")),"Sí","No"))</f>
        <v/>
      </c>
      <c r="R333" s="23">
        <f>IF(AND(C333=TORNEO_ACTIVO!$B$3,Q333="Sí"),G333*10000-A333,-1)</f>
        <v/>
      </c>
    </row>
    <row r="334" ht="14.25" customHeight="1" s="72">
      <c r="A334" s="23">
        <f>IF(INSCRITOS_FORM!D334&lt;&gt;"",ROW()-4,"")</f>
        <v/>
      </c>
      <c r="B334" s="23">
        <f>INSCRITOS_FORM!AD334</f>
        <v/>
      </c>
      <c r="C334" s="23">
        <f>INSCRITOS_FORM!T334</f>
        <v/>
      </c>
      <c r="D334" s="23">
        <f>INSCRITOS_FORM!S334</f>
        <v/>
      </c>
      <c r="E334" s="23">
        <f>INSCRITOS_FORM!G334</f>
        <v/>
      </c>
      <c r="F334" s="23">
        <f>INSCRITOS_FORM!L334</f>
        <v/>
      </c>
      <c r="G334" s="23">
        <f t="array" ref="G334">IFERROR(INDEX(CONFIG!$A$22:$A$35,MATCH(F334,CONFIG!$B$22:$B$35,0)),0)</f>
        <v/>
      </c>
      <c r="H334" s="23">
        <f>INSCRITOS_FORM!M334</f>
        <v/>
      </c>
      <c r="I334" s="23">
        <f>INSCRITOS_FORM!O334</f>
        <v/>
      </c>
      <c r="J334" s="23">
        <f>INSCRITOS_FORM!J334</f>
        <v/>
      </c>
      <c r="K334" s="23">
        <f>INSCRITOS_FORM!K334</f>
        <v/>
      </c>
      <c r="L334" s="23">
        <f>INSCRITOS_FORM!U334</f>
        <v/>
      </c>
      <c r="M334" s="23">
        <f>INSCRITOS_FORM!V334</f>
        <v/>
      </c>
      <c r="N334" s="23">
        <f>INSCRITOS_FORM!W334</f>
        <v/>
      </c>
      <c r="O334" s="23">
        <f>INSCRITOS_FORM!X334</f>
        <v/>
      </c>
      <c r="P334" s="23">
        <f>INSCRITOS_FORM!AB334</f>
        <v/>
      </c>
      <c r="Q334" s="23">
        <f>IF(B334="","",IF(AND(OR(P334="Pagado",P334="Beca",P334="Invitado"),OR(L334="Sí",M334="Sí")),"Sí","No"))</f>
        <v/>
      </c>
      <c r="R334" s="23">
        <f>IF(AND(C334=TORNEO_ACTIVO!$B$3,Q334="Sí"),G334*10000-A334,-1)</f>
        <v/>
      </c>
    </row>
    <row r="335" ht="14.25" customHeight="1" s="72">
      <c r="A335" s="23">
        <f>IF(INSCRITOS_FORM!D335&lt;&gt;"",ROW()-4,"")</f>
        <v/>
      </c>
      <c r="B335" s="23">
        <f>INSCRITOS_FORM!AD335</f>
        <v/>
      </c>
      <c r="C335" s="23">
        <f>INSCRITOS_FORM!T335</f>
        <v/>
      </c>
      <c r="D335" s="23">
        <f>INSCRITOS_FORM!S335</f>
        <v/>
      </c>
      <c r="E335" s="23">
        <f>INSCRITOS_FORM!G335</f>
        <v/>
      </c>
      <c r="F335" s="23">
        <f>INSCRITOS_FORM!L335</f>
        <v/>
      </c>
      <c r="G335" s="23">
        <f t="array" ref="G335">IFERROR(INDEX(CONFIG!$A$22:$A$35,MATCH(F335,CONFIG!$B$22:$B$35,0)),0)</f>
        <v/>
      </c>
      <c r="H335" s="23">
        <f>INSCRITOS_FORM!M335</f>
        <v/>
      </c>
      <c r="I335" s="23">
        <f>INSCRITOS_FORM!O335</f>
        <v/>
      </c>
      <c r="J335" s="23">
        <f>INSCRITOS_FORM!J335</f>
        <v/>
      </c>
      <c r="K335" s="23">
        <f>INSCRITOS_FORM!K335</f>
        <v/>
      </c>
      <c r="L335" s="23">
        <f>INSCRITOS_FORM!U335</f>
        <v/>
      </c>
      <c r="M335" s="23">
        <f>INSCRITOS_FORM!V335</f>
        <v/>
      </c>
      <c r="N335" s="23">
        <f>INSCRITOS_FORM!W335</f>
        <v/>
      </c>
      <c r="O335" s="23">
        <f>INSCRITOS_FORM!X335</f>
        <v/>
      </c>
      <c r="P335" s="23">
        <f>INSCRITOS_FORM!AB335</f>
        <v/>
      </c>
      <c r="Q335" s="23">
        <f>IF(B335="","",IF(AND(OR(P335="Pagado",P335="Beca",P335="Invitado"),OR(L335="Sí",M335="Sí")),"Sí","No"))</f>
        <v/>
      </c>
      <c r="R335" s="23">
        <f>IF(AND(C335=TORNEO_ACTIVO!$B$3,Q335="Sí"),G335*10000-A335,-1)</f>
        <v/>
      </c>
    </row>
    <row r="336" ht="14.25" customHeight="1" s="72">
      <c r="A336" s="23">
        <f>IF(INSCRITOS_FORM!D336&lt;&gt;"",ROW()-4,"")</f>
        <v/>
      </c>
      <c r="B336" s="23">
        <f>INSCRITOS_FORM!AD336</f>
        <v/>
      </c>
      <c r="C336" s="23">
        <f>INSCRITOS_FORM!T336</f>
        <v/>
      </c>
      <c r="D336" s="23">
        <f>INSCRITOS_FORM!S336</f>
        <v/>
      </c>
      <c r="E336" s="23">
        <f>INSCRITOS_FORM!G336</f>
        <v/>
      </c>
      <c r="F336" s="23">
        <f>INSCRITOS_FORM!L336</f>
        <v/>
      </c>
      <c r="G336" s="23">
        <f t="array" ref="G336">IFERROR(INDEX(CONFIG!$A$22:$A$35,MATCH(F336,CONFIG!$B$22:$B$35,0)),0)</f>
        <v/>
      </c>
      <c r="H336" s="23">
        <f>INSCRITOS_FORM!M336</f>
        <v/>
      </c>
      <c r="I336" s="23">
        <f>INSCRITOS_FORM!O336</f>
        <v/>
      </c>
      <c r="J336" s="23">
        <f>INSCRITOS_FORM!J336</f>
        <v/>
      </c>
      <c r="K336" s="23">
        <f>INSCRITOS_FORM!K336</f>
        <v/>
      </c>
      <c r="L336" s="23">
        <f>INSCRITOS_FORM!U336</f>
        <v/>
      </c>
      <c r="M336" s="23">
        <f>INSCRITOS_FORM!V336</f>
        <v/>
      </c>
      <c r="N336" s="23">
        <f>INSCRITOS_FORM!W336</f>
        <v/>
      </c>
      <c r="O336" s="23">
        <f>INSCRITOS_FORM!X336</f>
        <v/>
      </c>
      <c r="P336" s="23">
        <f>INSCRITOS_FORM!AB336</f>
        <v/>
      </c>
      <c r="Q336" s="23">
        <f>IF(B336="","",IF(AND(OR(P336="Pagado",P336="Beca",P336="Invitado"),OR(L336="Sí",M336="Sí")),"Sí","No"))</f>
        <v/>
      </c>
      <c r="R336" s="23">
        <f>IF(AND(C336=TORNEO_ACTIVO!$B$3,Q336="Sí"),G336*10000-A336,-1)</f>
        <v/>
      </c>
    </row>
    <row r="337" ht="14.25" customHeight="1" s="72">
      <c r="A337" s="23">
        <f>IF(INSCRITOS_FORM!D337&lt;&gt;"",ROW()-4,"")</f>
        <v/>
      </c>
      <c r="B337" s="23">
        <f>INSCRITOS_FORM!AD337</f>
        <v/>
      </c>
      <c r="C337" s="23">
        <f>INSCRITOS_FORM!T337</f>
        <v/>
      </c>
      <c r="D337" s="23">
        <f>INSCRITOS_FORM!S337</f>
        <v/>
      </c>
      <c r="E337" s="23">
        <f>INSCRITOS_FORM!G337</f>
        <v/>
      </c>
      <c r="F337" s="23">
        <f>INSCRITOS_FORM!L337</f>
        <v/>
      </c>
      <c r="G337" s="23">
        <f t="array" ref="G337">IFERROR(INDEX(CONFIG!$A$22:$A$35,MATCH(F337,CONFIG!$B$22:$B$35,0)),0)</f>
        <v/>
      </c>
      <c r="H337" s="23">
        <f>INSCRITOS_FORM!M337</f>
        <v/>
      </c>
      <c r="I337" s="23">
        <f>INSCRITOS_FORM!O337</f>
        <v/>
      </c>
      <c r="J337" s="23">
        <f>INSCRITOS_FORM!J337</f>
        <v/>
      </c>
      <c r="K337" s="23">
        <f>INSCRITOS_FORM!K337</f>
        <v/>
      </c>
      <c r="L337" s="23">
        <f>INSCRITOS_FORM!U337</f>
        <v/>
      </c>
      <c r="M337" s="23">
        <f>INSCRITOS_FORM!V337</f>
        <v/>
      </c>
      <c r="N337" s="23">
        <f>INSCRITOS_FORM!W337</f>
        <v/>
      </c>
      <c r="O337" s="23">
        <f>INSCRITOS_FORM!X337</f>
        <v/>
      </c>
      <c r="P337" s="23">
        <f>INSCRITOS_FORM!AB337</f>
        <v/>
      </c>
      <c r="Q337" s="23">
        <f>IF(B337="","",IF(AND(OR(P337="Pagado",P337="Beca",P337="Invitado"),OR(L337="Sí",M337="Sí")),"Sí","No"))</f>
        <v/>
      </c>
      <c r="R337" s="23">
        <f>IF(AND(C337=TORNEO_ACTIVO!$B$3,Q337="Sí"),G337*10000-A337,-1)</f>
        <v/>
      </c>
    </row>
    <row r="338" ht="14.25" customHeight="1" s="72">
      <c r="A338" s="23">
        <f>IF(INSCRITOS_FORM!D338&lt;&gt;"",ROW()-4,"")</f>
        <v/>
      </c>
      <c r="B338" s="23">
        <f>INSCRITOS_FORM!AD338</f>
        <v/>
      </c>
      <c r="C338" s="23">
        <f>INSCRITOS_FORM!T338</f>
        <v/>
      </c>
      <c r="D338" s="23">
        <f>INSCRITOS_FORM!S338</f>
        <v/>
      </c>
      <c r="E338" s="23">
        <f>INSCRITOS_FORM!G338</f>
        <v/>
      </c>
      <c r="F338" s="23">
        <f>INSCRITOS_FORM!L338</f>
        <v/>
      </c>
      <c r="G338" s="23">
        <f t="array" ref="G338">IFERROR(INDEX(CONFIG!$A$22:$A$35,MATCH(F338,CONFIG!$B$22:$B$35,0)),0)</f>
        <v/>
      </c>
      <c r="H338" s="23">
        <f>INSCRITOS_FORM!M338</f>
        <v/>
      </c>
      <c r="I338" s="23">
        <f>INSCRITOS_FORM!O338</f>
        <v/>
      </c>
      <c r="J338" s="23">
        <f>INSCRITOS_FORM!J338</f>
        <v/>
      </c>
      <c r="K338" s="23">
        <f>INSCRITOS_FORM!K338</f>
        <v/>
      </c>
      <c r="L338" s="23">
        <f>INSCRITOS_FORM!U338</f>
        <v/>
      </c>
      <c r="M338" s="23">
        <f>INSCRITOS_FORM!V338</f>
        <v/>
      </c>
      <c r="N338" s="23">
        <f>INSCRITOS_FORM!W338</f>
        <v/>
      </c>
      <c r="O338" s="23">
        <f>INSCRITOS_FORM!X338</f>
        <v/>
      </c>
      <c r="P338" s="23">
        <f>INSCRITOS_FORM!AB338</f>
        <v/>
      </c>
      <c r="Q338" s="23">
        <f>IF(B338="","",IF(AND(OR(P338="Pagado",P338="Beca",P338="Invitado"),OR(L338="Sí",M338="Sí")),"Sí","No"))</f>
        <v/>
      </c>
      <c r="R338" s="23">
        <f>IF(AND(C338=TORNEO_ACTIVO!$B$3,Q338="Sí"),G338*10000-A338,-1)</f>
        <v/>
      </c>
    </row>
    <row r="339" ht="14.25" customHeight="1" s="72">
      <c r="A339" s="23">
        <f>IF(INSCRITOS_FORM!D339&lt;&gt;"",ROW()-4,"")</f>
        <v/>
      </c>
      <c r="B339" s="23">
        <f>INSCRITOS_FORM!AD339</f>
        <v/>
      </c>
      <c r="C339" s="23">
        <f>INSCRITOS_FORM!T339</f>
        <v/>
      </c>
      <c r="D339" s="23">
        <f>INSCRITOS_FORM!S339</f>
        <v/>
      </c>
      <c r="E339" s="23">
        <f>INSCRITOS_FORM!G339</f>
        <v/>
      </c>
      <c r="F339" s="23">
        <f>INSCRITOS_FORM!L339</f>
        <v/>
      </c>
      <c r="G339" s="23">
        <f t="array" ref="G339">IFERROR(INDEX(CONFIG!$A$22:$A$35,MATCH(F339,CONFIG!$B$22:$B$35,0)),0)</f>
        <v/>
      </c>
      <c r="H339" s="23">
        <f>INSCRITOS_FORM!M339</f>
        <v/>
      </c>
      <c r="I339" s="23">
        <f>INSCRITOS_FORM!O339</f>
        <v/>
      </c>
      <c r="J339" s="23">
        <f>INSCRITOS_FORM!J339</f>
        <v/>
      </c>
      <c r="K339" s="23">
        <f>INSCRITOS_FORM!K339</f>
        <v/>
      </c>
      <c r="L339" s="23">
        <f>INSCRITOS_FORM!U339</f>
        <v/>
      </c>
      <c r="M339" s="23">
        <f>INSCRITOS_FORM!V339</f>
        <v/>
      </c>
      <c r="N339" s="23">
        <f>INSCRITOS_FORM!W339</f>
        <v/>
      </c>
      <c r="O339" s="23">
        <f>INSCRITOS_FORM!X339</f>
        <v/>
      </c>
      <c r="P339" s="23">
        <f>INSCRITOS_FORM!AB339</f>
        <v/>
      </c>
      <c r="Q339" s="23">
        <f>IF(B339="","",IF(AND(OR(P339="Pagado",P339="Beca",P339="Invitado"),OR(L339="Sí",M339="Sí")),"Sí","No"))</f>
        <v/>
      </c>
      <c r="R339" s="23">
        <f>IF(AND(C339=TORNEO_ACTIVO!$B$3,Q339="Sí"),G339*10000-A339,-1)</f>
        <v/>
      </c>
    </row>
    <row r="340" ht="14.25" customHeight="1" s="72">
      <c r="A340" s="23">
        <f>IF(INSCRITOS_FORM!D340&lt;&gt;"",ROW()-4,"")</f>
        <v/>
      </c>
      <c r="B340" s="23">
        <f>INSCRITOS_FORM!AD340</f>
        <v/>
      </c>
      <c r="C340" s="23">
        <f>INSCRITOS_FORM!T340</f>
        <v/>
      </c>
      <c r="D340" s="23">
        <f>INSCRITOS_FORM!S340</f>
        <v/>
      </c>
      <c r="E340" s="23">
        <f>INSCRITOS_FORM!G340</f>
        <v/>
      </c>
      <c r="F340" s="23">
        <f>INSCRITOS_FORM!L340</f>
        <v/>
      </c>
      <c r="G340" s="23">
        <f t="array" ref="G340">IFERROR(INDEX(CONFIG!$A$22:$A$35,MATCH(F340,CONFIG!$B$22:$B$35,0)),0)</f>
        <v/>
      </c>
      <c r="H340" s="23">
        <f>INSCRITOS_FORM!M340</f>
        <v/>
      </c>
      <c r="I340" s="23">
        <f>INSCRITOS_FORM!O340</f>
        <v/>
      </c>
      <c r="J340" s="23">
        <f>INSCRITOS_FORM!J340</f>
        <v/>
      </c>
      <c r="K340" s="23">
        <f>INSCRITOS_FORM!K340</f>
        <v/>
      </c>
      <c r="L340" s="23">
        <f>INSCRITOS_FORM!U340</f>
        <v/>
      </c>
      <c r="M340" s="23">
        <f>INSCRITOS_FORM!V340</f>
        <v/>
      </c>
      <c r="N340" s="23">
        <f>INSCRITOS_FORM!W340</f>
        <v/>
      </c>
      <c r="O340" s="23">
        <f>INSCRITOS_FORM!X340</f>
        <v/>
      </c>
      <c r="P340" s="23">
        <f>INSCRITOS_FORM!AB340</f>
        <v/>
      </c>
      <c r="Q340" s="23">
        <f>IF(B340="","",IF(AND(OR(P340="Pagado",P340="Beca",P340="Invitado"),OR(L340="Sí",M340="Sí")),"Sí","No"))</f>
        <v/>
      </c>
      <c r="R340" s="23">
        <f>IF(AND(C340=TORNEO_ACTIVO!$B$3,Q340="Sí"),G340*10000-A340,-1)</f>
        <v/>
      </c>
    </row>
    <row r="341" ht="14.25" customHeight="1" s="72">
      <c r="A341" s="23">
        <f>IF(INSCRITOS_FORM!D341&lt;&gt;"",ROW()-4,"")</f>
        <v/>
      </c>
      <c r="B341" s="23">
        <f>INSCRITOS_FORM!AD341</f>
        <v/>
      </c>
      <c r="C341" s="23">
        <f>INSCRITOS_FORM!T341</f>
        <v/>
      </c>
      <c r="D341" s="23">
        <f>INSCRITOS_FORM!S341</f>
        <v/>
      </c>
      <c r="E341" s="23">
        <f>INSCRITOS_FORM!G341</f>
        <v/>
      </c>
      <c r="F341" s="23">
        <f>INSCRITOS_FORM!L341</f>
        <v/>
      </c>
      <c r="G341" s="23">
        <f t="array" ref="G341">IFERROR(INDEX(CONFIG!$A$22:$A$35,MATCH(F341,CONFIG!$B$22:$B$35,0)),0)</f>
        <v/>
      </c>
      <c r="H341" s="23">
        <f>INSCRITOS_FORM!M341</f>
        <v/>
      </c>
      <c r="I341" s="23">
        <f>INSCRITOS_FORM!O341</f>
        <v/>
      </c>
      <c r="J341" s="23">
        <f>INSCRITOS_FORM!J341</f>
        <v/>
      </c>
      <c r="K341" s="23">
        <f>INSCRITOS_FORM!K341</f>
        <v/>
      </c>
      <c r="L341" s="23">
        <f>INSCRITOS_FORM!U341</f>
        <v/>
      </c>
      <c r="M341" s="23">
        <f>INSCRITOS_FORM!V341</f>
        <v/>
      </c>
      <c r="N341" s="23">
        <f>INSCRITOS_FORM!W341</f>
        <v/>
      </c>
      <c r="O341" s="23">
        <f>INSCRITOS_FORM!X341</f>
        <v/>
      </c>
      <c r="P341" s="23">
        <f>INSCRITOS_FORM!AB341</f>
        <v/>
      </c>
      <c r="Q341" s="23">
        <f>IF(B341="","",IF(AND(OR(P341="Pagado",P341="Beca",P341="Invitado"),OR(L341="Sí",M341="Sí")),"Sí","No"))</f>
        <v/>
      </c>
      <c r="R341" s="23">
        <f>IF(AND(C341=TORNEO_ACTIVO!$B$3,Q341="Sí"),G341*10000-A341,-1)</f>
        <v/>
      </c>
    </row>
    <row r="342" ht="14.25" customHeight="1" s="72">
      <c r="A342" s="23">
        <f>IF(INSCRITOS_FORM!D342&lt;&gt;"",ROW()-4,"")</f>
        <v/>
      </c>
      <c r="B342" s="23">
        <f>INSCRITOS_FORM!AD342</f>
        <v/>
      </c>
      <c r="C342" s="23">
        <f>INSCRITOS_FORM!T342</f>
        <v/>
      </c>
      <c r="D342" s="23">
        <f>INSCRITOS_FORM!S342</f>
        <v/>
      </c>
      <c r="E342" s="23">
        <f>INSCRITOS_FORM!G342</f>
        <v/>
      </c>
      <c r="F342" s="23">
        <f>INSCRITOS_FORM!L342</f>
        <v/>
      </c>
      <c r="G342" s="23">
        <f t="array" ref="G342">IFERROR(INDEX(CONFIG!$A$22:$A$35,MATCH(F342,CONFIG!$B$22:$B$35,0)),0)</f>
        <v/>
      </c>
      <c r="H342" s="23">
        <f>INSCRITOS_FORM!M342</f>
        <v/>
      </c>
      <c r="I342" s="23">
        <f>INSCRITOS_FORM!O342</f>
        <v/>
      </c>
      <c r="J342" s="23">
        <f>INSCRITOS_FORM!J342</f>
        <v/>
      </c>
      <c r="K342" s="23">
        <f>INSCRITOS_FORM!K342</f>
        <v/>
      </c>
      <c r="L342" s="23">
        <f>INSCRITOS_FORM!U342</f>
        <v/>
      </c>
      <c r="M342" s="23">
        <f>INSCRITOS_FORM!V342</f>
        <v/>
      </c>
      <c r="N342" s="23">
        <f>INSCRITOS_FORM!W342</f>
        <v/>
      </c>
      <c r="O342" s="23">
        <f>INSCRITOS_FORM!X342</f>
        <v/>
      </c>
      <c r="P342" s="23">
        <f>INSCRITOS_FORM!AB342</f>
        <v/>
      </c>
      <c r="Q342" s="23">
        <f>IF(B342="","",IF(AND(OR(P342="Pagado",P342="Beca",P342="Invitado"),OR(L342="Sí",M342="Sí")),"Sí","No"))</f>
        <v/>
      </c>
      <c r="R342" s="23">
        <f>IF(AND(C342=TORNEO_ACTIVO!$B$3,Q342="Sí"),G342*10000-A342,-1)</f>
        <v/>
      </c>
    </row>
    <row r="343" ht="14.25" customHeight="1" s="72">
      <c r="A343" s="23">
        <f>IF(INSCRITOS_FORM!D343&lt;&gt;"",ROW()-4,"")</f>
        <v/>
      </c>
      <c r="B343" s="23">
        <f>INSCRITOS_FORM!AD343</f>
        <v/>
      </c>
      <c r="C343" s="23">
        <f>INSCRITOS_FORM!T343</f>
        <v/>
      </c>
      <c r="D343" s="23">
        <f>INSCRITOS_FORM!S343</f>
        <v/>
      </c>
      <c r="E343" s="23">
        <f>INSCRITOS_FORM!G343</f>
        <v/>
      </c>
      <c r="F343" s="23">
        <f>INSCRITOS_FORM!L343</f>
        <v/>
      </c>
      <c r="G343" s="23">
        <f t="array" ref="G343">IFERROR(INDEX(CONFIG!$A$22:$A$35,MATCH(F343,CONFIG!$B$22:$B$35,0)),0)</f>
        <v/>
      </c>
      <c r="H343" s="23">
        <f>INSCRITOS_FORM!M343</f>
        <v/>
      </c>
      <c r="I343" s="23">
        <f>INSCRITOS_FORM!O343</f>
        <v/>
      </c>
      <c r="J343" s="23">
        <f>INSCRITOS_FORM!J343</f>
        <v/>
      </c>
      <c r="K343" s="23">
        <f>INSCRITOS_FORM!K343</f>
        <v/>
      </c>
      <c r="L343" s="23">
        <f>INSCRITOS_FORM!U343</f>
        <v/>
      </c>
      <c r="M343" s="23">
        <f>INSCRITOS_FORM!V343</f>
        <v/>
      </c>
      <c r="N343" s="23">
        <f>INSCRITOS_FORM!W343</f>
        <v/>
      </c>
      <c r="O343" s="23">
        <f>INSCRITOS_FORM!X343</f>
        <v/>
      </c>
      <c r="P343" s="23">
        <f>INSCRITOS_FORM!AB343</f>
        <v/>
      </c>
      <c r="Q343" s="23">
        <f>IF(B343="","",IF(AND(OR(P343="Pagado",P343="Beca",P343="Invitado"),OR(L343="Sí",M343="Sí")),"Sí","No"))</f>
        <v/>
      </c>
      <c r="R343" s="23">
        <f>IF(AND(C343=TORNEO_ACTIVO!$B$3,Q343="Sí"),G343*10000-A343,-1)</f>
        <v/>
      </c>
    </row>
    <row r="344" ht="14.25" customHeight="1" s="72">
      <c r="A344" s="23">
        <f>IF(INSCRITOS_FORM!D344&lt;&gt;"",ROW()-4,"")</f>
        <v/>
      </c>
      <c r="B344" s="23">
        <f>INSCRITOS_FORM!AD344</f>
        <v/>
      </c>
      <c r="C344" s="23">
        <f>INSCRITOS_FORM!T344</f>
        <v/>
      </c>
      <c r="D344" s="23">
        <f>INSCRITOS_FORM!S344</f>
        <v/>
      </c>
      <c r="E344" s="23">
        <f>INSCRITOS_FORM!G344</f>
        <v/>
      </c>
      <c r="F344" s="23">
        <f>INSCRITOS_FORM!L344</f>
        <v/>
      </c>
      <c r="G344" s="23">
        <f t="array" ref="G344">IFERROR(INDEX(CONFIG!$A$22:$A$35,MATCH(F344,CONFIG!$B$22:$B$35,0)),0)</f>
        <v/>
      </c>
      <c r="H344" s="23">
        <f>INSCRITOS_FORM!M344</f>
        <v/>
      </c>
      <c r="I344" s="23">
        <f>INSCRITOS_FORM!O344</f>
        <v/>
      </c>
      <c r="J344" s="23">
        <f>INSCRITOS_FORM!J344</f>
        <v/>
      </c>
      <c r="K344" s="23">
        <f>INSCRITOS_FORM!K344</f>
        <v/>
      </c>
      <c r="L344" s="23">
        <f>INSCRITOS_FORM!U344</f>
        <v/>
      </c>
      <c r="M344" s="23">
        <f>INSCRITOS_FORM!V344</f>
        <v/>
      </c>
      <c r="N344" s="23">
        <f>INSCRITOS_FORM!W344</f>
        <v/>
      </c>
      <c r="O344" s="23">
        <f>INSCRITOS_FORM!X344</f>
        <v/>
      </c>
      <c r="P344" s="23">
        <f>INSCRITOS_FORM!AB344</f>
        <v/>
      </c>
      <c r="Q344" s="23">
        <f>IF(B344="","",IF(AND(OR(P344="Pagado",P344="Beca",P344="Invitado"),OR(L344="Sí",M344="Sí")),"Sí","No"))</f>
        <v/>
      </c>
      <c r="R344" s="23">
        <f>IF(AND(C344=TORNEO_ACTIVO!$B$3,Q344="Sí"),G344*10000-A344,-1)</f>
        <v/>
      </c>
    </row>
    <row r="345" ht="14.25" customHeight="1" s="72">
      <c r="A345" s="23">
        <f>IF(INSCRITOS_FORM!D345&lt;&gt;"",ROW()-4,"")</f>
        <v/>
      </c>
      <c r="B345" s="23">
        <f>INSCRITOS_FORM!AD345</f>
        <v/>
      </c>
      <c r="C345" s="23">
        <f>INSCRITOS_FORM!T345</f>
        <v/>
      </c>
      <c r="D345" s="23">
        <f>INSCRITOS_FORM!S345</f>
        <v/>
      </c>
      <c r="E345" s="23">
        <f>INSCRITOS_FORM!G345</f>
        <v/>
      </c>
      <c r="F345" s="23">
        <f>INSCRITOS_FORM!L345</f>
        <v/>
      </c>
      <c r="G345" s="23">
        <f t="array" ref="G345">IFERROR(INDEX(CONFIG!$A$22:$A$35,MATCH(F345,CONFIG!$B$22:$B$35,0)),0)</f>
        <v/>
      </c>
      <c r="H345" s="23">
        <f>INSCRITOS_FORM!M345</f>
        <v/>
      </c>
      <c r="I345" s="23">
        <f>INSCRITOS_FORM!O345</f>
        <v/>
      </c>
      <c r="J345" s="23">
        <f>INSCRITOS_FORM!J345</f>
        <v/>
      </c>
      <c r="K345" s="23">
        <f>INSCRITOS_FORM!K345</f>
        <v/>
      </c>
      <c r="L345" s="23">
        <f>INSCRITOS_FORM!U345</f>
        <v/>
      </c>
      <c r="M345" s="23">
        <f>INSCRITOS_FORM!V345</f>
        <v/>
      </c>
      <c r="N345" s="23">
        <f>INSCRITOS_FORM!W345</f>
        <v/>
      </c>
      <c r="O345" s="23">
        <f>INSCRITOS_FORM!X345</f>
        <v/>
      </c>
      <c r="P345" s="23">
        <f>INSCRITOS_FORM!AB345</f>
        <v/>
      </c>
      <c r="Q345" s="23">
        <f>IF(B345="","",IF(AND(OR(P345="Pagado",P345="Beca",P345="Invitado"),OR(L345="Sí",M345="Sí")),"Sí","No"))</f>
        <v/>
      </c>
      <c r="R345" s="23">
        <f>IF(AND(C345=TORNEO_ACTIVO!$B$3,Q345="Sí"),G345*10000-A345,-1)</f>
        <v/>
      </c>
    </row>
    <row r="346" ht="14.25" customHeight="1" s="72">
      <c r="A346" s="23">
        <f>IF(INSCRITOS_FORM!D346&lt;&gt;"",ROW()-4,"")</f>
        <v/>
      </c>
      <c r="B346" s="23">
        <f>INSCRITOS_FORM!AD346</f>
        <v/>
      </c>
      <c r="C346" s="23">
        <f>INSCRITOS_FORM!T346</f>
        <v/>
      </c>
      <c r="D346" s="23">
        <f>INSCRITOS_FORM!S346</f>
        <v/>
      </c>
      <c r="E346" s="23">
        <f>INSCRITOS_FORM!G346</f>
        <v/>
      </c>
      <c r="F346" s="23">
        <f>INSCRITOS_FORM!L346</f>
        <v/>
      </c>
      <c r="G346" s="23">
        <f t="array" ref="G346">IFERROR(INDEX(CONFIG!$A$22:$A$35,MATCH(F346,CONFIG!$B$22:$B$35,0)),0)</f>
        <v/>
      </c>
      <c r="H346" s="23">
        <f>INSCRITOS_FORM!M346</f>
        <v/>
      </c>
      <c r="I346" s="23">
        <f>INSCRITOS_FORM!O346</f>
        <v/>
      </c>
      <c r="J346" s="23">
        <f>INSCRITOS_FORM!J346</f>
        <v/>
      </c>
      <c r="K346" s="23">
        <f>INSCRITOS_FORM!K346</f>
        <v/>
      </c>
      <c r="L346" s="23">
        <f>INSCRITOS_FORM!U346</f>
        <v/>
      </c>
      <c r="M346" s="23">
        <f>INSCRITOS_FORM!V346</f>
        <v/>
      </c>
      <c r="N346" s="23">
        <f>INSCRITOS_FORM!W346</f>
        <v/>
      </c>
      <c r="O346" s="23">
        <f>INSCRITOS_FORM!X346</f>
        <v/>
      </c>
      <c r="P346" s="23">
        <f>INSCRITOS_FORM!AB346</f>
        <v/>
      </c>
      <c r="Q346" s="23">
        <f>IF(B346="","",IF(AND(OR(P346="Pagado",P346="Beca",P346="Invitado"),OR(L346="Sí",M346="Sí")),"Sí","No"))</f>
        <v/>
      </c>
      <c r="R346" s="23">
        <f>IF(AND(C346=TORNEO_ACTIVO!$B$3,Q346="Sí"),G346*10000-A346,-1)</f>
        <v/>
      </c>
    </row>
    <row r="347" ht="14.25" customHeight="1" s="72">
      <c r="A347" s="23">
        <f>IF(INSCRITOS_FORM!D347&lt;&gt;"",ROW()-4,"")</f>
        <v/>
      </c>
      <c r="B347" s="23">
        <f>INSCRITOS_FORM!AD347</f>
        <v/>
      </c>
      <c r="C347" s="23">
        <f>INSCRITOS_FORM!T347</f>
        <v/>
      </c>
      <c r="D347" s="23">
        <f>INSCRITOS_FORM!S347</f>
        <v/>
      </c>
      <c r="E347" s="23">
        <f>INSCRITOS_FORM!G347</f>
        <v/>
      </c>
      <c r="F347" s="23">
        <f>INSCRITOS_FORM!L347</f>
        <v/>
      </c>
      <c r="G347" s="23">
        <f t="array" ref="G347">IFERROR(INDEX(CONFIG!$A$22:$A$35,MATCH(F347,CONFIG!$B$22:$B$35,0)),0)</f>
        <v/>
      </c>
      <c r="H347" s="23">
        <f>INSCRITOS_FORM!M347</f>
        <v/>
      </c>
      <c r="I347" s="23">
        <f>INSCRITOS_FORM!O347</f>
        <v/>
      </c>
      <c r="J347" s="23">
        <f>INSCRITOS_FORM!J347</f>
        <v/>
      </c>
      <c r="K347" s="23">
        <f>INSCRITOS_FORM!K347</f>
        <v/>
      </c>
      <c r="L347" s="23">
        <f>INSCRITOS_FORM!U347</f>
        <v/>
      </c>
      <c r="M347" s="23">
        <f>INSCRITOS_FORM!V347</f>
        <v/>
      </c>
      <c r="N347" s="23">
        <f>INSCRITOS_FORM!W347</f>
        <v/>
      </c>
      <c r="O347" s="23">
        <f>INSCRITOS_FORM!X347</f>
        <v/>
      </c>
      <c r="P347" s="23">
        <f>INSCRITOS_FORM!AB347</f>
        <v/>
      </c>
      <c r="Q347" s="23">
        <f>IF(B347="","",IF(AND(OR(P347="Pagado",P347="Beca",P347="Invitado"),OR(L347="Sí",M347="Sí")),"Sí","No"))</f>
        <v/>
      </c>
      <c r="R347" s="23">
        <f>IF(AND(C347=TORNEO_ACTIVO!$B$3,Q347="Sí"),G347*10000-A347,-1)</f>
        <v/>
      </c>
    </row>
    <row r="348" ht="14.25" customHeight="1" s="72">
      <c r="A348" s="23">
        <f>IF(INSCRITOS_FORM!D348&lt;&gt;"",ROW()-4,"")</f>
        <v/>
      </c>
      <c r="B348" s="23">
        <f>INSCRITOS_FORM!AD348</f>
        <v/>
      </c>
      <c r="C348" s="23">
        <f>INSCRITOS_FORM!T348</f>
        <v/>
      </c>
      <c r="D348" s="23">
        <f>INSCRITOS_FORM!S348</f>
        <v/>
      </c>
      <c r="E348" s="23">
        <f>INSCRITOS_FORM!G348</f>
        <v/>
      </c>
      <c r="F348" s="23">
        <f>INSCRITOS_FORM!L348</f>
        <v/>
      </c>
      <c r="G348" s="23">
        <f t="array" ref="G348">IFERROR(INDEX(CONFIG!$A$22:$A$35,MATCH(F348,CONFIG!$B$22:$B$35,0)),0)</f>
        <v/>
      </c>
      <c r="H348" s="23">
        <f>INSCRITOS_FORM!M348</f>
        <v/>
      </c>
      <c r="I348" s="23">
        <f>INSCRITOS_FORM!O348</f>
        <v/>
      </c>
      <c r="J348" s="23">
        <f>INSCRITOS_FORM!J348</f>
        <v/>
      </c>
      <c r="K348" s="23">
        <f>INSCRITOS_FORM!K348</f>
        <v/>
      </c>
      <c r="L348" s="23">
        <f>INSCRITOS_FORM!U348</f>
        <v/>
      </c>
      <c r="M348" s="23">
        <f>INSCRITOS_FORM!V348</f>
        <v/>
      </c>
      <c r="N348" s="23">
        <f>INSCRITOS_FORM!W348</f>
        <v/>
      </c>
      <c r="O348" s="23">
        <f>INSCRITOS_FORM!X348</f>
        <v/>
      </c>
      <c r="P348" s="23">
        <f>INSCRITOS_FORM!AB348</f>
        <v/>
      </c>
      <c r="Q348" s="23">
        <f>IF(B348="","",IF(AND(OR(P348="Pagado",P348="Beca",P348="Invitado"),OR(L348="Sí",M348="Sí")),"Sí","No"))</f>
        <v/>
      </c>
      <c r="R348" s="23">
        <f>IF(AND(C348=TORNEO_ACTIVO!$B$3,Q348="Sí"),G348*10000-A348,-1)</f>
        <v/>
      </c>
    </row>
    <row r="349" ht="14.25" customHeight="1" s="72">
      <c r="A349" s="23">
        <f>IF(INSCRITOS_FORM!D349&lt;&gt;"",ROW()-4,"")</f>
        <v/>
      </c>
      <c r="B349" s="23">
        <f>INSCRITOS_FORM!AD349</f>
        <v/>
      </c>
      <c r="C349" s="23">
        <f>INSCRITOS_FORM!T349</f>
        <v/>
      </c>
      <c r="D349" s="23">
        <f>INSCRITOS_FORM!S349</f>
        <v/>
      </c>
      <c r="E349" s="23">
        <f>INSCRITOS_FORM!G349</f>
        <v/>
      </c>
      <c r="F349" s="23">
        <f>INSCRITOS_FORM!L349</f>
        <v/>
      </c>
      <c r="G349" s="23">
        <f t="array" ref="G349">IFERROR(INDEX(CONFIG!$A$22:$A$35,MATCH(F349,CONFIG!$B$22:$B$35,0)),0)</f>
        <v/>
      </c>
      <c r="H349" s="23">
        <f>INSCRITOS_FORM!M349</f>
        <v/>
      </c>
      <c r="I349" s="23">
        <f>INSCRITOS_FORM!O349</f>
        <v/>
      </c>
      <c r="J349" s="23">
        <f>INSCRITOS_FORM!J349</f>
        <v/>
      </c>
      <c r="K349" s="23">
        <f>INSCRITOS_FORM!K349</f>
        <v/>
      </c>
      <c r="L349" s="23">
        <f>INSCRITOS_FORM!U349</f>
        <v/>
      </c>
      <c r="M349" s="23">
        <f>INSCRITOS_FORM!V349</f>
        <v/>
      </c>
      <c r="N349" s="23">
        <f>INSCRITOS_FORM!W349</f>
        <v/>
      </c>
      <c r="O349" s="23">
        <f>INSCRITOS_FORM!X349</f>
        <v/>
      </c>
      <c r="P349" s="23">
        <f>INSCRITOS_FORM!AB349</f>
        <v/>
      </c>
      <c r="Q349" s="23">
        <f>IF(B349="","",IF(AND(OR(P349="Pagado",P349="Beca",P349="Invitado"),OR(L349="Sí",M349="Sí")),"Sí","No"))</f>
        <v/>
      </c>
      <c r="R349" s="23">
        <f>IF(AND(C349=TORNEO_ACTIVO!$B$3,Q349="Sí"),G349*10000-A349,-1)</f>
        <v/>
      </c>
    </row>
    <row r="350" ht="14.25" customHeight="1" s="72">
      <c r="A350" s="23">
        <f>IF(INSCRITOS_FORM!D350&lt;&gt;"",ROW()-4,"")</f>
        <v/>
      </c>
      <c r="B350" s="23">
        <f>INSCRITOS_FORM!AD350</f>
        <v/>
      </c>
      <c r="C350" s="23">
        <f>INSCRITOS_FORM!T350</f>
        <v/>
      </c>
      <c r="D350" s="23">
        <f>INSCRITOS_FORM!S350</f>
        <v/>
      </c>
      <c r="E350" s="23">
        <f>INSCRITOS_FORM!G350</f>
        <v/>
      </c>
      <c r="F350" s="23">
        <f>INSCRITOS_FORM!L350</f>
        <v/>
      </c>
      <c r="G350" s="23">
        <f t="array" ref="G350">IFERROR(INDEX(CONFIG!$A$22:$A$35,MATCH(F350,CONFIG!$B$22:$B$35,0)),0)</f>
        <v/>
      </c>
      <c r="H350" s="23">
        <f>INSCRITOS_FORM!M350</f>
        <v/>
      </c>
      <c r="I350" s="23">
        <f>INSCRITOS_FORM!O350</f>
        <v/>
      </c>
      <c r="J350" s="23">
        <f>INSCRITOS_FORM!J350</f>
        <v/>
      </c>
      <c r="K350" s="23">
        <f>INSCRITOS_FORM!K350</f>
        <v/>
      </c>
      <c r="L350" s="23">
        <f>INSCRITOS_FORM!U350</f>
        <v/>
      </c>
      <c r="M350" s="23">
        <f>INSCRITOS_FORM!V350</f>
        <v/>
      </c>
      <c r="N350" s="23">
        <f>INSCRITOS_FORM!W350</f>
        <v/>
      </c>
      <c r="O350" s="23">
        <f>INSCRITOS_FORM!X350</f>
        <v/>
      </c>
      <c r="P350" s="23">
        <f>INSCRITOS_FORM!AB350</f>
        <v/>
      </c>
      <c r="Q350" s="23">
        <f>IF(B350="","",IF(AND(OR(P350="Pagado",P350="Beca",P350="Invitado"),OR(L350="Sí",M350="Sí")),"Sí","No"))</f>
        <v/>
      </c>
      <c r="R350" s="23">
        <f>IF(AND(C350=TORNEO_ACTIVO!$B$3,Q350="Sí"),G350*10000-A350,-1)</f>
        <v/>
      </c>
    </row>
    <row r="351" ht="14.25" customHeight="1" s="72">
      <c r="A351" s="23">
        <f>IF(INSCRITOS_FORM!D351&lt;&gt;"",ROW()-4,"")</f>
        <v/>
      </c>
      <c r="B351" s="23">
        <f>INSCRITOS_FORM!AD351</f>
        <v/>
      </c>
      <c r="C351" s="23">
        <f>INSCRITOS_FORM!T351</f>
        <v/>
      </c>
      <c r="D351" s="23">
        <f>INSCRITOS_FORM!S351</f>
        <v/>
      </c>
      <c r="E351" s="23">
        <f>INSCRITOS_FORM!G351</f>
        <v/>
      </c>
      <c r="F351" s="23">
        <f>INSCRITOS_FORM!L351</f>
        <v/>
      </c>
      <c r="G351" s="23">
        <f t="array" ref="G351">IFERROR(INDEX(CONFIG!$A$22:$A$35,MATCH(F351,CONFIG!$B$22:$B$35,0)),0)</f>
        <v/>
      </c>
      <c r="H351" s="23">
        <f>INSCRITOS_FORM!M351</f>
        <v/>
      </c>
      <c r="I351" s="23">
        <f>INSCRITOS_FORM!O351</f>
        <v/>
      </c>
      <c r="J351" s="23">
        <f>INSCRITOS_FORM!J351</f>
        <v/>
      </c>
      <c r="K351" s="23">
        <f>INSCRITOS_FORM!K351</f>
        <v/>
      </c>
      <c r="L351" s="23">
        <f>INSCRITOS_FORM!U351</f>
        <v/>
      </c>
      <c r="M351" s="23">
        <f>INSCRITOS_FORM!V351</f>
        <v/>
      </c>
      <c r="N351" s="23">
        <f>INSCRITOS_FORM!W351</f>
        <v/>
      </c>
      <c r="O351" s="23">
        <f>INSCRITOS_FORM!X351</f>
        <v/>
      </c>
      <c r="P351" s="23">
        <f>INSCRITOS_FORM!AB351</f>
        <v/>
      </c>
      <c r="Q351" s="23">
        <f>IF(B351="","",IF(AND(OR(P351="Pagado",P351="Beca",P351="Invitado"),OR(L351="Sí",M351="Sí")),"Sí","No"))</f>
        <v/>
      </c>
      <c r="R351" s="23">
        <f>IF(AND(C351=TORNEO_ACTIVO!$B$3,Q351="Sí"),G351*10000-A351,-1)</f>
        <v/>
      </c>
    </row>
    <row r="352" ht="14.25" customHeight="1" s="72">
      <c r="A352" s="23">
        <f>IF(INSCRITOS_FORM!D352&lt;&gt;"",ROW()-4,"")</f>
        <v/>
      </c>
      <c r="B352" s="23">
        <f>INSCRITOS_FORM!AD352</f>
        <v/>
      </c>
      <c r="C352" s="23">
        <f>INSCRITOS_FORM!T352</f>
        <v/>
      </c>
      <c r="D352" s="23">
        <f>INSCRITOS_FORM!S352</f>
        <v/>
      </c>
      <c r="E352" s="23">
        <f>INSCRITOS_FORM!G352</f>
        <v/>
      </c>
      <c r="F352" s="23">
        <f>INSCRITOS_FORM!L352</f>
        <v/>
      </c>
      <c r="G352" s="23">
        <f t="array" ref="G352">IFERROR(INDEX(CONFIG!$A$22:$A$35,MATCH(F352,CONFIG!$B$22:$B$35,0)),0)</f>
        <v/>
      </c>
      <c r="H352" s="23">
        <f>INSCRITOS_FORM!M352</f>
        <v/>
      </c>
      <c r="I352" s="23">
        <f>INSCRITOS_FORM!O352</f>
        <v/>
      </c>
      <c r="J352" s="23">
        <f>INSCRITOS_FORM!J352</f>
        <v/>
      </c>
      <c r="K352" s="23">
        <f>INSCRITOS_FORM!K352</f>
        <v/>
      </c>
      <c r="L352" s="23">
        <f>INSCRITOS_FORM!U352</f>
        <v/>
      </c>
      <c r="M352" s="23">
        <f>INSCRITOS_FORM!V352</f>
        <v/>
      </c>
      <c r="N352" s="23">
        <f>INSCRITOS_FORM!W352</f>
        <v/>
      </c>
      <c r="O352" s="23">
        <f>INSCRITOS_FORM!X352</f>
        <v/>
      </c>
      <c r="P352" s="23">
        <f>INSCRITOS_FORM!AB352</f>
        <v/>
      </c>
      <c r="Q352" s="23">
        <f>IF(B352="","",IF(AND(OR(P352="Pagado",P352="Beca",P352="Invitado"),OR(L352="Sí",M352="Sí")),"Sí","No"))</f>
        <v/>
      </c>
      <c r="R352" s="23">
        <f>IF(AND(C352=TORNEO_ACTIVO!$B$3,Q352="Sí"),G352*10000-A352,-1)</f>
        <v/>
      </c>
    </row>
    <row r="353" ht="14.25" customHeight="1" s="72">
      <c r="A353" s="23">
        <f>IF(INSCRITOS_FORM!D353&lt;&gt;"",ROW()-4,"")</f>
        <v/>
      </c>
      <c r="B353" s="23">
        <f>INSCRITOS_FORM!AD353</f>
        <v/>
      </c>
      <c r="C353" s="23">
        <f>INSCRITOS_FORM!T353</f>
        <v/>
      </c>
      <c r="D353" s="23">
        <f>INSCRITOS_FORM!S353</f>
        <v/>
      </c>
      <c r="E353" s="23">
        <f>INSCRITOS_FORM!G353</f>
        <v/>
      </c>
      <c r="F353" s="23">
        <f>INSCRITOS_FORM!L353</f>
        <v/>
      </c>
      <c r="G353" s="23">
        <f t="array" ref="G353">IFERROR(INDEX(CONFIG!$A$22:$A$35,MATCH(F353,CONFIG!$B$22:$B$35,0)),0)</f>
        <v/>
      </c>
      <c r="H353" s="23">
        <f>INSCRITOS_FORM!M353</f>
        <v/>
      </c>
      <c r="I353" s="23">
        <f>INSCRITOS_FORM!O353</f>
        <v/>
      </c>
      <c r="J353" s="23">
        <f>INSCRITOS_FORM!J353</f>
        <v/>
      </c>
      <c r="K353" s="23">
        <f>INSCRITOS_FORM!K353</f>
        <v/>
      </c>
      <c r="L353" s="23">
        <f>INSCRITOS_FORM!U353</f>
        <v/>
      </c>
      <c r="M353" s="23">
        <f>INSCRITOS_FORM!V353</f>
        <v/>
      </c>
      <c r="N353" s="23">
        <f>INSCRITOS_FORM!W353</f>
        <v/>
      </c>
      <c r="O353" s="23">
        <f>INSCRITOS_FORM!X353</f>
        <v/>
      </c>
      <c r="P353" s="23">
        <f>INSCRITOS_FORM!AB353</f>
        <v/>
      </c>
      <c r="Q353" s="23">
        <f>IF(B353="","",IF(AND(OR(P353="Pagado",P353="Beca",P353="Invitado"),OR(L353="Sí",M353="Sí")),"Sí","No"))</f>
        <v/>
      </c>
      <c r="R353" s="23">
        <f>IF(AND(C353=TORNEO_ACTIVO!$B$3,Q353="Sí"),G353*10000-A353,-1)</f>
        <v/>
      </c>
    </row>
    <row r="354" ht="14.25" customHeight="1" s="72">
      <c r="A354" s="23">
        <f>IF(INSCRITOS_FORM!D354&lt;&gt;"",ROW()-4,"")</f>
        <v/>
      </c>
      <c r="B354" s="23">
        <f>INSCRITOS_FORM!AD354</f>
        <v/>
      </c>
      <c r="C354" s="23">
        <f>INSCRITOS_FORM!T354</f>
        <v/>
      </c>
      <c r="D354" s="23">
        <f>INSCRITOS_FORM!S354</f>
        <v/>
      </c>
      <c r="E354" s="23">
        <f>INSCRITOS_FORM!G354</f>
        <v/>
      </c>
      <c r="F354" s="23">
        <f>INSCRITOS_FORM!L354</f>
        <v/>
      </c>
      <c r="G354" s="23">
        <f t="array" ref="G354">IFERROR(INDEX(CONFIG!$A$22:$A$35,MATCH(F354,CONFIG!$B$22:$B$35,0)),0)</f>
        <v/>
      </c>
      <c r="H354" s="23">
        <f>INSCRITOS_FORM!M354</f>
        <v/>
      </c>
      <c r="I354" s="23">
        <f>INSCRITOS_FORM!O354</f>
        <v/>
      </c>
      <c r="J354" s="23">
        <f>INSCRITOS_FORM!J354</f>
        <v/>
      </c>
      <c r="K354" s="23">
        <f>INSCRITOS_FORM!K354</f>
        <v/>
      </c>
      <c r="L354" s="23">
        <f>INSCRITOS_FORM!U354</f>
        <v/>
      </c>
      <c r="M354" s="23">
        <f>INSCRITOS_FORM!V354</f>
        <v/>
      </c>
      <c r="N354" s="23">
        <f>INSCRITOS_FORM!W354</f>
        <v/>
      </c>
      <c r="O354" s="23">
        <f>INSCRITOS_FORM!X354</f>
        <v/>
      </c>
      <c r="P354" s="23">
        <f>INSCRITOS_FORM!AB354</f>
        <v/>
      </c>
      <c r="Q354" s="23">
        <f>IF(B354="","",IF(AND(OR(P354="Pagado",P354="Beca",P354="Invitado"),OR(L354="Sí",M354="Sí")),"Sí","No"))</f>
        <v/>
      </c>
      <c r="R354" s="23">
        <f>IF(AND(C354=TORNEO_ACTIVO!$B$3,Q354="Sí"),G354*10000-A354,-1)</f>
        <v/>
      </c>
    </row>
    <row r="355" ht="14.25" customHeight="1" s="72">
      <c r="A355" s="23">
        <f>IF(INSCRITOS_FORM!D355&lt;&gt;"",ROW()-4,"")</f>
        <v/>
      </c>
      <c r="B355" s="23">
        <f>INSCRITOS_FORM!AD355</f>
        <v/>
      </c>
      <c r="C355" s="23">
        <f>INSCRITOS_FORM!T355</f>
        <v/>
      </c>
      <c r="D355" s="23">
        <f>INSCRITOS_FORM!S355</f>
        <v/>
      </c>
      <c r="E355" s="23">
        <f>INSCRITOS_FORM!G355</f>
        <v/>
      </c>
      <c r="F355" s="23">
        <f>INSCRITOS_FORM!L355</f>
        <v/>
      </c>
      <c r="G355" s="23">
        <f t="array" ref="G355">IFERROR(INDEX(CONFIG!$A$22:$A$35,MATCH(F355,CONFIG!$B$22:$B$35,0)),0)</f>
        <v/>
      </c>
      <c r="H355" s="23">
        <f>INSCRITOS_FORM!M355</f>
        <v/>
      </c>
      <c r="I355" s="23">
        <f>INSCRITOS_FORM!O355</f>
        <v/>
      </c>
      <c r="J355" s="23">
        <f>INSCRITOS_FORM!J355</f>
        <v/>
      </c>
      <c r="K355" s="23">
        <f>INSCRITOS_FORM!K355</f>
        <v/>
      </c>
      <c r="L355" s="23">
        <f>INSCRITOS_FORM!U355</f>
        <v/>
      </c>
      <c r="M355" s="23">
        <f>INSCRITOS_FORM!V355</f>
        <v/>
      </c>
      <c r="N355" s="23">
        <f>INSCRITOS_FORM!W355</f>
        <v/>
      </c>
      <c r="O355" s="23">
        <f>INSCRITOS_FORM!X355</f>
        <v/>
      </c>
      <c r="P355" s="23">
        <f>INSCRITOS_FORM!AB355</f>
        <v/>
      </c>
      <c r="Q355" s="23">
        <f>IF(B355="","",IF(AND(OR(P355="Pagado",P355="Beca",P355="Invitado"),OR(L355="Sí",M355="Sí")),"Sí","No"))</f>
        <v/>
      </c>
      <c r="R355" s="23">
        <f>IF(AND(C355=TORNEO_ACTIVO!$B$3,Q355="Sí"),G355*10000-A355,-1)</f>
        <v/>
      </c>
    </row>
    <row r="356" ht="14.25" customHeight="1" s="72">
      <c r="A356" s="23">
        <f>IF(INSCRITOS_FORM!D356&lt;&gt;"",ROW()-4,"")</f>
        <v/>
      </c>
      <c r="B356" s="23">
        <f>INSCRITOS_FORM!AD356</f>
        <v/>
      </c>
      <c r="C356" s="23">
        <f>INSCRITOS_FORM!T356</f>
        <v/>
      </c>
      <c r="D356" s="23">
        <f>INSCRITOS_FORM!S356</f>
        <v/>
      </c>
      <c r="E356" s="23">
        <f>INSCRITOS_FORM!G356</f>
        <v/>
      </c>
      <c r="F356" s="23">
        <f>INSCRITOS_FORM!L356</f>
        <v/>
      </c>
      <c r="G356" s="23">
        <f t="array" ref="G356">IFERROR(INDEX(CONFIG!$A$22:$A$35,MATCH(F356,CONFIG!$B$22:$B$35,0)),0)</f>
        <v/>
      </c>
      <c r="H356" s="23">
        <f>INSCRITOS_FORM!M356</f>
        <v/>
      </c>
      <c r="I356" s="23">
        <f>INSCRITOS_FORM!O356</f>
        <v/>
      </c>
      <c r="J356" s="23">
        <f>INSCRITOS_FORM!J356</f>
        <v/>
      </c>
      <c r="K356" s="23">
        <f>INSCRITOS_FORM!K356</f>
        <v/>
      </c>
      <c r="L356" s="23">
        <f>INSCRITOS_FORM!U356</f>
        <v/>
      </c>
      <c r="M356" s="23">
        <f>INSCRITOS_FORM!V356</f>
        <v/>
      </c>
      <c r="N356" s="23">
        <f>INSCRITOS_FORM!W356</f>
        <v/>
      </c>
      <c r="O356" s="23">
        <f>INSCRITOS_FORM!X356</f>
        <v/>
      </c>
      <c r="P356" s="23">
        <f>INSCRITOS_FORM!AB356</f>
        <v/>
      </c>
      <c r="Q356" s="23">
        <f>IF(B356="","",IF(AND(OR(P356="Pagado",P356="Beca",P356="Invitado"),OR(L356="Sí",M356="Sí")),"Sí","No"))</f>
        <v/>
      </c>
      <c r="R356" s="23">
        <f>IF(AND(C356=TORNEO_ACTIVO!$B$3,Q356="Sí"),G356*10000-A356,-1)</f>
        <v/>
      </c>
    </row>
    <row r="357" ht="14.25" customHeight="1" s="72">
      <c r="A357" s="23">
        <f>IF(INSCRITOS_FORM!D357&lt;&gt;"",ROW()-4,"")</f>
        <v/>
      </c>
      <c r="B357" s="23">
        <f>INSCRITOS_FORM!AD357</f>
        <v/>
      </c>
      <c r="C357" s="23">
        <f>INSCRITOS_FORM!T357</f>
        <v/>
      </c>
      <c r="D357" s="23">
        <f>INSCRITOS_FORM!S357</f>
        <v/>
      </c>
      <c r="E357" s="23">
        <f>INSCRITOS_FORM!G357</f>
        <v/>
      </c>
      <c r="F357" s="23">
        <f>INSCRITOS_FORM!L357</f>
        <v/>
      </c>
      <c r="G357" s="23">
        <f t="array" ref="G357">IFERROR(INDEX(CONFIG!$A$22:$A$35,MATCH(F357,CONFIG!$B$22:$B$35,0)),0)</f>
        <v/>
      </c>
      <c r="H357" s="23">
        <f>INSCRITOS_FORM!M357</f>
        <v/>
      </c>
      <c r="I357" s="23">
        <f>INSCRITOS_FORM!O357</f>
        <v/>
      </c>
      <c r="J357" s="23">
        <f>INSCRITOS_FORM!J357</f>
        <v/>
      </c>
      <c r="K357" s="23">
        <f>INSCRITOS_FORM!K357</f>
        <v/>
      </c>
      <c r="L357" s="23">
        <f>INSCRITOS_FORM!U357</f>
        <v/>
      </c>
      <c r="M357" s="23">
        <f>INSCRITOS_FORM!V357</f>
        <v/>
      </c>
      <c r="N357" s="23">
        <f>INSCRITOS_FORM!W357</f>
        <v/>
      </c>
      <c r="O357" s="23">
        <f>INSCRITOS_FORM!X357</f>
        <v/>
      </c>
      <c r="P357" s="23">
        <f>INSCRITOS_FORM!AB357</f>
        <v/>
      </c>
      <c r="Q357" s="23">
        <f>IF(B357="","",IF(AND(OR(P357="Pagado",P357="Beca",P357="Invitado"),OR(L357="Sí",M357="Sí")),"Sí","No"))</f>
        <v/>
      </c>
      <c r="R357" s="23">
        <f>IF(AND(C357=TORNEO_ACTIVO!$B$3,Q357="Sí"),G357*10000-A357,-1)</f>
        <v/>
      </c>
    </row>
    <row r="358" ht="14.25" customHeight="1" s="72">
      <c r="A358" s="23">
        <f>IF(INSCRITOS_FORM!D358&lt;&gt;"",ROW()-4,"")</f>
        <v/>
      </c>
      <c r="B358" s="23">
        <f>INSCRITOS_FORM!AD358</f>
        <v/>
      </c>
      <c r="C358" s="23">
        <f>INSCRITOS_FORM!T358</f>
        <v/>
      </c>
      <c r="D358" s="23">
        <f>INSCRITOS_FORM!S358</f>
        <v/>
      </c>
      <c r="E358" s="23">
        <f>INSCRITOS_FORM!G358</f>
        <v/>
      </c>
      <c r="F358" s="23">
        <f>INSCRITOS_FORM!L358</f>
        <v/>
      </c>
      <c r="G358" s="23">
        <f t="array" ref="G358">IFERROR(INDEX(CONFIG!$A$22:$A$35,MATCH(F358,CONFIG!$B$22:$B$35,0)),0)</f>
        <v/>
      </c>
      <c r="H358" s="23">
        <f>INSCRITOS_FORM!M358</f>
        <v/>
      </c>
      <c r="I358" s="23">
        <f>INSCRITOS_FORM!O358</f>
        <v/>
      </c>
      <c r="J358" s="23">
        <f>INSCRITOS_FORM!J358</f>
        <v/>
      </c>
      <c r="K358" s="23">
        <f>INSCRITOS_FORM!K358</f>
        <v/>
      </c>
      <c r="L358" s="23">
        <f>INSCRITOS_FORM!U358</f>
        <v/>
      </c>
      <c r="M358" s="23">
        <f>INSCRITOS_FORM!V358</f>
        <v/>
      </c>
      <c r="N358" s="23">
        <f>INSCRITOS_FORM!W358</f>
        <v/>
      </c>
      <c r="O358" s="23">
        <f>INSCRITOS_FORM!X358</f>
        <v/>
      </c>
      <c r="P358" s="23">
        <f>INSCRITOS_FORM!AB358</f>
        <v/>
      </c>
      <c r="Q358" s="23">
        <f>IF(B358="","",IF(AND(OR(P358="Pagado",P358="Beca",P358="Invitado"),OR(L358="Sí",M358="Sí")),"Sí","No"))</f>
        <v/>
      </c>
      <c r="R358" s="23">
        <f>IF(AND(C358=TORNEO_ACTIVO!$B$3,Q358="Sí"),G358*10000-A358,-1)</f>
        <v/>
      </c>
    </row>
    <row r="359" ht="14.25" customHeight="1" s="72">
      <c r="A359" s="23">
        <f>IF(INSCRITOS_FORM!D359&lt;&gt;"",ROW()-4,"")</f>
        <v/>
      </c>
      <c r="B359" s="23">
        <f>INSCRITOS_FORM!AD359</f>
        <v/>
      </c>
      <c r="C359" s="23">
        <f>INSCRITOS_FORM!T359</f>
        <v/>
      </c>
      <c r="D359" s="23">
        <f>INSCRITOS_FORM!S359</f>
        <v/>
      </c>
      <c r="E359" s="23">
        <f>INSCRITOS_FORM!G359</f>
        <v/>
      </c>
      <c r="F359" s="23">
        <f>INSCRITOS_FORM!L359</f>
        <v/>
      </c>
      <c r="G359" s="23">
        <f t="array" ref="G359">IFERROR(INDEX(CONFIG!$A$22:$A$35,MATCH(F359,CONFIG!$B$22:$B$35,0)),0)</f>
        <v/>
      </c>
      <c r="H359" s="23">
        <f>INSCRITOS_FORM!M359</f>
        <v/>
      </c>
      <c r="I359" s="23">
        <f>INSCRITOS_FORM!O359</f>
        <v/>
      </c>
      <c r="J359" s="23">
        <f>INSCRITOS_FORM!J359</f>
        <v/>
      </c>
      <c r="K359" s="23">
        <f>INSCRITOS_FORM!K359</f>
        <v/>
      </c>
      <c r="L359" s="23">
        <f>INSCRITOS_FORM!U359</f>
        <v/>
      </c>
      <c r="M359" s="23">
        <f>INSCRITOS_FORM!V359</f>
        <v/>
      </c>
      <c r="N359" s="23">
        <f>INSCRITOS_FORM!W359</f>
        <v/>
      </c>
      <c r="O359" s="23">
        <f>INSCRITOS_FORM!X359</f>
        <v/>
      </c>
      <c r="P359" s="23">
        <f>INSCRITOS_FORM!AB359</f>
        <v/>
      </c>
      <c r="Q359" s="23">
        <f>IF(B359="","",IF(AND(OR(P359="Pagado",P359="Beca",P359="Invitado"),OR(L359="Sí",M359="Sí")),"Sí","No"))</f>
        <v/>
      </c>
      <c r="R359" s="23">
        <f>IF(AND(C359=TORNEO_ACTIVO!$B$3,Q359="Sí"),G359*10000-A359,-1)</f>
        <v/>
      </c>
    </row>
    <row r="360" ht="14.25" customHeight="1" s="72">
      <c r="A360" s="23">
        <f>IF(INSCRITOS_FORM!D360&lt;&gt;"",ROW()-4,"")</f>
        <v/>
      </c>
      <c r="B360" s="23">
        <f>INSCRITOS_FORM!AD360</f>
        <v/>
      </c>
      <c r="C360" s="23">
        <f>INSCRITOS_FORM!T360</f>
        <v/>
      </c>
      <c r="D360" s="23">
        <f>INSCRITOS_FORM!S360</f>
        <v/>
      </c>
      <c r="E360" s="23">
        <f>INSCRITOS_FORM!G360</f>
        <v/>
      </c>
      <c r="F360" s="23">
        <f>INSCRITOS_FORM!L360</f>
        <v/>
      </c>
      <c r="G360" s="23">
        <f t="array" ref="G360">IFERROR(INDEX(CONFIG!$A$22:$A$35,MATCH(F360,CONFIG!$B$22:$B$35,0)),0)</f>
        <v/>
      </c>
      <c r="H360" s="23">
        <f>INSCRITOS_FORM!M360</f>
        <v/>
      </c>
      <c r="I360" s="23">
        <f>INSCRITOS_FORM!O360</f>
        <v/>
      </c>
      <c r="J360" s="23">
        <f>INSCRITOS_FORM!J360</f>
        <v/>
      </c>
      <c r="K360" s="23">
        <f>INSCRITOS_FORM!K360</f>
        <v/>
      </c>
      <c r="L360" s="23">
        <f>INSCRITOS_FORM!U360</f>
        <v/>
      </c>
      <c r="M360" s="23">
        <f>INSCRITOS_FORM!V360</f>
        <v/>
      </c>
      <c r="N360" s="23">
        <f>INSCRITOS_FORM!W360</f>
        <v/>
      </c>
      <c r="O360" s="23">
        <f>INSCRITOS_FORM!X360</f>
        <v/>
      </c>
      <c r="P360" s="23">
        <f>INSCRITOS_FORM!AB360</f>
        <v/>
      </c>
      <c r="Q360" s="23">
        <f>IF(B360="","",IF(AND(OR(P360="Pagado",P360="Beca",P360="Invitado"),OR(L360="Sí",M360="Sí")),"Sí","No"))</f>
        <v/>
      </c>
      <c r="R360" s="23">
        <f>IF(AND(C360=TORNEO_ACTIVO!$B$3,Q360="Sí"),G360*10000-A360,-1)</f>
        <v/>
      </c>
    </row>
    <row r="361" ht="14.25" customHeight="1" s="72">
      <c r="A361" s="23">
        <f>IF(INSCRITOS_FORM!D361&lt;&gt;"",ROW()-4,"")</f>
        <v/>
      </c>
      <c r="B361" s="23">
        <f>INSCRITOS_FORM!AD361</f>
        <v/>
      </c>
      <c r="C361" s="23">
        <f>INSCRITOS_FORM!T361</f>
        <v/>
      </c>
      <c r="D361" s="23">
        <f>INSCRITOS_FORM!S361</f>
        <v/>
      </c>
      <c r="E361" s="23">
        <f>INSCRITOS_FORM!G361</f>
        <v/>
      </c>
      <c r="F361" s="23">
        <f>INSCRITOS_FORM!L361</f>
        <v/>
      </c>
      <c r="G361" s="23">
        <f t="array" ref="G361">IFERROR(INDEX(CONFIG!$A$22:$A$35,MATCH(F361,CONFIG!$B$22:$B$35,0)),0)</f>
        <v/>
      </c>
      <c r="H361" s="23">
        <f>INSCRITOS_FORM!M361</f>
        <v/>
      </c>
      <c r="I361" s="23">
        <f>INSCRITOS_FORM!O361</f>
        <v/>
      </c>
      <c r="J361" s="23">
        <f>INSCRITOS_FORM!J361</f>
        <v/>
      </c>
      <c r="K361" s="23">
        <f>INSCRITOS_FORM!K361</f>
        <v/>
      </c>
      <c r="L361" s="23">
        <f>INSCRITOS_FORM!U361</f>
        <v/>
      </c>
      <c r="M361" s="23">
        <f>INSCRITOS_FORM!V361</f>
        <v/>
      </c>
      <c r="N361" s="23">
        <f>INSCRITOS_FORM!W361</f>
        <v/>
      </c>
      <c r="O361" s="23">
        <f>INSCRITOS_FORM!X361</f>
        <v/>
      </c>
      <c r="P361" s="23">
        <f>INSCRITOS_FORM!AB361</f>
        <v/>
      </c>
      <c r="Q361" s="23">
        <f>IF(B361="","",IF(AND(OR(P361="Pagado",P361="Beca",P361="Invitado"),OR(L361="Sí",M361="Sí")),"Sí","No"))</f>
        <v/>
      </c>
      <c r="R361" s="23">
        <f>IF(AND(C361=TORNEO_ACTIVO!$B$3,Q361="Sí"),G361*10000-A361,-1)</f>
        <v/>
      </c>
    </row>
    <row r="362" ht="14.25" customHeight="1" s="72">
      <c r="A362" s="23">
        <f>IF(INSCRITOS_FORM!D362&lt;&gt;"",ROW()-4,"")</f>
        <v/>
      </c>
      <c r="B362" s="23">
        <f>INSCRITOS_FORM!AD362</f>
        <v/>
      </c>
      <c r="C362" s="23">
        <f>INSCRITOS_FORM!T362</f>
        <v/>
      </c>
      <c r="D362" s="23">
        <f>INSCRITOS_FORM!S362</f>
        <v/>
      </c>
      <c r="E362" s="23">
        <f>INSCRITOS_FORM!G362</f>
        <v/>
      </c>
      <c r="F362" s="23">
        <f>INSCRITOS_FORM!L362</f>
        <v/>
      </c>
      <c r="G362" s="23">
        <f t="array" ref="G362">IFERROR(INDEX(CONFIG!$A$22:$A$35,MATCH(F362,CONFIG!$B$22:$B$35,0)),0)</f>
        <v/>
      </c>
      <c r="H362" s="23">
        <f>INSCRITOS_FORM!M362</f>
        <v/>
      </c>
      <c r="I362" s="23">
        <f>INSCRITOS_FORM!O362</f>
        <v/>
      </c>
      <c r="J362" s="23">
        <f>INSCRITOS_FORM!J362</f>
        <v/>
      </c>
      <c r="K362" s="23">
        <f>INSCRITOS_FORM!K362</f>
        <v/>
      </c>
      <c r="L362" s="23">
        <f>INSCRITOS_FORM!U362</f>
        <v/>
      </c>
      <c r="M362" s="23">
        <f>INSCRITOS_FORM!V362</f>
        <v/>
      </c>
      <c r="N362" s="23">
        <f>INSCRITOS_FORM!W362</f>
        <v/>
      </c>
      <c r="O362" s="23">
        <f>INSCRITOS_FORM!X362</f>
        <v/>
      </c>
      <c r="P362" s="23">
        <f>INSCRITOS_FORM!AB362</f>
        <v/>
      </c>
      <c r="Q362" s="23">
        <f>IF(B362="","",IF(AND(OR(P362="Pagado",P362="Beca",P362="Invitado"),OR(L362="Sí",M362="Sí")),"Sí","No"))</f>
        <v/>
      </c>
      <c r="R362" s="23">
        <f>IF(AND(C362=TORNEO_ACTIVO!$B$3,Q362="Sí"),G362*10000-A362,-1)</f>
        <v/>
      </c>
    </row>
    <row r="363" ht="14.25" customHeight="1" s="72">
      <c r="A363" s="23">
        <f>IF(INSCRITOS_FORM!D363&lt;&gt;"",ROW()-4,"")</f>
        <v/>
      </c>
      <c r="B363" s="23">
        <f>INSCRITOS_FORM!AD363</f>
        <v/>
      </c>
      <c r="C363" s="23">
        <f>INSCRITOS_FORM!T363</f>
        <v/>
      </c>
      <c r="D363" s="23">
        <f>INSCRITOS_FORM!S363</f>
        <v/>
      </c>
      <c r="E363" s="23">
        <f>INSCRITOS_FORM!G363</f>
        <v/>
      </c>
      <c r="F363" s="23">
        <f>INSCRITOS_FORM!L363</f>
        <v/>
      </c>
      <c r="G363" s="23">
        <f t="array" ref="G363">IFERROR(INDEX(CONFIG!$A$22:$A$35,MATCH(F363,CONFIG!$B$22:$B$35,0)),0)</f>
        <v/>
      </c>
      <c r="H363" s="23">
        <f>INSCRITOS_FORM!M363</f>
        <v/>
      </c>
      <c r="I363" s="23">
        <f>INSCRITOS_FORM!O363</f>
        <v/>
      </c>
      <c r="J363" s="23">
        <f>INSCRITOS_FORM!J363</f>
        <v/>
      </c>
      <c r="K363" s="23">
        <f>INSCRITOS_FORM!K363</f>
        <v/>
      </c>
      <c r="L363" s="23">
        <f>INSCRITOS_FORM!U363</f>
        <v/>
      </c>
      <c r="M363" s="23">
        <f>INSCRITOS_FORM!V363</f>
        <v/>
      </c>
      <c r="N363" s="23">
        <f>INSCRITOS_FORM!W363</f>
        <v/>
      </c>
      <c r="O363" s="23">
        <f>INSCRITOS_FORM!X363</f>
        <v/>
      </c>
      <c r="P363" s="23">
        <f>INSCRITOS_FORM!AB363</f>
        <v/>
      </c>
      <c r="Q363" s="23">
        <f>IF(B363="","",IF(AND(OR(P363="Pagado",P363="Beca",P363="Invitado"),OR(L363="Sí",M363="Sí")),"Sí","No"))</f>
        <v/>
      </c>
      <c r="R363" s="23">
        <f>IF(AND(C363=TORNEO_ACTIVO!$B$3,Q363="Sí"),G363*10000-A363,-1)</f>
        <v/>
      </c>
    </row>
    <row r="364" ht="14.25" customHeight="1" s="72">
      <c r="A364" s="23">
        <f>IF(INSCRITOS_FORM!D364&lt;&gt;"",ROW()-4,"")</f>
        <v/>
      </c>
      <c r="B364" s="23">
        <f>INSCRITOS_FORM!AD364</f>
        <v/>
      </c>
      <c r="C364" s="23">
        <f>INSCRITOS_FORM!T364</f>
        <v/>
      </c>
      <c r="D364" s="23">
        <f>INSCRITOS_FORM!S364</f>
        <v/>
      </c>
      <c r="E364" s="23">
        <f>INSCRITOS_FORM!G364</f>
        <v/>
      </c>
      <c r="F364" s="23">
        <f>INSCRITOS_FORM!L364</f>
        <v/>
      </c>
      <c r="G364" s="23">
        <f t="array" ref="G364">IFERROR(INDEX(CONFIG!$A$22:$A$35,MATCH(F364,CONFIG!$B$22:$B$35,0)),0)</f>
        <v/>
      </c>
      <c r="H364" s="23">
        <f>INSCRITOS_FORM!M364</f>
        <v/>
      </c>
      <c r="I364" s="23">
        <f>INSCRITOS_FORM!O364</f>
        <v/>
      </c>
      <c r="J364" s="23">
        <f>INSCRITOS_FORM!J364</f>
        <v/>
      </c>
      <c r="K364" s="23">
        <f>INSCRITOS_FORM!K364</f>
        <v/>
      </c>
      <c r="L364" s="23">
        <f>INSCRITOS_FORM!U364</f>
        <v/>
      </c>
      <c r="M364" s="23">
        <f>INSCRITOS_FORM!V364</f>
        <v/>
      </c>
      <c r="N364" s="23">
        <f>INSCRITOS_FORM!W364</f>
        <v/>
      </c>
      <c r="O364" s="23">
        <f>INSCRITOS_FORM!X364</f>
        <v/>
      </c>
      <c r="P364" s="23">
        <f>INSCRITOS_FORM!AB364</f>
        <v/>
      </c>
      <c r="Q364" s="23">
        <f>IF(B364="","",IF(AND(OR(P364="Pagado",P364="Beca",P364="Invitado"),OR(L364="Sí",M364="Sí")),"Sí","No"))</f>
        <v/>
      </c>
      <c r="R364" s="23">
        <f>IF(AND(C364=TORNEO_ACTIVO!$B$3,Q364="Sí"),G364*10000-A364,-1)</f>
        <v/>
      </c>
    </row>
    <row r="365" ht="14.25" customHeight="1" s="72">
      <c r="A365" s="23">
        <f>IF(INSCRITOS_FORM!D365&lt;&gt;"",ROW()-4,"")</f>
        <v/>
      </c>
      <c r="B365" s="23">
        <f>INSCRITOS_FORM!AD365</f>
        <v/>
      </c>
      <c r="C365" s="23">
        <f>INSCRITOS_FORM!T365</f>
        <v/>
      </c>
      <c r="D365" s="23">
        <f>INSCRITOS_FORM!S365</f>
        <v/>
      </c>
      <c r="E365" s="23">
        <f>INSCRITOS_FORM!G365</f>
        <v/>
      </c>
      <c r="F365" s="23">
        <f>INSCRITOS_FORM!L365</f>
        <v/>
      </c>
      <c r="G365" s="23">
        <f t="array" ref="G365">IFERROR(INDEX(CONFIG!$A$22:$A$35,MATCH(F365,CONFIG!$B$22:$B$35,0)),0)</f>
        <v/>
      </c>
      <c r="H365" s="23">
        <f>INSCRITOS_FORM!M365</f>
        <v/>
      </c>
      <c r="I365" s="23">
        <f>INSCRITOS_FORM!O365</f>
        <v/>
      </c>
      <c r="J365" s="23">
        <f>INSCRITOS_FORM!J365</f>
        <v/>
      </c>
      <c r="K365" s="23">
        <f>INSCRITOS_FORM!K365</f>
        <v/>
      </c>
      <c r="L365" s="23">
        <f>INSCRITOS_FORM!U365</f>
        <v/>
      </c>
      <c r="M365" s="23">
        <f>INSCRITOS_FORM!V365</f>
        <v/>
      </c>
      <c r="N365" s="23">
        <f>INSCRITOS_FORM!W365</f>
        <v/>
      </c>
      <c r="O365" s="23">
        <f>INSCRITOS_FORM!X365</f>
        <v/>
      </c>
      <c r="P365" s="23">
        <f>INSCRITOS_FORM!AB365</f>
        <v/>
      </c>
      <c r="Q365" s="23">
        <f>IF(B365="","",IF(AND(OR(P365="Pagado",P365="Beca",P365="Invitado"),OR(L365="Sí",M365="Sí")),"Sí","No"))</f>
        <v/>
      </c>
      <c r="R365" s="23">
        <f>IF(AND(C365=TORNEO_ACTIVO!$B$3,Q365="Sí"),G365*10000-A365,-1)</f>
        <v/>
      </c>
    </row>
    <row r="366" ht="14.25" customHeight="1" s="72">
      <c r="A366" s="23">
        <f>IF(INSCRITOS_FORM!D366&lt;&gt;"",ROW()-4,"")</f>
        <v/>
      </c>
      <c r="B366" s="23">
        <f>INSCRITOS_FORM!AD366</f>
        <v/>
      </c>
      <c r="C366" s="23">
        <f>INSCRITOS_FORM!T366</f>
        <v/>
      </c>
      <c r="D366" s="23">
        <f>INSCRITOS_FORM!S366</f>
        <v/>
      </c>
      <c r="E366" s="23">
        <f>INSCRITOS_FORM!G366</f>
        <v/>
      </c>
      <c r="F366" s="23">
        <f>INSCRITOS_FORM!L366</f>
        <v/>
      </c>
      <c r="G366" s="23">
        <f t="array" ref="G366">IFERROR(INDEX(CONFIG!$A$22:$A$35,MATCH(F366,CONFIG!$B$22:$B$35,0)),0)</f>
        <v/>
      </c>
      <c r="H366" s="23">
        <f>INSCRITOS_FORM!M366</f>
        <v/>
      </c>
      <c r="I366" s="23">
        <f>INSCRITOS_FORM!O366</f>
        <v/>
      </c>
      <c r="J366" s="23">
        <f>INSCRITOS_FORM!J366</f>
        <v/>
      </c>
      <c r="K366" s="23">
        <f>INSCRITOS_FORM!K366</f>
        <v/>
      </c>
      <c r="L366" s="23">
        <f>INSCRITOS_FORM!U366</f>
        <v/>
      </c>
      <c r="M366" s="23">
        <f>INSCRITOS_FORM!V366</f>
        <v/>
      </c>
      <c r="N366" s="23">
        <f>INSCRITOS_FORM!W366</f>
        <v/>
      </c>
      <c r="O366" s="23">
        <f>INSCRITOS_FORM!X366</f>
        <v/>
      </c>
      <c r="P366" s="23">
        <f>INSCRITOS_FORM!AB366</f>
        <v/>
      </c>
      <c r="Q366" s="23">
        <f>IF(B366="","",IF(AND(OR(P366="Pagado",P366="Beca",P366="Invitado"),OR(L366="Sí",M366="Sí")),"Sí","No"))</f>
        <v/>
      </c>
      <c r="R366" s="23">
        <f>IF(AND(C366=TORNEO_ACTIVO!$B$3,Q366="Sí"),G366*10000-A366,-1)</f>
        <v/>
      </c>
    </row>
    <row r="367" ht="14.25" customHeight="1" s="72">
      <c r="A367" s="23">
        <f>IF(INSCRITOS_FORM!D367&lt;&gt;"",ROW()-4,"")</f>
        <v/>
      </c>
      <c r="B367" s="23">
        <f>INSCRITOS_FORM!AD367</f>
        <v/>
      </c>
      <c r="C367" s="23">
        <f>INSCRITOS_FORM!T367</f>
        <v/>
      </c>
      <c r="D367" s="23">
        <f>INSCRITOS_FORM!S367</f>
        <v/>
      </c>
      <c r="E367" s="23">
        <f>INSCRITOS_FORM!G367</f>
        <v/>
      </c>
      <c r="F367" s="23">
        <f>INSCRITOS_FORM!L367</f>
        <v/>
      </c>
      <c r="G367" s="23">
        <f t="array" ref="G367">IFERROR(INDEX(CONFIG!$A$22:$A$35,MATCH(F367,CONFIG!$B$22:$B$35,0)),0)</f>
        <v/>
      </c>
      <c r="H367" s="23">
        <f>INSCRITOS_FORM!M367</f>
        <v/>
      </c>
      <c r="I367" s="23">
        <f>INSCRITOS_FORM!O367</f>
        <v/>
      </c>
      <c r="J367" s="23">
        <f>INSCRITOS_FORM!J367</f>
        <v/>
      </c>
      <c r="K367" s="23">
        <f>INSCRITOS_FORM!K367</f>
        <v/>
      </c>
      <c r="L367" s="23">
        <f>INSCRITOS_FORM!U367</f>
        <v/>
      </c>
      <c r="M367" s="23">
        <f>INSCRITOS_FORM!V367</f>
        <v/>
      </c>
      <c r="N367" s="23">
        <f>INSCRITOS_FORM!W367</f>
        <v/>
      </c>
      <c r="O367" s="23">
        <f>INSCRITOS_FORM!X367</f>
        <v/>
      </c>
      <c r="P367" s="23">
        <f>INSCRITOS_FORM!AB367</f>
        <v/>
      </c>
      <c r="Q367" s="23">
        <f>IF(B367="","",IF(AND(OR(P367="Pagado",P367="Beca",P367="Invitado"),OR(L367="Sí",M367="Sí")),"Sí","No"))</f>
        <v/>
      </c>
      <c r="R367" s="23">
        <f>IF(AND(C367=TORNEO_ACTIVO!$B$3,Q367="Sí"),G367*10000-A367,-1)</f>
        <v/>
      </c>
    </row>
    <row r="368" ht="14.25" customHeight="1" s="72">
      <c r="A368" s="23">
        <f>IF(INSCRITOS_FORM!D368&lt;&gt;"",ROW()-4,"")</f>
        <v/>
      </c>
      <c r="B368" s="23">
        <f>INSCRITOS_FORM!AD368</f>
        <v/>
      </c>
      <c r="C368" s="23">
        <f>INSCRITOS_FORM!T368</f>
        <v/>
      </c>
      <c r="D368" s="23">
        <f>INSCRITOS_FORM!S368</f>
        <v/>
      </c>
      <c r="E368" s="23">
        <f>INSCRITOS_FORM!G368</f>
        <v/>
      </c>
      <c r="F368" s="23">
        <f>INSCRITOS_FORM!L368</f>
        <v/>
      </c>
      <c r="G368" s="23">
        <f t="array" ref="G368">IFERROR(INDEX(CONFIG!$A$22:$A$35,MATCH(F368,CONFIG!$B$22:$B$35,0)),0)</f>
        <v/>
      </c>
      <c r="H368" s="23">
        <f>INSCRITOS_FORM!M368</f>
        <v/>
      </c>
      <c r="I368" s="23">
        <f>INSCRITOS_FORM!O368</f>
        <v/>
      </c>
      <c r="J368" s="23">
        <f>INSCRITOS_FORM!J368</f>
        <v/>
      </c>
      <c r="K368" s="23">
        <f>INSCRITOS_FORM!K368</f>
        <v/>
      </c>
      <c r="L368" s="23">
        <f>INSCRITOS_FORM!U368</f>
        <v/>
      </c>
      <c r="M368" s="23">
        <f>INSCRITOS_FORM!V368</f>
        <v/>
      </c>
      <c r="N368" s="23">
        <f>INSCRITOS_FORM!W368</f>
        <v/>
      </c>
      <c r="O368" s="23">
        <f>INSCRITOS_FORM!X368</f>
        <v/>
      </c>
      <c r="P368" s="23">
        <f>INSCRITOS_FORM!AB368</f>
        <v/>
      </c>
      <c r="Q368" s="23">
        <f>IF(B368="","",IF(AND(OR(P368="Pagado",P368="Beca",P368="Invitado"),OR(L368="Sí",M368="Sí")),"Sí","No"))</f>
        <v/>
      </c>
      <c r="R368" s="23">
        <f>IF(AND(C368=TORNEO_ACTIVO!$B$3,Q368="Sí"),G368*10000-A368,-1)</f>
        <v/>
      </c>
    </row>
    <row r="369" ht="14.25" customHeight="1" s="72">
      <c r="A369" s="23">
        <f>IF(INSCRITOS_FORM!D369&lt;&gt;"",ROW()-4,"")</f>
        <v/>
      </c>
      <c r="B369" s="23">
        <f>INSCRITOS_FORM!AD369</f>
        <v/>
      </c>
      <c r="C369" s="23">
        <f>INSCRITOS_FORM!T369</f>
        <v/>
      </c>
      <c r="D369" s="23">
        <f>INSCRITOS_FORM!S369</f>
        <v/>
      </c>
      <c r="E369" s="23">
        <f>INSCRITOS_FORM!G369</f>
        <v/>
      </c>
      <c r="F369" s="23">
        <f>INSCRITOS_FORM!L369</f>
        <v/>
      </c>
      <c r="G369" s="23">
        <f t="array" ref="G369">IFERROR(INDEX(CONFIG!$A$22:$A$35,MATCH(F369,CONFIG!$B$22:$B$35,0)),0)</f>
        <v/>
      </c>
      <c r="H369" s="23">
        <f>INSCRITOS_FORM!M369</f>
        <v/>
      </c>
      <c r="I369" s="23">
        <f>INSCRITOS_FORM!O369</f>
        <v/>
      </c>
      <c r="J369" s="23">
        <f>INSCRITOS_FORM!J369</f>
        <v/>
      </c>
      <c r="K369" s="23">
        <f>INSCRITOS_FORM!K369</f>
        <v/>
      </c>
      <c r="L369" s="23">
        <f>INSCRITOS_FORM!U369</f>
        <v/>
      </c>
      <c r="M369" s="23">
        <f>INSCRITOS_FORM!V369</f>
        <v/>
      </c>
      <c r="N369" s="23">
        <f>INSCRITOS_FORM!W369</f>
        <v/>
      </c>
      <c r="O369" s="23">
        <f>INSCRITOS_FORM!X369</f>
        <v/>
      </c>
      <c r="P369" s="23">
        <f>INSCRITOS_FORM!AB369</f>
        <v/>
      </c>
      <c r="Q369" s="23">
        <f>IF(B369="","",IF(AND(OR(P369="Pagado",P369="Beca",P369="Invitado"),OR(L369="Sí",M369="Sí")),"Sí","No"))</f>
        <v/>
      </c>
      <c r="R369" s="23">
        <f>IF(AND(C369=TORNEO_ACTIVO!$B$3,Q369="Sí"),G369*10000-A369,-1)</f>
        <v/>
      </c>
    </row>
    <row r="370" ht="14.25" customHeight="1" s="72">
      <c r="A370" s="23">
        <f>IF(INSCRITOS_FORM!D370&lt;&gt;"",ROW()-4,"")</f>
        <v/>
      </c>
      <c r="B370" s="23">
        <f>INSCRITOS_FORM!AD370</f>
        <v/>
      </c>
      <c r="C370" s="23">
        <f>INSCRITOS_FORM!T370</f>
        <v/>
      </c>
      <c r="D370" s="23">
        <f>INSCRITOS_FORM!S370</f>
        <v/>
      </c>
      <c r="E370" s="23">
        <f>INSCRITOS_FORM!G370</f>
        <v/>
      </c>
      <c r="F370" s="23">
        <f>INSCRITOS_FORM!L370</f>
        <v/>
      </c>
      <c r="G370" s="23">
        <f t="array" ref="G370">IFERROR(INDEX(CONFIG!$A$22:$A$35,MATCH(F370,CONFIG!$B$22:$B$35,0)),0)</f>
        <v/>
      </c>
      <c r="H370" s="23">
        <f>INSCRITOS_FORM!M370</f>
        <v/>
      </c>
      <c r="I370" s="23">
        <f>INSCRITOS_FORM!O370</f>
        <v/>
      </c>
      <c r="J370" s="23">
        <f>INSCRITOS_FORM!J370</f>
        <v/>
      </c>
      <c r="K370" s="23">
        <f>INSCRITOS_FORM!K370</f>
        <v/>
      </c>
      <c r="L370" s="23">
        <f>INSCRITOS_FORM!U370</f>
        <v/>
      </c>
      <c r="M370" s="23">
        <f>INSCRITOS_FORM!V370</f>
        <v/>
      </c>
      <c r="N370" s="23">
        <f>INSCRITOS_FORM!W370</f>
        <v/>
      </c>
      <c r="O370" s="23">
        <f>INSCRITOS_FORM!X370</f>
        <v/>
      </c>
      <c r="P370" s="23">
        <f>INSCRITOS_FORM!AB370</f>
        <v/>
      </c>
      <c r="Q370" s="23">
        <f>IF(B370="","",IF(AND(OR(P370="Pagado",P370="Beca",P370="Invitado"),OR(L370="Sí",M370="Sí")),"Sí","No"))</f>
        <v/>
      </c>
      <c r="R370" s="23">
        <f>IF(AND(C370=TORNEO_ACTIVO!$B$3,Q370="Sí"),G370*10000-A370,-1)</f>
        <v/>
      </c>
    </row>
    <row r="371" ht="14.25" customHeight="1" s="72">
      <c r="A371" s="23">
        <f>IF(INSCRITOS_FORM!D371&lt;&gt;"",ROW()-4,"")</f>
        <v/>
      </c>
      <c r="B371" s="23">
        <f>INSCRITOS_FORM!AD371</f>
        <v/>
      </c>
      <c r="C371" s="23">
        <f>INSCRITOS_FORM!T371</f>
        <v/>
      </c>
      <c r="D371" s="23">
        <f>INSCRITOS_FORM!S371</f>
        <v/>
      </c>
      <c r="E371" s="23">
        <f>INSCRITOS_FORM!G371</f>
        <v/>
      </c>
      <c r="F371" s="23">
        <f>INSCRITOS_FORM!L371</f>
        <v/>
      </c>
      <c r="G371" s="23">
        <f t="array" ref="G371">IFERROR(INDEX(CONFIG!$A$22:$A$35,MATCH(F371,CONFIG!$B$22:$B$35,0)),0)</f>
        <v/>
      </c>
      <c r="H371" s="23">
        <f>INSCRITOS_FORM!M371</f>
        <v/>
      </c>
      <c r="I371" s="23">
        <f>INSCRITOS_FORM!O371</f>
        <v/>
      </c>
      <c r="J371" s="23">
        <f>INSCRITOS_FORM!J371</f>
        <v/>
      </c>
      <c r="K371" s="23">
        <f>INSCRITOS_FORM!K371</f>
        <v/>
      </c>
      <c r="L371" s="23">
        <f>INSCRITOS_FORM!U371</f>
        <v/>
      </c>
      <c r="M371" s="23">
        <f>INSCRITOS_FORM!V371</f>
        <v/>
      </c>
      <c r="N371" s="23">
        <f>INSCRITOS_FORM!W371</f>
        <v/>
      </c>
      <c r="O371" s="23">
        <f>INSCRITOS_FORM!X371</f>
        <v/>
      </c>
      <c r="P371" s="23">
        <f>INSCRITOS_FORM!AB371</f>
        <v/>
      </c>
      <c r="Q371" s="23">
        <f>IF(B371="","",IF(AND(OR(P371="Pagado",P371="Beca",P371="Invitado"),OR(L371="Sí",M371="Sí")),"Sí","No"))</f>
        <v/>
      </c>
      <c r="R371" s="23">
        <f>IF(AND(C371=TORNEO_ACTIVO!$B$3,Q371="Sí"),G371*10000-A371,-1)</f>
        <v/>
      </c>
    </row>
    <row r="372" ht="14.25" customHeight="1" s="72">
      <c r="A372" s="23">
        <f>IF(INSCRITOS_FORM!D372&lt;&gt;"",ROW()-4,"")</f>
        <v/>
      </c>
      <c r="B372" s="23">
        <f>INSCRITOS_FORM!AD372</f>
        <v/>
      </c>
      <c r="C372" s="23">
        <f>INSCRITOS_FORM!T372</f>
        <v/>
      </c>
      <c r="D372" s="23">
        <f>INSCRITOS_FORM!S372</f>
        <v/>
      </c>
      <c r="E372" s="23">
        <f>INSCRITOS_FORM!G372</f>
        <v/>
      </c>
      <c r="F372" s="23">
        <f>INSCRITOS_FORM!L372</f>
        <v/>
      </c>
      <c r="G372" s="23">
        <f t="array" ref="G372">IFERROR(INDEX(CONFIG!$A$22:$A$35,MATCH(F372,CONFIG!$B$22:$B$35,0)),0)</f>
        <v/>
      </c>
      <c r="H372" s="23">
        <f>INSCRITOS_FORM!M372</f>
        <v/>
      </c>
      <c r="I372" s="23">
        <f>INSCRITOS_FORM!O372</f>
        <v/>
      </c>
      <c r="J372" s="23">
        <f>INSCRITOS_FORM!J372</f>
        <v/>
      </c>
      <c r="K372" s="23">
        <f>INSCRITOS_FORM!K372</f>
        <v/>
      </c>
      <c r="L372" s="23">
        <f>INSCRITOS_FORM!U372</f>
        <v/>
      </c>
      <c r="M372" s="23">
        <f>INSCRITOS_FORM!V372</f>
        <v/>
      </c>
      <c r="N372" s="23">
        <f>INSCRITOS_FORM!W372</f>
        <v/>
      </c>
      <c r="O372" s="23">
        <f>INSCRITOS_FORM!X372</f>
        <v/>
      </c>
      <c r="P372" s="23">
        <f>INSCRITOS_FORM!AB372</f>
        <v/>
      </c>
      <c r="Q372" s="23">
        <f>IF(B372="","",IF(AND(OR(P372="Pagado",P372="Beca",P372="Invitado"),OR(L372="Sí",M372="Sí")),"Sí","No"))</f>
        <v/>
      </c>
      <c r="R372" s="23">
        <f>IF(AND(C372=TORNEO_ACTIVO!$B$3,Q372="Sí"),G372*10000-A372,-1)</f>
        <v/>
      </c>
    </row>
    <row r="373" ht="14.25" customHeight="1" s="72">
      <c r="A373" s="23">
        <f>IF(INSCRITOS_FORM!D373&lt;&gt;"",ROW()-4,"")</f>
        <v/>
      </c>
      <c r="B373" s="23">
        <f>INSCRITOS_FORM!AD373</f>
        <v/>
      </c>
      <c r="C373" s="23">
        <f>INSCRITOS_FORM!T373</f>
        <v/>
      </c>
      <c r="D373" s="23">
        <f>INSCRITOS_FORM!S373</f>
        <v/>
      </c>
      <c r="E373" s="23">
        <f>INSCRITOS_FORM!G373</f>
        <v/>
      </c>
      <c r="F373" s="23">
        <f>INSCRITOS_FORM!L373</f>
        <v/>
      </c>
      <c r="G373" s="23">
        <f t="array" ref="G373">IFERROR(INDEX(CONFIG!$A$22:$A$35,MATCH(F373,CONFIG!$B$22:$B$35,0)),0)</f>
        <v/>
      </c>
      <c r="H373" s="23">
        <f>INSCRITOS_FORM!M373</f>
        <v/>
      </c>
      <c r="I373" s="23">
        <f>INSCRITOS_FORM!O373</f>
        <v/>
      </c>
      <c r="J373" s="23">
        <f>INSCRITOS_FORM!J373</f>
        <v/>
      </c>
      <c r="K373" s="23">
        <f>INSCRITOS_FORM!K373</f>
        <v/>
      </c>
      <c r="L373" s="23">
        <f>INSCRITOS_FORM!U373</f>
        <v/>
      </c>
      <c r="M373" s="23">
        <f>INSCRITOS_FORM!V373</f>
        <v/>
      </c>
      <c r="N373" s="23">
        <f>INSCRITOS_FORM!W373</f>
        <v/>
      </c>
      <c r="O373" s="23">
        <f>INSCRITOS_FORM!X373</f>
        <v/>
      </c>
      <c r="P373" s="23">
        <f>INSCRITOS_FORM!AB373</f>
        <v/>
      </c>
      <c r="Q373" s="23">
        <f>IF(B373="","",IF(AND(OR(P373="Pagado",P373="Beca",P373="Invitado"),OR(L373="Sí",M373="Sí")),"Sí","No"))</f>
        <v/>
      </c>
      <c r="R373" s="23">
        <f>IF(AND(C373=TORNEO_ACTIVO!$B$3,Q373="Sí"),G373*10000-A373,-1)</f>
        <v/>
      </c>
    </row>
    <row r="374" ht="14.25" customHeight="1" s="72">
      <c r="A374" s="23">
        <f>IF(INSCRITOS_FORM!D374&lt;&gt;"",ROW()-4,"")</f>
        <v/>
      </c>
      <c r="B374" s="23">
        <f>INSCRITOS_FORM!AD374</f>
        <v/>
      </c>
      <c r="C374" s="23">
        <f>INSCRITOS_FORM!T374</f>
        <v/>
      </c>
      <c r="D374" s="23">
        <f>INSCRITOS_FORM!S374</f>
        <v/>
      </c>
      <c r="E374" s="23">
        <f>INSCRITOS_FORM!G374</f>
        <v/>
      </c>
      <c r="F374" s="23">
        <f>INSCRITOS_FORM!L374</f>
        <v/>
      </c>
      <c r="G374" s="23">
        <f t="array" ref="G374">IFERROR(INDEX(CONFIG!$A$22:$A$35,MATCH(F374,CONFIG!$B$22:$B$35,0)),0)</f>
        <v/>
      </c>
      <c r="H374" s="23">
        <f>INSCRITOS_FORM!M374</f>
        <v/>
      </c>
      <c r="I374" s="23">
        <f>INSCRITOS_FORM!O374</f>
        <v/>
      </c>
      <c r="J374" s="23">
        <f>INSCRITOS_FORM!J374</f>
        <v/>
      </c>
      <c r="K374" s="23">
        <f>INSCRITOS_FORM!K374</f>
        <v/>
      </c>
      <c r="L374" s="23">
        <f>INSCRITOS_FORM!U374</f>
        <v/>
      </c>
      <c r="M374" s="23">
        <f>INSCRITOS_FORM!V374</f>
        <v/>
      </c>
      <c r="N374" s="23">
        <f>INSCRITOS_FORM!W374</f>
        <v/>
      </c>
      <c r="O374" s="23">
        <f>INSCRITOS_FORM!X374</f>
        <v/>
      </c>
      <c r="P374" s="23">
        <f>INSCRITOS_FORM!AB374</f>
        <v/>
      </c>
      <c r="Q374" s="23">
        <f>IF(B374="","",IF(AND(OR(P374="Pagado",P374="Beca",P374="Invitado"),OR(L374="Sí",M374="Sí")),"Sí","No"))</f>
        <v/>
      </c>
      <c r="R374" s="23">
        <f>IF(AND(C374=TORNEO_ACTIVO!$B$3,Q374="Sí"),G374*10000-A374,-1)</f>
        <v/>
      </c>
    </row>
    <row r="375" ht="14.25" customHeight="1" s="72">
      <c r="A375" s="23">
        <f>IF(INSCRITOS_FORM!D375&lt;&gt;"",ROW()-4,"")</f>
        <v/>
      </c>
      <c r="B375" s="23">
        <f>INSCRITOS_FORM!AD375</f>
        <v/>
      </c>
      <c r="C375" s="23">
        <f>INSCRITOS_FORM!T375</f>
        <v/>
      </c>
      <c r="D375" s="23">
        <f>INSCRITOS_FORM!S375</f>
        <v/>
      </c>
      <c r="E375" s="23">
        <f>INSCRITOS_FORM!G375</f>
        <v/>
      </c>
      <c r="F375" s="23">
        <f>INSCRITOS_FORM!L375</f>
        <v/>
      </c>
      <c r="G375" s="23">
        <f t="array" ref="G375">IFERROR(INDEX(CONFIG!$A$22:$A$35,MATCH(F375,CONFIG!$B$22:$B$35,0)),0)</f>
        <v/>
      </c>
      <c r="H375" s="23">
        <f>INSCRITOS_FORM!M375</f>
        <v/>
      </c>
      <c r="I375" s="23">
        <f>INSCRITOS_FORM!O375</f>
        <v/>
      </c>
      <c r="J375" s="23">
        <f>INSCRITOS_FORM!J375</f>
        <v/>
      </c>
      <c r="K375" s="23">
        <f>INSCRITOS_FORM!K375</f>
        <v/>
      </c>
      <c r="L375" s="23">
        <f>INSCRITOS_FORM!U375</f>
        <v/>
      </c>
      <c r="M375" s="23">
        <f>INSCRITOS_FORM!V375</f>
        <v/>
      </c>
      <c r="N375" s="23">
        <f>INSCRITOS_FORM!W375</f>
        <v/>
      </c>
      <c r="O375" s="23">
        <f>INSCRITOS_FORM!X375</f>
        <v/>
      </c>
      <c r="P375" s="23">
        <f>INSCRITOS_FORM!AB375</f>
        <v/>
      </c>
      <c r="Q375" s="23">
        <f>IF(B375="","",IF(AND(OR(P375="Pagado",P375="Beca",P375="Invitado"),OR(L375="Sí",M375="Sí")),"Sí","No"))</f>
        <v/>
      </c>
      <c r="R375" s="23">
        <f>IF(AND(C375=TORNEO_ACTIVO!$B$3,Q375="Sí"),G375*10000-A375,-1)</f>
        <v/>
      </c>
    </row>
    <row r="376" ht="14.25" customHeight="1" s="72">
      <c r="A376" s="23">
        <f>IF(INSCRITOS_FORM!D376&lt;&gt;"",ROW()-4,"")</f>
        <v/>
      </c>
      <c r="B376" s="23">
        <f>INSCRITOS_FORM!AD376</f>
        <v/>
      </c>
      <c r="C376" s="23">
        <f>INSCRITOS_FORM!T376</f>
        <v/>
      </c>
      <c r="D376" s="23">
        <f>INSCRITOS_FORM!S376</f>
        <v/>
      </c>
      <c r="E376" s="23">
        <f>INSCRITOS_FORM!G376</f>
        <v/>
      </c>
      <c r="F376" s="23">
        <f>INSCRITOS_FORM!L376</f>
        <v/>
      </c>
      <c r="G376" s="23">
        <f t="array" ref="G376">IFERROR(INDEX(CONFIG!$A$22:$A$35,MATCH(F376,CONFIG!$B$22:$B$35,0)),0)</f>
        <v/>
      </c>
      <c r="H376" s="23">
        <f>INSCRITOS_FORM!M376</f>
        <v/>
      </c>
      <c r="I376" s="23">
        <f>INSCRITOS_FORM!O376</f>
        <v/>
      </c>
      <c r="J376" s="23">
        <f>INSCRITOS_FORM!J376</f>
        <v/>
      </c>
      <c r="K376" s="23">
        <f>INSCRITOS_FORM!K376</f>
        <v/>
      </c>
      <c r="L376" s="23">
        <f>INSCRITOS_FORM!U376</f>
        <v/>
      </c>
      <c r="M376" s="23">
        <f>INSCRITOS_FORM!V376</f>
        <v/>
      </c>
      <c r="N376" s="23">
        <f>INSCRITOS_FORM!W376</f>
        <v/>
      </c>
      <c r="O376" s="23">
        <f>INSCRITOS_FORM!X376</f>
        <v/>
      </c>
      <c r="P376" s="23">
        <f>INSCRITOS_FORM!AB376</f>
        <v/>
      </c>
      <c r="Q376" s="23">
        <f>IF(B376="","",IF(AND(OR(P376="Pagado",P376="Beca",P376="Invitado"),OR(L376="Sí",M376="Sí")),"Sí","No"))</f>
        <v/>
      </c>
      <c r="R376" s="23">
        <f>IF(AND(C376=TORNEO_ACTIVO!$B$3,Q376="Sí"),G376*10000-A376,-1)</f>
        <v/>
      </c>
    </row>
    <row r="377" ht="14.25" customHeight="1" s="72">
      <c r="A377" s="23">
        <f>IF(INSCRITOS_FORM!D377&lt;&gt;"",ROW()-4,"")</f>
        <v/>
      </c>
      <c r="B377" s="23">
        <f>INSCRITOS_FORM!AD377</f>
        <v/>
      </c>
      <c r="C377" s="23">
        <f>INSCRITOS_FORM!T377</f>
        <v/>
      </c>
      <c r="D377" s="23">
        <f>INSCRITOS_FORM!S377</f>
        <v/>
      </c>
      <c r="E377" s="23">
        <f>INSCRITOS_FORM!G377</f>
        <v/>
      </c>
      <c r="F377" s="23">
        <f>INSCRITOS_FORM!L377</f>
        <v/>
      </c>
      <c r="G377" s="23">
        <f t="array" ref="G377">IFERROR(INDEX(CONFIG!$A$22:$A$35,MATCH(F377,CONFIG!$B$22:$B$35,0)),0)</f>
        <v/>
      </c>
      <c r="H377" s="23">
        <f>INSCRITOS_FORM!M377</f>
        <v/>
      </c>
      <c r="I377" s="23">
        <f>INSCRITOS_FORM!O377</f>
        <v/>
      </c>
      <c r="J377" s="23">
        <f>INSCRITOS_FORM!J377</f>
        <v/>
      </c>
      <c r="K377" s="23">
        <f>INSCRITOS_FORM!K377</f>
        <v/>
      </c>
      <c r="L377" s="23">
        <f>INSCRITOS_FORM!U377</f>
        <v/>
      </c>
      <c r="M377" s="23">
        <f>INSCRITOS_FORM!V377</f>
        <v/>
      </c>
      <c r="N377" s="23">
        <f>INSCRITOS_FORM!W377</f>
        <v/>
      </c>
      <c r="O377" s="23">
        <f>INSCRITOS_FORM!X377</f>
        <v/>
      </c>
      <c r="P377" s="23">
        <f>INSCRITOS_FORM!AB377</f>
        <v/>
      </c>
      <c r="Q377" s="23">
        <f>IF(B377="","",IF(AND(OR(P377="Pagado",P377="Beca",P377="Invitado"),OR(L377="Sí",M377="Sí")),"Sí","No"))</f>
        <v/>
      </c>
      <c r="R377" s="23">
        <f>IF(AND(C377=TORNEO_ACTIVO!$B$3,Q377="Sí"),G377*10000-A377,-1)</f>
        <v/>
      </c>
    </row>
    <row r="378" ht="14.25" customHeight="1" s="72">
      <c r="A378" s="23">
        <f>IF(INSCRITOS_FORM!D378&lt;&gt;"",ROW()-4,"")</f>
        <v/>
      </c>
      <c r="B378" s="23">
        <f>INSCRITOS_FORM!AD378</f>
        <v/>
      </c>
      <c r="C378" s="23">
        <f>INSCRITOS_FORM!T378</f>
        <v/>
      </c>
      <c r="D378" s="23">
        <f>INSCRITOS_FORM!S378</f>
        <v/>
      </c>
      <c r="E378" s="23">
        <f>INSCRITOS_FORM!G378</f>
        <v/>
      </c>
      <c r="F378" s="23">
        <f>INSCRITOS_FORM!L378</f>
        <v/>
      </c>
      <c r="G378" s="23">
        <f t="array" ref="G378">IFERROR(INDEX(CONFIG!$A$22:$A$35,MATCH(F378,CONFIG!$B$22:$B$35,0)),0)</f>
        <v/>
      </c>
      <c r="H378" s="23">
        <f>INSCRITOS_FORM!M378</f>
        <v/>
      </c>
      <c r="I378" s="23">
        <f>INSCRITOS_FORM!O378</f>
        <v/>
      </c>
      <c r="J378" s="23">
        <f>INSCRITOS_FORM!J378</f>
        <v/>
      </c>
      <c r="K378" s="23">
        <f>INSCRITOS_FORM!K378</f>
        <v/>
      </c>
      <c r="L378" s="23">
        <f>INSCRITOS_FORM!U378</f>
        <v/>
      </c>
      <c r="M378" s="23">
        <f>INSCRITOS_FORM!V378</f>
        <v/>
      </c>
      <c r="N378" s="23">
        <f>INSCRITOS_FORM!W378</f>
        <v/>
      </c>
      <c r="O378" s="23">
        <f>INSCRITOS_FORM!X378</f>
        <v/>
      </c>
      <c r="P378" s="23">
        <f>INSCRITOS_FORM!AB378</f>
        <v/>
      </c>
      <c r="Q378" s="23">
        <f>IF(B378="","",IF(AND(OR(P378="Pagado",P378="Beca",P378="Invitado"),OR(L378="Sí",M378="Sí")),"Sí","No"))</f>
        <v/>
      </c>
      <c r="R378" s="23">
        <f>IF(AND(C378=TORNEO_ACTIVO!$B$3,Q378="Sí"),G378*10000-A378,-1)</f>
        <v/>
      </c>
    </row>
    <row r="379" ht="14.25" customHeight="1" s="72">
      <c r="A379" s="23">
        <f>IF(INSCRITOS_FORM!D379&lt;&gt;"",ROW()-4,"")</f>
        <v/>
      </c>
      <c r="B379" s="23">
        <f>INSCRITOS_FORM!AD379</f>
        <v/>
      </c>
      <c r="C379" s="23">
        <f>INSCRITOS_FORM!T379</f>
        <v/>
      </c>
      <c r="D379" s="23">
        <f>INSCRITOS_FORM!S379</f>
        <v/>
      </c>
      <c r="E379" s="23">
        <f>INSCRITOS_FORM!G379</f>
        <v/>
      </c>
      <c r="F379" s="23">
        <f>INSCRITOS_FORM!L379</f>
        <v/>
      </c>
      <c r="G379" s="23">
        <f t="array" ref="G379">IFERROR(INDEX(CONFIG!$A$22:$A$35,MATCH(F379,CONFIG!$B$22:$B$35,0)),0)</f>
        <v/>
      </c>
      <c r="H379" s="23">
        <f>INSCRITOS_FORM!M379</f>
        <v/>
      </c>
      <c r="I379" s="23">
        <f>INSCRITOS_FORM!O379</f>
        <v/>
      </c>
      <c r="J379" s="23">
        <f>INSCRITOS_FORM!J379</f>
        <v/>
      </c>
      <c r="K379" s="23">
        <f>INSCRITOS_FORM!K379</f>
        <v/>
      </c>
      <c r="L379" s="23">
        <f>INSCRITOS_FORM!U379</f>
        <v/>
      </c>
      <c r="M379" s="23">
        <f>INSCRITOS_FORM!V379</f>
        <v/>
      </c>
      <c r="N379" s="23">
        <f>INSCRITOS_FORM!W379</f>
        <v/>
      </c>
      <c r="O379" s="23">
        <f>INSCRITOS_FORM!X379</f>
        <v/>
      </c>
      <c r="P379" s="23">
        <f>INSCRITOS_FORM!AB379</f>
        <v/>
      </c>
      <c r="Q379" s="23">
        <f>IF(B379="","",IF(AND(OR(P379="Pagado",P379="Beca",P379="Invitado"),OR(L379="Sí",M379="Sí")),"Sí","No"))</f>
        <v/>
      </c>
      <c r="R379" s="23">
        <f>IF(AND(C379=TORNEO_ACTIVO!$B$3,Q379="Sí"),G379*10000-A379,-1)</f>
        <v/>
      </c>
    </row>
    <row r="380" ht="14.25" customHeight="1" s="72">
      <c r="A380" s="23">
        <f>IF(INSCRITOS_FORM!D380&lt;&gt;"",ROW()-4,"")</f>
        <v/>
      </c>
      <c r="B380" s="23">
        <f>INSCRITOS_FORM!AD380</f>
        <v/>
      </c>
      <c r="C380" s="23">
        <f>INSCRITOS_FORM!T380</f>
        <v/>
      </c>
      <c r="D380" s="23">
        <f>INSCRITOS_FORM!S380</f>
        <v/>
      </c>
      <c r="E380" s="23">
        <f>INSCRITOS_FORM!G380</f>
        <v/>
      </c>
      <c r="F380" s="23">
        <f>INSCRITOS_FORM!L380</f>
        <v/>
      </c>
      <c r="G380" s="23">
        <f t="array" ref="G380">IFERROR(INDEX(CONFIG!$A$22:$A$35,MATCH(F380,CONFIG!$B$22:$B$35,0)),0)</f>
        <v/>
      </c>
      <c r="H380" s="23">
        <f>INSCRITOS_FORM!M380</f>
        <v/>
      </c>
      <c r="I380" s="23">
        <f>INSCRITOS_FORM!O380</f>
        <v/>
      </c>
      <c r="J380" s="23">
        <f>INSCRITOS_FORM!J380</f>
        <v/>
      </c>
      <c r="K380" s="23">
        <f>INSCRITOS_FORM!K380</f>
        <v/>
      </c>
      <c r="L380" s="23">
        <f>INSCRITOS_FORM!U380</f>
        <v/>
      </c>
      <c r="M380" s="23">
        <f>INSCRITOS_FORM!V380</f>
        <v/>
      </c>
      <c r="N380" s="23">
        <f>INSCRITOS_FORM!W380</f>
        <v/>
      </c>
      <c r="O380" s="23">
        <f>INSCRITOS_FORM!X380</f>
        <v/>
      </c>
      <c r="P380" s="23">
        <f>INSCRITOS_FORM!AB380</f>
        <v/>
      </c>
      <c r="Q380" s="23">
        <f>IF(B380="","",IF(AND(OR(P380="Pagado",P380="Beca",P380="Invitado"),OR(L380="Sí",M380="Sí")),"Sí","No"))</f>
        <v/>
      </c>
      <c r="R380" s="23">
        <f>IF(AND(C380=TORNEO_ACTIVO!$B$3,Q380="Sí"),G380*10000-A380,-1)</f>
        <v/>
      </c>
    </row>
    <row r="381" ht="14.25" customHeight="1" s="72">
      <c r="A381" s="23">
        <f>IF(INSCRITOS_FORM!D381&lt;&gt;"",ROW()-4,"")</f>
        <v/>
      </c>
      <c r="B381" s="23">
        <f>INSCRITOS_FORM!AD381</f>
        <v/>
      </c>
      <c r="C381" s="23">
        <f>INSCRITOS_FORM!T381</f>
        <v/>
      </c>
      <c r="D381" s="23">
        <f>INSCRITOS_FORM!S381</f>
        <v/>
      </c>
      <c r="E381" s="23">
        <f>INSCRITOS_FORM!G381</f>
        <v/>
      </c>
      <c r="F381" s="23">
        <f>INSCRITOS_FORM!L381</f>
        <v/>
      </c>
      <c r="G381" s="23">
        <f t="array" ref="G381">IFERROR(INDEX(CONFIG!$A$22:$A$35,MATCH(F381,CONFIG!$B$22:$B$35,0)),0)</f>
        <v/>
      </c>
      <c r="H381" s="23">
        <f>INSCRITOS_FORM!M381</f>
        <v/>
      </c>
      <c r="I381" s="23">
        <f>INSCRITOS_FORM!O381</f>
        <v/>
      </c>
      <c r="J381" s="23">
        <f>INSCRITOS_FORM!J381</f>
        <v/>
      </c>
      <c r="K381" s="23">
        <f>INSCRITOS_FORM!K381</f>
        <v/>
      </c>
      <c r="L381" s="23">
        <f>INSCRITOS_FORM!U381</f>
        <v/>
      </c>
      <c r="M381" s="23">
        <f>INSCRITOS_FORM!V381</f>
        <v/>
      </c>
      <c r="N381" s="23">
        <f>INSCRITOS_FORM!W381</f>
        <v/>
      </c>
      <c r="O381" s="23">
        <f>INSCRITOS_FORM!X381</f>
        <v/>
      </c>
      <c r="P381" s="23">
        <f>INSCRITOS_FORM!AB381</f>
        <v/>
      </c>
      <c r="Q381" s="23">
        <f>IF(B381="","",IF(AND(OR(P381="Pagado",P381="Beca",P381="Invitado"),OR(L381="Sí",M381="Sí")),"Sí","No"))</f>
        <v/>
      </c>
      <c r="R381" s="23">
        <f>IF(AND(C381=TORNEO_ACTIVO!$B$3,Q381="Sí"),G381*10000-A381,-1)</f>
        <v/>
      </c>
    </row>
    <row r="382" ht="14.25" customHeight="1" s="72">
      <c r="A382" s="23">
        <f>IF(INSCRITOS_FORM!D382&lt;&gt;"",ROW()-4,"")</f>
        <v/>
      </c>
      <c r="B382" s="23">
        <f>INSCRITOS_FORM!AD382</f>
        <v/>
      </c>
      <c r="C382" s="23">
        <f>INSCRITOS_FORM!T382</f>
        <v/>
      </c>
      <c r="D382" s="23">
        <f>INSCRITOS_FORM!S382</f>
        <v/>
      </c>
      <c r="E382" s="23">
        <f>INSCRITOS_FORM!G382</f>
        <v/>
      </c>
      <c r="F382" s="23">
        <f>INSCRITOS_FORM!L382</f>
        <v/>
      </c>
      <c r="G382" s="23">
        <f t="array" ref="G382">IFERROR(INDEX(CONFIG!$A$22:$A$35,MATCH(F382,CONFIG!$B$22:$B$35,0)),0)</f>
        <v/>
      </c>
      <c r="H382" s="23">
        <f>INSCRITOS_FORM!M382</f>
        <v/>
      </c>
      <c r="I382" s="23">
        <f>INSCRITOS_FORM!O382</f>
        <v/>
      </c>
      <c r="J382" s="23">
        <f>INSCRITOS_FORM!J382</f>
        <v/>
      </c>
      <c r="K382" s="23">
        <f>INSCRITOS_FORM!K382</f>
        <v/>
      </c>
      <c r="L382" s="23">
        <f>INSCRITOS_FORM!U382</f>
        <v/>
      </c>
      <c r="M382" s="23">
        <f>INSCRITOS_FORM!V382</f>
        <v/>
      </c>
      <c r="N382" s="23">
        <f>INSCRITOS_FORM!W382</f>
        <v/>
      </c>
      <c r="O382" s="23">
        <f>INSCRITOS_FORM!X382</f>
        <v/>
      </c>
      <c r="P382" s="23">
        <f>INSCRITOS_FORM!AB382</f>
        <v/>
      </c>
      <c r="Q382" s="23">
        <f>IF(B382="","",IF(AND(OR(P382="Pagado",P382="Beca",P382="Invitado"),OR(L382="Sí",M382="Sí")),"Sí","No"))</f>
        <v/>
      </c>
      <c r="R382" s="23">
        <f>IF(AND(C382=TORNEO_ACTIVO!$B$3,Q382="Sí"),G382*10000-A382,-1)</f>
        <v/>
      </c>
    </row>
    <row r="383" ht="14.25" customHeight="1" s="72">
      <c r="A383" s="23">
        <f>IF(INSCRITOS_FORM!D383&lt;&gt;"",ROW()-4,"")</f>
        <v/>
      </c>
      <c r="B383" s="23">
        <f>INSCRITOS_FORM!AD383</f>
        <v/>
      </c>
      <c r="C383" s="23">
        <f>INSCRITOS_FORM!T383</f>
        <v/>
      </c>
      <c r="D383" s="23">
        <f>INSCRITOS_FORM!S383</f>
        <v/>
      </c>
      <c r="E383" s="23">
        <f>INSCRITOS_FORM!G383</f>
        <v/>
      </c>
      <c r="F383" s="23">
        <f>INSCRITOS_FORM!L383</f>
        <v/>
      </c>
      <c r="G383" s="23">
        <f t="array" ref="G383">IFERROR(INDEX(CONFIG!$A$22:$A$35,MATCH(F383,CONFIG!$B$22:$B$35,0)),0)</f>
        <v/>
      </c>
      <c r="H383" s="23">
        <f>INSCRITOS_FORM!M383</f>
        <v/>
      </c>
      <c r="I383" s="23">
        <f>INSCRITOS_FORM!O383</f>
        <v/>
      </c>
      <c r="J383" s="23">
        <f>INSCRITOS_FORM!J383</f>
        <v/>
      </c>
      <c r="K383" s="23">
        <f>INSCRITOS_FORM!K383</f>
        <v/>
      </c>
      <c r="L383" s="23">
        <f>INSCRITOS_FORM!U383</f>
        <v/>
      </c>
      <c r="M383" s="23">
        <f>INSCRITOS_FORM!V383</f>
        <v/>
      </c>
      <c r="N383" s="23">
        <f>INSCRITOS_FORM!W383</f>
        <v/>
      </c>
      <c r="O383" s="23">
        <f>INSCRITOS_FORM!X383</f>
        <v/>
      </c>
      <c r="P383" s="23">
        <f>INSCRITOS_FORM!AB383</f>
        <v/>
      </c>
      <c r="Q383" s="23">
        <f>IF(B383="","",IF(AND(OR(P383="Pagado",P383="Beca",P383="Invitado"),OR(L383="Sí",M383="Sí")),"Sí","No"))</f>
        <v/>
      </c>
      <c r="R383" s="23">
        <f>IF(AND(C383=TORNEO_ACTIVO!$B$3,Q383="Sí"),G383*10000-A383,-1)</f>
        <v/>
      </c>
    </row>
    <row r="384" ht="14.25" customHeight="1" s="72">
      <c r="A384" s="23">
        <f>IF(INSCRITOS_FORM!D384&lt;&gt;"",ROW()-4,"")</f>
        <v/>
      </c>
      <c r="B384" s="23">
        <f>INSCRITOS_FORM!AD384</f>
        <v/>
      </c>
      <c r="C384" s="23">
        <f>INSCRITOS_FORM!T384</f>
        <v/>
      </c>
      <c r="D384" s="23">
        <f>INSCRITOS_FORM!S384</f>
        <v/>
      </c>
      <c r="E384" s="23">
        <f>INSCRITOS_FORM!G384</f>
        <v/>
      </c>
      <c r="F384" s="23">
        <f>INSCRITOS_FORM!L384</f>
        <v/>
      </c>
      <c r="G384" s="23">
        <f t="array" ref="G384">IFERROR(INDEX(CONFIG!$A$22:$A$35,MATCH(F384,CONFIG!$B$22:$B$35,0)),0)</f>
        <v/>
      </c>
      <c r="H384" s="23">
        <f>INSCRITOS_FORM!M384</f>
        <v/>
      </c>
      <c r="I384" s="23">
        <f>INSCRITOS_FORM!O384</f>
        <v/>
      </c>
      <c r="J384" s="23">
        <f>INSCRITOS_FORM!J384</f>
        <v/>
      </c>
      <c r="K384" s="23">
        <f>INSCRITOS_FORM!K384</f>
        <v/>
      </c>
      <c r="L384" s="23">
        <f>INSCRITOS_FORM!U384</f>
        <v/>
      </c>
      <c r="M384" s="23">
        <f>INSCRITOS_FORM!V384</f>
        <v/>
      </c>
      <c r="N384" s="23">
        <f>INSCRITOS_FORM!W384</f>
        <v/>
      </c>
      <c r="O384" s="23">
        <f>INSCRITOS_FORM!X384</f>
        <v/>
      </c>
      <c r="P384" s="23">
        <f>INSCRITOS_FORM!AB384</f>
        <v/>
      </c>
      <c r="Q384" s="23">
        <f>IF(B384="","",IF(AND(OR(P384="Pagado",P384="Beca",P384="Invitado"),OR(L384="Sí",M384="Sí")),"Sí","No"))</f>
        <v/>
      </c>
      <c r="R384" s="23">
        <f>IF(AND(C384=TORNEO_ACTIVO!$B$3,Q384="Sí"),G384*10000-A384,-1)</f>
        <v/>
      </c>
    </row>
    <row r="385" ht="14.25" customHeight="1" s="72">
      <c r="A385" s="23">
        <f>IF(INSCRITOS_FORM!D385&lt;&gt;"",ROW()-4,"")</f>
        <v/>
      </c>
      <c r="B385" s="23">
        <f>INSCRITOS_FORM!AD385</f>
        <v/>
      </c>
      <c r="C385" s="23">
        <f>INSCRITOS_FORM!T385</f>
        <v/>
      </c>
      <c r="D385" s="23">
        <f>INSCRITOS_FORM!S385</f>
        <v/>
      </c>
      <c r="E385" s="23">
        <f>INSCRITOS_FORM!G385</f>
        <v/>
      </c>
      <c r="F385" s="23">
        <f>INSCRITOS_FORM!L385</f>
        <v/>
      </c>
      <c r="G385" s="23">
        <f t="array" ref="G385">IFERROR(INDEX(CONFIG!$A$22:$A$35,MATCH(F385,CONFIG!$B$22:$B$35,0)),0)</f>
        <v/>
      </c>
      <c r="H385" s="23">
        <f>INSCRITOS_FORM!M385</f>
        <v/>
      </c>
      <c r="I385" s="23">
        <f>INSCRITOS_FORM!O385</f>
        <v/>
      </c>
      <c r="J385" s="23">
        <f>INSCRITOS_FORM!J385</f>
        <v/>
      </c>
      <c r="K385" s="23">
        <f>INSCRITOS_FORM!K385</f>
        <v/>
      </c>
      <c r="L385" s="23">
        <f>INSCRITOS_FORM!U385</f>
        <v/>
      </c>
      <c r="M385" s="23">
        <f>INSCRITOS_FORM!V385</f>
        <v/>
      </c>
      <c r="N385" s="23">
        <f>INSCRITOS_FORM!W385</f>
        <v/>
      </c>
      <c r="O385" s="23">
        <f>INSCRITOS_FORM!X385</f>
        <v/>
      </c>
      <c r="P385" s="23">
        <f>INSCRITOS_FORM!AB385</f>
        <v/>
      </c>
      <c r="Q385" s="23">
        <f>IF(B385="","",IF(AND(OR(P385="Pagado",P385="Beca",P385="Invitado"),OR(L385="Sí",M385="Sí")),"Sí","No"))</f>
        <v/>
      </c>
      <c r="R385" s="23">
        <f>IF(AND(C385=TORNEO_ACTIVO!$B$3,Q385="Sí"),G385*10000-A385,-1)</f>
        <v/>
      </c>
    </row>
    <row r="386" ht="14.25" customHeight="1" s="72">
      <c r="A386" s="23">
        <f>IF(INSCRITOS_FORM!D386&lt;&gt;"",ROW()-4,"")</f>
        <v/>
      </c>
      <c r="B386" s="23">
        <f>INSCRITOS_FORM!AD386</f>
        <v/>
      </c>
      <c r="C386" s="23">
        <f>INSCRITOS_FORM!T386</f>
        <v/>
      </c>
      <c r="D386" s="23">
        <f>INSCRITOS_FORM!S386</f>
        <v/>
      </c>
      <c r="E386" s="23">
        <f>INSCRITOS_FORM!G386</f>
        <v/>
      </c>
      <c r="F386" s="23">
        <f>INSCRITOS_FORM!L386</f>
        <v/>
      </c>
      <c r="G386" s="23">
        <f t="array" ref="G386">IFERROR(INDEX(CONFIG!$A$22:$A$35,MATCH(F386,CONFIG!$B$22:$B$35,0)),0)</f>
        <v/>
      </c>
      <c r="H386" s="23">
        <f>INSCRITOS_FORM!M386</f>
        <v/>
      </c>
      <c r="I386" s="23">
        <f>INSCRITOS_FORM!O386</f>
        <v/>
      </c>
      <c r="J386" s="23">
        <f>INSCRITOS_FORM!J386</f>
        <v/>
      </c>
      <c r="K386" s="23">
        <f>INSCRITOS_FORM!K386</f>
        <v/>
      </c>
      <c r="L386" s="23">
        <f>INSCRITOS_FORM!U386</f>
        <v/>
      </c>
      <c r="M386" s="23">
        <f>INSCRITOS_FORM!V386</f>
        <v/>
      </c>
      <c r="N386" s="23">
        <f>INSCRITOS_FORM!W386</f>
        <v/>
      </c>
      <c r="O386" s="23">
        <f>INSCRITOS_FORM!X386</f>
        <v/>
      </c>
      <c r="P386" s="23">
        <f>INSCRITOS_FORM!AB386</f>
        <v/>
      </c>
      <c r="Q386" s="23">
        <f>IF(B386="","",IF(AND(OR(P386="Pagado",P386="Beca",P386="Invitado"),OR(L386="Sí",M386="Sí")),"Sí","No"))</f>
        <v/>
      </c>
      <c r="R386" s="23">
        <f>IF(AND(C386=TORNEO_ACTIVO!$B$3,Q386="Sí"),G386*10000-A386,-1)</f>
        <v/>
      </c>
    </row>
    <row r="387" ht="14.25" customHeight="1" s="72">
      <c r="A387" s="23">
        <f>IF(INSCRITOS_FORM!D387&lt;&gt;"",ROW()-4,"")</f>
        <v/>
      </c>
      <c r="B387" s="23">
        <f>INSCRITOS_FORM!AD387</f>
        <v/>
      </c>
      <c r="C387" s="23">
        <f>INSCRITOS_FORM!T387</f>
        <v/>
      </c>
      <c r="D387" s="23">
        <f>INSCRITOS_FORM!S387</f>
        <v/>
      </c>
      <c r="E387" s="23">
        <f>INSCRITOS_FORM!G387</f>
        <v/>
      </c>
      <c r="F387" s="23">
        <f>INSCRITOS_FORM!L387</f>
        <v/>
      </c>
      <c r="G387" s="23">
        <f t="array" ref="G387">IFERROR(INDEX(CONFIG!$A$22:$A$35,MATCH(F387,CONFIG!$B$22:$B$35,0)),0)</f>
        <v/>
      </c>
      <c r="H387" s="23">
        <f>INSCRITOS_FORM!M387</f>
        <v/>
      </c>
      <c r="I387" s="23">
        <f>INSCRITOS_FORM!O387</f>
        <v/>
      </c>
      <c r="J387" s="23">
        <f>INSCRITOS_FORM!J387</f>
        <v/>
      </c>
      <c r="K387" s="23">
        <f>INSCRITOS_FORM!K387</f>
        <v/>
      </c>
      <c r="L387" s="23">
        <f>INSCRITOS_FORM!U387</f>
        <v/>
      </c>
      <c r="M387" s="23">
        <f>INSCRITOS_FORM!V387</f>
        <v/>
      </c>
      <c r="N387" s="23">
        <f>INSCRITOS_FORM!W387</f>
        <v/>
      </c>
      <c r="O387" s="23">
        <f>INSCRITOS_FORM!X387</f>
        <v/>
      </c>
      <c r="P387" s="23">
        <f>INSCRITOS_FORM!AB387</f>
        <v/>
      </c>
      <c r="Q387" s="23">
        <f>IF(B387="","",IF(AND(OR(P387="Pagado",P387="Beca",P387="Invitado"),OR(L387="Sí",M387="Sí")),"Sí","No"))</f>
        <v/>
      </c>
      <c r="R387" s="23">
        <f>IF(AND(C387=TORNEO_ACTIVO!$B$3,Q387="Sí"),G387*10000-A387,-1)</f>
        <v/>
      </c>
    </row>
    <row r="388" ht="14.25" customHeight="1" s="72">
      <c r="A388" s="23">
        <f>IF(INSCRITOS_FORM!D388&lt;&gt;"",ROW()-4,"")</f>
        <v/>
      </c>
      <c r="B388" s="23">
        <f>INSCRITOS_FORM!AD388</f>
        <v/>
      </c>
      <c r="C388" s="23">
        <f>INSCRITOS_FORM!T388</f>
        <v/>
      </c>
      <c r="D388" s="23">
        <f>INSCRITOS_FORM!S388</f>
        <v/>
      </c>
      <c r="E388" s="23">
        <f>INSCRITOS_FORM!G388</f>
        <v/>
      </c>
      <c r="F388" s="23">
        <f>INSCRITOS_FORM!L388</f>
        <v/>
      </c>
      <c r="G388" s="23">
        <f t="array" ref="G388">IFERROR(INDEX(CONFIG!$A$22:$A$35,MATCH(F388,CONFIG!$B$22:$B$35,0)),0)</f>
        <v/>
      </c>
      <c r="H388" s="23">
        <f>INSCRITOS_FORM!M388</f>
        <v/>
      </c>
      <c r="I388" s="23">
        <f>INSCRITOS_FORM!O388</f>
        <v/>
      </c>
      <c r="J388" s="23">
        <f>INSCRITOS_FORM!J388</f>
        <v/>
      </c>
      <c r="K388" s="23">
        <f>INSCRITOS_FORM!K388</f>
        <v/>
      </c>
      <c r="L388" s="23">
        <f>INSCRITOS_FORM!U388</f>
        <v/>
      </c>
      <c r="M388" s="23">
        <f>INSCRITOS_FORM!V388</f>
        <v/>
      </c>
      <c r="N388" s="23">
        <f>INSCRITOS_FORM!W388</f>
        <v/>
      </c>
      <c r="O388" s="23">
        <f>INSCRITOS_FORM!X388</f>
        <v/>
      </c>
      <c r="P388" s="23">
        <f>INSCRITOS_FORM!AB388</f>
        <v/>
      </c>
      <c r="Q388" s="23">
        <f>IF(B388="","",IF(AND(OR(P388="Pagado",P388="Beca",P388="Invitado"),OR(L388="Sí",M388="Sí")),"Sí","No"))</f>
        <v/>
      </c>
      <c r="R388" s="23">
        <f>IF(AND(C388=TORNEO_ACTIVO!$B$3,Q388="Sí"),G388*10000-A388,-1)</f>
        <v/>
      </c>
    </row>
    <row r="389" ht="14.25" customHeight="1" s="72">
      <c r="A389" s="23">
        <f>IF(INSCRITOS_FORM!D389&lt;&gt;"",ROW()-4,"")</f>
        <v/>
      </c>
      <c r="B389" s="23">
        <f>INSCRITOS_FORM!AD389</f>
        <v/>
      </c>
      <c r="C389" s="23">
        <f>INSCRITOS_FORM!T389</f>
        <v/>
      </c>
      <c r="D389" s="23">
        <f>INSCRITOS_FORM!S389</f>
        <v/>
      </c>
      <c r="E389" s="23">
        <f>INSCRITOS_FORM!G389</f>
        <v/>
      </c>
      <c r="F389" s="23">
        <f>INSCRITOS_FORM!L389</f>
        <v/>
      </c>
      <c r="G389" s="23">
        <f t="array" ref="G389">IFERROR(INDEX(CONFIG!$A$22:$A$35,MATCH(F389,CONFIG!$B$22:$B$35,0)),0)</f>
        <v/>
      </c>
      <c r="H389" s="23">
        <f>INSCRITOS_FORM!M389</f>
        <v/>
      </c>
      <c r="I389" s="23">
        <f>INSCRITOS_FORM!O389</f>
        <v/>
      </c>
      <c r="J389" s="23">
        <f>INSCRITOS_FORM!J389</f>
        <v/>
      </c>
      <c r="K389" s="23">
        <f>INSCRITOS_FORM!K389</f>
        <v/>
      </c>
      <c r="L389" s="23">
        <f>INSCRITOS_FORM!U389</f>
        <v/>
      </c>
      <c r="M389" s="23">
        <f>INSCRITOS_FORM!V389</f>
        <v/>
      </c>
      <c r="N389" s="23">
        <f>INSCRITOS_FORM!W389</f>
        <v/>
      </c>
      <c r="O389" s="23">
        <f>INSCRITOS_FORM!X389</f>
        <v/>
      </c>
      <c r="P389" s="23">
        <f>INSCRITOS_FORM!AB389</f>
        <v/>
      </c>
      <c r="Q389" s="23">
        <f>IF(B389="","",IF(AND(OR(P389="Pagado",P389="Beca",P389="Invitado"),OR(L389="Sí",M389="Sí")),"Sí","No"))</f>
        <v/>
      </c>
      <c r="R389" s="23">
        <f>IF(AND(C389=TORNEO_ACTIVO!$B$3,Q389="Sí"),G389*10000-A389,-1)</f>
        <v/>
      </c>
    </row>
    <row r="390" ht="14.25" customHeight="1" s="72">
      <c r="A390" s="23">
        <f>IF(INSCRITOS_FORM!D390&lt;&gt;"",ROW()-4,"")</f>
        <v/>
      </c>
      <c r="B390" s="23">
        <f>INSCRITOS_FORM!AD390</f>
        <v/>
      </c>
      <c r="C390" s="23">
        <f>INSCRITOS_FORM!T390</f>
        <v/>
      </c>
      <c r="D390" s="23">
        <f>INSCRITOS_FORM!S390</f>
        <v/>
      </c>
      <c r="E390" s="23">
        <f>INSCRITOS_FORM!G390</f>
        <v/>
      </c>
      <c r="F390" s="23">
        <f>INSCRITOS_FORM!L390</f>
        <v/>
      </c>
      <c r="G390" s="23">
        <f t="array" ref="G390">IFERROR(INDEX(CONFIG!$A$22:$A$35,MATCH(F390,CONFIG!$B$22:$B$35,0)),0)</f>
        <v/>
      </c>
      <c r="H390" s="23">
        <f>INSCRITOS_FORM!M390</f>
        <v/>
      </c>
      <c r="I390" s="23">
        <f>INSCRITOS_FORM!O390</f>
        <v/>
      </c>
      <c r="J390" s="23">
        <f>INSCRITOS_FORM!J390</f>
        <v/>
      </c>
      <c r="K390" s="23">
        <f>INSCRITOS_FORM!K390</f>
        <v/>
      </c>
      <c r="L390" s="23">
        <f>INSCRITOS_FORM!U390</f>
        <v/>
      </c>
      <c r="M390" s="23">
        <f>INSCRITOS_FORM!V390</f>
        <v/>
      </c>
      <c r="N390" s="23">
        <f>INSCRITOS_FORM!W390</f>
        <v/>
      </c>
      <c r="O390" s="23">
        <f>INSCRITOS_FORM!X390</f>
        <v/>
      </c>
      <c r="P390" s="23">
        <f>INSCRITOS_FORM!AB390</f>
        <v/>
      </c>
      <c r="Q390" s="23">
        <f>IF(B390="","",IF(AND(OR(P390="Pagado",P390="Beca",P390="Invitado"),OR(L390="Sí",M390="Sí")),"Sí","No"))</f>
        <v/>
      </c>
      <c r="R390" s="23">
        <f>IF(AND(C390=TORNEO_ACTIVO!$B$3,Q390="Sí"),G390*10000-A390,-1)</f>
        <v/>
      </c>
    </row>
    <row r="391" ht="14.25" customHeight="1" s="72">
      <c r="A391" s="23">
        <f>IF(INSCRITOS_FORM!D391&lt;&gt;"",ROW()-4,"")</f>
        <v/>
      </c>
      <c r="B391" s="23">
        <f>INSCRITOS_FORM!AD391</f>
        <v/>
      </c>
      <c r="C391" s="23">
        <f>INSCRITOS_FORM!T391</f>
        <v/>
      </c>
      <c r="D391" s="23">
        <f>INSCRITOS_FORM!S391</f>
        <v/>
      </c>
      <c r="E391" s="23">
        <f>INSCRITOS_FORM!G391</f>
        <v/>
      </c>
      <c r="F391" s="23">
        <f>INSCRITOS_FORM!L391</f>
        <v/>
      </c>
      <c r="G391" s="23">
        <f t="array" ref="G391">IFERROR(INDEX(CONFIG!$A$22:$A$35,MATCH(F391,CONFIG!$B$22:$B$35,0)),0)</f>
        <v/>
      </c>
      <c r="H391" s="23">
        <f>INSCRITOS_FORM!M391</f>
        <v/>
      </c>
      <c r="I391" s="23">
        <f>INSCRITOS_FORM!O391</f>
        <v/>
      </c>
      <c r="J391" s="23">
        <f>INSCRITOS_FORM!J391</f>
        <v/>
      </c>
      <c r="K391" s="23">
        <f>INSCRITOS_FORM!K391</f>
        <v/>
      </c>
      <c r="L391" s="23">
        <f>INSCRITOS_FORM!U391</f>
        <v/>
      </c>
      <c r="M391" s="23">
        <f>INSCRITOS_FORM!V391</f>
        <v/>
      </c>
      <c r="N391" s="23">
        <f>INSCRITOS_FORM!W391</f>
        <v/>
      </c>
      <c r="O391" s="23">
        <f>INSCRITOS_FORM!X391</f>
        <v/>
      </c>
      <c r="P391" s="23">
        <f>INSCRITOS_FORM!AB391</f>
        <v/>
      </c>
      <c r="Q391" s="23">
        <f>IF(B391="","",IF(AND(OR(P391="Pagado",P391="Beca",P391="Invitado"),OR(L391="Sí",M391="Sí")),"Sí","No"))</f>
        <v/>
      </c>
      <c r="R391" s="23">
        <f>IF(AND(C391=TORNEO_ACTIVO!$B$3,Q391="Sí"),G391*10000-A391,-1)</f>
        <v/>
      </c>
    </row>
    <row r="392" ht="14.25" customHeight="1" s="72">
      <c r="A392" s="23">
        <f>IF(INSCRITOS_FORM!D392&lt;&gt;"",ROW()-4,"")</f>
        <v/>
      </c>
      <c r="B392" s="23">
        <f>INSCRITOS_FORM!AD392</f>
        <v/>
      </c>
      <c r="C392" s="23">
        <f>INSCRITOS_FORM!T392</f>
        <v/>
      </c>
      <c r="D392" s="23">
        <f>INSCRITOS_FORM!S392</f>
        <v/>
      </c>
      <c r="E392" s="23">
        <f>INSCRITOS_FORM!G392</f>
        <v/>
      </c>
      <c r="F392" s="23">
        <f>INSCRITOS_FORM!L392</f>
        <v/>
      </c>
      <c r="G392" s="23">
        <f t="array" ref="G392">IFERROR(INDEX(CONFIG!$A$22:$A$35,MATCH(F392,CONFIG!$B$22:$B$35,0)),0)</f>
        <v/>
      </c>
      <c r="H392" s="23">
        <f>INSCRITOS_FORM!M392</f>
        <v/>
      </c>
      <c r="I392" s="23">
        <f>INSCRITOS_FORM!O392</f>
        <v/>
      </c>
      <c r="J392" s="23">
        <f>INSCRITOS_FORM!J392</f>
        <v/>
      </c>
      <c r="K392" s="23">
        <f>INSCRITOS_FORM!K392</f>
        <v/>
      </c>
      <c r="L392" s="23">
        <f>INSCRITOS_FORM!U392</f>
        <v/>
      </c>
      <c r="M392" s="23">
        <f>INSCRITOS_FORM!V392</f>
        <v/>
      </c>
      <c r="N392" s="23">
        <f>INSCRITOS_FORM!W392</f>
        <v/>
      </c>
      <c r="O392" s="23">
        <f>INSCRITOS_FORM!X392</f>
        <v/>
      </c>
      <c r="P392" s="23">
        <f>INSCRITOS_FORM!AB392</f>
        <v/>
      </c>
      <c r="Q392" s="23">
        <f>IF(B392="","",IF(AND(OR(P392="Pagado",P392="Beca",P392="Invitado"),OR(L392="Sí",M392="Sí")),"Sí","No"))</f>
        <v/>
      </c>
      <c r="R392" s="23">
        <f>IF(AND(C392=TORNEO_ACTIVO!$B$3,Q392="Sí"),G392*10000-A392,-1)</f>
        <v/>
      </c>
    </row>
    <row r="393" ht="14.25" customHeight="1" s="72">
      <c r="A393" s="23">
        <f>IF(INSCRITOS_FORM!D393&lt;&gt;"",ROW()-4,"")</f>
        <v/>
      </c>
      <c r="B393" s="23">
        <f>INSCRITOS_FORM!AD393</f>
        <v/>
      </c>
      <c r="C393" s="23">
        <f>INSCRITOS_FORM!T393</f>
        <v/>
      </c>
      <c r="D393" s="23">
        <f>INSCRITOS_FORM!S393</f>
        <v/>
      </c>
      <c r="E393" s="23">
        <f>INSCRITOS_FORM!G393</f>
        <v/>
      </c>
      <c r="F393" s="23">
        <f>INSCRITOS_FORM!L393</f>
        <v/>
      </c>
      <c r="G393" s="23">
        <f t="array" ref="G393">IFERROR(INDEX(CONFIG!$A$22:$A$35,MATCH(F393,CONFIG!$B$22:$B$35,0)),0)</f>
        <v/>
      </c>
      <c r="H393" s="23">
        <f>INSCRITOS_FORM!M393</f>
        <v/>
      </c>
      <c r="I393" s="23">
        <f>INSCRITOS_FORM!O393</f>
        <v/>
      </c>
      <c r="J393" s="23">
        <f>INSCRITOS_FORM!J393</f>
        <v/>
      </c>
      <c r="K393" s="23">
        <f>INSCRITOS_FORM!K393</f>
        <v/>
      </c>
      <c r="L393" s="23">
        <f>INSCRITOS_FORM!U393</f>
        <v/>
      </c>
      <c r="M393" s="23">
        <f>INSCRITOS_FORM!V393</f>
        <v/>
      </c>
      <c r="N393" s="23">
        <f>INSCRITOS_FORM!W393</f>
        <v/>
      </c>
      <c r="O393" s="23">
        <f>INSCRITOS_FORM!X393</f>
        <v/>
      </c>
      <c r="P393" s="23">
        <f>INSCRITOS_FORM!AB393</f>
        <v/>
      </c>
      <c r="Q393" s="23">
        <f>IF(B393="","",IF(AND(OR(P393="Pagado",P393="Beca",P393="Invitado"),OR(L393="Sí",M393="Sí")),"Sí","No"))</f>
        <v/>
      </c>
      <c r="R393" s="23">
        <f>IF(AND(C393=TORNEO_ACTIVO!$B$3,Q393="Sí"),G393*10000-A393,-1)</f>
        <v/>
      </c>
    </row>
    <row r="394" ht="14.25" customHeight="1" s="72">
      <c r="A394" s="23">
        <f>IF(INSCRITOS_FORM!D394&lt;&gt;"",ROW()-4,"")</f>
        <v/>
      </c>
      <c r="B394" s="23">
        <f>INSCRITOS_FORM!AD394</f>
        <v/>
      </c>
      <c r="C394" s="23">
        <f>INSCRITOS_FORM!T394</f>
        <v/>
      </c>
      <c r="D394" s="23">
        <f>INSCRITOS_FORM!S394</f>
        <v/>
      </c>
      <c r="E394" s="23">
        <f>INSCRITOS_FORM!G394</f>
        <v/>
      </c>
      <c r="F394" s="23">
        <f>INSCRITOS_FORM!L394</f>
        <v/>
      </c>
      <c r="G394" s="23">
        <f t="array" ref="G394">IFERROR(INDEX(CONFIG!$A$22:$A$35,MATCH(F394,CONFIG!$B$22:$B$35,0)),0)</f>
        <v/>
      </c>
      <c r="H394" s="23">
        <f>INSCRITOS_FORM!M394</f>
        <v/>
      </c>
      <c r="I394" s="23">
        <f>INSCRITOS_FORM!O394</f>
        <v/>
      </c>
      <c r="J394" s="23">
        <f>INSCRITOS_FORM!J394</f>
        <v/>
      </c>
      <c r="K394" s="23">
        <f>INSCRITOS_FORM!K394</f>
        <v/>
      </c>
      <c r="L394" s="23">
        <f>INSCRITOS_FORM!U394</f>
        <v/>
      </c>
      <c r="M394" s="23">
        <f>INSCRITOS_FORM!V394</f>
        <v/>
      </c>
      <c r="N394" s="23">
        <f>INSCRITOS_FORM!W394</f>
        <v/>
      </c>
      <c r="O394" s="23">
        <f>INSCRITOS_FORM!X394</f>
        <v/>
      </c>
      <c r="P394" s="23">
        <f>INSCRITOS_FORM!AB394</f>
        <v/>
      </c>
      <c r="Q394" s="23">
        <f>IF(B394="","",IF(AND(OR(P394="Pagado",P394="Beca",P394="Invitado"),OR(L394="Sí",M394="Sí")),"Sí","No"))</f>
        <v/>
      </c>
      <c r="R394" s="23">
        <f>IF(AND(C394=TORNEO_ACTIVO!$B$3,Q394="Sí"),G394*10000-A394,-1)</f>
        <v/>
      </c>
    </row>
    <row r="395" ht="14.25" customHeight="1" s="72">
      <c r="A395" s="23">
        <f>IF(INSCRITOS_FORM!D395&lt;&gt;"",ROW()-4,"")</f>
        <v/>
      </c>
      <c r="B395" s="23">
        <f>INSCRITOS_FORM!AD395</f>
        <v/>
      </c>
      <c r="C395" s="23">
        <f>INSCRITOS_FORM!T395</f>
        <v/>
      </c>
      <c r="D395" s="23">
        <f>INSCRITOS_FORM!S395</f>
        <v/>
      </c>
      <c r="E395" s="23">
        <f>INSCRITOS_FORM!G395</f>
        <v/>
      </c>
      <c r="F395" s="23">
        <f>INSCRITOS_FORM!L395</f>
        <v/>
      </c>
      <c r="G395" s="23">
        <f t="array" ref="G395">IFERROR(INDEX(CONFIG!$A$22:$A$35,MATCH(F395,CONFIG!$B$22:$B$35,0)),0)</f>
        <v/>
      </c>
      <c r="H395" s="23">
        <f>INSCRITOS_FORM!M395</f>
        <v/>
      </c>
      <c r="I395" s="23">
        <f>INSCRITOS_FORM!O395</f>
        <v/>
      </c>
      <c r="J395" s="23">
        <f>INSCRITOS_FORM!J395</f>
        <v/>
      </c>
      <c r="K395" s="23">
        <f>INSCRITOS_FORM!K395</f>
        <v/>
      </c>
      <c r="L395" s="23">
        <f>INSCRITOS_FORM!U395</f>
        <v/>
      </c>
      <c r="M395" s="23">
        <f>INSCRITOS_FORM!V395</f>
        <v/>
      </c>
      <c r="N395" s="23">
        <f>INSCRITOS_FORM!W395</f>
        <v/>
      </c>
      <c r="O395" s="23">
        <f>INSCRITOS_FORM!X395</f>
        <v/>
      </c>
      <c r="P395" s="23">
        <f>INSCRITOS_FORM!AB395</f>
        <v/>
      </c>
      <c r="Q395" s="23">
        <f>IF(B395="","",IF(AND(OR(P395="Pagado",P395="Beca",P395="Invitado"),OR(L395="Sí",M395="Sí")),"Sí","No"))</f>
        <v/>
      </c>
      <c r="R395" s="23">
        <f>IF(AND(C395=TORNEO_ACTIVO!$B$3,Q395="Sí"),G395*10000-A395,-1)</f>
        <v/>
      </c>
    </row>
    <row r="396" ht="14.25" customHeight="1" s="72">
      <c r="A396" s="23">
        <f>IF(INSCRITOS_FORM!D396&lt;&gt;"",ROW()-4,"")</f>
        <v/>
      </c>
      <c r="B396" s="23">
        <f>INSCRITOS_FORM!AD396</f>
        <v/>
      </c>
      <c r="C396" s="23">
        <f>INSCRITOS_FORM!T396</f>
        <v/>
      </c>
      <c r="D396" s="23">
        <f>INSCRITOS_FORM!S396</f>
        <v/>
      </c>
      <c r="E396" s="23">
        <f>INSCRITOS_FORM!G396</f>
        <v/>
      </c>
      <c r="F396" s="23">
        <f>INSCRITOS_FORM!L396</f>
        <v/>
      </c>
      <c r="G396" s="23">
        <f t="array" ref="G396">IFERROR(INDEX(CONFIG!$A$22:$A$35,MATCH(F396,CONFIG!$B$22:$B$35,0)),0)</f>
        <v/>
      </c>
      <c r="H396" s="23">
        <f>INSCRITOS_FORM!M396</f>
        <v/>
      </c>
      <c r="I396" s="23">
        <f>INSCRITOS_FORM!O396</f>
        <v/>
      </c>
      <c r="J396" s="23">
        <f>INSCRITOS_FORM!J396</f>
        <v/>
      </c>
      <c r="K396" s="23">
        <f>INSCRITOS_FORM!K396</f>
        <v/>
      </c>
      <c r="L396" s="23">
        <f>INSCRITOS_FORM!U396</f>
        <v/>
      </c>
      <c r="M396" s="23">
        <f>INSCRITOS_FORM!V396</f>
        <v/>
      </c>
      <c r="N396" s="23">
        <f>INSCRITOS_FORM!W396</f>
        <v/>
      </c>
      <c r="O396" s="23">
        <f>INSCRITOS_FORM!X396</f>
        <v/>
      </c>
      <c r="P396" s="23">
        <f>INSCRITOS_FORM!AB396</f>
        <v/>
      </c>
      <c r="Q396" s="23">
        <f>IF(B396="","",IF(AND(OR(P396="Pagado",P396="Beca",P396="Invitado"),OR(L396="Sí",M396="Sí")),"Sí","No"))</f>
        <v/>
      </c>
      <c r="R396" s="23">
        <f>IF(AND(C396=TORNEO_ACTIVO!$B$3,Q396="Sí"),G396*10000-A396,-1)</f>
        <v/>
      </c>
    </row>
    <row r="397" ht="14.25" customHeight="1" s="72">
      <c r="A397" s="23">
        <f>IF(INSCRITOS_FORM!D397&lt;&gt;"",ROW()-4,"")</f>
        <v/>
      </c>
      <c r="B397" s="23">
        <f>INSCRITOS_FORM!AD397</f>
        <v/>
      </c>
      <c r="C397" s="23">
        <f>INSCRITOS_FORM!T397</f>
        <v/>
      </c>
      <c r="D397" s="23">
        <f>INSCRITOS_FORM!S397</f>
        <v/>
      </c>
      <c r="E397" s="23">
        <f>INSCRITOS_FORM!G397</f>
        <v/>
      </c>
      <c r="F397" s="23">
        <f>INSCRITOS_FORM!L397</f>
        <v/>
      </c>
      <c r="G397" s="23">
        <f t="array" ref="G397">IFERROR(INDEX(CONFIG!$A$22:$A$35,MATCH(F397,CONFIG!$B$22:$B$35,0)),0)</f>
        <v/>
      </c>
      <c r="H397" s="23">
        <f>INSCRITOS_FORM!M397</f>
        <v/>
      </c>
      <c r="I397" s="23">
        <f>INSCRITOS_FORM!O397</f>
        <v/>
      </c>
      <c r="J397" s="23">
        <f>INSCRITOS_FORM!J397</f>
        <v/>
      </c>
      <c r="K397" s="23">
        <f>INSCRITOS_FORM!K397</f>
        <v/>
      </c>
      <c r="L397" s="23">
        <f>INSCRITOS_FORM!U397</f>
        <v/>
      </c>
      <c r="M397" s="23">
        <f>INSCRITOS_FORM!V397</f>
        <v/>
      </c>
      <c r="N397" s="23">
        <f>INSCRITOS_FORM!W397</f>
        <v/>
      </c>
      <c r="O397" s="23">
        <f>INSCRITOS_FORM!X397</f>
        <v/>
      </c>
      <c r="P397" s="23">
        <f>INSCRITOS_FORM!AB397</f>
        <v/>
      </c>
      <c r="Q397" s="23">
        <f>IF(B397="","",IF(AND(OR(P397="Pagado",P397="Beca",P397="Invitado"),OR(L397="Sí",M397="Sí")),"Sí","No"))</f>
        <v/>
      </c>
      <c r="R397" s="23">
        <f>IF(AND(C397=TORNEO_ACTIVO!$B$3,Q397="Sí"),G397*10000-A397,-1)</f>
        <v/>
      </c>
    </row>
    <row r="398" ht="14.25" customHeight="1" s="72">
      <c r="A398" s="23">
        <f>IF(INSCRITOS_FORM!D398&lt;&gt;"",ROW()-4,"")</f>
        <v/>
      </c>
      <c r="B398" s="23">
        <f>INSCRITOS_FORM!AD398</f>
        <v/>
      </c>
      <c r="C398" s="23">
        <f>INSCRITOS_FORM!T398</f>
        <v/>
      </c>
      <c r="D398" s="23">
        <f>INSCRITOS_FORM!S398</f>
        <v/>
      </c>
      <c r="E398" s="23">
        <f>INSCRITOS_FORM!G398</f>
        <v/>
      </c>
      <c r="F398" s="23">
        <f>INSCRITOS_FORM!L398</f>
        <v/>
      </c>
      <c r="G398" s="23">
        <f t="array" ref="G398">IFERROR(INDEX(CONFIG!$A$22:$A$35,MATCH(F398,CONFIG!$B$22:$B$35,0)),0)</f>
        <v/>
      </c>
      <c r="H398" s="23">
        <f>INSCRITOS_FORM!M398</f>
        <v/>
      </c>
      <c r="I398" s="23">
        <f>INSCRITOS_FORM!O398</f>
        <v/>
      </c>
      <c r="J398" s="23">
        <f>INSCRITOS_FORM!J398</f>
        <v/>
      </c>
      <c r="K398" s="23">
        <f>INSCRITOS_FORM!K398</f>
        <v/>
      </c>
      <c r="L398" s="23">
        <f>INSCRITOS_FORM!U398</f>
        <v/>
      </c>
      <c r="M398" s="23">
        <f>INSCRITOS_FORM!V398</f>
        <v/>
      </c>
      <c r="N398" s="23">
        <f>INSCRITOS_FORM!W398</f>
        <v/>
      </c>
      <c r="O398" s="23">
        <f>INSCRITOS_FORM!X398</f>
        <v/>
      </c>
      <c r="P398" s="23">
        <f>INSCRITOS_FORM!AB398</f>
        <v/>
      </c>
      <c r="Q398" s="23">
        <f>IF(B398="","",IF(AND(OR(P398="Pagado",P398="Beca",P398="Invitado"),OR(L398="Sí",M398="Sí")),"Sí","No"))</f>
        <v/>
      </c>
      <c r="R398" s="23">
        <f>IF(AND(C398=TORNEO_ACTIVO!$B$3,Q398="Sí"),G398*10000-A398,-1)</f>
        <v/>
      </c>
    </row>
    <row r="399" ht="14.25" customHeight="1" s="72">
      <c r="A399" s="23">
        <f>IF(INSCRITOS_FORM!D399&lt;&gt;"",ROW()-4,"")</f>
        <v/>
      </c>
      <c r="B399" s="23">
        <f>INSCRITOS_FORM!AD399</f>
        <v/>
      </c>
      <c r="C399" s="23">
        <f>INSCRITOS_FORM!T399</f>
        <v/>
      </c>
      <c r="D399" s="23">
        <f>INSCRITOS_FORM!S399</f>
        <v/>
      </c>
      <c r="E399" s="23">
        <f>INSCRITOS_FORM!G399</f>
        <v/>
      </c>
      <c r="F399" s="23">
        <f>INSCRITOS_FORM!L399</f>
        <v/>
      </c>
      <c r="G399" s="23">
        <f t="array" ref="G399">IFERROR(INDEX(CONFIG!$A$22:$A$35,MATCH(F399,CONFIG!$B$22:$B$35,0)),0)</f>
        <v/>
      </c>
      <c r="H399" s="23">
        <f>INSCRITOS_FORM!M399</f>
        <v/>
      </c>
      <c r="I399" s="23">
        <f>INSCRITOS_FORM!O399</f>
        <v/>
      </c>
      <c r="J399" s="23">
        <f>INSCRITOS_FORM!J399</f>
        <v/>
      </c>
      <c r="K399" s="23">
        <f>INSCRITOS_FORM!K399</f>
        <v/>
      </c>
      <c r="L399" s="23">
        <f>INSCRITOS_FORM!U399</f>
        <v/>
      </c>
      <c r="M399" s="23">
        <f>INSCRITOS_FORM!V399</f>
        <v/>
      </c>
      <c r="N399" s="23">
        <f>INSCRITOS_FORM!W399</f>
        <v/>
      </c>
      <c r="O399" s="23">
        <f>INSCRITOS_FORM!X399</f>
        <v/>
      </c>
      <c r="P399" s="23">
        <f>INSCRITOS_FORM!AB399</f>
        <v/>
      </c>
      <c r="Q399" s="23">
        <f>IF(B399="","",IF(AND(OR(P399="Pagado",P399="Beca",P399="Invitado"),OR(L399="Sí",M399="Sí")),"Sí","No"))</f>
        <v/>
      </c>
      <c r="R399" s="23">
        <f>IF(AND(C399=TORNEO_ACTIVO!$B$3,Q399="Sí"),G399*10000-A399,-1)</f>
        <v/>
      </c>
    </row>
    <row r="400" ht="14.25" customHeight="1" s="72">
      <c r="A400" s="23">
        <f>IF(INSCRITOS_FORM!D400&lt;&gt;"",ROW()-4,"")</f>
        <v/>
      </c>
      <c r="B400" s="23">
        <f>INSCRITOS_FORM!AD400</f>
        <v/>
      </c>
      <c r="C400" s="23">
        <f>INSCRITOS_FORM!T400</f>
        <v/>
      </c>
      <c r="D400" s="23">
        <f>INSCRITOS_FORM!S400</f>
        <v/>
      </c>
      <c r="E400" s="23">
        <f>INSCRITOS_FORM!G400</f>
        <v/>
      </c>
      <c r="F400" s="23">
        <f>INSCRITOS_FORM!L400</f>
        <v/>
      </c>
      <c r="G400" s="23">
        <f t="array" ref="G400">IFERROR(INDEX(CONFIG!$A$22:$A$35,MATCH(F400,CONFIG!$B$22:$B$35,0)),0)</f>
        <v/>
      </c>
      <c r="H400" s="23">
        <f>INSCRITOS_FORM!M400</f>
        <v/>
      </c>
      <c r="I400" s="23">
        <f>INSCRITOS_FORM!O400</f>
        <v/>
      </c>
      <c r="J400" s="23">
        <f>INSCRITOS_FORM!J400</f>
        <v/>
      </c>
      <c r="K400" s="23">
        <f>INSCRITOS_FORM!K400</f>
        <v/>
      </c>
      <c r="L400" s="23">
        <f>INSCRITOS_FORM!U400</f>
        <v/>
      </c>
      <c r="M400" s="23">
        <f>INSCRITOS_FORM!V400</f>
        <v/>
      </c>
      <c r="N400" s="23">
        <f>INSCRITOS_FORM!W400</f>
        <v/>
      </c>
      <c r="O400" s="23">
        <f>INSCRITOS_FORM!X400</f>
        <v/>
      </c>
      <c r="P400" s="23">
        <f>INSCRITOS_FORM!AB400</f>
        <v/>
      </c>
      <c r="Q400" s="23">
        <f>IF(B400="","",IF(AND(OR(P400="Pagado",P400="Beca",P400="Invitado"),OR(L400="Sí",M400="Sí")),"Sí","No"))</f>
        <v/>
      </c>
      <c r="R400" s="23">
        <f>IF(AND(C400=TORNEO_ACTIVO!$B$3,Q400="Sí"),G400*10000-A400,-1)</f>
        <v/>
      </c>
    </row>
    <row r="401" ht="14.25" customHeight="1" s="72">
      <c r="A401" s="23">
        <f>IF(INSCRITOS_FORM!D401&lt;&gt;"",ROW()-4,"")</f>
        <v/>
      </c>
      <c r="B401" s="23">
        <f>INSCRITOS_FORM!AD401</f>
        <v/>
      </c>
      <c r="C401" s="23">
        <f>INSCRITOS_FORM!T401</f>
        <v/>
      </c>
      <c r="D401" s="23">
        <f>INSCRITOS_FORM!S401</f>
        <v/>
      </c>
      <c r="E401" s="23">
        <f>INSCRITOS_FORM!G401</f>
        <v/>
      </c>
      <c r="F401" s="23">
        <f>INSCRITOS_FORM!L401</f>
        <v/>
      </c>
      <c r="G401" s="23">
        <f t="array" ref="G401">IFERROR(INDEX(CONFIG!$A$22:$A$35,MATCH(F401,CONFIG!$B$22:$B$35,0)),0)</f>
        <v/>
      </c>
      <c r="H401" s="23">
        <f>INSCRITOS_FORM!M401</f>
        <v/>
      </c>
      <c r="I401" s="23">
        <f>INSCRITOS_FORM!O401</f>
        <v/>
      </c>
      <c r="J401" s="23">
        <f>INSCRITOS_FORM!J401</f>
        <v/>
      </c>
      <c r="K401" s="23">
        <f>INSCRITOS_FORM!K401</f>
        <v/>
      </c>
      <c r="L401" s="23">
        <f>INSCRITOS_FORM!U401</f>
        <v/>
      </c>
      <c r="M401" s="23">
        <f>INSCRITOS_FORM!V401</f>
        <v/>
      </c>
      <c r="N401" s="23">
        <f>INSCRITOS_FORM!W401</f>
        <v/>
      </c>
      <c r="O401" s="23">
        <f>INSCRITOS_FORM!X401</f>
        <v/>
      </c>
      <c r="P401" s="23">
        <f>INSCRITOS_FORM!AB401</f>
        <v/>
      </c>
      <c r="Q401" s="23">
        <f>IF(B401="","",IF(AND(OR(P401="Pagado",P401="Beca",P401="Invitado"),OR(L401="Sí",M401="Sí")),"Sí","No"))</f>
        <v/>
      </c>
      <c r="R401" s="23">
        <f>IF(AND(C401=TORNEO_ACTIVO!$B$3,Q401="Sí"),G401*10000-A401,-1)</f>
        <v/>
      </c>
    </row>
    <row r="402" ht="14.25" customHeight="1" s="72">
      <c r="A402" s="23">
        <f>IF(INSCRITOS_FORM!D402&lt;&gt;"",ROW()-4,"")</f>
        <v/>
      </c>
      <c r="B402" s="23">
        <f>INSCRITOS_FORM!AD402</f>
        <v/>
      </c>
      <c r="C402" s="23">
        <f>INSCRITOS_FORM!T402</f>
        <v/>
      </c>
      <c r="D402" s="23">
        <f>INSCRITOS_FORM!S402</f>
        <v/>
      </c>
      <c r="E402" s="23">
        <f>INSCRITOS_FORM!G402</f>
        <v/>
      </c>
      <c r="F402" s="23">
        <f>INSCRITOS_FORM!L402</f>
        <v/>
      </c>
      <c r="G402" s="23">
        <f t="array" ref="G402">IFERROR(INDEX(CONFIG!$A$22:$A$35,MATCH(F402,CONFIG!$B$22:$B$35,0)),0)</f>
        <v/>
      </c>
      <c r="H402" s="23">
        <f>INSCRITOS_FORM!M402</f>
        <v/>
      </c>
      <c r="I402" s="23">
        <f>INSCRITOS_FORM!O402</f>
        <v/>
      </c>
      <c r="J402" s="23">
        <f>INSCRITOS_FORM!J402</f>
        <v/>
      </c>
      <c r="K402" s="23">
        <f>INSCRITOS_FORM!K402</f>
        <v/>
      </c>
      <c r="L402" s="23">
        <f>INSCRITOS_FORM!U402</f>
        <v/>
      </c>
      <c r="M402" s="23">
        <f>INSCRITOS_FORM!V402</f>
        <v/>
      </c>
      <c r="N402" s="23">
        <f>INSCRITOS_FORM!W402</f>
        <v/>
      </c>
      <c r="O402" s="23">
        <f>INSCRITOS_FORM!X402</f>
        <v/>
      </c>
      <c r="P402" s="23">
        <f>INSCRITOS_FORM!AB402</f>
        <v/>
      </c>
      <c r="Q402" s="23">
        <f>IF(B402="","",IF(AND(OR(P402="Pagado",P402="Beca",P402="Invitado"),OR(L402="Sí",M402="Sí")),"Sí","No"))</f>
        <v/>
      </c>
      <c r="R402" s="23">
        <f>IF(AND(C402=TORNEO_ACTIVO!$B$3,Q402="Sí"),G402*10000-A402,-1)</f>
        <v/>
      </c>
    </row>
    <row r="403" ht="14.25" customHeight="1" s="72">
      <c r="A403" s="23">
        <f>IF(INSCRITOS_FORM!D403&lt;&gt;"",ROW()-4,"")</f>
        <v/>
      </c>
      <c r="B403" s="23">
        <f>INSCRITOS_FORM!AD403</f>
        <v/>
      </c>
      <c r="C403" s="23">
        <f>INSCRITOS_FORM!T403</f>
        <v/>
      </c>
      <c r="D403" s="23">
        <f>INSCRITOS_FORM!S403</f>
        <v/>
      </c>
      <c r="E403" s="23">
        <f>INSCRITOS_FORM!G403</f>
        <v/>
      </c>
      <c r="F403" s="23">
        <f>INSCRITOS_FORM!L403</f>
        <v/>
      </c>
      <c r="G403" s="23">
        <f t="array" ref="G403">IFERROR(INDEX(CONFIG!$A$22:$A$35,MATCH(F403,CONFIG!$B$22:$B$35,0)),0)</f>
        <v/>
      </c>
      <c r="H403" s="23">
        <f>INSCRITOS_FORM!M403</f>
        <v/>
      </c>
      <c r="I403" s="23">
        <f>INSCRITOS_FORM!O403</f>
        <v/>
      </c>
      <c r="J403" s="23">
        <f>INSCRITOS_FORM!J403</f>
        <v/>
      </c>
      <c r="K403" s="23">
        <f>INSCRITOS_FORM!K403</f>
        <v/>
      </c>
      <c r="L403" s="23">
        <f>INSCRITOS_FORM!U403</f>
        <v/>
      </c>
      <c r="M403" s="23">
        <f>INSCRITOS_FORM!V403</f>
        <v/>
      </c>
      <c r="N403" s="23">
        <f>INSCRITOS_FORM!W403</f>
        <v/>
      </c>
      <c r="O403" s="23">
        <f>INSCRITOS_FORM!X403</f>
        <v/>
      </c>
      <c r="P403" s="23">
        <f>INSCRITOS_FORM!AB403</f>
        <v/>
      </c>
      <c r="Q403" s="23">
        <f>IF(B403="","",IF(AND(OR(P403="Pagado",P403="Beca",P403="Invitado"),OR(L403="Sí",M403="Sí")),"Sí","No"))</f>
        <v/>
      </c>
      <c r="R403" s="23">
        <f>IF(AND(C403=TORNEO_ACTIVO!$B$3,Q403="Sí"),G403*10000-A403,-1)</f>
        <v/>
      </c>
    </row>
    <row r="404" ht="14.25" customHeight="1" s="72">
      <c r="A404" s="23">
        <f>IF(INSCRITOS_FORM!D404&lt;&gt;"",ROW()-4,"")</f>
        <v/>
      </c>
      <c r="B404" s="23">
        <f>INSCRITOS_FORM!AD404</f>
        <v/>
      </c>
      <c r="C404" s="23">
        <f>INSCRITOS_FORM!T404</f>
        <v/>
      </c>
      <c r="D404" s="23">
        <f>INSCRITOS_FORM!S404</f>
        <v/>
      </c>
      <c r="E404" s="23">
        <f>INSCRITOS_FORM!G404</f>
        <v/>
      </c>
      <c r="F404" s="23">
        <f>INSCRITOS_FORM!L404</f>
        <v/>
      </c>
      <c r="G404" s="23">
        <f t="array" ref="G404">IFERROR(INDEX(CONFIG!$A$22:$A$35,MATCH(F404,CONFIG!$B$22:$B$35,0)),0)</f>
        <v/>
      </c>
      <c r="H404" s="23">
        <f>INSCRITOS_FORM!M404</f>
        <v/>
      </c>
      <c r="I404" s="23">
        <f>INSCRITOS_FORM!O404</f>
        <v/>
      </c>
      <c r="J404" s="23">
        <f>INSCRITOS_FORM!J404</f>
        <v/>
      </c>
      <c r="K404" s="23">
        <f>INSCRITOS_FORM!K404</f>
        <v/>
      </c>
      <c r="L404" s="23">
        <f>INSCRITOS_FORM!U404</f>
        <v/>
      </c>
      <c r="M404" s="23">
        <f>INSCRITOS_FORM!V404</f>
        <v/>
      </c>
      <c r="N404" s="23">
        <f>INSCRITOS_FORM!W404</f>
        <v/>
      </c>
      <c r="O404" s="23">
        <f>INSCRITOS_FORM!X404</f>
        <v/>
      </c>
      <c r="P404" s="23">
        <f>INSCRITOS_FORM!AB404</f>
        <v/>
      </c>
      <c r="Q404" s="23">
        <f>IF(B404="","",IF(AND(OR(P404="Pagado",P404="Beca",P404="Invitado"),OR(L404="Sí",M404="Sí")),"Sí","No"))</f>
        <v/>
      </c>
      <c r="R404" s="23">
        <f>IF(AND(C404=TORNEO_ACTIVO!$B$3,Q404="Sí"),G404*10000-A404,-1)</f>
        <v/>
      </c>
    </row>
    <row r="405" ht="14.25" customHeight="1" s="72">
      <c r="A405" s="23">
        <f>IF(INSCRITOS_FORM!D405&lt;&gt;"",ROW()-4,"")</f>
        <v/>
      </c>
      <c r="B405" s="23">
        <f>INSCRITOS_FORM!AD405</f>
        <v/>
      </c>
      <c r="C405" s="23">
        <f>INSCRITOS_FORM!T405</f>
        <v/>
      </c>
      <c r="D405" s="23">
        <f>INSCRITOS_FORM!S405</f>
        <v/>
      </c>
      <c r="E405" s="23">
        <f>INSCRITOS_FORM!G405</f>
        <v/>
      </c>
      <c r="F405" s="23">
        <f>INSCRITOS_FORM!L405</f>
        <v/>
      </c>
      <c r="G405" s="23">
        <f t="array" ref="G405">IFERROR(INDEX(CONFIG!$A$22:$A$35,MATCH(F405,CONFIG!$B$22:$B$35,0)),0)</f>
        <v/>
      </c>
      <c r="H405" s="23">
        <f>INSCRITOS_FORM!M405</f>
        <v/>
      </c>
      <c r="I405" s="23">
        <f>INSCRITOS_FORM!O405</f>
        <v/>
      </c>
      <c r="J405" s="23">
        <f>INSCRITOS_FORM!J405</f>
        <v/>
      </c>
      <c r="K405" s="23">
        <f>INSCRITOS_FORM!K405</f>
        <v/>
      </c>
      <c r="L405" s="23">
        <f>INSCRITOS_FORM!U405</f>
        <v/>
      </c>
      <c r="M405" s="23">
        <f>INSCRITOS_FORM!V405</f>
        <v/>
      </c>
      <c r="N405" s="23">
        <f>INSCRITOS_FORM!W405</f>
        <v/>
      </c>
      <c r="O405" s="23">
        <f>INSCRITOS_FORM!X405</f>
        <v/>
      </c>
      <c r="P405" s="23">
        <f>INSCRITOS_FORM!AB405</f>
        <v/>
      </c>
      <c r="Q405" s="23">
        <f>IF(B405="","",IF(AND(OR(P405="Pagado",P405="Beca",P405="Invitado"),OR(L405="Sí",M405="Sí")),"Sí","No"))</f>
        <v/>
      </c>
      <c r="R405" s="23">
        <f>IF(AND(C405=TORNEO_ACTIVO!$B$3,Q405="Sí"),G405*10000-A405,-1)</f>
        <v/>
      </c>
    </row>
    <row r="406" ht="14.25" customHeight="1" s="72">
      <c r="A406" s="23">
        <f>IF(INSCRITOS_FORM!D406&lt;&gt;"",ROW()-4,"")</f>
        <v/>
      </c>
      <c r="B406" s="23">
        <f>INSCRITOS_FORM!AD406</f>
        <v/>
      </c>
      <c r="C406" s="23">
        <f>INSCRITOS_FORM!T406</f>
        <v/>
      </c>
      <c r="D406" s="23">
        <f>INSCRITOS_FORM!S406</f>
        <v/>
      </c>
      <c r="E406" s="23">
        <f>INSCRITOS_FORM!G406</f>
        <v/>
      </c>
      <c r="F406" s="23">
        <f>INSCRITOS_FORM!L406</f>
        <v/>
      </c>
      <c r="G406" s="23">
        <f t="array" ref="G406">IFERROR(INDEX(CONFIG!$A$22:$A$35,MATCH(F406,CONFIG!$B$22:$B$35,0)),0)</f>
        <v/>
      </c>
      <c r="H406" s="23">
        <f>INSCRITOS_FORM!M406</f>
        <v/>
      </c>
      <c r="I406" s="23">
        <f>INSCRITOS_FORM!O406</f>
        <v/>
      </c>
      <c r="J406" s="23">
        <f>INSCRITOS_FORM!J406</f>
        <v/>
      </c>
      <c r="K406" s="23">
        <f>INSCRITOS_FORM!K406</f>
        <v/>
      </c>
      <c r="L406" s="23">
        <f>INSCRITOS_FORM!U406</f>
        <v/>
      </c>
      <c r="M406" s="23">
        <f>INSCRITOS_FORM!V406</f>
        <v/>
      </c>
      <c r="N406" s="23">
        <f>INSCRITOS_FORM!W406</f>
        <v/>
      </c>
      <c r="O406" s="23">
        <f>INSCRITOS_FORM!X406</f>
        <v/>
      </c>
      <c r="P406" s="23">
        <f>INSCRITOS_FORM!AB406</f>
        <v/>
      </c>
      <c r="Q406" s="23">
        <f>IF(B406="","",IF(AND(OR(P406="Pagado",P406="Beca",P406="Invitado"),OR(L406="Sí",M406="Sí")),"Sí","No"))</f>
        <v/>
      </c>
      <c r="R406" s="23">
        <f>IF(AND(C406=TORNEO_ACTIVO!$B$3,Q406="Sí"),G406*10000-A406,-1)</f>
        <v/>
      </c>
    </row>
    <row r="407" ht="14.25" customHeight="1" s="72">
      <c r="A407" s="23">
        <f>IF(INSCRITOS_FORM!D407&lt;&gt;"",ROW()-4,"")</f>
        <v/>
      </c>
      <c r="B407" s="23">
        <f>INSCRITOS_FORM!AD407</f>
        <v/>
      </c>
      <c r="C407" s="23">
        <f>INSCRITOS_FORM!T407</f>
        <v/>
      </c>
      <c r="D407" s="23">
        <f>INSCRITOS_FORM!S407</f>
        <v/>
      </c>
      <c r="E407" s="23">
        <f>INSCRITOS_FORM!G407</f>
        <v/>
      </c>
      <c r="F407" s="23">
        <f>INSCRITOS_FORM!L407</f>
        <v/>
      </c>
      <c r="G407" s="23">
        <f t="array" ref="G407">IFERROR(INDEX(CONFIG!$A$22:$A$35,MATCH(F407,CONFIG!$B$22:$B$35,0)),0)</f>
        <v/>
      </c>
      <c r="H407" s="23">
        <f>INSCRITOS_FORM!M407</f>
        <v/>
      </c>
      <c r="I407" s="23">
        <f>INSCRITOS_FORM!O407</f>
        <v/>
      </c>
      <c r="J407" s="23">
        <f>INSCRITOS_FORM!J407</f>
        <v/>
      </c>
      <c r="K407" s="23">
        <f>INSCRITOS_FORM!K407</f>
        <v/>
      </c>
      <c r="L407" s="23">
        <f>INSCRITOS_FORM!U407</f>
        <v/>
      </c>
      <c r="M407" s="23">
        <f>INSCRITOS_FORM!V407</f>
        <v/>
      </c>
      <c r="N407" s="23">
        <f>INSCRITOS_FORM!W407</f>
        <v/>
      </c>
      <c r="O407" s="23">
        <f>INSCRITOS_FORM!X407</f>
        <v/>
      </c>
      <c r="P407" s="23">
        <f>INSCRITOS_FORM!AB407</f>
        <v/>
      </c>
      <c r="Q407" s="23">
        <f>IF(B407="","",IF(AND(OR(P407="Pagado",P407="Beca",P407="Invitado"),OR(L407="Sí",M407="Sí")),"Sí","No"))</f>
        <v/>
      </c>
      <c r="R407" s="23">
        <f>IF(AND(C407=TORNEO_ACTIVO!$B$3,Q407="Sí"),G407*10000-A407,-1)</f>
        <v/>
      </c>
    </row>
    <row r="408" ht="14.25" customHeight="1" s="72">
      <c r="A408" s="23">
        <f>IF(INSCRITOS_FORM!D408&lt;&gt;"",ROW()-4,"")</f>
        <v/>
      </c>
      <c r="B408" s="23">
        <f>INSCRITOS_FORM!AD408</f>
        <v/>
      </c>
      <c r="C408" s="23">
        <f>INSCRITOS_FORM!T408</f>
        <v/>
      </c>
      <c r="D408" s="23">
        <f>INSCRITOS_FORM!S408</f>
        <v/>
      </c>
      <c r="E408" s="23">
        <f>INSCRITOS_FORM!G408</f>
        <v/>
      </c>
      <c r="F408" s="23">
        <f>INSCRITOS_FORM!L408</f>
        <v/>
      </c>
      <c r="G408" s="23">
        <f t="array" ref="G408">IFERROR(INDEX(CONFIG!$A$22:$A$35,MATCH(F408,CONFIG!$B$22:$B$35,0)),0)</f>
        <v/>
      </c>
      <c r="H408" s="23">
        <f>INSCRITOS_FORM!M408</f>
        <v/>
      </c>
      <c r="I408" s="23">
        <f>INSCRITOS_FORM!O408</f>
        <v/>
      </c>
      <c r="J408" s="23">
        <f>INSCRITOS_FORM!J408</f>
        <v/>
      </c>
      <c r="K408" s="23">
        <f>INSCRITOS_FORM!K408</f>
        <v/>
      </c>
      <c r="L408" s="23">
        <f>INSCRITOS_FORM!U408</f>
        <v/>
      </c>
      <c r="M408" s="23">
        <f>INSCRITOS_FORM!V408</f>
        <v/>
      </c>
      <c r="N408" s="23">
        <f>INSCRITOS_FORM!W408</f>
        <v/>
      </c>
      <c r="O408" s="23">
        <f>INSCRITOS_FORM!X408</f>
        <v/>
      </c>
      <c r="P408" s="23">
        <f>INSCRITOS_FORM!AB408</f>
        <v/>
      </c>
      <c r="Q408" s="23">
        <f>IF(B408="","",IF(AND(OR(P408="Pagado",P408="Beca",P408="Invitado"),OR(L408="Sí",M408="Sí")),"Sí","No"))</f>
        <v/>
      </c>
      <c r="R408" s="23">
        <f>IF(AND(C408=TORNEO_ACTIVO!$B$3,Q408="Sí"),G408*10000-A408,-1)</f>
        <v/>
      </c>
    </row>
    <row r="409" ht="14.25" customHeight="1" s="72">
      <c r="A409" s="23">
        <f>IF(INSCRITOS_FORM!D409&lt;&gt;"",ROW()-4,"")</f>
        <v/>
      </c>
      <c r="B409" s="23">
        <f>INSCRITOS_FORM!AD409</f>
        <v/>
      </c>
      <c r="C409" s="23">
        <f>INSCRITOS_FORM!T409</f>
        <v/>
      </c>
      <c r="D409" s="23">
        <f>INSCRITOS_FORM!S409</f>
        <v/>
      </c>
      <c r="E409" s="23">
        <f>INSCRITOS_FORM!G409</f>
        <v/>
      </c>
      <c r="F409" s="23">
        <f>INSCRITOS_FORM!L409</f>
        <v/>
      </c>
      <c r="G409" s="23">
        <f t="array" ref="G409">IFERROR(INDEX(CONFIG!$A$22:$A$35,MATCH(F409,CONFIG!$B$22:$B$35,0)),0)</f>
        <v/>
      </c>
      <c r="H409" s="23">
        <f>INSCRITOS_FORM!M409</f>
        <v/>
      </c>
      <c r="I409" s="23">
        <f>INSCRITOS_FORM!O409</f>
        <v/>
      </c>
      <c r="J409" s="23">
        <f>INSCRITOS_FORM!J409</f>
        <v/>
      </c>
      <c r="K409" s="23">
        <f>INSCRITOS_FORM!K409</f>
        <v/>
      </c>
      <c r="L409" s="23">
        <f>INSCRITOS_FORM!U409</f>
        <v/>
      </c>
      <c r="M409" s="23">
        <f>INSCRITOS_FORM!V409</f>
        <v/>
      </c>
      <c r="N409" s="23">
        <f>INSCRITOS_FORM!W409</f>
        <v/>
      </c>
      <c r="O409" s="23">
        <f>INSCRITOS_FORM!X409</f>
        <v/>
      </c>
      <c r="P409" s="23">
        <f>INSCRITOS_FORM!AB409</f>
        <v/>
      </c>
      <c r="Q409" s="23">
        <f>IF(B409="","",IF(AND(OR(P409="Pagado",P409="Beca",P409="Invitado"),OR(L409="Sí",M409="Sí")),"Sí","No"))</f>
        <v/>
      </c>
      <c r="R409" s="23">
        <f>IF(AND(C409=TORNEO_ACTIVO!$B$3,Q409="Sí"),G409*10000-A409,-1)</f>
        <v/>
      </c>
    </row>
    <row r="410" ht="14.25" customHeight="1" s="72">
      <c r="A410" s="23">
        <f>IF(INSCRITOS_FORM!D410&lt;&gt;"",ROW()-4,"")</f>
        <v/>
      </c>
      <c r="B410" s="23">
        <f>INSCRITOS_FORM!AD410</f>
        <v/>
      </c>
      <c r="C410" s="23">
        <f>INSCRITOS_FORM!T410</f>
        <v/>
      </c>
      <c r="D410" s="23">
        <f>INSCRITOS_FORM!S410</f>
        <v/>
      </c>
      <c r="E410" s="23">
        <f>INSCRITOS_FORM!G410</f>
        <v/>
      </c>
      <c r="F410" s="23">
        <f>INSCRITOS_FORM!L410</f>
        <v/>
      </c>
      <c r="G410" s="23">
        <f t="array" ref="G410">IFERROR(INDEX(CONFIG!$A$22:$A$35,MATCH(F410,CONFIG!$B$22:$B$35,0)),0)</f>
        <v/>
      </c>
      <c r="H410" s="23">
        <f>INSCRITOS_FORM!M410</f>
        <v/>
      </c>
      <c r="I410" s="23">
        <f>INSCRITOS_FORM!O410</f>
        <v/>
      </c>
      <c r="J410" s="23">
        <f>INSCRITOS_FORM!J410</f>
        <v/>
      </c>
      <c r="K410" s="23">
        <f>INSCRITOS_FORM!K410</f>
        <v/>
      </c>
      <c r="L410" s="23">
        <f>INSCRITOS_FORM!U410</f>
        <v/>
      </c>
      <c r="M410" s="23">
        <f>INSCRITOS_FORM!V410</f>
        <v/>
      </c>
      <c r="N410" s="23">
        <f>INSCRITOS_FORM!W410</f>
        <v/>
      </c>
      <c r="O410" s="23">
        <f>INSCRITOS_FORM!X410</f>
        <v/>
      </c>
      <c r="P410" s="23">
        <f>INSCRITOS_FORM!AB410</f>
        <v/>
      </c>
      <c r="Q410" s="23">
        <f>IF(B410="","",IF(AND(OR(P410="Pagado",P410="Beca",P410="Invitado"),OR(L410="Sí",M410="Sí")),"Sí","No"))</f>
        <v/>
      </c>
      <c r="R410" s="23">
        <f>IF(AND(C410=TORNEO_ACTIVO!$B$3,Q410="Sí"),G410*10000-A410,-1)</f>
        <v/>
      </c>
    </row>
    <row r="411" ht="14.25" customHeight="1" s="72">
      <c r="A411" s="23">
        <f>IF(INSCRITOS_FORM!D411&lt;&gt;"",ROW()-4,"")</f>
        <v/>
      </c>
      <c r="B411" s="23">
        <f>INSCRITOS_FORM!AD411</f>
        <v/>
      </c>
      <c r="C411" s="23">
        <f>INSCRITOS_FORM!T411</f>
        <v/>
      </c>
      <c r="D411" s="23">
        <f>INSCRITOS_FORM!S411</f>
        <v/>
      </c>
      <c r="E411" s="23">
        <f>INSCRITOS_FORM!G411</f>
        <v/>
      </c>
      <c r="F411" s="23">
        <f>INSCRITOS_FORM!L411</f>
        <v/>
      </c>
      <c r="G411" s="23">
        <f t="array" ref="G411">IFERROR(INDEX(CONFIG!$A$22:$A$35,MATCH(F411,CONFIG!$B$22:$B$35,0)),0)</f>
        <v/>
      </c>
      <c r="H411" s="23">
        <f>INSCRITOS_FORM!M411</f>
        <v/>
      </c>
      <c r="I411" s="23">
        <f>INSCRITOS_FORM!O411</f>
        <v/>
      </c>
      <c r="J411" s="23">
        <f>INSCRITOS_FORM!J411</f>
        <v/>
      </c>
      <c r="K411" s="23">
        <f>INSCRITOS_FORM!K411</f>
        <v/>
      </c>
      <c r="L411" s="23">
        <f>INSCRITOS_FORM!U411</f>
        <v/>
      </c>
      <c r="M411" s="23">
        <f>INSCRITOS_FORM!V411</f>
        <v/>
      </c>
      <c r="N411" s="23">
        <f>INSCRITOS_FORM!W411</f>
        <v/>
      </c>
      <c r="O411" s="23">
        <f>INSCRITOS_FORM!X411</f>
        <v/>
      </c>
      <c r="P411" s="23">
        <f>INSCRITOS_FORM!AB411</f>
        <v/>
      </c>
      <c r="Q411" s="23">
        <f>IF(B411="","",IF(AND(OR(P411="Pagado",P411="Beca",P411="Invitado"),OR(L411="Sí",M411="Sí")),"Sí","No"))</f>
        <v/>
      </c>
      <c r="R411" s="23">
        <f>IF(AND(C411=TORNEO_ACTIVO!$B$3,Q411="Sí"),G411*10000-A411,-1)</f>
        <v/>
      </c>
    </row>
    <row r="412" ht="14.25" customHeight="1" s="72">
      <c r="A412" s="23">
        <f>IF(INSCRITOS_FORM!D412&lt;&gt;"",ROW()-4,"")</f>
        <v/>
      </c>
      <c r="B412" s="23">
        <f>INSCRITOS_FORM!AD412</f>
        <v/>
      </c>
      <c r="C412" s="23">
        <f>INSCRITOS_FORM!T412</f>
        <v/>
      </c>
      <c r="D412" s="23">
        <f>INSCRITOS_FORM!S412</f>
        <v/>
      </c>
      <c r="E412" s="23">
        <f>INSCRITOS_FORM!G412</f>
        <v/>
      </c>
      <c r="F412" s="23">
        <f>INSCRITOS_FORM!L412</f>
        <v/>
      </c>
      <c r="G412" s="23">
        <f t="array" ref="G412">IFERROR(INDEX(CONFIG!$A$22:$A$35,MATCH(F412,CONFIG!$B$22:$B$35,0)),0)</f>
        <v/>
      </c>
      <c r="H412" s="23">
        <f>INSCRITOS_FORM!M412</f>
        <v/>
      </c>
      <c r="I412" s="23">
        <f>INSCRITOS_FORM!O412</f>
        <v/>
      </c>
      <c r="J412" s="23">
        <f>INSCRITOS_FORM!J412</f>
        <v/>
      </c>
      <c r="K412" s="23">
        <f>INSCRITOS_FORM!K412</f>
        <v/>
      </c>
      <c r="L412" s="23">
        <f>INSCRITOS_FORM!U412</f>
        <v/>
      </c>
      <c r="M412" s="23">
        <f>INSCRITOS_FORM!V412</f>
        <v/>
      </c>
      <c r="N412" s="23">
        <f>INSCRITOS_FORM!W412</f>
        <v/>
      </c>
      <c r="O412" s="23">
        <f>INSCRITOS_FORM!X412</f>
        <v/>
      </c>
      <c r="P412" s="23">
        <f>INSCRITOS_FORM!AB412</f>
        <v/>
      </c>
      <c r="Q412" s="23">
        <f>IF(B412="","",IF(AND(OR(P412="Pagado",P412="Beca",P412="Invitado"),OR(L412="Sí",M412="Sí")),"Sí","No"))</f>
        <v/>
      </c>
      <c r="R412" s="23">
        <f>IF(AND(C412=TORNEO_ACTIVO!$B$3,Q412="Sí"),G412*10000-A412,-1)</f>
        <v/>
      </c>
    </row>
    <row r="413" ht="14.25" customHeight="1" s="72">
      <c r="A413" s="23">
        <f>IF(INSCRITOS_FORM!D413&lt;&gt;"",ROW()-4,"")</f>
        <v/>
      </c>
      <c r="B413" s="23">
        <f>INSCRITOS_FORM!AD413</f>
        <v/>
      </c>
      <c r="C413" s="23">
        <f>INSCRITOS_FORM!T413</f>
        <v/>
      </c>
      <c r="D413" s="23">
        <f>INSCRITOS_FORM!S413</f>
        <v/>
      </c>
      <c r="E413" s="23">
        <f>INSCRITOS_FORM!G413</f>
        <v/>
      </c>
      <c r="F413" s="23">
        <f>INSCRITOS_FORM!L413</f>
        <v/>
      </c>
      <c r="G413" s="23">
        <f t="array" ref="G413">IFERROR(INDEX(CONFIG!$A$22:$A$35,MATCH(F413,CONFIG!$B$22:$B$35,0)),0)</f>
        <v/>
      </c>
      <c r="H413" s="23">
        <f>INSCRITOS_FORM!M413</f>
        <v/>
      </c>
      <c r="I413" s="23">
        <f>INSCRITOS_FORM!O413</f>
        <v/>
      </c>
      <c r="J413" s="23">
        <f>INSCRITOS_FORM!J413</f>
        <v/>
      </c>
      <c r="K413" s="23">
        <f>INSCRITOS_FORM!K413</f>
        <v/>
      </c>
      <c r="L413" s="23">
        <f>INSCRITOS_FORM!U413</f>
        <v/>
      </c>
      <c r="M413" s="23">
        <f>INSCRITOS_FORM!V413</f>
        <v/>
      </c>
      <c r="N413" s="23">
        <f>INSCRITOS_FORM!W413</f>
        <v/>
      </c>
      <c r="O413" s="23">
        <f>INSCRITOS_FORM!X413</f>
        <v/>
      </c>
      <c r="P413" s="23">
        <f>INSCRITOS_FORM!AB413</f>
        <v/>
      </c>
      <c r="Q413" s="23">
        <f>IF(B413="","",IF(AND(OR(P413="Pagado",P413="Beca",P413="Invitado"),OR(L413="Sí",M413="Sí")),"Sí","No"))</f>
        <v/>
      </c>
      <c r="R413" s="23">
        <f>IF(AND(C413=TORNEO_ACTIVO!$B$3,Q413="Sí"),G413*10000-A413,-1)</f>
        <v/>
      </c>
    </row>
    <row r="414" ht="14.25" customHeight="1" s="72">
      <c r="A414" s="23">
        <f>IF(INSCRITOS_FORM!D414&lt;&gt;"",ROW()-4,"")</f>
        <v/>
      </c>
      <c r="B414" s="23">
        <f>INSCRITOS_FORM!AD414</f>
        <v/>
      </c>
      <c r="C414" s="23">
        <f>INSCRITOS_FORM!T414</f>
        <v/>
      </c>
      <c r="D414" s="23">
        <f>INSCRITOS_FORM!S414</f>
        <v/>
      </c>
      <c r="E414" s="23">
        <f>INSCRITOS_FORM!G414</f>
        <v/>
      </c>
      <c r="F414" s="23">
        <f>INSCRITOS_FORM!L414</f>
        <v/>
      </c>
      <c r="G414" s="23">
        <f t="array" ref="G414">IFERROR(INDEX(CONFIG!$A$22:$A$35,MATCH(F414,CONFIG!$B$22:$B$35,0)),0)</f>
        <v/>
      </c>
      <c r="H414" s="23">
        <f>INSCRITOS_FORM!M414</f>
        <v/>
      </c>
      <c r="I414" s="23">
        <f>INSCRITOS_FORM!O414</f>
        <v/>
      </c>
      <c r="J414" s="23">
        <f>INSCRITOS_FORM!J414</f>
        <v/>
      </c>
      <c r="K414" s="23">
        <f>INSCRITOS_FORM!K414</f>
        <v/>
      </c>
      <c r="L414" s="23">
        <f>INSCRITOS_FORM!U414</f>
        <v/>
      </c>
      <c r="M414" s="23">
        <f>INSCRITOS_FORM!V414</f>
        <v/>
      </c>
      <c r="N414" s="23">
        <f>INSCRITOS_FORM!W414</f>
        <v/>
      </c>
      <c r="O414" s="23">
        <f>INSCRITOS_FORM!X414</f>
        <v/>
      </c>
      <c r="P414" s="23">
        <f>INSCRITOS_FORM!AB414</f>
        <v/>
      </c>
      <c r="Q414" s="23">
        <f>IF(B414="","",IF(AND(OR(P414="Pagado",P414="Beca",P414="Invitado"),OR(L414="Sí",M414="Sí")),"Sí","No"))</f>
        <v/>
      </c>
      <c r="R414" s="23">
        <f>IF(AND(C414=TORNEO_ACTIVO!$B$3,Q414="Sí"),G414*10000-A414,-1)</f>
        <v/>
      </c>
    </row>
    <row r="415" ht="14.25" customHeight="1" s="72">
      <c r="A415" s="23">
        <f>IF(INSCRITOS_FORM!D415&lt;&gt;"",ROW()-4,"")</f>
        <v/>
      </c>
      <c r="B415" s="23">
        <f>INSCRITOS_FORM!AD415</f>
        <v/>
      </c>
      <c r="C415" s="23">
        <f>INSCRITOS_FORM!T415</f>
        <v/>
      </c>
      <c r="D415" s="23">
        <f>INSCRITOS_FORM!S415</f>
        <v/>
      </c>
      <c r="E415" s="23">
        <f>INSCRITOS_FORM!G415</f>
        <v/>
      </c>
      <c r="F415" s="23">
        <f>INSCRITOS_FORM!L415</f>
        <v/>
      </c>
      <c r="G415" s="23">
        <f t="array" ref="G415">IFERROR(INDEX(CONFIG!$A$22:$A$35,MATCH(F415,CONFIG!$B$22:$B$35,0)),0)</f>
        <v/>
      </c>
      <c r="H415" s="23">
        <f>INSCRITOS_FORM!M415</f>
        <v/>
      </c>
      <c r="I415" s="23">
        <f>INSCRITOS_FORM!O415</f>
        <v/>
      </c>
      <c r="J415" s="23">
        <f>INSCRITOS_FORM!J415</f>
        <v/>
      </c>
      <c r="K415" s="23">
        <f>INSCRITOS_FORM!K415</f>
        <v/>
      </c>
      <c r="L415" s="23">
        <f>INSCRITOS_FORM!U415</f>
        <v/>
      </c>
      <c r="M415" s="23">
        <f>INSCRITOS_FORM!V415</f>
        <v/>
      </c>
      <c r="N415" s="23">
        <f>INSCRITOS_FORM!W415</f>
        <v/>
      </c>
      <c r="O415" s="23">
        <f>INSCRITOS_FORM!X415</f>
        <v/>
      </c>
      <c r="P415" s="23">
        <f>INSCRITOS_FORM!AB415</f>
        <v/>
      </c>
      <c r="Q415" s="23">
        <f>IF(B415="","",IF(AND(OR(P415="Pagado",P415="Beca",P415="Invitado"),OR(L415="Sí",M415="Sí")),"Sí","No"))</f>
        <v/>
      </c>
      <c r="R415" s="23">
        <f>IF(AND(C415=TORNEO_ACTIVO!$B$3,Q415="Sí"),G415*10000-A415,-1)</f>
        <v/>
      </c>
    </row>
    <row r="416" ht="14.25" customHeight="1" s="72">
      <c r="A416" s="23">
        <f>IF(INSCRITOS_FORM!D416&lt;&gt;"",ROW()-4,"")</f>
        <v/>
      </c>
      <c r="B416" s="23">
        <f>INSCRITOS_FORM!AD416</f>
        <v/>
      </c>
      <c r="C416" s="23">
        <f>INSCRITOS_FORM!T416</f>
        <v/>
      </c>
      <c r="D416" s="23">
        <f>INSCRITOS_FORM!S416</f>
        <v/>
      </c>
      <c r="E416" s="23">
        <f>INSCRITOS_FORM!G416</f>
        <v/>
      </c>
      <c r="F416" s="23">
        <f>INSCRITOS_FORM!L416</f>
        <v/>
      </c>
      <c r="G416" s="23">
        <f t="array" ref="G416">IFERROR(INDEX(CONFIG!$A$22:$A$35,MATCH(F416,CONFIG!$B$22:$B$35,0)),0)</f>
        <v/>
      </c>
      <c r="H416" s="23">
        <f>INSCRITOS_FORM!M416</f>
        <v/>
      </c>
      <c r="I416" s="23">
        <f>INSCRITOS_FORM!O416</f>
        <v/>
      </c>
      <c r="J416" s="23">
        <f>INSCRITOS_FORM!J416</f>
        <v/>
      </c>
      <c r="K416" s="23">
        <f>INSCRITOS_FORM!K416</f>
        <v/>
      </c>
      <c r="L416" s="23">
        <f>INSCRITOS_FORM!U416</f>
        <v/>
      </c>
      <c r="M416" s="23">
        <f>INSCRITOS_FORM!V416</f>
        <v/>
      </c>
      <c r="N416" s="23">
        <f>INSCRITOS_FORM!W416</f>
        <v/>
      </c>
      <c r="O416" s="23">
        <f>INSCRITOS_FORM!X416</f>
        <v/>
      </c>
      <c r="P416" s="23">
        <f>INSCRITOS_FORM!AB416</f>
        <v/>
      </c>
      <c r="Q416" s="23">
        <f>IF(B416="","",IF(AND(OR(P416="Pagado",P416="Beca",P416="Invitado"),OR(L416="Sí",M416="Sí")),"Sí","No"))</f>
        <v/>
      </c>
      <c r="R416" s="23">
        <f>IF(AND(C416=TORNEO_ACTIVO!$B$3,Q416="Sí"),G416*10000-A416,-1)</f>
        <v/>
      </c>
    </row>
    <row r="417" ht="14.25" customHeight="1" s="72">
      <c r="A417" s="23">
        <f>IF(INSCRITOS_FORM!D417&lt;&gt;"",ROW()-4,"")</f>
        <v/>
      </c>
      <c r="B417" s="23">
        <f>INSCRITOS_FORM!AD417</f>
        <v/>
      </c>
      <c r="C417" s="23">
        <f>INSCRITOS_FORM!T417</f>
        <v/>
      </c>
      <c r="D417" s="23">
        <f>INSCRITOS_FORM!S417</f>
        <v/>
      </c>
      <c r="E417" s="23">
        <f>INSCRITOS_FORM!G417</f>
        <v/>
      </c>
      <c r="F417" s="23">
        <f>INSCRITOS_FORM!L417</f>
        <v/>
      </c>
      <c r="G417" s="23">
        <f t="array" ref="G417">IFERROR(INDEX(CONFIG!$A$22:$A$35,MATCH(F417,CONFIG!$B$22:$B$35,0)),0)</f>
        <v/>
      </c>
      <c r="H417" s="23">
        <f>INSCRITOS_FORM!M417</f>
        <v/>
      </c>
      <c r="I417" s="23">
        <f>INSCRITOS_FORM!O417</f>
        <v/>
      </c>
      <c r="J417" s="23">
        <f>INSCRITOS_FORM!J417</f>
        <v/>
      </c>
      <c r="K417" s="23">
        <f>INSCRITOS_FORM!K417</f>
        <v/>
      </c>
      <c r="L417" s="23">
        <f>INSCRITOS_FORM!U417</f>
        <v/>
      </c>
      <c r="M417" s="23">
        <f>INSCRITOS_FORM!V417</f>
        <v/>
      </c>
      <c r="N417" s="23">
        <f>INSCRITOS_FORM!W417</f>
        <v/>
      </c>
      <c r="O417" s="23">
        <f>INSCRITOS_FORM!X417</f>
        <v/>
      </c>
      <c r="P417" s="23">
        <f>INSCRITOS_FORM!AB417</f>
        <v/>
      </c>
      <c r="Q417" s="23">
        <f>IF(B417="","",IF(AND(OR(P417="Pagado",P417="Beca",P417="Invitado"),OR(L417="Sí",M417="Sí")),"Sí","No"))</f>
        <v/>
      </c>
      <c r="R417" s="23">
        <f>IF(AND(C417=TORNEO_ACTIVO!$B$3,Q417="Sí"),G417*10000-A417,-1)</f>
        <v/>
      </c>
    </row>
    <row r="418" ht="14.25" customHeight="1" s="72">
      <c r="A418" s="23">
        <f>IF(INSCRITOS_FORM!D418&lt;&gt;"",ROW()-4,"")</f>
        <v/>
      </c>
      <c r="B418" s="23">
        <f>INSCRITOS_FORM!AD418</f>
        <v/>
      </c>
      <c r="C418" s="23">
        <f>INSCRITOS_FORM!T418</f>
        <v/>
      </c>
      <c r="D418" s="23">
        <f>INSCRITOS_FORM!S418</f>
        <v/>
      </c>
      <c r="E418" s="23">
        <f>INSCRITOS_FORM!G418</f>
        <v/>
      </c>
      <c r="F418" s="23">
        <f>INSCRITOS_FORM!L418</f>
        <v/>
      </c>
      <c r="G418" s="23">
        <f t="array" ref="G418">IFERROR(INDEX(CONFIG!$A$22:$A$35,MATCH(F418,CONFIG!$B$22:$B$35,0)),0)</f>
        <v/>
      </c>
      <c r="H418" s="23">
        <f>INSCRITOS_FORM!M418</f>
        <v/>
      </c>
      <c r="I418" s="23">
        <f>INSCRITOS_FORM!O418</f>
        <v/>
      </c>
      <c r="J418" s="23">
        <f>INSCRITOS_FORM!J418</f>
        <v/>
      </c>
      <c r="K418" s="23">
        <f>INSCRITOS_FORM!K418</f>
        <v/>
      </c>
      <c r="L418" s="23">
        <f>INSCRITOS_FORM!U418</f>
        <v/>
      </c>
      <c r="M418" s="23">
        <f>INSCRITOS_FORM!V418</f>
        <v/>
      </c>
      <c r="N418" s="23">
        <f>INSCRITOS_FORM!W418</f>
        <v/>
      </c>
      <c r="O418" s="23">
        <f>INSCRITOS_FORM!X418</f>
        <v/>
      </c>
      <c r="P418" s="23">
        <f>INSCRITOS_FORM!AB418</f>
        <v/>
      </c>
      <c r="Q418" s="23">
        <f>IF(B418="","",IF(AND(OR(P418="Pagado",P418="Beca",P418="Invitado"),OR(L418="Sí",M418="Sí")),"Sí","No"))</f>
        <v/>
      </c>
      <c r="R418" s="23">
        <f>IF(AND(C418=TORNEO_ACTIVO!$B$3,Q418="Sí"),G418*10000-A418,-1)</f>
        <v/>
      </c>
    </row>
    <row r="419" ht="14.25" customHeight="1" s="72">
      <c r="A419" s="23">
        <f>IF(INSCRITOS_FORM!D419&lt;&gt;"",ROW()-4,"")</f>
        <v/>
      </c>
      <c r="B419" s="23">
        <f>INSCRITOS_FORM!AD419</f>
        <v/>
      </c>
      <c r="C419" s="23">
        <f>INSCRITOS_FORM!T419</f>
        <v/>
      </c>
      <c r="D419" s="23">
        <f>INSCRITOS_FORM!S419</f>
        <v/>
      </c>
      <c r="E419" s="23">
        <f>INSCRITOS_FORM!G419</f>
        <v/>
      </c>
      <c r="F419" s="23">
        <f>INSCRITOS_FORM!L419</f>
        <v/>
      </c>
      <c r="G419" s="23">
        <f t="array" ref="G419">IFERROR(INDEX(CONFIG!$A$22:$A$35,MATCH(F419,CONFIG!$B$22:$B$35,0)),0)</f>
        <v/>
      </c>
      <c r="H419" s="23">
        <f>INSCRITOS_FORM!M419</f>
        <v/>
      </c>
      <c r="I419" s="23">
        <f>INSCRITOS_FORM!O419</f>
        <v/>
      </c>
      <c r="J419" s="23">
        <f>INSCRITOS_FORM!J419</f>
        <v/>
      </c>
      <c r="K419" s="23">
        <f>INSCRITOS_FORM!K419</f>
        <v/>
      </c>
      <c r="L419" s="23">
        <f>INSCRITOS_FORM!U419</f>
        <v/>
      </c>
      <c r="M419" s="23">
        <f>INSCRITOS_FORM!V419</f>
        <v/>
      </c>
      <c r="N419" s="23">
        <f>INSCRITOS_FORM!W419</f>
        <v/>
      </c>
      <c r="O419" s="23">
        <f>INSCRITOS_FORM!X419</f>
        <v/>
      </c>
      <c r="P419" s="23">
        <f>INSCRITOS_FORM!AB419</f>
        <v/>
      </c>
      <c r="Q419" s="23">
        <f>IF(B419="","",IF(AND(OR(P419="Pagado",P419="Beca",P419="Invitado"),OR(L419="Sí",M419="Sí")),"Sí","No"))</f>
        <v/>
      </c>
      <c r="R419" s="23">
        <f>IF(AND(C419=TORNEO_ACTIVO!$B$3,Q419="Sí"),G419*10000-A419,-1)</f>
        <v/>
      </c>
    </row>
    <row r="420" ht="14.25" customHeight="1" s="72">
      <c r="A420" s="23">
        <f>IF(INSCRITOS_FORM!D420&lt;&gt;"",ROW()-4,"")</f>
        <v/>
      </c>
      <c r="B420" s="23">
        <f>INSCRITOS_FORM!AD420</f>
        <v/>
      </c>
      <c r="C420" s="23">
        <f>INSCRITOS_FORM!T420</f>
        <v/>
      </c>
      <c r="D420" s="23">
        <f>INSCRITOS_FORM!S420</f>
        <v/>
      </c>
      <c r="E420" s="23">
        <f>INSCRITOS_FORM!G420</f>
        <v/>
      </c>
      <c r="F420" s="23">
        <f>INSCRITOS_FORM!L420</f>
        <v/>
      </c>
      <c r="G420" s="23">
        <f t="array" ref="G420">IFERROR(INDEX(CONFIG!$A$22:$A$35,MATCH(F420,CONFIG!$B$22:$B$35,0)),0)</f>
        <v/>
      </c>
      <c r="H420" s="23">
        <f>INSCRITOS_FORM!M420</f>
        <v/>
      </c>
      <c r="I420" s="23">
        <f>INSCRITOS_FORM!O420</f>
        <v/>
      </c>
      <c r="J420" s="23">
        <f>INSCRITOS_FORM!J420</f>
        <v/>
      </c>
      <c r="K420" s="23">
        <f>INSCRITOS_FORM!K420</f>
        <v/>
      </c>
      <c r="L420" s="23">
        <f>INSCRITOS_FORM!U420</f>
        <v/>
      </c>
      <c r="M420" s="23">
        <f>INSCRITOS_FORM!V420</f>
        <v/>
      </c>
      <c r="N420" s="23">
        <f>INSCRITOS_FORM!W420</f>
        <v/>
      </c>
      <c r="O420" s="23">
        <f>INSCRITOS_FORM!X420</f>
        <v/>
      </c>
      <c r="P420" s="23">
        <f>INSCRITOS_FORM!AB420</f>
        <v/>
      </c>
      <c r="Q420" s="23">
        <f>IF(B420="","",IF(AND(OR(P420="Pagado",P420="Beca",P420="Invitado"),OR(L420="Sí",M420="Sí")),"Sí","No"))</f>
        <v/>
      </c>
      <c r="R420" s="23">
        <f>IF(AND(C420=TORNEO_ACTIVO!$B$3,Q420="Sí"),G420*10000-A420,-1)</f>
        <v/>
      </c>
    </row>
    <row r="421" ht="14.25" customHeight="1" s="72">
      <c r="A421" s="23">
        <f>IF(INSCRITOS_FORM!D421&lt;&gt;"",ROW()-4,"")</f>
        <v/>
      </c>
      <c r="B421" s="23">
        <f>INSCRITOS_FORM!AD421</f>
        <v/>
      </c>
      <c r="C421" s="23">
        <f>INSCRITOS_FORM!T421</f>
        <v/>
      </c>
      <c r="D421" s="23">
        <f>INSCRITOS_FORM!S421</f>
        <v/>
      </c>
      <c r="E421" s="23">
        <f>INSCRITOS_FORM!G421</f>
        <v/>
      </c>
      <c r="F421" s="23">
        <f>INSCRITOS_FORM!L421</f>
        <v/>
      </c>
      <c r="G421" s="23">
        <f t="array" ref="G421">IFERROR(INDEX(CONFIG!$A$22:$A$35,MATCH(F421,CONFIG!$B$22:$B$35,0)),0)</f>
        <v/>
      </c>
      <c r="H421" s="23">
        <f>INSCRITOS_FORM!M421</f>
        <v/>
      </c>
      <c r="I421" s="23">
        <f>INSCRITOS_FORM!O421</f>
        <v/>
      </c>
      <c r="J421" s="23">
        <f>INSCRITOS_FORM!J421</f>
        <v/>
      </c>
      <c r="K421" s="23">
        <f>INSCRITOS_FORM!K421</f>
        <v/>
      </c>
      <c r="L421" s="23">
        <f>INSCRITOS_FORM!U421</f>
        <v/>
      </c>
      <c r="M421" s="23">
        <f>INSCRITOS_FORM!V421</f>
        <v/>
      </c>
      <c r="N421" s="23">
        <f>INSCRITOS_FORM!W421</f>
        <v/>
      </c>
      <c r="O421" s="23">
        <f>INSCRITOS_FORM!X421</f>
        <v/>
      </c>
      <c r="P421" s="23">
        <f>INSCRITOS_FORM!AB421</f>
        <v/>
      </c>
      <c r="Q421" s="23">
        <f>IF(B421="","",IF(AND(OR(P421="Pagado",P421="Beca",P421="Invitado"),OR(L421="Sí",M421="Sí")),"Sí","No"))</f>
        <v/>
      </c>
      <c r="R421" s="23">
        <f>IF(AND(C421=TORNEO_ACTIVO!$B$3,Q421="Sí"),G421*10000-A421,-1)</f>
        <v/>
      </c>
    </row>
    <row r="422" ht="14.25" customHeight="1" s="72">
      <c r="A422" s="23">
        <f>IF(INSCRITOS_FORM!D422&lt;&gt;"",ROW()-4,"")</f>
        <v/>
      </c>
      <c r="B422" s="23">
        <f>INSCRITOS_FORM!AD422</f>
        <v/>
      </c>
      <c r="C422" s="23">
        <f>INSCRITOS_FORM!T422</f>
        <v/>
      </c>
      <c r="D422" s="23">
        <f>INSCRITOS_FORM!S422</f>
        <v/>
      </c>
      <c r="E422" s="23">
        <f>INSCRITOS_FORM!G422</f>
        <v/>
      </c>
      <c r="F422" s="23">
        <f>INSCRITOS_FORM!L422</f>
        <v/>
      </c>
      <c r="G422" s="23">
        <f t="array" ref="G422">IFERROR(INDEX(CONFIG!$A$22:$A$35,MATCH(F422,CONFIG!$B$22:$B$35,0)),0)</f>
        <v/>
      </c>
      <c r="H422" s="23">
        <f>INSCRITOS_FORM!M422</f>
        <v/>
      </c>
      <c r="I422" s="23">
        <f>INSCRITOS_FORM!O422</f>
        <v/>
      </c>
      <c r="J422" s="23">
        <f>INSCRITOS_FORM!J422</f>
        <v/>
      </c>
      <c r="K422" s="23">
        <f>INSCRITOS_FORM!K422</f>
        <v/>
      </c>
      <c r="L422" s="23">
        <f>INSCRITOS_FORM!U422</f>
        <v/>
      </c>
      <c r="M422" s="23">
        <f>INSCRITOS_FORM!V422</f>
        <v/>
      </c>
      <c r="N422" s="23">
        <f>INSCRITOS_FORM!W422</f>
        <v/>
      </c>
      <c r="O422" s="23">
        <f>INSCRITOS_FORM!X422</f>
        <v/>
      </c>
      <c r="P422" s="23">
        <f>INSCRITOS_FORM!AB422</f>
        <v/>
      </c>
      <c r="Q422" s="23">
        <f>IF(B422="","",IF(AND(OR(P422="Pagado",P422="Beca",P422="Invitado"),OR(L422="Sí",M422="Sí")),"Sí","No"))</f>
        <v/>
      </c>
      <c r="R422" s="23">
        <f>IF(AND(C422=TORNEO_ACTIVO!$B$3,Q422="Sí"),G422*10000-A422,-1)</f>
        <v/>
      </c>
    </row>
    <row r="423" ht="14.25" customHeight="1" s="72">
      <c r="A423" s="23">
        <f>IF(INSCRITOS_FORM!D423&lt;&gt;"",ROW()-4,"")</f>
        <v/>
      </c>
      <c r="B423" s="23">
        <f>INSCRITOS_FORM!AD423</f>
        <v/>
      </c>
      <c r="C423" s="23">
        <f>INSCRITOS_FORM!T423</f>
        <v/>
      </c>
      <c r="D423" s="23">
        <f>INSCRITOS_FORM!S423</f>
        <v/>
      </c>
      <c r="E423" s="23">
        <f>INSCRITOS_FORM!G423</f>
        <v/>
      </c>
      <c r="F423" s="23">
        <f>INSCRITOS_FORM!L423</f>
        <v/>
      </c>
      <c r="G423" s="23">
        <f t="array" ref="G423">IFERROR(INDEX(CONFIG!$A$22:$A$35,MATCH(F423,CONFIG!$B$22:$B$35,0)),0)</f>
        <v/>
      </c>
      <c r="H423" s="23">
        <f>INSCRITOS_FORM!M423</f>
        <v/>
      </c>
      <c r="I423" s="23">
        <f>INSCRITOS_FORM!O423</f>
        <v/>
      </c>
      <c r="J423" s="23">
        <f>INSCRITOS_FORM!J423</f>
        <v/>
      </c>
      <c r="K423" s="23">
        <f>INSCRITOS_FORM!K423</f>
        <v/>
      </c>
      <c r="L423" s="23">
        <f>INSCRITOS_FORM!U423</f>
        <v/>
      </c>
      <c r="M423" s="23">
        <f>INSCRITOS_FORM!V423</f>
        <v/>
      </c>
      <c r="N423" s="23">
        <f>INSCRITOS_FORM!W423</f>
        <v/>
      </c>
      <c r="O423" s="23">
        <f>INSCRITOS_FORM!X423</f>
        <v/>
      </c>
      <c r="P423" s="23">
        <f>INSCRITOS_FORM!AB423</f>
        <v/>
      </c>
      <c r="Q423" s="23">
        <f>IF(B423="","",IF(AND(OR(P423="Pagado",P423="Beca",P423="Invitado"),OR(L423="Sí",M423="Sí")),"Sí","No"))</f>
        <v/>
      </c>
      <c r="R423" s="23">
        <f>IF(AND(C423=TORNEO_ACTIVO!$B$3,Q423="Sí"),G423*10000-A423,-1)</f>
        <v/>
      </c>
    </row>
    <row r="424" ht="14.25" customHeight="1" s="72">
      <c r="A424" s="23">
        <f>IF(INSCRITOS_FORM!D424&lt;&gt;"",ROW()-4,"")</f>
        <v/>
      </c>
      <c r="B424" s="23">
        <f>INSCRITOS_FORM!AD424</f>
        <v/>
      </c>
      <c r="C424" s="23">
        <f>INSCRITOS_FORM!T424</f>
        <v/>
      </c>
      <c r="D424" s="23">
        <f>INSCRITOS_FORM!S424</f>
        <v/>
      </c>
      <c r="E424" s="23">
        <f>INSCRITOS_FORM!G424</f>
        <v/>
      </c>
      <c r="F424" s="23">
        <f>INSCRITOS_FORM!L424</f>
        <v/>
      </c>
      <c r="G424" s="23">
        <f t="array" ref="G424">IFERROR(INDEX(CONFIG!$A$22:$A$35,MATCH(F424,CONFIG!$B$22:$B$35,0)),0)</f>
        <v/>
      </c>
      <c r="H424" s="23">
        <f>INSCRITOS_FORM!M424</f>
        <v/>
      </c>
      <c r="I424" s="23">
        <f>INSCRITOS_FORM!O424</f>
        <v/>
      </c>
      <c r="J424" s="23">
        <f>INSCRITOS_FORM!J424</f>
        <v/>
      </c>
      <c r="K424" s="23">
        <f>INSCRITOS_FORM!K424</f>
        <v/>
      </c>
      <c r="L424" s="23">
        <f>INSCRITOS_FORM!U424</f>
        <v/>
      </c>
      <c r="M424" s="23">
        <f>INSCRITOS_FORM!V424</f>
        <v/>
      </c>
      <c r="N424" s="23">
        <f>INSCRITOS_FORM!W424</f>
        <v/>
      </c>
      <c r="O424" s="23">
        <f>INSCRITOS_FORM!X424</f>
        <v/>
      </c>
      <c r="P424" s="23">
        <f>INSCRITOS_FORM!AB424</f>
        <v/>
      </c>
      <c r="Q424" s="23">
        <f>IF(B424="","",IF(AND(OR(P424="Pagado",P424="Beca",P424="Invitado"),OR(L424="Sí",M424="Sí")),"Sí","No"))</f>
        <v/>
      </c>
      <c r="R424" s="23">
        <f>IF(AND(C424=TORNEO_ACTIVO!$B$3,Q424="Sí"),G424*10000-A424,-1)</f>
        <v/>
      </c>
    </row>
    <row r="425" ht="14.25" customHeight="1" s="72">
      <c r="A425" s="23">
        <f>IF(INSCRITOS_FORM!D425&lt;&gt;"",ROW()-4,"")</f>
        <v/>
      </c>
      <c r="B425" s="23">
        <f>INSCRITOS_FORM!AD425</f>
        <v/>
      </c>
      <c r="C425" s="23">
        <f>INSCRITOS_FORM!T425</f>
        <v/>
      </c>
      <c r="D425" s="23">
        <f>INSCRITOS_FORM!S425</f>
        <v/>
      </c>
      <c r="E425" s="23">
        <f>INSCRITOS_FORM!G425</f>
        <v/>
      </c>
      <c r="F425" s="23">
        <f>INSCRITOS_FORM!L425</f>
        <v/>
      </c>
      <c r="G425" s="23">
        <f t="array" ref="G425">IFERROR(INDEX(CONFIG!$A$22:$A$35,MATCH(F425,CONFIG!$B$22:$B$35,0)),0)</f>
        <v/>
      </c>
      <c r="H425" s="23">
        <f>INSCRITOS_FORM!M425</f>
        <v/>
      </c>
      <c r="I425" s="23">
        <f>INSCRITOS_FORM!O425</f>
        <v/>
      </c>
      <c r="J425" s="23">
        <f>INSCRITOS_FORM!J425</f>
        <v/>
      </c>
      <c r="K425" s="23">
        <f>INSCRITOS_FORM!K425</f>
        <v/>
      </c>
      <c r="L425" s="23">
        <f>INSCRITOS_FORM!U425</f>
        <v/>
      </c>
      <c r="M425" s="23">
        <f>INSCRITOS_FORM!V425</f>
        <v/>
      </c>
      <c r="N425" s="23">
        <f>INSCRITOS_FORM!W425</f>
        <v/>
      </c>
      <c r="O425" s="23">
        <f>INSCRITOS_FORM!X425</f>
        <v/>
      </c>
      <c r="P425" s="23">
        <f>INSCRITOS_FORM!AB425</f>
        <v/>
      </c>
      <c r="Q425" s="23">
        <f>IF(B425="","",IF(AND(OR(P425="Pagado",P425="Beca",P425="Invitado"),OR(L425="Sí",M425="Sí")),"Sí","No"))</f>
        <v/>
      </c>
      <c r="R425" s="23">
        <f>IF(AND(C425=TORNEO_ACTIVO!$B$3,Q425="Sí"),G425*10000-A425,-1)</f>
        <v/>
      </c>
    </row>
    <row r="426" ht="14.25" customHeight="1" s="72">
      <c r="A426" s="23">
        <f>IF(INSCRITOS_FORM!D426&lt;&gt;"",ROW()-4,"")</f>
        <v/>
      </c>
      <c r="B426" s="23">
        <f>INSCRITOS_FORM!AD426</f>
        <v/>
      </c>
      <c r="C426" s="23">
        <f>INSCRITOS_FORM!T426</f>
        <v/>
      </c>
      <c r="D426" s="23">
        <f>INSCRITOS_FORM!S426</f>
        <v/>
      </c>
      <c r="E426" s="23">
        <f>INSCRITOS_FORM!G426</f>
        <v/>
      </c>
      <c r="F426" s="23">
        <f>INSCRITOS_FORM!L426</f>
        <v/>
      </c>
      <c r="G426" s="23">
        <f t="array" ref="G426">IFERROR(INDEX(CONFIG!$A$22:$A$35,MATCH(F426,CONFIG!$B$22:$B$35,0)),0)</f>
        <v/>
      </c>
      <c r="H426" s="23">
        <f>INSCRITOS_FORM!M426</f>
        <v/>
      </c>
      <c r="I426" s="23">
        <f>INSCRITOS_FORM!O426</f>
        <v/>
      </c>
      <c r="J426" s="23">
        <f>INSCRITOS_FORM!J426</f>
        <v/>
      </c>
      <c r="K426" s="23">
        <f>INSCRITOS_FORM!K426</f>
        <v/>
      </c>
      <c r="L426" s="23">
        <f>INSCRITOS_FORM!U426</f>
        <v/>
      </c>
      <c r="M426" s="23">
        <f>INSCRITOS_FORM!V426</f>
        <v/>
      </c>
      <c r="N426" s="23">
        <f>INSCRITOS_FORM!W426</f>
        <v/>
      </c>
      <c r="O426" s="23">
        <f>INSCRITOS_FORM!X426</f>
        <v/>
      </c>
      <c r="P426" s="23">
        <f>INSCRITOS_FORM!AB426</f>
        <v/>
      </c>
      <c r="Q426" s="23">
        <f>IF(B426="","",IF(AND(OR(P426="Pagado",P426="Beca",P426="Invitado"),OR(L426="Sí",M426="Sí")),"Sí","No"))</f>
        <v/>
      </c>
      <c r="R426" s="23">
        <f>IF(AND(C426=TORNEO_ACTIVO!$B$3,Q426="Sí"),G426*10000-A426,-1)</f>
        <v/>
      </c>
    </row>
    <row r="427" ht="14.25" customHeight="1" s="72">
      <c r="A427" s="23">
        <f>IF(INSCRITOS_FORM!D427&lt;&gt;"",ROW()-4,"")</f>
        <v/>
      </c>
      <c r="B427" s="23">
        <f>INSCRITOS_FORM!AD427</f>
        <v/>
      </c>
      <c r="C427" s="23">
        <f>INSCRITOS_FORM!T427</f>
        <v/>
      </c>
      <c r="D427" s="23">
        <f>INSCRITOS_FORM!S427</f>
        <v/>
      </c>
      <c r="E427" s="23">
        <f>INSCRITOS_FORM!G427</f>
        <v/>
      </c>
      <c r="F427" s="23">
        <f>INSCRITOS_FORM!L427</f>
        <v/>
      </c>
      <c r="G427" s="23">
        <f t="array" ref="G427">IFERROR(INDEX(CONFIG!$A$22:$A$35,MATCH(F427,CONFIG!$B$22:$B$35,0)),0)</f>
        <v/>
      </c>
      <c r="H427" s="23">
        <f>INSCRITOS_FORM!M427</f>
        <v/>
      </c>
      <c r="I427" s="23">
        <f>INSCRITOS_FORM!O427</f>
        <v/>
      </c>
      <c r="J427" s="23">
        <f>INSCRITOS_FORM!J427</f>
        <v/>
      </c>
      <c r="K427" s="23">
        <f>INSCRITOS_FORM!K427</f>
        <v/>
      </c>
      <c r="L427" s="23">
        <f>INSCRITOS_FORM!U427</f>
        <v/>
      </c>
      <c r="M427" s="23">
        <f>INSCRITOS_FORM!V427</f>
        <v/>
      </c>
      <c r="N427" s="23">
        <f>INSCRITOS_FORM!W427</f>
        <v/>
      </c>
      <c r="O427" s="23">
        <f>INSCRITOS_FORM!X427</f>
        <v/>
      </c>
      <c r="P427" s="23">
        <f>INSCRITOS_FORM!AB427</f>
        <v/>
      </c>
      <c r="Q427" s="23">
        <f>IF(B427="","",IF(AND(OR(P427="Pagado",P427="Beca",P427="Invitado"),OR(L427="Sí",M427="Sí")),"Sí","No"))</f>
        <v/>
      </c>
      <c r="R427" s="23">
        <f>IF(AND(C427=TORNEO_ACTIVO!$B$3,Q427="Sí"),G427*10000-A427,-1)</f>
        <v/>
      </c>
    </row>
    <row r="428" ht="14.25" customHeight="1" s="72">
      <c r="A428" s="23">
        <f>IF(INSCRITOS_FORM!D428&lt;&gt;"",ROW()-4,"")</f>
        <v/>
      </c>
      <c r="B428" s="23">
        <f>INSCRITOS_FORM!AD428</f>
        <v/>
      </c>
      <c r="C428" s="23">
        <f>INSCRITOS_FORM!T428</f>
        <v/>
      </c>
      <c r="D428" s="23">
        <f>INSCRITOS_FORM!S428</f>
        <v/>
      </c>
      <c r="E428" s="23">
        <f>INSCRITOS_FORM!G428</f>
        <v/>
      </c>
      <c r="F428" s="23">
        <f>INSCRITOS_FORM!L428</f>
        <v/>
      </c>
      <c r="G428" s="23">
        <f t="array" ref="G428">IFERROR(INDEX(CONFIG!$A$22:$A$35,MATCH(F428,CONFIG!$B$22:$B$35,0)),0)</f>
        <v/>
      </c>
      <c r="H428" s="23">
        <f>INSCRITOS_FORM!M428</f>
        <v/>
      </c>
      <c r="I428" s="23">
        <f>INSCRITOS_FORM!O428</f>
        <v/>
      </c>
      <c r="J428" s="23">
        <f>INSCRITOS_FORM!J428</f>
        <v/>
      </c>
      <c r="K428" s="23">
        <f>INSCRITOS_FORM!K428</f>
        <v/>
      </c>
      <c r="L428" s="23">
        <f>INSCRITOS_FORM!U428</f>
        <v/>
      </c>
      <c r="M428" s="23">
        <f>INSCRITOS_FORM!V428</f>
        <v/>
      </c>
      <c r="N428" s="23">
        <f>INSCRITOS_FORM!W428</f>
        <v/>
      </c>
      <c r="O428" s="23">
        <f>INSCRITOS_FORM!X428</f>
        <v/>
      </c>
      <c r="P428" s="23">
        <f>INSCRITOS_FORM!AB428</f>
        <v/>
      </c>
      <c r="Q428" s="23">
        <f>IF(B428="","",IF(AND(OR(P428="Pagado",P428="Beca",P428="Invitado"),OR(L428="Sí",M428="Sí")),"Sí","No"))</f>
        <v/>
      </c>
      <c r="R428" s="23">
        <f>IF(AND(C428=TORNEO_ACTIVO!$B$3,Q428="Sí"),G428*10000-A428,-1)</f>
        <v/>
      </c>
    </row>
    <row r="429" ht="14.25" customHeight="1" s="72">
      <c r="A429" s="23">
        <f>IF(INSCRITOS_FORM!D429&lt;&gt;"",ROW()-4,"")</f>
        <v/>
      </c>
      <c r="B429" s="23">
        <f>INSCRITOS_FORM!AD429</f>
        <v/>
      </c>
      <c r="C429" s="23">
        <f>INSCRITOS_FORM!T429</f>
        <v/>
      </c>
      <c r="D429" s="23">
        <f>INSCRITOS_FORM!S429</f>
        <v/>
      </c>
      <c r="E429" s="23">
        <f>INSCRITOS_FORM!G429</f>
        <v/>
      </c>
      <c r="F429" s="23">
        <f>INSCRITOS_FORM!L429</f>
        <v/>
      </c>
      <c r="G429" s="23">
        <f t="array" ref="G429">IFERROR(INDEX(CONFIG!$A$22:$A$35,MATCH(F429,CONFIG!$B$22:$B$35,0)),0)</f>
        <v/>
      </c>
      <c r="H429" s="23">
        <f>INSCRITOS_FORM!M429</f>
        <v/>
      </c>
      <c r="I429" s="23">
        <f>INSCRITOS_FORM!O429</f>
        <v/>
      </c>
      <c r="J429" s="23">
        <f>INSCRITOS_FORM!J429</f>
        <v/>
      </c>
      <c r="K429" s="23">
        <f>INSCRITOS_FORM!K429</f>
        <v/>
      </c>
      <c r="L429" s="23">
        <f>INSCRITOS_FORM!U429</f>
        <v/>
      </c>
      <c r="M429" s="23">
        <f>INSCRITOS_FORM!V429</f>
        <v/>
      </c>
      <c r="N429" s="23">
        <f>INSCRITOS_FORM!W429</f>
        <v/>
      </c>
      <c r="O429" s="23">
        <f>INSCRITOS_FORM!X429</f>
        <v/>
      </c>
      <c r="P429" s="23">
        <f>INSCRITOS_FORM!AB429</f>
        <v/>
      </c>
      <c r="Q429" s="23">
        <f>IF(B429="","",IF(AND(OR(P429="Pagado",P429="Beca",P429="Invitado"),OR(L429="Sí",M429="Sí")),"Sí","No"))</f>
        <v/>
      </c>
      <c r="R429" s="23">
        <f>IF(AND(C429=TORNEO_ACTIVO!$B$3,Q429="Sí"),G429*10000-A429,-1)</f>
        <v/>
      </c>
    </row>
    <row r="430" ht="14.25" customHeight="1" s="72">
      <c r="A430" s="23">
        <f>IF(INSCRITOS_FORM!D430&lt;&gt;"",ROW()-4,"")</f>
        <v/>
      </c>
      <c r="B430" s="23">
        <f>INSCRITOS_FORM!AD430</f>
        <v/>
      </c>
      <c r="C430" s="23">
        <f>INSCRITOS_FORM!T430</f>
        <v/>
      </c>
      <c r="D430" s="23">
        <f>INSCRITOS_FORM!S430</f>
        <v/>
      </c>
      <c r="E430" s="23">
        <f>INSCRITOS_FORM!G430</f>
        <v/>
      </c>
      <c r="F430" s="23">
        <f>INSCRITOS_FORM!L430</f>
        <v/>
      </c>
      <c r="G430" s="23">
        <f t="array" ref="G430">IFERROR(INDEX(CONFIG!$A$22:$A$35,MATCH(F430,CONFIG!$B$22:$B$35,0)),0)</f>
        <v/>
      </c>
      <c r="H430" s="23">
        <f>INSCRITOS_FORM!M430</f>
        <v/>
      </c>
      <c r="I430" s="23">
        <f>INSCRITOS_FORM!O430</f>
        <v/>
      </c>
      <c r="J430" s="23">
        <f>INSCRITOS_FORM!J430</f>
        <v/>
      </c>
      <c r="K430" s="23">
        <f>INSCRITOS_FORM!K430</f>
        <v/>
      </c>
      <c r="L430" s="23">
        <f>INSCRITOS_FORM!U430</f>
        <v/>
      </c>
      <c r="M430" s="23">
        <f>INSCRITOS_FORM!V430</f>
        <v/>
      </c>
      <c r="N430" s="23">
        <f>INSCRITOS_FORM!W430</f>
        <v/>
      </c>
      <c r="O430" s="23">
        <f>INSCRITOS_FORM!X430</f>
        <v/>
      </c>
      <c r="P430" s="23">
        <f>INSCRITOS_FORM!AB430</f>
        <v/>
      </c>
      <c r="Q430" s="23">
        <f>IF(B430="","",IF(AND(OR(P430="Pagado",P430="Beca",P430="Invitado"),OR(L430="Sí",M430="Sí")),"Sí","No"))</f>
        <v/>
      </c>
      <c r="R430" s="23">
        <f>IF(AND(C430=TORNEO_ACTIVO!$B$3,Q430="Sí"),G430*10000-A430,-1)</f>
        <v/>
      </c>
    </row>
    <row r="431" ht="14.25" customHeight="1" s="72">
      <c r="A431" s="23">
        <f>IF(INSCRITOS_FORM!D431&lt;&gt;"",ROW()-4,"")</f>
        <v/>
      </c>
      <c r="B431" s="23">
        <f>INSCRITOS_FORM!AD431</f>
        <v/>
      </c>
      <c r="C431" s="23">
        <f>INSCRITOS_FORM!T431</f>
        <v/>
      </c>
      <c r="D431" s="23">
        <f>INSCRITOS_FORM!S431</f>
        <v/>
      </c>
      <c r="E431" s="23">
        <f>INSCRITOS_FORM!G431</f>
        <v/>
      </c>
      <c r="F431" s="23">
        <f>INSCRITOS_FORM!L431</f>
        <v/>
      </c>
      <c r="G431" s="23">
        <f t="array" ref="G431">IFERROR(INDEX(CONFIG!$A$22:$A$35,MATCH(F431,CONFIG!$B$22:$B$35,0)),0)</f>
        <v/>
      </c>
      <c r="H431" s="23">
        <f>INSCRITOS_FORM!M431</f>
        <v/>
      </c>
      <c r="I431" s="23">
        <f>INSCRITOS_FORM!O431</f>
        <v/>
      </c>
      <c r="J431" s="23">
        <f>INSCRITOS_FORM!J431</f>
        <v/>
      </c>
      <c r="K431" s="23">
        <f>INSCRITOS_FORM!K431</f>
        <v/>
      </c>
      <c r="L431" s="23">
        <f>INSCRITOS_FORM!U431</f>
        <v/>
      </c>
      <c r="M431" s="23">
        <f>INSCRITOS_FORM!V431</f>
        <v/>
      </c>
      <c r="N431" s="23">
        <f>INSCRITOS_FORM!W431</f>
        <v/>
      </c>
      <c r="O431" s="23">
        <f>INSCRITOS_FORM!X431</f>
        <v/>
      </c>
      <c r="P431" s="23">
        <f>INSCRITOS_FORM!AB431</f>
        <v/>
      </c>
      <c r="Q431" s="23">
        <f>IF(B431="","",IF(AND(OR(P431="Pagado",P431="Beca",P431="Invitado"),OR(L431="Sí",M431="Sí")),"Sí","No"))</f>
        <v/>
      </c>
      <c r="R431" s="23">
        <f>IF(AND(C431=TORNEO_ACTIVO!$B$3,Q431="Sí"),G431*10000-A431,-1)</f>
        <v/>
      </c>
    </row>
    <row r="432" ht="14.25" customHeight="1" s="72">
      <c r="A432" s="23">
        <f>IF(INSCRITOS_FORM!D432&lt;&gt;"",ROW()-4,"")</f>
        <v/>
      </c>
      <c r="B432" s="23">
        <f>INSCRITOS_FORM!AD432</f>
        <v/>
      </c>
      <c r="C432" s="23">
        <f>INSCRITOS_FORM!T432</f>
        <v/>
      </c>
      <c r="D432" s="23">
        <f>INSCRITOS_FORM!S432</f>
        <v/>
      </c>
      <c r="E432" s="23">
        <f>INSCRITOS_FORM!G432</f>
        <v/>
      </c>
      <c r="F432" s="23">
        <f>INSCRITOS_FORM!L432</f>
        <v/>
      </c>
      <c r="G432" s="23">
        <f t="array" ref="G432">IFERROR(INDEX(CONFIG!$A$22:$A$35,MATCH(F432,CONFIG!$B$22:$B$35,0)),0)</f>
        <v/>
      </c>
      <c r="H432" s="23">
        <f>INSCRITOS_FORM!M432</f>
        <v/>
      </c>
      <c r="I432" s="23">
        <f>INSCRITOS_FORM!O432</f>
        <v/>
      </c>
      <c r="J432" s="23">
        <f>INSCRITOS_FORM!J432</f>
        <v/>
      </c>
      <c r="K432" s="23">
        <f>INSCRITOS_FORM!K432</f>
        <v/>
      </c>
      <c r="L432" s="23">
        <f>INSCRITOS_FORM!U432</f>
        <v/>
      </c>
      <c r="M432" s="23">
        <f>INSCRITOS_FORM!V432</f>
        <v/>
      </c>
      <c r="N432" s="23">
        <f>INSCRITOS_FORM!W432</f>
        <v/>
      </c>
      <c r="O432" s="23">
        <f>INSCRITOS_FORM!X432</f>
        <v/>
      </c>
      <c r="P432" s="23">
        <f>INSCRITOS_FORM!AB432</f>
        <v/>
      </c>
      <c r="Q432" s="23">
        <f>IF(B432="","",IF(AND(OR(P432="Pagado",P432="Beca",P432="Invitado"),OR(L432="Sí",M432="Sí")),"Sí","No"))</f>
        <v/>
      </c>
      <c r="R432" s="23">
        <f>IF(AND(C432=TORNEO_ACTIVO!$B$3,Q432="Sí"),G432*10000-A432,-1)</f>
        <v/>
      </c>
    </row>
    <row r="433" ht="14.25" customHeight="1" s="72">
      <c r="A433" s="23">
        <f>IF(INSCRITOS_FORM!D433&lt;&gt;"",ROW()-4,"")</f>
        <v/>
      </c>
      <c r="B433" s="23">
        <f>INSCRITOS_FORM!AD433</f>
        <v/>
      </c>
      <c r="C433" s="23">
        <f>INSCRITOS_FORM!T433</f>
        <v/>
      </c>
      <c r="D433" s="23">
        <f>INSCRITOS_FORM!S433</f>
        <v/>
      </c>
      <c r="E433" s="23">
        <f>INSCRITOS_FORM!G433</f>
        <v/>
      </c>
      <c r="F433" s="23">
        <f>INSCRITOS_FORM!L433</f>
        <v/>
      </c>
      <c r="G433" s="23">
        <f t="array" ref="G433">IFERROR(INDEX(CONFIG!$A$22:$A$35,MATCH(F433,CONFIG!$B$22:$B$35,0)),0)</f>
        <v/>
      </c>
      <c r="H433" s="23">
        <f>INSCRITOS_FORM!M433</f>
        <v/>
      </c>
      <c r="I433" s="23">
        <f>INSCRITOS_FORM!O433</f>
        <v/>
      </c>
      <c r="J433" s="23">
        <f>INSCRITOS_FORM!J433</f>
        <v/>
      </c>
      <c r="K433" s="23">
        <f>INSCRITOS_FORM!K433</f>
        <v/>
      </c>
      <c r="L433" s="23">
        <f>INSCRITOS_FORM!U433</f>
        <v/>
      </c>
      <c r="M433" s="23">
        <f>INSCRITOS_FORM!V433</f>
        <v/>
      </c>
      <c r="N433" s="23">
        <f>INSCRITOS_FORM!W433</f>
        <v/>
      </c>
      <c r="O433" s="23">
        <f>INSCRITOS_FORM!X433</f>
        <v/>
      </c>
      <c r="P433" s="23">
        <f>INSCRITOS_FORM!AB433</f>
        <v/>
      </c>
      <c r="Q433" s="23">
        <f>IF(B433="","",IF(AND(OR(P433="Pagado",P433="Beca",P433="Invitado"),OR(L433="Sí",M433="Sí")),"Sí","No"))</f>
        <v/>
      </c>
      <c r="R433" s="23">
        <f>IF(AND(C433=TORNEO_ACTIVO!$B$3,Q433="Sí"),G433*10000-A433,-1)</f>
        <v/>
      </c>
    </row>
    <row r="434" ht="14.25" customHeight="1" s="72">
      <c r="A434" s="23">
        <f>IF(INSCRITOS_FORM!D434&lt;&gt;"",ROW()-4,"")</f>
        <v/>
      </c>
      <c r="B434" s="23">
        <f>INSCRITOS_FORM!AD434</f>
        <v/>
      </c>
      <c r="C434" s="23">
        <f>INSCRITOS_FORM!T434</f>
        <v/>
      </c>
      <c r="D434" s="23">
        <f>INSCRITOS_FORM!S434</f>
        <v/>
      </c>
      <c r="E434" s="23">
        <f>INSCRITOS_FORM!G434</f>
        <v/>
      </c>
      <c r="F434" s="23">
        <f>INSCRITOS_FORM!L434</f>
        <v/>
      </c>
      <c r="G434" s="23">
        <f t="array" ref="G434">IFERROR(INDEX(CONFIG!$A$22:$A$35,MATCH(F434,CONFIG!$B$22:$B$35,0)),0)</f>
        <v/>
      </c>
      <c r="H434" s="23">
        <f>INSCRITOS_FORM!M434</f>
        <v/>
      </c>
      <c r="I434" s="23">
        <f>INSCRITOS_FORM!O434</f>
        <v/>
      </c>
      <c r="J434" s="23">
        <f>INSCRITOS_FORM!J434</f>
        <v/>
      </c>
      <c r="K434" s="23">
        <f>INSCRITOS_FORM!K434</f>
        <v/>
      </c>
      <c r="L434" s="23">
        <f>INSCRITOS_FORM!U434</f>
        <v/>
      </c>
      <c r="M434" s="23">
        <f>INSCRITOS_FORM!V434</f>
        <v/>
      </c>
      <c r="N434" s="23">
        <f>INSCRITOS_FORM!W434</f>
        <v/>
      </c>
      <c r="O434" s="23">
        <f>INSCRITOS_FORM!X434</f>
        <v/>
      </c>
      <c r="P434" s="23">
        <f>INSCRITOS_FORM!AB434</f>
        <v/>
      </c>
      <c r="Q434" s="23">
        <f>IF(B434="","",IF(AND(OR(P434="Pagado",P434="Beca",P434="Invitado"),OR(L434="Sí",M434="Sí")),"Sí","No"))</f>
        <v/>
      </c>
      <c r="R434" s="23">
        <f>IF(AND(C434=TORNEO_ACTIVO!$B$3,Q434="Sí"),G434*10000-A434,-1)</f>
        <v/>
      </c>
    </row>
    <row r="435" ht="14.25" customHeight="1" s="72">
      <c r="A435" s="23">
        <f>IF(INSCRITOS_FORM!D435&lt;&gt;"",ROW()-4,"")</f>
        <v/>
      </c>
      <c r="B435" s="23">
        <f>INSCRITOS_FORM!AD435</f>
        <v/>
      </c>
      <c r="C435" s="23">
        <f>INSCRITOS_FORM!T435</f>
        <v/>
      </c>
      <c r="D435" s="23">
        <f>INSCRITOS_FORM!S435</f>
        <v/>
      </c>
      <c r="E435" s="23">
        <f>INSCRITOS_FORM!G435</f>
        <v/>
      </c>
      <c r="F435" s="23">
        <f>INSCRITOS_FORM!L435</f>
        <v/>
      </c>
      <c r="G435" s="23">
        <f t="array" ref="G435">IFERROR(INDEX(CONFIG!$A$22:$A$35,MATCH(F435,CONFIG!$B$22:$B$35,0)),0)</f>
        <v/>
      </c>
      <c r="H435" s="23">
        <f>INSCRITOS_FORM!M435</f>
        <v/>
      </c>
      <c r="I435" s="23">
        <f>INSCRITOS_FORM!O435</f>
        <v/>
      </c>
      <c r="J435" s="23">
        <f>INSCRITOS_FORM!J435</f>
        <v/>
      </c>
      <c r="K435" s="23">
        <f>INSCRITOS_FORM!K435</f>
        <v/>
      </c>
      <c r="L435" s="23">
        <f>INSCRITOS_FORM!U435</f>
        <v/>
      </c>
      <c r="M435" s="23">
        <f>INSCRITOS_FORM!V435</f>
        <v/>
      </c>
      <c r="N435" s="23">
        <f>INSCRITOS_FORM!W435</f>
        <v/>
      </c>
      <c r="O435" s="23">
        <f>INSCRITOS_FORM!X435</f>
        <v/>
      </c>
      <c r="P435" s="23">
        <f>INSCRITOS_FORM!AB435</f>
        <v/>
      </c>
      <c r="Q435" s="23">
        <f>IF(B435="","",IF(AND(OR(P435="Pagado",P435="Beca",P435="Invitado"),OR(L435="Sí",M435="Sí")),"Sí","No"))</f>
        <v/>
      </c>
      <c r="R435" s="23">
        <f>IF(AND(C435=TORNEO_ACTIVO!$B$3,Q435="Sí"),G435*10000-A435,-1)</f>
        <v/>
      </c>
    </row>
    <row r="436" ht="14.25" customHeight="1" s="72">
      <c r="A436" s="23">
        <f>IF(INSCRITOS_FORM!D436&lt;&gt;"",ROW()-4,"")</f>
        <v/>
      </c>
      <c r="B436" s="23">
        <f>INSCRITOS_FORM!AD436</f>
        <v/>
      </c>
      <c r="C436" s="23">
        <f>INSCRITOS_FORM!T436</f>
        <v/>
      </c>
      <c r="D436" s="23">
        <f>INSCRITOS_FORM!S436</f>
        <v/>
      </c>
      <c r="E436" s="23">
        <f>INSCRITOS_FORM!G436</f>
        <v/>
      </c>
      <c r="F436" s="23">
        <f>INSCRITOS_FORM!L436</f>
        <v/>
      </c>
      <c r="G436" s="23">
        <f t="array" ref="G436">IFERROR(INDEX(CONFIG!$A$22:$A$35,MATCH(F436,CONFIG!$B$22:$B$35,0)),0)</f>
        <v/>
      </c>
      <c r="H436" s="23">
        <f>INSCRITOS_FORM!M436</f>
        <v/>
      </c>
      <c r="I436" s="23">
        <f>INSCRITOS_FORM!O436</f>
        <v/>
      </c>
      <c r="J436" s="23">
        <f>INSCRITOS_FORM!J436</f>
        <v/>
      </c>
      <c r="K436" s="23">
        <f>INSCRITOS_FORM!K436</f>
        <v/>
      </c>
      <c r="L436" s="23">
        <f>INSCRITOS_FORM!U436</f>
        <v/>
      </c>
      <c r="M436" s="23">
        <f>INSCRITOS_FORM!V436</f>
        <v/>
      </c>
      <c r="N436" s="23">
        <f>INSCRITOS_FORM!W436</f>
        <v/>
      </c>
      <c r="O436" s="23">
        <f>INSCRITOS_FORM!X436</f>
        <v/>
      </c>
      <c r="P436" s="23">
        <f>INSCRITOS_FORM!AB436</f>
        <v/>
      </c>
      <c r="Q436" s="23">
        <f>IF(B436="","",IF(AND(OR(P436="Pagado",P436="Beca",P436="Invitado"),OR(L436="Sí",M436="Sí")),"Sí","No"))</f>
        <v/>
      </c>
      <c r="R436" s="23">
        <f>IF(AND(C436=TORNEO_ACTIVO!$B$3,Q436="Sí"),G436*10000-A436,-1)</f>
        <v/>
      </c>
    </row>
    <row r="437" ht="14.25" customHeight="1" s="72">
      <c r="A437" s="23">
        <f>IF(INSCRITOS_FORM!D437&lt;&gt;"",ROW()-4,"")</f>
        <v/>
      </c>
      <c r="B437" s="23">
        <f>INSCRITOS_FORM!AD437</f>
        <v/>
      </c>
      <c r="C437" s="23">
        <f>INSCRITOS_FORM!T437</f>
        <v/>
      </c>
      <c r="D437" s="23">
        <f>INSCRITOS_FORM!S437</f>
        <v/>
      </c>
      <c r="E437" s="23">
        <f>INSCRITOS_FORM!G437</f>
        <v/>
      </c>
      <c r="F437" s="23">
        <f>INSCRITOS_FORM!L437</f>
        <v/>
      </c>
      <c r="G437" s="23">
        <f t="array" ref="G437">IFERROR(INDEX(CONFIG!$A$22:$A$35,MATCH(F437,CONFIG!$B$22:$B$35,0)),0)</f>
        <v/>
      </c>
      <c r="H437" s="23">
        <f>INSCRITOS_FORM!M437</f>
        <v/>
      </c>
      <c r="I437" s="23">
        <f>INSCRITOS_FORM!O437</f>
        <v/>
      </c>
      <c r="J437" s="23">
        <f>INSCRITOS_FORM!J437</f>
        <v/>
      </c>
      <c r="K437" s="23">
        <f>INSCRITOS_FORM!K437</f>
        <v/>
      </c>
      <c r="L437" s="23">
        <f>INSCRITOS_FORM!U437</f>
        <v/>
      </c>
      <c r="M437" s="23">
        <f>INSCRITOS_FORM!V437</f>
        <v/>
      </c>
      <c r="N437" s="23">
        <f>INSCRITOS_FORM!W437</f>
        <v/>
      </c>
      <c r="O437" s="23">
        <f>INSCRITOS_FORM!X437</f>
        <v/>
      </c>
      <c r="P437" s="23">
        <f>INSCRITOS_FORM!AB437</f>
        <v/>
      </c>
      <c r="Q437" s="23">
        <f>IF(B437="","",IF(AND(OR(P437="Pagado",P437="Beca",P437="Invitado"),OR(L437="Sí",M437="Sí")),"Sí","No"))</f>
        <v/>
      </c>
      <c r="R437" s="23">
        <f>IF(AND(C437=TORNEO_ACTIVO!$B$3,Q437="Sí"),G437*10000-A437,-1)</f>
        <v/>
      </c>
    </row>
    <row r="438" ht="14.25" customHeight="1" s="72">
      <c r="A438" s="23">
        <f>IF(INSCRITOS_FORM!D438&lt;&gt;"",ROW()-4,"")</f>
        <v/>
      </c>
      <c r="B438" s="23">
        <f>INSCRITOS_FORM!AD438</f>
        <v/>
      </c>
      <c r="C438" s="23">
        <f>INSCRITOS_FORM!T438</f>
        <v/>
      </c>
      <c r="D438" s="23">
        <f>INSCRITOS_FORM!S438</f>
        <v/>
      </c>
      <c r="E438" s="23">
        <f>INSCRITOS_FORM!G438</f>
        <v/>
      </c>
      <c r="F438" s="23">
        <f>INSCRITOS_FORM!L438</f>
        <v/>
      </c>
      <c r="G438" s="23">
        <f t="array" ref="G438">IFERROR(INDEX(CONFIG!$A$22:$A$35,MATCH(F438,CONFIG!$B$22:$B$35,0)),0)</f>
        <v/>
      </c>
      <c r="H438" s="23">
        <f>INSCRITOS_FORM!M438</f>
        <v/>
      </c>
      <c r="I438" s="23">
        <f>INSCRITOS_FORM!O438</f>
        <v/>
      </c>
      <c r="J438" s="23">
        <f>INSCRITOS_FORM!J438</f>
        <v/>
      </c>
      <c r="K438" s="23">
        <f>INSCRITOS_FORM!K438</f>
        <v/>
      </c>
      <c r="L438" s="23">
        <f>INSCRITOS_FORM!U438</f>
        <v/>
      </c>
      <c r="M438" s="23">
        <f>INSCRITOS_FORM!V438</f>
        <v/>
      </c>
      <c r="N438" s="23">
        <f>INSCRITOS_FORM!W438</f>
        <v/>
      </c>
      <c r="O438" s="23">
        <f>INSCRITOS_FORM!X438</f>
        <v/>
      </c>
      <c r="P438" s="23">
        <f>INSCRITOS_FORM!AB438</f>
        <v/>
      </c>
      <c r="Q438" s="23">
        <f>IF(B438="","",IF(AND(OR(P438="Pagado",P438="Beca",P438="Invitado"),OR(L438="Sí",M438="Sí")),"Sí","No"))</f>
        <v/>
      </c>
      <c r="R438" s="23">
        <f>IF(AND(C438=TORNEO_ACTIVO!$B$3,Q438="Sí"),G438*10000-A438,-1)</f>
        <v/>
      </c>
    </row>
    <row r="439" ht="14.25" customHeight="1" s="72">
      <c r="A439" s="23">
        <f>IF(INSCRITOS_FORM!D439&lt;&gt;"",ROW()-4,"")</f>
        <v/>
      </c>
      <c r="B439" s="23">
        <f>INSCRITOS_FORM!AD439</f>
        <v/>
      </c>
      <c r="C439" s="23">
        <f>INSCRITOS_FORM!T439</f>
        <v/>
      </c>
      <c r="D439" s="23">
        <f>INSCRITOS_FORM!S439</f>
        <v/>
      </c>
      <c r="E439" s="23">
        <f>INSCRITOS_FORM!G439</f>
        <v/>
      </c>
      <c r="F439" s="23">
        <f>INSCRITOS_FORM!L439</f>
        <v/>
      </c>
      <c r="G439" s="23">
        <f t="array" ref="G439">IFERROR(INDEX(CONFIG!$A$22:$A$35,MATCH(F439,CONFIG!$B$22:$B$35,0)),0)</f>
        <v/>
      </c>
      <c r="H439" s="23">
        <f>INSCRITOS_FORM!M439</f>
        <v/>
      </c>
      <c r="I439" s="23">
        <f>INSCRITOS_FORM!O439</f>
        <v/>
      </c>
      <c r="J439" s="23">
        <f>INSCRITOS_FORM!J439</f>
        <v/>
      </c>
      <c r="K439" s="23">
        <f>INSCRITOS_FORM!K439</f>
        <v/>
      </c>
      <c r="L439" s="23">
        <f>INSCRITOS_FORM!U439</f>
        <v/>
      </c>
      <c r="M439" s="23">
        <f>INSCRITOS_FORM!V439</f>
        <v/>
      </c>
      <c r="N439" s="23">
        <f>INSCRITOS_FORM!W439</f>
        <v/>
      </c>
      <c r="O439" s="23">
        <f>INSCRITOS_FORM!X439</f>
        <v/>
      </c>
      <c r="P439" s="23">
        <f>INSCRITOS_FORM!AB439</f>
        <v/>
      </c>
      <c r="Q439" s="23">
        <f>IF(B439="","",IF(AND(OR(P439="Pagado",P439="Beca",P439="Invitado"),OR(L439="Sí",M439="Sí")),"Sí","No"))</f>
        <v/>
      </c>
      <c r="R439" s="23">
        <f>IF(AND(C439=TORNEO_ACTIVO!$B$3,Q439="Sí"),G439*10000-A439,-1)</f>
        <v/>
      </c>
    </row>
    <row r="440" ht="14.25" customHeight="1" s="72">
      <c r="A440" s="23">
        <f>IF(INSCRITOS_FORM!D440&lt;&gt;"",ROW()-4,"")</f>
        <v/>
      </c>
      <c r="B440" s="23">
        <f>INSCRITOS_FORM!AD440</f>
        <v/>
      </c>
      <c r="C440" s="23">
        <f>INSCRITOS_FORM!T440</f>
        <v/>
      </c>
      <c r="D440" s="23">
        <f>INSCRITOS_FORM!S440</f>
        <v/>
      </c>
      <c r="E440" s="23">
        <f>INSCRITOS_FORM!G440</f>
        <v/>
      </c>
      <c r="F440" s="23">
        <f>INSCRITOS_FORM!L440</f>
        <v/>
      </c>
      <c r="G440" s="23">
        <f t="array" ref="G440">IFERROR(INDEX(CONFIG!$A$22:$A$35,MATCH(F440,CONFIG!$B$22:$B$35,0)),0)</f>
        <v/>
      </c>
      <c r="H440" s="23">
        <f>INSCRITOS_FORM!M440</f>
        <v/>
      </c>
      <c r="I440" s="23">
        <f>INSCRITOS_FORM!O440</f>
        <v/>
      </c>
      <c r="J440" s="23">
        <f>INSCRITOS_FORM!J440</f>
        <v/>
      </c>
      <c r="K440" s="23">
        <f>INSCRITOS_FORM!K440</f>
        <v/>
      </c>
      <c r="L440" s="23">
        <f>INSCRITOS_FORM!U440</f>
        <v/>
      </c>
      <c r="M440" s="23">
        <f>INSCRITOS_FORM!V440</f>
        <v/>
      </c>
      <c r="N440" s="23">
        <f>INSCRITOS_FORM!W440</f>
        <v/>
      </c>
      <c r="O440" s="23">
        <f>INSCRITOS_FORM!X440</f>
        <v/>
      </c>
      <c r="P440" s="23">
        <f>INSCRITOS_FORM!AB440</f>
        <v/>
      </c>
      <c r="Q440" s="23">
        <f>IF(B440="","",IF(AND(OR(P440="Pagado",P440="Beca",P440="Invitado"),OR(L440="Sí",M440="Sí")),"Sí","No"))</f>
        <v/>
      </c>
      <c r="R440" s="23">
        <f>IF(AND(C440=TORNEO_ACTIVO!$B$3,Q440="Sí"),G440*10000-A440,-1)</f>
        <v/>
      </c>
    </row>
    <row r="441" ht="14.25" customHeight="1" s="72">
      <c r="A441" s="23">
        <f>IF(INSCRITOS_FORM!D441&lt;&gt;"",ROW()-4,"")</f>
        <v/>
      </c>
      <c r="B441" s="23">
        <f>INSCRITOS_FORM!AD441</f>
        <v/>
      </c>
      <c r="C441" s="23">
        <f>INSCRITOS_FORM!T441</f>
        <v/>
      </c>
      <c r="D441" s="23">
        <f>INSCRITOS_FORM!S441</f>
        <v/>
      </c>
      <c r="E441" s="23">
        <f>INSCRITOS_FORM!G441</f>
        <v/>
      </c>
      <c r="F441" s="23">
        <f>INSCRITOS_FORM!L441</f>
        <v/>
      </c>
      <c r="G441" s="23">
        <f t="array" ref="G441">IFERROR(INDEX(CONFIG!$A$22:$A$35,MATCH(F441,CONFIG!$B$22:$B$35,0)),0)</f>
        <v/>
      </c>
      <c r="H441" s="23">
        <f>INSCRITOS_FORM!M441</f>
        <v/>
      </c>
      <c r="I441" s="23">
        <f>INSCRITOS_FORM!O441</f>
        <v/>
      </c>
      <c r="J441" s="23">
        <f>INSCRITOS_FORM!J441</f>
        <v/>
      </c>
      <c r="K441" s="23">
        <f>INSCRITOS_FORM!K441</f>
        <v/>
      </c>
      <c r="L441" s="23">
        <f>INSCRITOS_FORM!U441</f>
        <v/>
      </c>
      <c r="M441" s="23">
        <f>INSCRITOS_FORM!V441</f>
        <v/>
      </c>
      <c r="N441" s="23">
        <f>INSCRITOS_FORM!W441</f>
        <v/>
      </c>
      <c r="O441" s="23">
        <f>INSCRITOS_FORM!X441</f>
        <v/>
      </c>
      <c r="P441" s="23">
        <f>INSCRITOS_FORM!AB441</f>
        <v/>
      </c>
      <c r="Q441" s="23">
        <f>IF(B441="","",IF(AND(OR(P441="Pagado",P441="Beca",P441="Invitado"),OR(L441="Sí",M441="Sí")),"Sí","No"))</f>
        <v/>
      </c>
      <c r="R441" s="23">
        <f>IF(AND(C441=TORNEO_ACTIVO!$B$3,Q441="Sí"),G441*10000-A441,-1)</f>
        <v/>
      </c>
    </row>
    <row r="442" ht="14.25" customHeight="1" s="72">
      <c r="A442" s="23">
        <f>IF(INSCRITOS_FORM!D442&lt;&gt;"",ROW()-4,"")</f>
        <v/>
      </c>
      <c r="B442" s="23">
        <f>INSCRITOS_FORM!AD442</f>
        <v/>
      </c>
      <c r="C442" s="23">
        <f>INSCRITOS_FORM!T442</f>
        <v/>
      </c>
      <c r="D442" s="23">
        <f>INSCRITOS_FORM!S442</f>
        <v/>
      </c>
      <c r="E442" s="23">
        <f>INSCRITOS_FORM!G442</f>
        <v/>
      </c>
      <c r="F442" s="23">
        <f>INSCRITOS_FORM!L442</f>
        <v/>
      </c>
      <c r="G442" s="23">
        <f t="array" ref="G442">IFERROR(INDEX(CONFIG!$A$22:$A$35,MATCH(F442,CONFIG!$B$22:$B$35,0)),0)</f>
        <v/>
      </c>
      <c r="H442" s="23">
        <f>INSCRITOS_FORM!M442</f>
        <v/>
      </c>
      <c r="I442" s="23">
        <f>INSCRITOS_FORM!O442</f>
        <v/>
      </c>
      <c r="J442" s="23">
        <f>INSCRITOS_FORM!J442</f>
        <v/>
      </c>
      <c r="K442" s="23">
        <f>INSCRITOS_FORM!K442</f>
        <v/>
      </c>
      <c r="L442" s="23">
        <f>INSCRITOS_FORM!U442</f>
        <v/>
      </c>
      <c r="M442" s="23">
        <f>INSCRITOS_FORM!V442</f>
        <v/>
      </c>
      <c r="N442" s="23">
        <f>INSCRITOS_FORM!W442</f>
        <v/>
      </c>
      <c r="O442" s="23">
        <f>INSCRITOS_FORM!X442</f>
        <v/>
      </c>
      <c r="P442" s="23">
        <f>INSCRITOS_FORM!AB442</f>
        <v/>
      </c>
      <c r="Q442" s="23">
        <f>IF(B442="","",IF(AND(OR(P442="Pagado",P442="Beca",P442="Invitado"),OR(L442="Sí",M442="Sí")),"Sí","No"))</f>
        <v/>
      </c>
      <c r="R442" s="23">
        <f>IF(AND(C442=TORNEO_ACTIVO!$B$3,Q442="Sí"),G442*10000-A442,-1)</f>
        <v/>
      </c>
    </row>
    <row r="443" ht="14.25" customHeight="1" s="72">
      <c r="A443" s="23">
        <f>IF(INSCRITOS_FORM!D443&lt;&gt;"",ROW()-4,"")</f>
        <v/>
      </c>
      <c r="B443" s="23">
        <f>INSCRITOS_FORM!AD443</f>
        <v/>
      </c>
      <c r="C443" s="23">
        <f>INSCRITOS_FORM!T443</f>
        <v/>
      </c>
      <c r="D443" s="23">
        <f>INSCRITOS_FORM!S443</f>
        <v/>
      </c>
      <c r="E443" s="23">
        <f>INSCRITOS_FORM!G443</f>
        <v/>
      </c>
      <c r="F443" s="23">
        <f>INSCRITOS_FORM!L443</f>
        <v/>
      </c>
      <c r="G443" s="23">
        <f t="array" ref="G443">IFERROR(INDEX(CONFIG!$A$22:$A$35,MATCH(F443,CONFIG!$B$22:$B$35,0)),0)</f>
        <v/>
      </c>
      <c r="H443" s="23">
        <f>INSCRITOS_FORM!M443</f>
        <v/>
      </c>
      <c r="I443" s="23">
        <f>INSCRITOS_FORM!O443</f>
        <v/>
      </c>
      <c r="J443" s="23">
        <f>INSCRITOS_FORM!J443</f>
        <v/>
      </c>
      <c r="K443" s="23">
        <f>INSCRITOS_FORM!K443</f>
        <v/>
      </c>
      <c r="L443" s="23">
        <f>INSCRITOS_FORM!U443</f>
        <v/>
      </c>
      <c r="M443" s="23">
        <f>INSCRITOS_FORM!V443</f>
        <v/>
      </c>
      <c r="N443" s="23">
        <f>INSCRITOS_FORM!W443</f>
        <v/>
      </c>
      <c r="O443" s="23">
        <f>INSCRITOS_FORM!X443</f>
        <v/>
      </c>
      <c r="P443" s="23">
        <f>INSCRITOS_FORM!AB443</f>
        <v/>
      </c>
      <c r="Q443" s="23">
        <f>IF(B443="","",IF(AND(OR(P443="Pagado",P443="Beca",P443="Invitado"),OR(L443="Sí",M443="Sí")),"Sí","No"))</f>
        <v/>
      </c>
      <c r="R443" s="23">
        <f>IF(AND(C443=TORNEO_ACTIVO!$B$3,Q443="Sí"),G443*10000-A443,-1)</f>
        <v/>
      </c>
    </row>
    <row r="444" ht="14.25" customHeight="1" s="72">
      <c r="A444" s="23">
        <f>IF(INSCRITOS_FORM!D444&lt;&gt;"",ROW()-4,"")</f>
        <v/>
      </c>
      <c r="B444" s="23">
        <f>INSCRITOS_FORM!AD444</f>
        <v/>
      </c>
      <c r="C444" s="23">
        <f>INSCRITOS_FORM!T444</f>
        <v/>
      </c>
      <c r="D444" s="23">
        <f>INSCRITOS_FORM!S444</f>
        <v/>
      </c>
      <c r="E444" s="23">
        <f>INSCRITOS_FORM!G444</f>
        <v/>
      </c>
      <c r="F444" s="23">
        <f>INSCRITOS_FORM!L444</f>
        <v/>
      </c>
      <c r="G444" s="23">
        <f t="array" ref="G444">IFERROR(INDEX(CONFIG!$A$22:$A$35,MATCH(F444,CONFIG!$B$22:$B$35,0)),0)</f>
        <v/>
      </c>
      <c r="H444" s="23">
        <f>INSCRITOS_FORM!M444</f>
        <v/>
      </c>
      <c r="I444" s="23">
        <f>INSCRITOS_FORM!O444</f>
        <v/>
      </c>
      <c r="J444" s="23">
        <f>INSCRITOS_FORM!J444</f>
        <v/>
      </c>
      <c r="K444" s="23">
        <f>INSCRITOS_FORM!K444</f>
        <v/>
      </c>
      <c r="L444" s="23">
        <f>INSCRITOS_FORM!U444</f>
        <v/>
      </c>
      <c r="M444" s="23">
        <f>INSCRITOS_FORM!V444</f>
        <v/>
      </c>
      <c r="N444" s="23">
        <f>INSCRITOS_FORM!W444</f>
        <v/>
      </c>
      <c r="O444" s="23">
        <f>INSCRITOS_FORM!X444</f>
        <v/>
      </c>
      <c r="P444" s="23">
        <f>INSCRITOS_FORM!AB444</f>
        <v/>
      </c>
      <c r="Q444" s="23">
        <f>IF(B444="","",IF(AND(OR(P444="Pagado",P444="Beca",P444="Invitado"),OR(L444="Sí",M444="Sí")),"Sí","No"))</f>
        <v/>
      </c>
      <c r="R444" s="23">
        <f>IF(AND(C444=TORNEO_ACTIVO!$B$3,Q444="Sí"),G444*10000-A444,-1)</f>
        <v/>
      </c>
    </row>
    <row r="445" ht="14.25" customHeight="1" s="72">
      <c r="A445" s="23">
        <f>IF(INSCRITOS_FORM!D445&lt;&gt;"",ROW()-4,"")</f>
        <v/>
      </c>
      <c r="B445" s="23">
        <f>INSCRITOS_FORM!AD445</f>
        <v/>
      </c>
      <c r="C445" s="23">
        <f>INSCRITOS_FORM!T445</f>
        <v/>
      </c>
      <c r="D445" s="23">
        <f>INSCRITOS_FORM!S445</f>
        <v/>
      </c>
      <c r="E445" s="23">
        <f>INSCRITOS_FORM!G445</f>
        <v/>
      </c>
      <c r="F445" s="23">
        <f>INSCRITOS_FORM!L445</f>
        <v/>
      </c>
      <c r="G445" s="23">
        <f t="array" ref="G445">IFERROR(INDEX(CONFIG!$A$22:$A$35,MATCH(F445,CONFIG!$B$22:$B$35,0)),0)</f>
        <v/>
      </c>
      <c r="H445" s="23">
        <f>INSCRITOS_FORM!M445</f>
        <v/>
      </c>
      <c r="I445" s="23">
        <f>INSCRITOS_FORM!O445</f>
        <v/>
      </c>
      <c r="J445" s="23">
        <f>INSCRITOS_FORM!J445</f>
        <v/>
      </c>
      <c r="K445" s="23">
        <f>INSCRITOS_FORM!K445</f>
        <v/>
      </c>
      <c r="L445" s="23">
        <f>INSCRITOS_FORM!U445</f>
        <v/>
      </c>
      <c r="M445" s="23">
        <f>INSCRITOS_FORM!V445</f>
        <v/>
      </c>
      <c r="N445" s="23">
        <f>INSCRITOS_FORM!W445</f>
        <v/>
      </c>
      <c r="O445" s="23">
        <f>INSCRITOS_FORM!X445</f>
        <v/>
      </c>
      <c r="P445" s="23">
        <f>INSCRITOS_FORM!AB445</f>
        <v/>
      </c>
      <c r="Q445" s="23">
        <f>IF(B445="","",IF(AND(OR(P445="Pagado",P445="Beca",P445="Invitado"),OR(L445="Sí",M445="Sí")),"Sí","No"))</f>
        <v/>
      </c>
      <c r="R445" s="23">
        <f>IF(AND(C445=TORNEO_ACTIVO!$B$3,Q445="Sí"),G445*10000-A445,-1)</f>
        <v/>
      </c>
    </row>
    <row r="446" ht="14.25" customHeight="1" s="72">
      <c r="A446" s="23">
        <f>IF(INSCRITOS_FORM!D446&lt;&gt;"",ROW()-4,"")</f>
        <v/>
      </c>
      <c r="B446" s="23">
        <f>INSCRITOS_FORM!AD446</f>
        <v/>
      </c>
      <c r="C446" s="23">
        <f>INSCRITOS_FORM!T446</f>
        <v/>
      </c>
      <c r="D446" s="23">
        <f>INSCRITOS_FORM!S446</f>
        <v/>
      </c>
      <c r="E446" s="23">
        <f>INSCRITOS_FORM!G446</f>
        <v/>
      </c>
      <c r="F446" s="23">
        <f>INSCRITOS_FORM!L446</f>
        <v/>
      </c>
      <c r="G446" s="23">
        <f t="array" ref="G446">IFERROR(INDEX(CONFIG!$A$22:$A$35,MATCH(F446,CONFIG!$B$22:$B$35,0)),0)</f>
        <v/>
      </c>
      <c r="H446" s="23">
        <f>INSCRITOS_FORM!M446</f>
        <v/>
      </c>
      <c r="I446" s="23">
        <f>INSCRITOS_FORM!O446</f>
        <v/>
      </c>
      <c r="J446" s="23">
        <f>INSCRITOS_FORM!J446</f>
        <v/>
      </c>
      <c r="K446" s="23">
        <f>INSCRITOS_FORM!K446</f>
        <v/>
      </c>
      <c r="L446" s="23">
        <f>INSCRITOS_FORM!U446</f>
        <v/>
      </c>
      <c r="M446" s="23">
        <f>INSCRITOS_FORM!V446</f>
        <v/>
      </c>
      <c r="N446" s="23">
        <f>INSCRITOS_FORM!W446</f>
        <v/>
      </c>
      <c r="O446" s="23">
        <f>INSCRITOS_FORM!X446</f>
        <v/>
      </c>
      <c r="P446" s="23">
        <f>INSCRITOS_FORM!AB446</f>
        <v/>
      </c>
      <c r="Q446" s="23">
        <f>IF(B446="","",IF(AND(OR(P446="Pagado",P446="Beca",P446="Invitado"),OR(L446="Sí",M446="Sí")),"Sí","No"))</f>
        <v/>
      </c>
      <c r="R446" s="23">
        <f>IF(AND(C446=TORNEO_ACTIVO!$B$3,Q446="Sí"),G446*10000-A446,-1)</f>
        <v/>
      </c>
    </row>
    <row r="447" ht="14.25" customHeight="1" s="72">
      <c r="A447" s="23">
        <f>IF(INSCRITOS_FORM!D447&lt;&gt;"",ROW()-4,"")</f>
        <v/>
      </c>
      <c r="B447" s="23">
        <f>INSCRITOS_FORM!AD447</f>
        <v/>
      </c>
      <c r="C447" s="23">
        <f>INSCRITOS_FORM!T447</f>
        <v/>
      </c>
      <c r="D447" s="23">
        <f>INSCRITOS_FORM!S447</f>
        <v/>
      </c>
      <c r="E447" s="23">
        <f>INSCRITOS_FORM!G447</f>
        <v/>
      </c>
      <c r="F447" s="23">
        <f>INSCRITOS_FORM!L447</f>
        <v/>
      </c>
      <c r="G447" s="23">
        <f t="array" ref="G447">IFERROR(INDEX(CONFIG!$A$22:$A$35,MATCH(F447,CONFIG!$B$22:$B$35,0)),0)</f>
        <v/>
      </c>
      <c r="H447" s="23">
        <f>INSCRITOS_FORM!M447</f>
        <v/>
      </c>
      <c r="I447" s="23">
        <f>INSCRITOS_FORM!O447</f>
        <v/>
      </c>
      <c r="J447" s="23">
        <f>INSCRITOS_FORM!J447</f>
        <v/>
      </c>
      <c r="K447" s="23">
        <f>INSCRITOS_FORM!K447</f>
        <v/>
      </c>
      <c r="L447" s="23">
        <f>INSCRITOS_FORM!U447</f>
        <v/>
      </c>
      <c r="M447" s="23">
        <f>INSCRITOS_FORM!V447</f>
        <v/>
      </c>
      <c r="N447" s="23">
        <f>INSCRITOS_FORM!W447</f>
        <v/>
      </c>
      <c r="O447" s="23">
        <f>INSCRITOS_FORM!X447</f>
        <v/>
      </c>
      <c r="P447" s="23">
        <f>INSCRITOS_FORM!AB447</f>
        <v/>
      </c>
      <c r="Q447" s="23">
        <f>IF(B447="","",IF(AND(OR(P447="Pagado",P447="Beca",P447="Invitado"),OR(L447="Sí",M447="Sí")),"Sí","No"))</f>
        <v/>
      </c>
      <c r="R447" s="23">
        <f>IF(AND(C447=TORNEO_ACTIVO!$B$3,Q447="Sí"),G447*10000-A447,-1)</f>
        <v/>
      </c>
    </row>
    <row r="448" ht="14.25" customHeight="1" s="72">
      <c r="A448" s="23">
        <f>IF(INSCRITOS_FORM!D448&lt;&gt;"",ROW()-4,"")</f>
        <v/>
      </c>
      <c r="B448" s="23">
        <f>INSCRITOS_FORM!AD448</f>
        <v/>
      </c>
      <c r="C448" s="23">
        <f>INSCRITOS_FORM!T448</f>
        <v/>
      </c>
      <c r="D448" s="23">
        <f>INSCRITOS_FORM!S448</f>
        <v/>
      </c>
      <c r="E448" s="23">
        <f>INSCRITOS_FORM!G448</f>
        <v/>
      </c>
      <c r="F448" s="23">
        <f>INSCRITOS_FORM!L448</f>
        <v/>
      </c>
      <c r="G448" s="23">
        <f t="array" ref="G448">IFERROR(INDEX(CONFIG!$A$22:$A$35,MATCH(F448,CONFIG!$B$22:$B$35,0)),0)</f>
        <v/>
      </c>
      <c r="H448" s="23">
        <f>INSCRITOS_FORM!M448</f>
        <v/>
      </c>
      <c r="I448" s="23">
        <f>INSCRITOS_FORM!O448</f>
        <v/>
      </c>
      <c r="J448" s="23">
        <f>INSCRITOS_FORM!J448</f>
        <v/>
      </c>
      <c r="K448" s="23">
        <f>INSCRITOS_FORM!K448</f>
        <v/>
      </c>
      <c r="L448" s="23">
        <f>INSCRITOS_FORM!U448</f>
        <v/>
      </c>
      <c r="M448" s="23">
        <f>INSCRITOS_FORM!V448</f>
        <v/>
      </c>
      <c r="N448" s="23">
        <f>INSCRITOS_FORM!W448</f>
        <v/>
      </c>
      <c r="O448" s="23">
        <f>INSCRITOS_FORM!X448</f>
        <v/>
      </c>
      <c r="P448" s="23">
        <f>INSCRITOS_FORM!AB448</f>
        <v/>
      </c>
      <c r="Q448" s="23">
        <f>IF(B448="","",IF(AND(OR(P448="Pagado",P448="Beca",P448="Invitado"),OR(L448="Sí",M448="Sí")),"Sí","No"))</f>
        <v/>
      </c>
      <c r="R448" s="23">
        <f>IF(AND(C448=TORNEO_ACTIVO!$B$3,Q448="Sí"),G448*10000-A448,-1)</f>
        <v/>
      </c>
    </row>
    <row r="449" ht="14.25" customHeight="1" s="72">
      <c r="A449" s="23">
        <f>IF(INSCRITOS_FORM!D449&lt;&gt;"",ROW()-4,"")</f>
        <v/>
      </c>
      <c r="B449" s="23">
        <f>INSCRITOS_FORM!AD449</f>
        <v/>
      </c>
      <c r="C449" s="23">
        <f>INSCRITOS_FORM!T449</f>
        <v/>
      </c>
      <c r="D449" s="23">
        <f>INSCRITOS_FORM!S449</f>
        <v/>
      </c>
      <c r="E449" s="23">
        <f>INSCRITOS_FORM!G449</f>
        <v/>
      </c>
      <c r="F449" s="23">
        <f>INSCRITOS_FORM!L449</f>
        <v/>
      </c>
      <c r="G449" s="23">
        <f t="array" ref="G449">IFERROR(INDEX(CONFIG!$A$22:$A$35,MATCH(F449,CONFIG!$B$22:$B$35,0)),0)</f>
        <v/>
      </c>
      <c r="H449" s="23">
        <f>INSCRITOS_FORM!M449</f>
        <v/>
      </c>
      <c r="I449" s="23">
        <f>INSCRITOS_FORM!O449</f>
        <v/>
      </c>
      <c r="J449" s="23">
        <f>INSCRITOS_FORM!J449</f>
        <v/>
      </c>
      <c r="K449" s="23">
        <f>INSCRITOS_FORM!K449</f>
        <v/>
      </c>
      <c r="L449" s="23">
        <f>INSCRITOS_FORM!U449</f>
        <v/>
      </c>
      <c r="M449" s="23">
        <f>INSCRITOS_FORM!V449</f>
        <v/>
      </c>
      <c r="N449" s="23">
        <f>INSCRITOS_FORM!W449</f>
        <v/>
      </c>
      <c r="O449" s="23">
        <f>INSCRITOS_FORM!X449</f>
        <v/>
      </c>
      <c r="P449" s="23">
        <f>INSCRITOS_FORM!AB449</f>
        <v/>
      </c>
      <c r="Q449" s="23">
        <f>IF(B449="","",IF(AND(OR(P449="Pagado",P449="Beca",P449="Invitado"),OR(L449="Sí",M449="Sí")),"Sí","No"))</f>
        <v/>
      </c>
      <c r="R449" s="23">
        <f>IF(AND(C449=TORNEO_ACTIVO!$B$3,Q449="Sí"),G449*10000-A449,-1)</f>
        <v/>
      </c>
    </row>
    <row r="450" ht="14.25" customHeight="1" s="72">
      <c r="A450" s="23">
        <f>IF(INSCRITOS_FORM!D450&lt;&gt;"",ROW()-4,"")</f>
        <v/>
      </c>
      <c r="B450" s="23">
        <f>INSCRITOS_FORM!AD450</f>
        <v/>
      </c>
      <c r="C450" s="23">
        <f>INSCRITOS_FORM!T450</f>
        <v/>
      </c>
      <c r="D450" s="23">
        <f>INSCRITOS_FORM!S450</f>
        <v/>
      </c>
      <c r="E450" s="23">
        <f>INSCRITOS_FORM!G450</f>
        <v/>
      </c>
      <c r="F450" s="23">
        <f>INSCRITOS_FORM!L450</f>
        <v/>
      </c>
      <c r="G450" s="23">
        <f t="array" ref="G450">IFERROR(INDEX(CONFIG!$A$22:$A$35,MATCH(F450,CONFIG!$B$22:$B$35,0)),0)</f>
        <v/>
      </c>
      <c r="H450" s="23">
        <f>INSCRITOS_FORM!M450</f>
        <v/>
      </c>
      <c r="I450" s="23">
        <f>INSCRITOS_FORM!O450</f>
        <v/>
      </c>
      <c r="J450" s="23">
        <f>INSCRITOS_FORM!J450</f>
        <v/>
      </c>
      <c r="K450" s="23">
        <f>INSCRITOS_FORM!K450</f>
        <v/>
      </c>
      <c r="L450" s="23">
        <f>INSCRITOS_FORM!U450</f>
        <v/>
      </c>
      <c r="M450" s="23">
        <f>INSCRITOS_FORM!V450</f>
        <v/>
      </c>
      <c r="N450" s="23">
        <f>INSCRITOS_FORM!W450</f>
        <v/>
      </c>
      <c r="O450" s="23">
        <f>INSCRITOS_FORM!X450</f>
        <v/>
      </c>
      <c r="P450" s="23">
        <f>INSCRITOS_FORM!AB450</f>
        <v/>
      </c>
      <c r="Q450" s="23">
        <f>IF(B450="","",IF(AND(OR(P450="Pagado",P450="Beca",P450="Invitado"),OR(L450="Sí",M450="Sí")),"Sí","No"))</f>
        <v/>
      </c>
      <c r="R450" s="23">
        <f>IF(AND(C450=TORNEO_ACTIVO!$B$3,Q450="Sí"),G450*10000-A450,-1)</f>
        <v/>
      </c>
    </row>
    <row r="451" ht="14.25" customHeight="1" s="72">
      <c r="A451" s="23">
        <f>IF(INSCRITOS_FORM!D451&lt;&gt;"",ROW()-4,"")</f>
        <v/>
      </c>
      <c r="B451" s="23">
        <f>INSCRITOS_FORM!AD451</f>
        <v/>
      </c>
      <c r="C451" s="23">
        <f>INSCRITOS_FORM!T451</f>
        <v/>
      </c>
      <c r="D451" s="23">
        <f>INSCRITOS_FORM!S451</f>
        <v/>
      </c>
      <c r="E451" s="23">
        <f>INSCRITOS_FORM!G451</f>
        <v/>
      </c>
      <c r="F451" s="23">
        <f>INSCRITOS_FORM!L451</f>
        <v/>
      </c>
      <c r="G451" s="23">
        <f t="array" ref="G451">IFERROR(INDEX(CONFIG!$A$22:$A$35,MATCH(F451,CONFIG!$B$22:$B$35,0)),0)</f>
        <v/>
      </c>
      <c r="H451" s="23">
        <f>INSCRITOS_FORM!M451</f>
        <v/>
      </c>
      <c r="I451" s="23">
        <f>INSCRITOS_FORM!O451</f>
        <v/>
      </c>
      <c r="J451" s="23">
        <f>INSCRITOS_FORM!J451</f>
        <v/>
      </c>
      <c r="K451" s="23">
        <f>INSCRITOS_FORM!K451</f>
        <v/>
      </c>
      <c r="L451" s="23">
        <f>INSCRITOS_FORM!U451</f>
        <v/>
      </c>
      <c r="M451" s="23">
        <f>INSCRITOS_FORM!V451</f>
        <v/>
      </c>
      <c r="N451" s="23">
        <f>INSCRITOS_FORM!W451</f>
        <v/>
      </c>
      <c r="O451" s="23">
        <f>INSCRITOS_FORM!X451</f>
        <v/>
      </c>
      <c r="P451" s="23">
        <f>INSCRITOS_FORM!AB451</f>
        <v/>
      </c>
      <c r="Q451" s="23">
        <f>IF(B451="","",IF(AND(OR(P451="Pagado",P451="Beca",P451="Invitado"),OR(L451="Sí",M451="Sí")),"Sí","No"))</f>
        <v/>
      </c>
      <c r="R451" s="23">
        <f>IF(AND(C451=TORNEO_ACTIVO!$B$3,Q451="Sí"),G451*10000-A451,-1)</f>
        <v/>
      </c>
    </row>
    <row r="452" ht="14.25" customHeight="1" s="72">
      <c r="A452" s="23">
        <f>IF(INSCRITOS_FORM!D452&lt;&gt;"",ROW()-4,"")</f>
        <v/>
      </c>
      <c r="B452" s="23">
        <f>INSCRITOS_FORM!AD452</f>
        <v/>
      </c>
      <c r="C452" s="23">
        <f>INSCRITOS_FORM!T452</f>
        <v/>
      </c>
      <c r="D452" s="23">
        <f>INSCRITOS_FORM!S452</f>
        <v/>
      </c>
      <c r="E452" s="23">
        <f>INSCRITOS_FORM!G452</f>
        <v/>
      </c>
      <c r="F452" s="23">
        <f>INSCRITOS_FORM!L452</f>
        <v/>
      </c>
      <c r="G452" s="23">
        <f t="array" ref="G452">IFERROR(INDEX(CONFIG!$A$22:$A$35,MATCH(F452,CONFIG!$B$22:$B$35,0)),0)</f>
        <v/>
      </c>
      <c r="H452" s="23">
        <f>INSCRITOS_FORM!M452</f>
        <v/>
      </c>
      <c r="I452" s="23">
        <f>INSCRITOS_FORM!O452</f>
        <v/>
      </c>
      <c r="J452" s="23">
        <f>INSCRITOS_FORM!J452</f>
        <v/>
      </c>
      <c r="K452" s="23">
        <f>INSCRITOS_FORM!K452</f>
        <v/>
      </c>
      <c r="L452" s="23">
        <f>INSCRITOS_FORM!U452</f>
        <v/>
      </c>
      <c r="M452" s="23">
        <f>INSCRITOS_FORM!V452</f>
        <v/>
      </c>
      <c r="N452" s="23">
        <f>INSCRITOS_FORM!W452</f>
        <v/>
      </c>
      <c r="O452" s="23">
        <f>INSCRITOS_FORM!X452</f>
        <v/>
      </c>
      <c r="P452" s="23">
        <f>INSCRITOS_FORM!AB452</f>
        <v/>
      </c>
      <c r="Q452" s="23">
        <f>IF(B452="","",IF(AND(OR(P452="Pagado",P452="Beca",P452="Invitado"),OR(L452="Sí",M452="Sí")),"Sí","No"))</f>
        <v/>
      </c>
      <c r="R452" s="23">
        <f>IF(AND(C452=TORNEO_ACTIVO!$B$3,Q452="Sí"),G452*10000-A452,-1)</f>
        <v/>
      </c>
    </row>
    <row r="453" ht="14.25" customHeight="1" s="72">
      <c r="A453" s="23">
        <f>IF(INSCRITOS_FORM!D453&lt;&gt;"",ROW()-4,"")</f>
        <v/>
      </c>
      <c r="B453" s="23">
        <f>INSCRITOS_FORM!AD453</f>
        <v/>
      </c>
      <c r="C453" s="23">
        <f>INSCRITOS_FORM!T453</f>
        <v/>
      </c>
      <c r="D453" s="23">
        <f>INSCRITOS_FORM!S453</f>
        <v/>
      </c>
      <c r="E453" s="23">
        <f>INSCRITOS_FORM!G453</f>
        <v/>
      </c>
      <c r="F453" s="23">
        <f>INSCRITOS_FORM!L453</f>
        <v/>
      </c>
      <c r="G453" s="23">
        <f t="array" ref="G453">IFERROR(INDEX(CONFIG!$A$22:$A$35,MATCH(F453,CONFIG!$B$22:$B$35,0)),0)</f>
        <v/>
      </c>
      <c r="H453" s="23">
        <f>INSCRITOS_FORM!M453</f>
        <v/>
      </c>
      <c r="I453" s="23">
        <f>INSCRITOS_FORM!O453</f>
        <v/>
      </c>
      <c r="J453" s="23">
        <f>INSCRITOS_FORM!J453</f>
        <v/>
      </c>
      <c r="K453" s="23">
        <f>INSCRITOS_FORM!K453</f>
        <v/>
      </c>
      <c r="L453" s="23">
        <f>INSCRITOS_FORM!U453</f>
        <v/>
      </c>
      <c r="M453" s="23">
        <f>INSCRITOS_FORM!V453</f>
        <v/>
      </c>
      <c r="N453" s="23">
        <f>INSCRITOS_FORM!W453</f>
        <v/>
      </c>
      <c r="O453" s="23">
        <f>INSCRITOS_FORM!X453</f>
        <v/>
      </c>
      <c r="P453" s="23">
        <f>INSCRITOS_FORM!AB453</f>
        <v/>
      </c>
      <c r="Q453" s="23">
        <f>IF(B453="","",IF(AND(OR(P453="Pagado",P453="Beca",P453="Invitado"),OR(L453="Sí",M453="Sí")),"Sí","No"))</f>
        <v/>
      </c>
      <c r="R453" s="23">
        <f>IF(AND(C453=TORNEO_ACTIVO!$B$3,Q453="Sí"),G453*10000-A453,-1)</f>
        <v/>
      </c>
    </row>
    <row r="454" ht="14.25" customHeight="1" s="72">
      <c r="A454" s="23">
        <f>IF(INSCRITOS_FORM!D454&lt;&gt;"",ROW()-4,"")</f>
        <v/>
      </c>
      <c r="B454" s="23">
        <f>INSCRITOS_FORM!AD454</f>
        <v/>
      </c>
      <c r="C454" s="23">
        <f>INSCRITOS_FORM!T454</f>
        <v/>
      </c>
      <c r="D454" s="23">
        <f>INSCRITOS_FORM!S454</f>
        <v/>
      </c>
      <c r="E454" s="23">
        <f>INSCRITOS_FORM!G454</f>
        <v/>
      </c>
      <c r="F454" s="23">
        <f>INSCRITOS_FORM!L454</f>
        <v/>
      </c>
      <c r="G454" s="23">
        <f t="array" ref="G454">IFERROR(INDEX(CONFIG!$A$22:$A$35,MATCH(F454,CONFIG!$B$22:$B$35,0)),0)</f>
        <v/>
      </c>
      <c r="H454" s="23">
        <f>INSCRITOS_FORM!M454</f>
        <v/>
      </c>
      <c r="I454" s="23">
        <f>INSCRITOS_FORM!O454</f>
        <v/>
      </c>
      <c r="J454" s="23">
        <f>INSCRITOS_FORM!J454</f>
        <v/>
      </c>
      <c r="K454" s="23">
        <f>INSCRITOS_FORM!K454</f>
        <v/>
      </c>
      <c r="L454" s="23">
        <f>INSCRITOS_FORM!U454</f>
        <v/>
      </c>
      <c r="M454" s="23">
        <f>INSCRITOS_FORM!V454</f>
        <v/>
      </c>
      <c r="N454" s="23">
        <f>INSCRITOS_FORM!W454</f>
        <v/>
      </c>
      <c r="O454" s="23">
        <f>INSCRITOS_FORM!X454</f>
        <v/>
      </c>
      <c r="P454" s="23">
        <f>INSCRITOS_FORM!AB454</f>
        <v/>
      </c>
      <c r="Q454" s="23">
        <f>IF(B454="","",IF(AND(OR(P454="Pagado",P454="Beca",P454="Invitado"),OR(L454="Sí",M454="Sí")),"Sí","No"))</f>
        <v/>
      </c>
      <c r="R454" s="23">
        <f>IF(AND(C454=TORNEO_ACTIVO!$B$3,Q454="Sí"),G454*10000-A454,-1)</f>
        <v/>
      </c>
    </row>
    <row r="455" ht="14.25" customHeight="1" s="72">
      <c r="A455" s="23">
        <f>IF(INSCRITOS_FORM!D455&lt;&gt;"",ROW()-4,"")</f>
        <v/>
      </c>
      <c r="B455" s="23">
        <f>INSCRITOS_FORM!AD455</f>
        <v/>
      </c>
      <c r="C455" s="23">
        <f>INSCRITOS_FORM!T455</f>
        <v/>
      </c>
      <c r="D455" s="23">
        <f>INSCRITOS_FORM!S455</f>
        <v/>
      </c>
      <c r="E455" s="23">
        <f>INSCRITOS_FORM!G455</f>
        <v/>
      </c>
      <c r="F455" s="23">
        <f>INSCRITOS_FORM!L455</f>
        <v/>
      </c>
      <c r="G455" s="23">
        <f t="array" ref="G455">IFERROR(INDEX(CONFIG!$A$22:$A$35,MATCH(F455,CONFIG!$B$22:$B$35,0)),0)</f>
        <v/>
      </c>
      <c r="H455" s="23">
        <f>INSCRITOS_FORM!M455</f>
        <v/>
      </c>
      <c r="I455" s="23">
        <f>INSCRITOS_FORM!O455</f>
        <v/>
      </c>
      <c r="J455" s="23">
        <f>INSCRITOS_FORM!J455</f>
        <v/>
      </c>
      <c r="K455" s="23">
        <f>INSCRITOS_FORM!K455</f>
        <v/>
      </c>
      <c r="L455" s="23">
        <f>INSCRITOS_FORM!U455</f>
        <v/>
      </c>
      <c r="M455" s="23">
        <f>INSCRITOS_FORM!V455</f>
        <v/>
      </c>
      <c r="N455" s="23">
        <f>INSCRITOS_FORM!W455</f>
        <v/>
      </c>
      <c r="O455" s="23">
        <f>INSCRITOS_FORM!X455</f>
        <v/>
      </c>
      <c r="P455" s="23">
        <f>INSCRITOS_FORM!AB455</f>
        <v/>
      </c>
      <c r="Q455" s="23">
        <f>IF(B455="","",IF(AND(OR(P455="Pagado",P455="Beca",P455="Invitado"),OR(L455="Sí",M455="Sí")),"Sí","No"))</f>
        <v/>
      </c>
      <c r="R455" s="23">
        <f>IF(AND(C455=TORNEO_ACTIVO!$B$3,Q455="Sí"),G455*10000-A455,-1)</f>
        <v/>
      </c>
    </row>
    <row r="456" ht="14.25" customHeight="1" s="72">
      <c r="A456" s="23">
        <f>IF(INSCRITOS_FORM!D456&lt;&gt;"",ROW()-4,"")</f>
        <v/>
      </c>
      <c r="B456" s="23">
        <f>INSCRITOS_FORM!AD456</f>
        <v/>
      </c>
      <c r="C456" s="23">
        <f>INSCRITOS_FORM!T456</f>
        <v/>
      </c>
      <c r="D456" s="23">
        <f>INSCRITOS_FORM!S456</f>
        <v/>
      </c>
      <c r="E456" s="23">
        <f>INSCRITOS_FORM!G456</f>
        <v/>
      </c>
      <c r="F456" s="23">
        <f>INSCRITOS_FORM!L456</f>
        <v/>
      </c>
      <c r="G456" s="23">
        <f t="array" ref="G456">IFERROR(INDEX(CONFIG!$A$22:$A$35,MATCH(F456,CONFIG!$B$22:$B$35,0)),0)</f>
        <v/>
      </c>
      <c r="H456" s="23">
        <f>INSCRITOS_FORM!M456</f>
        <v/>
      </c>
      <c r="I456" s="23">
        <f>INSCRITOS_FORM!O456</f>
        <v/>
      </c>
      <c r="J456" s="23">
        <f>INSCRITOS_FORM!J456</f>
        <v/>
      </c>
      <c r="K456" s="23">
        <f>INSCRITOS_FORM!K456</f>
        <v/>
      </c>
      <c r="L456" s="23">
        <f>INSCRITOS_FORM!U456</f>
        <v/>
      </c>
      <c r="M456" s="23">
        <f>INSCRITOS_FORM!V456</f>
        <v/>
      </c>
      <c r="N456" s="23">
        <f>INSCRITOS_FORM!W456</f>
        <v/>
      </c>
      <c r="O456" s="23">
        <f>INSCRITOS_FORM!X456</f>
        <v/>
      </c>
      <c r="P456" s="23">
        <f>INSCRITOS_FORM!AB456</f>
        <v/>
      </c>
      <c r="Q456" s="23">
        <f>IF(B456="","",IF(AND(OR(P456="Pagado",P456="Beca",P456="Invitado"),OR(L456="Sí",M456="Sí")),"Sí","No"))</f>
        <v/>
      </c>
      <c r="R456" s="23">
        <f>IF(AND(C456=TORNEO_ACTIVO!$B$3,Q456="Sí"),G456*10000-A456,-1)</f>
        <v/>
      </c>
    </row>
    <row r="457" ht="14.25" customHeight="1" s="72">
      <c r="A457" s="23">
        <f>IF(INSCRITOS_FORM!D457&lt;&gt;"",ROW()-4,"")</f>
        <v/>
      </c>
      <c r="B457" s="23">
        <f>INSCRITOS_FORM!AD457</f>
        <v/>
      </c>
      <c r="C457" s="23">
        <f>INSCRITOS_FORM!T457</f>
        <v/>
      </c>
      <c r="D457" s="23">
        <f>INSCRITOS_FORM!S457</f>
        <v/>
      </c>
      <c r="E457" s="23">
        <f>INSCRITOS_FORM!G457</f>
        <v/>
      </c>
      <c r="F457" s="23">
        <f>INSCRITOS_FORM!L457</f>
        <v/>
      </c>
      <c r="G457" s="23">
        <f t="array" ref="G457">IFERROR(INDEX(CONFIG!$A$22:$A$35,MATCH(F457,CONFIG!$B$22:$B$35,0)),0)</f>
        <v/>
      </c>
      <c r="H457" s="23">
        <f>INSCRITOS_FORM!M457</f>
        <v/>
      </c>
      <c r="I457" s="23">
        <f>INSCRITOS_FORM!O457</f>
        <v/>
      </c>
      <c r="J457" s="23">
        <f>INSCRITOS_FORM!J457</f>
        <v/>
      </c>
      <c r="K457" s="23">
        <f>INSCRITOS_FORM!K457</f>
        <v/>
      </c>
      <c r="L457" s="23">
        <f>INSCRITOS_FORM!U457</f>
        <v/>
      </c>
      <c r="M457" s="23">
        <f>INSCRITOS_FORM!V457</f>
        <v/>
      </c>
      <c r="N457" s="23">
        <f>INSCRITOS_FORM!W457</f>
        <v/>
      </c>
      <c r="O457" s="23">
        <f>INSCRITOS_FORM!X457</f>
        <v/>
      </c>
      <c r="P457" s="23">
        <f>INSCRITOS_FORM!AB457</f>
        <v/>
      </c>
      <c r="Q457" s="23">
        <f>IF(B457="","",IF(AND(OR(P457="Pagado",P457="Beca",P457="Invitado"),OR(L457="Sí",M457="Sí")),"Sí","No"))</f>
        <v/>
      </c>
      <c r="R457" s="23">
        <f>IF(AND(C457=TORNEO_ACTIVO!$B$3,Q457="Sí"),G457*10000-A457,-1)</f>
        <v/>
      </c>
    </row>
    <row r="458" ht="14.25" customHeight="1" s="72">
      <c r="A458" s="23">
        <f>IF(INSCRITOS_FORM!D458&lt;&gt;"",ROW()-4,"")</f>
        <v/>
      </c>
      <c r="B458" s="23">
        <f>INSCRITOS_FORM!AD458</f>
        <v/>
      </c>
      <c r="C458" s="23">
        <f>INSCRITOS_FORM!T458</f>
        <v/>
      </c>
      <c r="D458" s="23">
        <f>INSCRITOS_FORM!S458</f>
        <v/>
      </c>
      <c r="E458" s="23">
        <f>INSCRITOS_FORM!G458</f>
        <v/>
      </c>
      <c r="F458" s="23">
        <f>INSCRITOS_FORM!L458</f>
        <v/>
      </c>
      <c r="G458" s="23">
        <f t="array" ref="G458">IFERROR(INDEX(CONFIG!$A$22:$A$35,MATCH(F458,CONFIG!$B$22:$B$35,0)),0)</f>
        <v/>
      </c>
      <c r="H458" s="23">
        <f>INSCRITOS_FORM!M458</f>
        <v/>
      </c>
      <c r="I458" s="23">
        <f>INSCRITOS_FORM!O458</f>
        <v/>
      </c>
      <c r="J458" s="23">
        <f>INSCRITOS_FORM!J458</f>
        <v/>
      </c>
      <c r="K458" s="23">
        <f>INSCRITOS_FORM!K458</f>
        <v/>
      </c>
      <c r="L458" s="23">
        <f>INSCRITOS_FORM!U458</f>
        <v/>
      </c>
      <c r="M458" s="23">
        <f>INSCRITOS_FORM!V458</f>
        <v/>
      </c>
      <c r="N458" s="23">
        <f>INSCRITOS_FORM!W458</f>
        <v/>
      </c>
      <c r="O458" s="23">
        <f>INSCRITOS_FORM!X458</f>
        <v/>
      </c>
      <c r="P458" s="23">
        <f>INSCRITOS_FORM!AB458</f>
        <v/>
      </c>
      <c r="Q458" s="23">
        <f>IF(B458="","",IF(AND(OR(P458="Pagado",P458="Beca",P458="Invitado"),OR(L458="Sí",M458="Sí")),"Sí","No"))</f>
        <v/>
      </c>
      <c r="R458" s="23">
        <f>IF(AND(C458=TORNEO_ACTIVO!$B$3,Q458="Sí"),G458*10000-A458,-1)</f>
        <v/>
      </c>
    </row>
    <row r="459" ht="14.25" customHeight="1" s="72">
      <c r="A459" s="23">
        <f>IF(INSCRITOS_FORM!D459&lt;&gt;"",ROW()-4,"")</f>
        <v/>
      </c>
      <c r="B459" s="23">
        <f>INSCRITOS_FORM!AD459</f>
        <v/>
      </c>
      <c r="C459" s="23">
        <f>INSCRITOS_FORM!T459</f>
        <v/>
      </c>
      <c r="D459" s="23">
        <f>INSCRITOS_FORM!S459</f>
        <v/>
      </c>
      <c r="E459" s="23">
        <f>INSCRITOS_FORM!G459</f>
        <v/>
      </c>
      <c r="F459" s="23">
        <f>INSCRITOS_FORM!L459</f>
        <v/>
      </c>
      <c r="G459" s="23">
        <f t="array" ref="G459">IFERROR(INDEX(CONFIG!$A$22:$A$35,MATCH(F459,CONFIG!$B$22:$B$35,0)),0)</f>
        <v/>
      </c>
      <c r="H459" s="23">
        <f>INSCRITOS_FORM!M459</f>
        <v/>
      </c>
      <c r="I459" s="23">
        <f>INSCRITOS_FORM!O459</f>
        <v/>
      </c>
      <c r="J459" s="23">
        <f>INSCRITOS_FORM!J459</f>
        <v/>
      </c>
      <c r="K459" s="23">
        <f>INSCRITOS_FORM!K459</f>
        <v/>
      </c>
      <c r="L459" s="23">
        <f>INSCRITOS_FORM!U459</f>
        <v/>
      </c>
      <c r="M459" s="23">
        <f>INSCRITOS_FORM!V459</f>
        <v/>
      </c>
      <c r="N459" s="23">
        <f>INSCRITOS_FORM!W459</f>
        <v/>
      </c>
      <c r="O459" s="23">
        <f>INSCRITOS_FORM!X459</f>
        <v/>
      </c>
      <c r="P459" s="23">
        <f>INSCRITOS_FORM!AB459</f>
        <v/>
      </c>
      <c r="Q459" s="23">
        <f>IF(B459="","",IF(AND(OR(P459="Pagado",P459="Beca",P459="Invitado"),OR(L459="Sí",M459="Sí")),"Sí","No"))</f>
        <v/>
      </c>
      <c r="R459" s="23">
        <f>IF(AND(C459=TORNEO_ACTIVO!$B$3,Q459="Sí"),G459*10000-A459,-1)</f>
        <v/>
      </c>
    </row>
    <row r="460" ht="14.25" customHeight="1" s="72">
      <c r="A460" s="23">
        <f>IF(INSCRITOS_FORM!D460&lt;&gt;"",ROW()-4,"")</f>
        <v/>
      </c>
      <c r="B460" s="23">
        <f>INSCRITOS_FORM!AD460</f>
        <v/>
      </c>
      <c r="C460" s="23">
        <f>INSCRITOS_FORM!T460</f>
        <v/>
      </c>
      <c r="D460" s="23">
        <f>INSCRITOS_FORM!S460</f>
        <v/>
      </c>
      <c r="E460" s="23">
        <f>INSCRITOS_FORM!G460</f>
        <v/>
      </c>
      <c r="F460" s="23">
        <f>INSCRITOS_FORM!L460</f>
        <v/>
      </c>
      <c r="G460" s="23">
        <f t="array" ref="G460">IFERROR(INDEX(CONFIG!$A$22:$A$35,MATCH(F460,CONFIG!$B$22:$B$35,0)),0)</f>
        <v/>
      </c>
      <c r="H460" s="23">
        <f>INSCRITOS_FORM!M460</f>
        <v/>
      </c>
      <c r="I460" s="23">
        <f>INSCRITOS_FORM!O460</f>
        <v/>
      </c>
      <c r="J460" s="23">
        <f>INSCRITOS_FORM!J460</f>
        <v/>
      </c>
      <c r="K460" s="23">
        <f>INSCRITOS_FORM!K460</f>
        <v/>
      </c>
      <c r="L460" s="23">
        <f>INSCRITOS_FORM!U460</f>
        <v/>
      </c>
      <c r="M460" s="23">
        <f>INSCRITOS_FORM!V460</f>
        <v/>
      </c>
      <c r="N460" s="23">
        <f>INSCRITOS_FORM!W460</f>
        <v/>
      </c>
      <c r="O460" s="23">
        <f>INSCRITOS_FORM!X460</f>
        <v/>
      </c>
      <c r="P460" s="23">
        <f>INSCRITOS_FORM!AB460</f>
        <v/>
      </c>
      <c r="Q460" s="23">
        <f>IF(B460="","",IF(AND(OR(P460="Pagado",P460="Beca",P460="Invitado"),OR(L460="Sí",M460="Sí")),"Sí","No"))</f>
        <v/>
      </c>
      <c r="R460" s="23">
        <f>IF(AND(C460=TORNEO_ACTIVO!$B$3,Q460="Sí"),G460*10000-A460,-1)</f>
        <v/>
      </c>
    </row>
    <row r="461" ht="14.25" customHeight="1" s="72">
      <c r="A461" s="23">
        <f>IF(INSCRITOS_FORM!D461&lt;&gt;"",ROW()-4,"")</f>
        <v/>
      </c>
      <c r="B461" s="23">
        <f>INSCRITOS_FORM!AD461</f>
        <v/>
      </c>
      <c r="C461" s="23">
        <f>INSCRITOS_FORM!T461</f>
        <v/>
      </c>
      <c r="D461" s="23">
        <f>INSCRITOS_FORM!S461</f>
        <v/>
      </c>
      <c r="E461" s="23">
        <f>INSCRITOS_FORM!G461</f>
        <v/>
      </c>
      <c r="F461" s="23">
        <f>INSCRITOS_FORM!L461</f>
        <v/>
      </c>
      <c r="G461" s="23">
        <f t="array" ref="G461">IFERROR(INDEX(CONFIG!$A$22:$A$35,MATCH(F461,CONFIG!$B$22:$B$35,0)),0)</f>
        <v/>
      </c>
      <c r="H461" s="23">
        <f>INSCRITOS_FORM!M461</f>
        <v/>
      </c>
      <c r="I461" s="23">
        <f>INSCRITOS_FORM!O461</f>
        <v/>
      </c>
      <c r="J461" s="23">
        <f>INSCRITOS_FORM!J461</f>
        <v/>
      </c>
      <c r="K461" s="23">
        <f>INSCRITOS_FORM!K461</f>
        <v/>
      </c>
      <c r="L461" s="23">
        <f>INSCRITOS_FORM!U461</f>
        <v/>
      </c>
      <c r="M461" s="23">
        <f>INSCRITOS_FORM!V461</f>
        <v/>
      </c>
      <c r="N461" s="23">
        <f>INSCRITOS_FORM!W461</f>
        <v/>
      </c>
      <c r="O461" s="23">
        <f>INSCRITOS_FORM!X461</f>
        <v/>
      </c>
      <c r="P461" s="23">
        <f>INSCRITOS_FORM!AB461</f>
        <v/>
      </c>
      <c r="Q461" s="23">
        <f>IF(B461="","",IF(AND(OR(P461="Pagado",P461="Beca",P461="Invitado"),OR(L461="Sí",M461="Sí")),"Sí","No"))</f>
        <v/>
      </c>
      <c r="R461" s="23">
        <f>IF(AND(C461=TORNEO_ACTIVO!$B$3,Q461="Sí"),G461*10000-A461,-1)</f>
        <v/>
      </c>
    </row>
    <row r="462" ht="14.25" customHeight="1" s="72">
      <c r="A462" s="23">
        <f>IF(INSCRITOS_FORM!D462&lt;&gt;"",ROW()-4,"")</f>
        <v/>
      </c>
      <c r="B462" s="23">
        <f>INSCRITOS_FORM!AD462</f>
        <v/>
      </c>
      <c r="C462" s="23">
        <f>INSCRITOS_FORM!T462</f>
        <v/>
      </c>
      <c r="D462" s="23">
        <f>INSCRITOS_FORM!S462</f>
        <v/>
      </c>
      <c r="E462" s="23">
        <f>INSCRITOS_FORM!G462</f>
        <v/>
      </c>
      <c r="F462" s="23">
        <f>INSCRITOS_FORM!L462</f>
        <v/>
      </c>
      <c r="G462" s="23">
        <f t="array" ref="G462">IFERROR(INDEX(CONFIG!$A$22:$A$35,MATCH(F462,CONFIG!$B$22:$B$35,0)),0)</f>
        <v/>
      </c>
      <c r="H462" s="23">
        <f>INSCRITOS_FORM!M462</f>
        <v/>
      </c>
      <c r="I462" s="23">
        <f>INSCRITOS_FORM!O462</f>
        <v/>
      </c>
      <c r="J462" s="23">
        <f>INSCRITOS_FORM!J462</f>
        <v/>
      </c>
      <c r="K462" s="23">
        <f>INSCRITOS_FORM!K462</f>
        <v/>
      </c>
      <c r="L462" s="23">
        <f>INSCRITOS_FORM!U462</f>
        <v/>
      </c>
      <c r="M462" s="23">
        <f>INSCRITOS_FORM!V462</f>
        <v/>
      </c>
      <c r="N462" s="23">
        <f>INSCRITOS_FORM!W462</f>
        <v/>
      </c>
      <c r="O462" s="23">
        <f>INSCRITOS_FORM!X462</f>
        <v/>
      </c>
      <c r="P462" s="23">
        <f>INSCRITOS_FORM!AB462</f>
        <v/>
      </c>
      <c r="Q462" s="23">
        <f>IF(B462="","",IF(AND(OR(P462="Pagado",P462="Beca",P462="Invitado"),OR(L462="Sí",M462="Sí")),"Sí","No"))</f>
        <v/>
      </c>
      <c r="R462" s="23">
        <f>IF(AND(C462=TORNEO_ACTIVO!$B$3,Q462="Sí"),G462*10000-A462,-1)</f>
        <v/>
      </c>
    </row>
    <row r="463" ht="14.25" customHeight="1" s="72">
      <c r="A463" s="23">
        <f>IF(INSCRITOS_FORM!D463&lt;&gt;"",ROW()-4,"")</f>
        <v/>
      </c>
      <c r="B463" s="23">
        <f>INSCRITOS_FORM!AD463</f>
        <v/>
      </c>
      <c r="C463" s="23">
        <f>INSCRITOS_FORM!T463</f>
        <v/>
      </c>
      <c r="D463" s="23">
        <f>INSCRITOS_FORM!S463</f>
        <v/>
      </c>
      <c r="E463" s="23">
        <f>INSCRITOS_FORM!G463</f>
        <v/>
      </c>
      <c r="F463" s="23">
        <f>INSCRITOS_FORM!L463</f>
        <v/>
      </c>
      <c r="G463" s="23">
        <f t="array" ref="G463">IFERROR(INDEX(CONFIG!$A$22:$A$35,MATCH(F463,CONFIG!$B$22:$B$35,0)),0)</f>
        <v/>
      </c>
      <c r="H463" s="23">
        <f>INSCRITOS_FORM!M463</f>
        <v/>
      </c>
      <c r="I463" s="23">
        <f>INSCRITOS_FORM!O463</f>
        <v/>
      </c>
      <c r="J463" s="23">
        <f>INSCRITOS_FORM!J463</f>
        <v/>
      </c>
      <c r="K463" s="23">
        <f>INSCRITOS_FORM!K463</f>
        <v/>
      </c>
      <c r="L463" s="23">
        <f>INSCRITOS_FORM!U463</f>
        <v/>
      </c>
      <c r="M463" s="23">
        <f>INSCRITOS_FORM!V463</f>
        <v/>
      </c>
      <c r="N463" s="23">
        <f>INSCRITOS_FORM!W463</f>
        <v/>
      </c>
      <c r="O463" s="23">
        <f>INSCRITOS_FORM!X463</f>
        <v/>
      </c>
      <c r="P463" s="23">
        <f>INSCRITOS_FORM!AB463</f>
        <v/>
      </c>
      <c r="Q463" s="23">
        <f>IF(B463="","",IF(AND(OR(P463="Pagado",P463="Beca",P463="Invitado"),OR(L463="Sí",M463="Sí")),"Sí","No"))</f>
        <v/>
      </c>
      <c r="R463" s="23">
        <f>IF(AND(C463=TORNEO_ACTIVO!$B$3,Q463="Sí"),G463*10000-A463,-1)</f>
        <v/>
      </c>
    </row>
    <row r="464" ht="14.25" customHeight="1" s="72">
      <c r="A464" s="23">
        <f>IF(INSCRITOS_FORM!D464&lt;&gt;"",ROW()-4,"")</f>
        <v/>
      </c>
      <c r="B464" s="23">
        <f>INSCRITOS_FORM!AD464</f>
        <v/>
      </c>
      <c r="C464" s="23">
        <f>INSCRITOS_FORM!T464</f>
        <v/>
      </c>
      <c r="D464" s="23">
        <f>INSCRITOS_FORM!S464</f>
        <v/>
      </c>
      <c r="E464" s="23">
        <f>INSCRITOS_FORM!G464</f>
        <v/>
      </c>
      <c r="F464" s="23">
        <f>INSCRITOS_FORM!L464</f>
        <v/>
      </c>
      <c r="G464" s="23">
        <f t="array" ref="G464">IFERROR(INDEX(CONFIG!$A$22:$A$35,MATCH(F464,CONFIG!$B$22:$B$35,0)),0)</f>
        <v/>
      </c>
      <c r="H464" s="23">
        <f>INSCRITOS_FORM!M464</f>
        <v/>
      </c>
      <c r="I464" s="23">
        <f>INSCRITOS_FORM!O464</f>
        <v/>
      </c>
      <c r="J464" s="23">
        <f>INSCRITOS_FORM!J464</f>
        <v/>
      </c>
      <c r="K464" s="23">
        <f>INSCRITOS_FORM!K464</f>
        <v/>
      </c>
      <c r="L464" s="23">
        <f>INSCRITOS_FORM!U464</f>
        <v/>
      </c>
      <c r="M464" s="23">
        <f>INSCRITOS_FORM!V464</f>
        <v/>
      </c>
      <c r="N464" s="23">
        <f>INSCRITOS_FORM!W464</f>
        <v/>
      </c>
      <c r="O464" s="23">
        <f>INSCRITOS_FORM!X464</f>
        <v/>
      </c>
      <c r="P464" s="23">
        <f>INSCRITOS_FORM!AB464</f>
        <v/>
      </c>
      <c r="Q464" s="23">
        <f>IF(B464="","",IF(AND(OR(P464="Pagado",P464="Beca",P464="Invitado"),OR(L464="Sí",M464="Sí")),"Sí","No"))</f>
        <v/>
      </c>
      <c r="R464" s="23">
        <f>IF(AND(C464=TORNEO_ACTIVO!$B$3,Q464="Sí"),G464*10000-A464,-1)</f>
        <v/>
      </c>
    </row>
    <row r="465" ht="14.25" customHeight="1" s="72">
      <c r="A465" s="23">
        <f>IF(INSCRITOS_FORM!D465&lt;&gt;"",ROW()-4,"")</f>
        <v/>
      </c>
      <c r="B465" s="23">
        <f>INSCRITOS_FORM!AD465</f>
        <v/>
      </c>
      <c r="C465" s="23">
        <f>INSCRITOS_FORM!T465</f>
        <v/>
      </c>
      <c r="D465" s="23">
        <f>INSCRITOS_FORM!S465</f>
        <v/>
      </c>
      <c r="E465" s="23">
        <f>INSCRITOS_FORM!G465</f>
        <v/>
      </c>
      <c r="F465" s="23">
        <f>INSCRITOS_FORM!L465</f>
        <v/>
      </c>
      <c r="G465" s="23">
        <f t="array" ref="G465">IFERROR(INDEX(CONFIG!$A$22:$A$35,MATCH(F465,CONFIG!$B$22:$B$35,0)),0)</f>
        <v/>
      </c>
      <c r="H465" s="23">
        <f>INSCRITOS_FORM!M465</f>
        <v/>
      </c>
      <c r="I465" s="23">
        <f>INSCRITOS_FORM!O465</f>
        <v/>
      </c>
      <c r="J465" s="23">
        <f>INSCRITOS_FORM!J465</f>
        <v/>
      </c>
      <c r="K465" s="23">
        <f>INSCRITOS_FORM!K465</f>
        <v/>
      </c>
      <c r="L465" s="23">
        <f>INSCRITOS_FORM!U465</f>
        <v/>
      </c>
      <c r="M465" s="23">
        <f>INSCRITOS_FORM!V465</f>
        <v/>
      </c>
      <c r="N465" s="23">
        <f>INSCRITOS_FORM!W465</f>
        <v/>
      </c>
      <c r="O465" s="23">
        <f>INSCRITOS_FORM!X465</f>
        <v/>
      </c>
      <c r="P465" s="23">
        <f>INSCRITOS_FORM!AB465</f>
        <v/>
      </c>
      <c r="Q465" s="23">
        <f>IF(B465="","",IF(AND(OR(P465="Pagado",P465="Beca",P465="Invitado"),OR(L465="Sí",M465="Sí")),"Sí","No"))</f>
        <v/>
      </c>
      <c r="R465" s="23">
        <f>IF(AND(C465=TORNEO_ACTIVO!$B$3,Q465="Sí"),G465*10000-A465,-1)</f>
        <v/>
      </c>
    </row>
    <row r="466" ht="14.25" customHeight="1" s="72">
      <c r="A466" s="23">
        <f>IF(INSCRITOS_FORM!D466&lt;&gt;"",ROW()-4,"")</f>
        <v/>
      </c>
      <c r="B466" s="23">
        <f>INSCRITOS_FORM!AD466</f>
        <v/>
      </c>
      <c r="C466" s="23">
        <f>INSCRITOS_FORM!T466</f>
        <v/>
      </c>
      <c r="D466" s="23">
        <f>INSCRITOS_FORM!S466</f>
        <v/>
      </c>
      <c r="E466" s="23">
        <f>INSCRITOS_FORM!G466</f>
        <v/>
      </c>
      <c r="F466" s="23">
        <f>INSCRITOS_FORM!L466</f>
        <v/>
      </c>
      <c r="G466" s="23">
        <f t="array" ref="G466">IFERROR(INDEX(CONFIG!$A$22:$A$35,MATCH(F466,CONFIG!$B$22:$B$35,0)),0)</f>
        <v/>
      </c>
      <c r="H466" s="23">
        <f>INSCRITOS_FORM!M466</f>
        <v/>
      </c>
      <c r="I466" s="23">
        <f>INSCRITOS_FORM!O466</f>
        <v/>
      </c>
      <c r="J466" s="23">
        <f>INSCRITOS_FORM!J466</f>
        <v/>
      </c>
      <c r="K466" s="23">
        <f>INSCRITOS_FORM!K466</f>
        <v/>
      </c>
      <c r="L466" s="23">
        <f>INSCRITOS_FORM!U466</f>
        <v/>
      </c>
      <c r="M466" s="23">
        <f>INSCRITOS_FORM!V466</f>
        <v/>
      </c>
      <c r="N466" s="23">
        <f>INSCRITOS_FORM!W466</f>
        <v/>
      </c>
      <c r="O466" s="23">
        <f>INSCRITOS_FORM!X466</f>
        <v/>
      </c>
      <c r="P466" s="23">
        <f>INSCRITOS_FORM!AB466</f>
        <v/>
      </c>
      <c r="Q466" s="23">
        <f>IF(B466="","",IF(AND(OR(P466="Pagado",P466="Beca",P466="Invitado"),OR(L466="Sí",M466="Sí")),"Sí","No"))</f>
        <v/>
      </c>
      <c r="R466" s="23">
        <f>IF(AND(C466=TORNEO_ACTIVO!$B$3,Q466="Sí"),G466*10000-A466,-1)</f>
        <v/>
      </c>
    </row>
    <row r="467" ht="14.25" customHeight="1" s="72">
      <c r="A467" s="23">
        <f>IF(INSCRITOS_FORM!D467&lt;&gt;"",ROW()-4,"")</f>
        <v/>
      </c>
      <c r="B467" s="23">
        <f>INSCRITOS_FORM!AD467</f>
        <v/>
      </c>
      <c r="C467" s="23">
        <f>INSCRITOS_FORM!T467</f>
        <v/>
      </c>
      <c r="D467" s="23">
        <f>INSCRITOS_FORM!S467</f>
        <v/>
      </c>
      <c r="E467" s="23">
        <f>INSCRITOS_FORM!G467</f>
        <v/>
      </c>
      <c r="F467" s="23">
        <f>INSCRITOS_FORM!L467</f>
        <v/>
      </c>
      <c r="G467" s="23">
        <f t="array" ref="G467">IFERROR(INDEX(CONFIG!$A$22:$A$35,MATCH(F467,CONFIG!$B$22:$B$35,0)),0)</f>
        <v/>
      </c>
      <c r="H467" s="23">
        <f>INSCRITOS_FORM!M467</f>
        <v/>
      </c>
      <c r="I467" s="23">
        <f>INSCRITOS_FORM!O467</f>
        <v/>
      </c>
      <c r="J467" s="23">
        <f>INSCRITOS_FORM!J467</f>
        <v/>
      </c>
      <c r="K467" s="23">
        <f>INSCRITOS_FORM!K467</f>
        <v/>
      </c>
      <c r="L467" s="23">
        <f>INSCRITOS_FORM!U467</f>
        <v/>
      </c>
      <c r="M467" s="23">
        <f>INSCRITOS_FORM!V467</f>
        <v/>
      </c>
      <c r="N467" s="23">
        <f>INSCRITOS_FORM!W467</f>
        <v/>
      </c>
      <c r="O467" s="23">
        <f>INSCRITOS_FORM!X467</f>
        <v/>
      </c>
      <c r="P467" s="23">
        <f>INSCRITOS_FORM!AB467</f>
        <v/>
      </c>
      <c r="Q467" s="23">
        <f>IF(B467="","",IF(AND(OR(P467="Pagado",P467="Beca",P467="Invitado"),OR(L467="Sí",M467="Sí")),"Sí","No"))</f>
        <v/>
      </c>
      <c r="R467" s="23">
        <f>IF(AND(C467=TORNEO_ACTIVO!$B$3,Q467="Sí"),G467*10000-A467,-1)</f>
        <v/>
      </c>
    </row>
    <row r="468" ht="14.25" customHeight="1" s="72">
      <c r="A468" s="23">
        <f>IF(INSCRITOS_FORM!D468&lt;&gt;"",ROW()-4,"")</f>
        <v/>
      </c>
      <c r="B468" s="23">
        <f>INSCRITOS_FORM!AD468</f>
        <v/>
      </c>
      <c r="C468" s="23">
        <f>INSCRITOS_FORM!T468</f>
        <v/>
      </c>
      <c r="D468" s="23">
        <f>INSCRITOS_FORM!S468</f>
        <v/>
      </c>
      <c r="E468" s="23">
        <f>INSCRITOS_FORM!G468</f>
        <v/>
      </c>
      <c r="F468" s="23">
        <f>INSCRITOS_FORM!L468</f>
        <v/>
      </c>
      <c r="G468" s="23">
        <f t="array" ref="G468">IFERROR(INDEX(CONFIG!$A$22:$A$35,MATCH(F468,CONFIG!$B$22:$B$35,0)),0)</f>
        <v/>
      </c>
      <c r="H468" s="23">
        <f>INSCRITOS_FORM!M468</f>
        <v/>
      </c>
      <c r="I468" s="23">
        <f>INSCRITOS_FORM!O468</f>
        <v/>
      </c>
      <c r="J468" s="23">
        <f>INSCRITOS_FORM!J468</f>
        <v/>
      </c>
      <c r="K468" s="23">
        <f>INSCRITOS_FORM!K468</f>
        <v/>
      </c>
      <c r="L468" s="23">
        <f>INSCRITOS_FORM!U468</f>
        <v/>
      </c>
      <c r="M468" s="23">
        <f>INSCRITOS_FORM!V468</f>
        <v/>
      </c>
      <c r="N468" s="23">
        <f>INSCRITOS_FORM!W468</f>
        <v/>
      </c>
      <c r="O468" s="23">
        <f>INSCRITOS_FORM!X468</f>
        <v/>
      </c>
      <c r="P468" s="23">
        <f>INSCRITOS_FORM!AB468</f>
        <v/>
      </c>
      <c r="Q468" s="23">
        <f>IF(B468="","",IF(AND(OR(P468="Pagado",P468="Beca",P468="Invitado"),OR(L468="Sí",M468="Sí")),"Sí","No"))</f>
        <v/>
      </c>
      <c r="R468" s="23">
        <f>IF(AND(C468=TORNEO_ACTIVO!$B$3,Q468="Sí"),G468*10000-A468,-1)</f>
        <v/>
      </c>
    </row>
    <row r="469" ht="14.25" customHeight="1" s="72">
      <c r="A469" s="23">
        <f>IF(INSCRITOS_FORM!D469&lt;&gt;"",ROW()-4,"")</f>
        <v/>
      </c>
      <c r="B469" s="23">
        <f>INSCRITOS_FORM!AD469</f>
        <v/>
      </c>
      <c r="C469" s="23">
        <f>INSCRITOS_FORM!T469</f>
        <v/>
      </c>
      <c r="D469" s="23">
        <f>INSCRITOS_FORM!S469</f>
        <v/>
      </c>
      <c r="E469" s="23">
        <f>INSCRITOS_FORM!G469</f>
        <v/>
      </c>
      <c r="F469" s="23">
        <f>INSCRITOS_FORM!L469</f>
        <v/>
      </c>
      <c r="G469" s="23">
        <f t="array" ref="G469">IFERROR(INDEX(CONFIG!$A$22:$A$35,MATCH(F469,CONFIG!$B$22:$B$35,0)),0)</f>
        <v/>
      </c>
      <c r="H469" s="23">
        <f>INSCRITOS_FORM!M469</f>
        <v/>
      </c>
      <c r="I469" s="23">
        <f>INSCRITOS_FORM!O469</f>
        <v/>
      </c>
      <c r="J469" s="23">
        <f>INSCRITOS_FORM!J469</f>
        <v/>
      </c>
      <c r="K469" s="23">
        <f>INSCRITOS_FORM!K469</f>
        <v/>
      </c>
      <c r="L469" s="23">
        <f>INSCRITOS_FORM!U469</f>
        <v/>
      </c>
      <c r="M469" s="23">
        <f>INSCRITOS_FORM!V469</f>
        <v/>
      </c>
      <c r="N469" s="23">
        <f>INSCRITOS_FORM!W469</f>
        <v/>
      </c>
      <c r="O469" s="23">
        <f>INSCRITOS_FORM!X469</f>
        <v/>
      </c>
      <c r="P469" s="23">
        <f>INSCRITOS_FORM!AB469</f>
        <v/>
      </c>
      <c r="Q469" s="23">
        <f>IF(B469="","",IF(AND(OR(P469="Pagado",P469="Beca",P469="Invitado"),OR(L469="Sí",M469="Sí")),"Sí","No"))</f>
        <v/>
      </c>
      <c r="R469" s="23">
        <f>IF(AND(C469=TORNEO_ACTIVO!$B$3,Q469="Sí"),G469*10000-A469,-1)</f>
        <v/>
      </c>
    </row>
    <row r="470" ht="14.25" customHeight="1" s="72">
      <c r="A470" s="23">
        <f>IF(INSCRITOS_FORM!D470&lt;&gt;"",ROW()-4,"")</f>
        <v/>
      </c>
      <c r="B470" s="23">
        <f>INSCRITOS_FORM!AD470</f>
        <v/>
      </c>
      <c r="C470" s="23">
        <f>INSCRITOS_FORM!T470</f>
        <v/>
      </c>
      <c r="D470" s="23">
        <f>INSCRITOS_FORM!S470</f>
        <v/>
      </c>
      <c r="E470" s="23">
        <f>INSCRITOS_FORM!G470</f>
        <v/>
      </c>
      <c r="F470" s="23">
        <f>INSCRITOS_FORM!L470</f>
        <v/>
      </c>
      <c r="G470" s="23">
        <f t="array" ref="G470">IFERROR(INDEX(CONFIG!$A$22:$A$35,MATCH(F470,CONFIG!$B$22:$B$35,0)),0)</f>
        <v/>
      </c>
      <c r="H470" s="23">
        <f>INSCRITOS_FORM!M470</f>
        <v/>
      </c>
      <c r="I470" s="23">
        <f>INSCRITOS_FORM!O470</f>
        <v/>
      </c>
      <c r="J470" s="23">
        <f>INSCRITOS_FORM!J470</f>
        <v/>
      </c>
      <c r="K470" s="23">
        <f>INSCRITOS_FORM!K470</f>
        <v/>
      </c>
      <c r="L470" s="23">
        <f>INSCRITOS_FORM!U470</f>
        <v/>
      </c>
      <c r="M470" s="23">
        <f>INSCRITOS_FORM!V470</f>
        <v/>
      </c>
      <c r="N470" s="23">
        <f>INSCRITOS_FORM!W470</f>
        <v/>
      </c>
      <c r="O470" s="23">
        <f>INSCRITOS_FORM!X470</f>
        <v/>
      </c>
      <c r="P470" s="23">
        <f>INSCRITOS_FORM!AB470</f>
        <v/>
      </c>
      <c r="Q470" s="23">
        <f>IF(B470="","",IF(AND(OR(P470="Pagado",P470="Beca",P470="Invitado"),OR(L470="Sí",M470="Sí")),"Sí","No"))</f>
        <v/>
      </c>
      <c r="R470" s="23">
        <f>IF(AND(C470=TORNEO_ACTIVO!$B$3,Q470="Sí"),G470*10000-A470,-1)</f>
        <v/>
      </c>
    </row>
    <row r="471" ht="14.25" customHeight="1" s="72">
      <c r="A471" s="23">
        <f>IF(INSCRITOS_FORM!D471&lt;&gt;"",ROW()-4,"")</f>
        <v/>
      </c>
      <c r="B471" s="23">
        <f>INSCRITOS_FORM!AD471</f>
        <v/>
      </c>
      <c r="C471" s="23">
        <f>INSCRITOS_FORM!T471</f>
        <v/>
      </c>
      <c r="D471" s="23">
        <f>INSCRITOS_FORM!S471</f>
        <v/>
      </c>
      <c r="E471" s="23">
        <f>INSCRITOS_FORM!G471</f>
        <v/>
      </c>
      <c r="F471" s="23">
        <f>INSCRITOS_FORM!L471</f>
        <v/>
      </c>
      <c r="G471" s="23">
        <f t="array" ref="G471">IFERROR(INDEX(CONFIG!$A$22:$A$35,MATCH(F471,CONFIG!$B$22:$B$35,0)),0)</f>
        <v/>
      </c>
      <c r="H471" s="23">
        <f>INSCRITOS_FORM!M471</f>
        <v/>
      </c>
      <c r="I471" s="23">
        <f>INSCRITOS_FORM!O471</f>
        <v/>
      </c>
      <c r="J471" s="23">
        <f>INSCRITOS_FORM!J471</f>
        <v/>
      </c>
      <c r="K471" s="23">
        <f>INSCRITOS_FORM!K471</f>
        <v/>
      </c>
      <c r="L471" s="23">
        <f>INSCRITOS_FORM!U471</f>
        <v/>
      </c>
      <c r="M471" s="23">
        <f>INSCRITOS_FORM!V471</f>
        <v/>
      </c>
      <c r="N471" s="23">
        <f>INSCRITOS_FORM!W471</f>
        <v/>
      </c>
      <c r="O471" s="23">
        <f>INSCRITOS_FORM!X471</f>
        <v/>
      </c>
      <c r="P471" s="23">
        <f>INSCRITOS_FORM!AB471</f>
        <v/>
      </c>
      <c r="Q471" s="23">
        <f>IF(B471="","",IF(AND(OR(P471="Pagado",P471="Beca",P471="Invitado"),OR(L471="Sí",M471="Sí")),"Sí","No"))</f>
        <v/>
      </c>
      <c r="R471" s="23">
        <f>IF(AND(C471=TORNEO_ACTIVO!$B$3,Q471="Sí"),G471*10000-A471,-1)</f>
        <v/>
      </c>
    </row>
    <row r="472" ht="14.25" customHeight="1" s="72">
      <c r="A472" s="23">
        <f>IF(INSCRITOS_FORM!D472&lt;&gt;"",ROW()-4,"")</f>
        <v/>
      </c>
      <c r="B472" s="23">
        <f>INSCRITOS_FORM!AD472</f>
        <v/>
      </c>
      <c r="C472" s="23">
        <f>INSCRITOS_FORM!T472</f>
        <v/>
      </c>
      <c r="D472" s="23">
        <f>INSCRITOS_FORM!S472</f>
        <v/>
      </c>
      <c r="E472" s="23">
        <f>INSCRITOS_FORM!G472</f>
        <v/>
      </c>
      <c r="F472" s="23">
        <f>INSCRITOS_FORM!L472</f>
        <v/>
      </c>
      <c r="G472" s="23">
        <f t="array" ref="G472">IFERROR(INDEX(CONFIG!$A$22:$A$35,MATCH(F472,CONFIG!$B$22:$B$35,0)),0)</f>
        <v/>
      </c>
      <c r="H472" s="23">
        <f>INSCRITOS_FORM!M472</f>
        <v/>
      </c>
      <c r="I472" s="23">
        <f>INSCRITOS_FORM!O472</f>
        <v/>
      </c>
      <c r="J472" s="23">
        <f>INSCRITOS_FORM!J472</f>
        <v/>
      </c>
      <c r="K472" s="23">
        <f>INSCRITOS_FORM!K472</f>
        <v/>
      </c>
      <c r="L472" s="23">
        <f>INSCRITOS_FORM!U472</f>
        <v/>
      </c>
      <c r="M472" s="23">
        <f>INSCRITOS_FORM!V472</f>
        <v/>
      </c>
      <c r="N472" s="23">
        <f>INSCRITOS_FORM!W472</f>
        <v/>
      </c>
      <c r="O472" s="23">
        <f>INSCRITOS_FORM!X472</f>
        <v/>
      </c>
      <c r="P472" s="23">
        <f>INSCRITOS_FORM!AB472</f>
        <v/>
      </c>
      <c r="Q472" s="23">
        <f>IF(B472="","",IF(AND(OR(P472="Pagado",P472="Beca",P472="Invitado"),OR(L472="Sí",M472="Sí")),"Sí","No"))</f>
        <v/>
      </c>
      <c r="R472" s="23">
        <f>IF(AND(C472=TORNEO_ACTIVO!$B$3,Q472="Sí"),G472*10000-A472,-1)</f>
        <v/>
      </c>
    </row>
    <row r="473" ht="14.25" customHeight="1" s="72">
      <c r="A473" s="23">
        <f>IF(INSCRITOS_FORM!D473&lt;&gt;"",ROW()-4,"")</f>
        <v/>
      </c>
      <c r="B473" s="23">
        <f>INSCRITOS_FORM!AD473</f>
        <v/>
      </c>
      <c r="C473" s="23">
        <f>INSCRITOS_FORM!T473</f>
        <v/>
      </c>
      <c r="D473" s="23">
        <f>INSCRITOS_FORM!S473</f>
        <v/>
      </c>
      <c r="E473" s="23">
        <f>INSCRITOS_FORM!G473</f>
        <v/>
      </c>
      <c r="F473" s="23">
        <f>INSCRITOS_FORM!L473</f>
        <v/>
      </c>
      <c r="G473" s="23">
        <f t="array" ref="G473">IFERROR(INDEX(CONFIG!$A$22:$A$35,MATCH(F473,CONFIG!$B$22:$B$35,0)),0)</f>
        <v/>
      </c>
      <c r="H473" s="23">
        <f>INSCRITOS_FORM!M473</f>
        <v/>
      </c>
      <c r="I473" s="23">
        <f>INSCRITOS_FORM!O473</f>
        <v/>
      </c>
      <c r="J473" s="23">
        <f>INSCRITOS_FORM!J473</f>
        <v/>
      </c>
      <c r="K473" s="23">
        <f>INSCRITOS_FORM!K473</f>
        <v/>
      </c>
      <c r="L473" s="23">
        <f>INSCRITOS_FORM!U473</f>
        <v/>
      </c>
      <c r="M473" s="23">
        <f>INSCRITOS_FORM!V473</f>
        <v/>
      </c>
      <c r="N473" s="23">
        <f>INSCRITOS_FORM!W473</f>
        <v/>
      </c>
      <c r="O473" s="23">
        <f>INSCRITOS_FORM!X473</f>
        <v/>
      </c>
      <c r="P473" s="23">
        <f>INSCRITOS_FORM!AB473</f>
        <v/>
      </c>
      <c r="Q473" s="23">
        <f>IF(B473="","",IF(AND(OR(P473="Pagado",P473="Beca",P473="Invitado"),OR(L473="Sí",M473="Sí")),"Sí","No"))</f>
        <v/>
      </c>
      <c r="R473" s="23">
        <f>IF(AND(C473=TORNEO_ACTIVO!$B$3,Q473="Sí"),G473*10000-A473,-1)</f>
        <v/>
      </c>
    </row>
    <row r="474" ht="14.25" customHeight="1" s="72">
      <c r="A474" s="23">
        <f>IF(INSCRITOS_FORM!D474&lt;&gt;"",ROW()-4,"")</f>
        <v/>
      </c>
      <c r="B474" s="23">
        <f>INSCRITOS_FORM!AD474</f>
        <v/>
      </c>
      <c r="C474" s="23">
        <f>INSCRITOS_FORM!T474</f>
        <v/>
      </c>
      <c r="D474" s="23">
        <f>INSCRITOS_FORM!S474</f>
        <v/>
      </c>
      <c r="E474" s="23">
        <f>INSCRITOS_FORM!G474</f>
        <v/>
      </c>
      <c r="F474" s="23">
        <f>INSCRITOS_FORM!L474</f>
        <v/>
      </c>
      <c r="G474" s="23">
        <f t="array" ref="G474">IFERROR(INDEX(CONFIG!$A$22:$A$35,MATCH(F474,CONFIG!$B$22:$B$35,0)),0)</f>
        <v/>
      </c>
      <c r="H474" s="23">
        <f>INSCRITOS_FORM!M474</f>
        <v/>
      </c>
      <c r="I474" s="23">
        <f>INSCRITOS_FORM!O474</f>
        <v/>
      </c>
      <c r="J474" s="23">
        <f>INSCRITOS_FORM!J474</f>
        <v/>
      </c>
      <c r="K474" s="23">
        <f>INSCRITOS_FORM!K474</f>
        <v/>
      </c>
      <c r="L474" s="23">
        <f>INSCRITOS_FORM!U474</f>
        <v/>
      </c>
      <c r="M474" s="23">
        <f>INSCRITOS_FORM!V474</f>
        <v/>
      </c>
      <c r="N474" s="23">
        <f>INSCRITOS_FORM!W474</f>
        <v/>
      </c>
      <c r="O474" s="23">
        <f>INSCRITOS_FORM!X474</f>
        <v/>
      </c>
      <c r="P474" s="23">
        <f>INSCRITOS_FORM!AB474</f>
        <v/>
      </c>
      <c r="Q474" s="23">
        <f>IF(B474="","",IF(AND(OR(P474="Pagado",P474="Beca",P474="Invitado"),OR(L474="Sí",M474="Sí")),"Sí","No"))</f>
        <v/>
      </c>
      <c r="R474" s="23">
        <f>IF(AND(C474=TORNEO_ACTIVO!$B$3,Q474="Sí"),G474*10000-A474,-1)</f>
        <v/>
      </c>
    </row>
    <row r="475" ht="14.25" customHeight="1" s="72">
      <c r="A475" s="23">
        <f>IF(INSCRITOS_FORM!D475&lt;&gt;"",ROW()-4,"")</f>
        <v/>
      </c>
      <c r="B475" s="23">
        <f>INSCRITOS_FORM!AD475</f>
        <v/>
      </c>
      <c r="C475" s="23">
        <f>INSCRITOS_FORM!T475</f>
        <v/>
      </c>
      <c r="D475" s="23">
        <f>INSCRITOS_FORM!S475</f>
        <v/>
      </c>
      <c r="E475" s="23">
        <f>INSCRITOS_FORM!G475</f>
        <v/>
      </c>
      <c r="F475" s="23">
        <f>INSCRITOS_FORM!L475</f>
        <v/>
      </c>
      <c r="G475" s="23">
        <f t="array" ref="G475">IFERROR(INDEX(CONFIG!$A$22:$A$35,MATCH(F475,CONFIG!$B$22:$B$35,0)),0)</f>
        <v/>
      </c>
      <c r="H475" s="23">
        <f>INSCRITOS_FORM!M475</f>
        <v/>
      </c>
      <c r="I475" s="23">
        <f>INSCRITOS_FORM!O475</f>
        <v/>
      </c>
      <c r="J475" s="23">
        <f>INSCRITOS_FORM!J475</f>
        <v/>
      </c>
      <c r="K475" s="23">
        <f>INSCRITOS_FORM!K475</f>
        <v/>
      </c>
      <c r="L475" s="23">
        <f>INSCRITOS_FORM!U475</f>
        <v/>
      </c>
      <c r="M475" s="23">
        <f>INSCRITOS_FORM!V475</f>
        <v/>
      </c>
      <c r="N475" s="23">
        <f>INSCRITOS_FORM!W475</f>
        <v/>
      </c>
      <c r="O475" s="23">
        <f>INSCRITOS_FORM!X475</f>
        <v/>
      </c>
      <c r="P475" s="23">
        <f>INSCRITOS_FORM!AB475</f>
        <v/>
      </c>
      <c r="Q475" s="23">
        <f>IF(B475="","",IF(AND(OR(P475="Pagado",P475="Beca",P475="Invitado"),OR(L475="Sí",M475="Sí")),"Sí","No"))</f>
        <v/>
      </c>
      <c r="R475" s="23">
        <f>IF(AND(C475=TORNEO_ACTIVO!$B$3,Q475="Sí"),G475*10000-A475,-1)</f>
        <v/>
      </c>
    </row>
    <row r="476" ht="14.25" customHeight="1" s="72">
      <c r="A476" s="23">
        <f>IF(INSCRITOS_FORM!D476&lt;&gt;"",ROW()-4,"")</f>
        <v/>
      </c>
      <c r="B476" s="23">
        <f>INSCRITOS_FORM!AD476</f>
        <v/>
      </c>
      <c r="C476" s="23">
        <f>INSCRITOS_FORM!T476</f>
        <v/>
      </c>
      <c r="D476" s="23">
        <f>INSCRITOS_FORM!S476</f>
        <v/>
      </c>
      <c r="E476" s="23">
        <f>INSCRITOS_FORM!G476</f>
        <v/>
      </c>
      <c r="F476" s="23">
        <f>INSCRITOS_FORM!L476</f>
        <v/>
      </c>
      <c r="G476" s="23">
        <f t="array" ref="G476">IFERROR(INDEX(CONFIG!$A$22:$A$35,MATCH(F476,CONFIG!$B$22:$B$35,0)),0)</f>
        <v/>
      </c>
      <c r="H476" s="23">
        <f>INSCRITOS_FORM!M476</f>
        <v/>
      </c>
      <c r="I476" s="23">
        <f>INSCRITOS_FORM!O476</f>
        <v/>
      </c>
      <c r="J476" s="23">
        <f>INSCRITOS_FORM!J476</f>
        <v/>
      </c>
      <c r="K476" s="23">
        <f>INSCRITOS_FORM!K476</f>
        <v/>
      </c>
      <c r="L476" s="23">
        <f>INSCRITOS_FORM!U476</f>
        <v/>
      </c>
      <c r="M476" s="23">
        <f>INSCRITOS_FORM!V476</f>
        <v/>
      </c>
      <c r="N476" s="23">
        <f>INSCRITOS_FORM!W476</f>
        <v/>
      </c>
      <c r="O476" s="23">
        <f>INSCRITOS_FORM!X476</f>
        <v/>
      </c>
      <c r="P476" s="23">
        <f>INSCRITOS_FORM!AB476</f>
        <v/>
      </c>
      <c r="Q476" s="23">
        <f>IF(B476="","",IF(AND(OR(P476="Pagado",P476="Beca",P476="Invitado"),OR(L476="Sí",M476="Sí")),"Sí","No"))</f>
        <v/>
      </c>
      <c r="R476" s="23">
        <f>IF(AND(C476=TORNEO_ACTIVO!$B$3,Q476="Sí"),G476*10000-A476,-1)</f>
        <v/>
      </c>
    </row>
    <row r="477" ht="14.25" customHeight="1" s="72">
      <c r="A477" s="23">
        <f>IF(INSCRITOS_FORM!D477&lt;&gt;"",ROW()-4,"")</f>
        <v/>
      </c>
      <c r="B477" s="23">
        <f>INSCRITOS_FORM!AD477</f>
        <v/>
      </c>
      <c r="C477" s="23">
        <f>INSCRITOS_FORM!T477</f>
        <v/>
      </c>
      <c r="D477" s="23">
        <f>INSCRITOS_FORM!S477</f>
        <v/>
      </c>
      <c r="E477" s="23">
        <f>INSCRITOS_FORM!G477</f>
        <v/>
      </c>
      <c r="F477" s="23">
        <f>INSCRITOS_FORM!L477</f>
        <v/>
      </c>
      <c r="G477" s="23">
        <f t="array" ref="G477">IFERROR(INDEX(CONFIG!$A$22:$A$35,MATCH(F477,CONFIG!$B$22:$B$35,0)),0)</f>
        <v/>
      </c>
      <c r="H477" s="23">
        <f>INSCRITOS_FORM!M477</f>
        <v/>
      </c>
      <c r="I477" s="23">
        <f>INSCRITOS_FORM!O477</f>
        <v/>
      </c>
      <c r="J477" s="23">
        <f>INSCRITOS_FORM!J477</f>
        <v/>
      </c>
      <c r="K477" s="23">
        <f>INSCRITOS_FORM!K477</f>
        <v/>
      </c>
      <c r="L477" s="23">
        <f>INSCRITOS_FORM!U477</f>
        <v/>
      </c>
      <c r="M477" s="23">
        <f>INSCRITOS_FORM!V477</f>
        <v/>
      </c>
      <c r="N477" s="23">
        <f>INSCRITOS_FORM!W477</f>
        <v/>
      </c>
      <c r="O477" s="23">
        <f>INSCRITOS_FORM!X477</f>
        <v/>
      </c>
      <c r="P477" s="23">
        <f>INSCRITOS_FORM!AB477</f>
        <v/>
      </c>
      <c r="Q477" s="23">
        <f>IF(B477="","",IF(AND(OR(P477="Pagado",P477="Beca",P477="Invitado"),OR(L477="Sí",M477="Sí")),"Sí","No"))</f>
        <v/>
      </c>
      <c r="R477" s="23">
        <f>IF(AND(C477=TORNEO_ACTIVO!$B$3,Q477="Sí"),G477*10000-A477,-1)</f>
        <v/>
      </c>
    </row>
    <row r="478" ht="14.25" customHeight="1" s="72">
      <c r="A478" s="23">
        <f>IF(INSCRITOS_FORM!D478&lt;&gt;"",ROW()-4,"")</f>
        <v/>
      </c>
      <c r="B478" s="23">
        <f>INSCRITOS_FORM!AD478</f>
        <v/>
      </c>
      <c r="C478" s="23">
        <f>INSCRITOS_FORM!T478</f>
        <v/>
      </c>
      <c r="D478" s="23">
        <f>INSCRITOS_FORM!S478</f>
        <v/>
      </c>
      <c r="E478" s="23">
        <f>INSCRITOS_FORM!G478</f>
        <v/>
      </c>
      <c r="F478" s="23">
        <f>INSCRITOS_FORM!L478</f>
        <v/>
      </c>
      <c r="G478" s="23">
        <f t="array" ref="G478">IFERROR(INDEX(CONFIG!$A$22:$A$35,MATCH(F478,CONFIG!$B$22:$B$35,0)),0)</f>
        <v/>
      </c>
      <c r="H478" s="23">
        <f>INSCRITOS_FORM!M478</f>
        <v/>
      </c>
      <c r="I478" s="23">
        <f>INSCRITOS_FORM!O478</f>
        <v/>
      </c>
      <c r="J478" s="23">
        <f>INSCRITOS_FORM!J478</f>
        <v/>
      </c>
      <c r="K478" s="23">
        <f>INSCRITOS_FORM!K478</f>
        <v/>
      </c>
      <c r="L478" s="23">
        <f>INSCRITOS_FORM!U478</f>
        <v/>
      </c>
      <c r="M478" s="23">
        <f>INSCRITOS_FORM!V478</f>
        <v/>
      </c>
      <c r="N478" s="23">
        <f>INSCRITOS_FORM!W478</f>
        <v/>
      </c>
      <c r="O478" s="23">
        <f>INSCRITOS_FORM!X478</f>
        <v/>
      </c>
      <c r="P478" s="23">
        <f>INSCRITOS_FORM!AB478</f>
        <v/>
      </c>
      <c r="Q478" s="23">
        <f>IF(B478="","",IF(AND(OR(P478="Pagado",P478="Beca",P478="Invitado"),OR(L478="Sí",M478="Sí")),"Sí","No"))</f>
        <v/>
      </c>
      <c r="R478" s="23">
        <f>IF(AND(C478=TORNEO_ACTIVO!$B$3,Q478="Sí"),G478*10000-A478,-1)</f>
        <v/>
      </c>
    </row>
    <row r="479" ht="14.25" customHeight="1" s="72">
      <c r="A479" s="23">
        <f>IF(INSCRITOS_FORM!D479&lt;&gt;"",ROW()-4,"")</f>
        <v/>
      </c>
      <c r="B479" s="23">
        <f>INSCRITOS_FORM!AD479</f>
        <v/>
      </c>
      <c r="C479" s="23">
        <f>INSCRITOS_FORM!T479</f>
        <v/>
      </c>
      <c r="D479" s="23">
        <f>INSCRITOS_FORM!S479</f>
        <v/>
      </c>
      <c r="E479" s="23">
        <f>INSCRITOS_FORM!G479</f>
        <v/>
      </c>
      <c r="F479" s="23">
        <f>INSCRITOS_FORM!L479</f>
        <v/>
      </c>
      <c r="G479" s="23">
        <f t="array" ref="G479">IFERROR(INDEX(CONFIG!$A$22:$A$35,MATCH(F479,CONFIG!$B$22:$B$35,0)),0)</f>
        <v/>
      </c>
      <c r="H479" s="23">
        <f>INSCRITOS_FORM!M479</f>
        <v/>
      </c>
      <c r="I479" s="23">
        <f>INSCRITOS_FORM!O479</f>
        <v/>
      </c>
      <c r="J479" s="23">
        <f>INSCRITOS_FORM!J479</f>
        <v/>
      </c>
      <c r="K479" s="23">
        <f>INSCRITOS_FORM!K479</f>
        <v/>
      </c>
      <c r="L479" s="23">
        <f>INSCRITOS_FORM!U479</f>
        <v/>
      </c>
      <c r="M479" s="23">
        <f>INSCRITOS_FORM!V479</f>
        <v/>
      </c>
      <c r="N479" s="23">
        <f>INSCRITOS_FORM!W479</f>
        <v/>
      </c>
      <c r="O479" s="23">
        <f>INSCRITOS_FORM!X479</f>
        <v/>
      </c>
      <c r="P479" s="23">
        <f>INSCRITOS_FORM!AB479</f>
        <v/>
      </c>
      <c r="Q479" s="23">
        <f>IF(B479="","",IF(AND(OR(P479="Pagado",P479="Beca",P479="Invitado"),OR(L479="Sí",M479="Sí")),"Sí","No"))</f>
        <v/>
      </c>
      <c r="R479" s="23">
        <f>IF(AND(C479=TORNEO_ACTIVO!$B$3,Q479="Sí"),G479*10000-A479,-1)</f>
        <v/>
      </c>
    </row>
    <row r="480" ht="14.25" customHeight="1" s="72">
      <c r="A480" s="23">
        <f>IF(INSCRITOS_FORM!D480&lt;&gt;"",ROW()-4,"")</f>
        <v/>
      </c>
      <c r="B480" s="23">
        <f>INSCRITOS_FORM!AD480</f>
        <v/>
      </c>
      <c r="C480" s="23">
        <f>INSCRITOS_FORM!T480</f>
        <v/>
      </c>
      <c r="D480" s="23">
        <f>INSCRITOS_FORM!S480</f>
        <v/>
      </c>
      <c r="E480" s="23">
        <f>INSCRITOS_FORM!G480</f>
        <v/>
      </c>
      <c r="F480" s="23">
        <f>INSCRITOS_FORM!L480</f>
        <v/>
      </c>
      <c r="G480" s="23">
        <f t="array" ref="G480">IFERROR(INDEX(CONFIG!$A$22:$A$35,MATCH(F480,CONFIG!$B$22:$B$35,0)),0)</f>
        <v/>
      </c>
      <c r="H480" s="23">
        <f>INSCRITOS_FORM!M480</f>
        <v/>
      </c>
      <c r="I480" s="23">
        <f>INSCRITOS_FORM!O480</f>
        <v/>
      </c>
      <c r="J480" s="23">
        <f>INSCRITOS_FORM!J480</f>
        <v/>
      </c>
      <c r="K480" s="23">
        <f>INSCRITOS_FORM!K480</f>
        <v/>
      </c>
      <c r="L480" s="23">
        <f>INSCRITOS_FORM!U480</f>
        <v/>
      </c>
      <c r="M480" s="23">
        <f>INSCRITOS_FORM!V480</f>
        <v/>
      </c>
      <c r="N480" s="23">
        <f>INSCRITOS_FORM!W480</f>
        <v/>
      </c>
      <c r="O480" s="23">
        <f>INSCRITOS_FORM!X480</f>
        <v/>
      </c>
      <c r="P480" s="23">
        <f>INSCRITOS_FORM!AB480</f>
        <v/>
      </c>
      <c r="Q480" s="23">
        <f>IF(B480="","",IF(AND(OR(P480="Pagado",P480="Beca",P480="Invitado"),OR(L480="Sí",M480="Sí")),"Sí","No"))</f>
        <v/>
      </c>
      <c r="R480" s="23">
        <f>IF(AND(C480=TORNEO_ACTIVO!$B$3,Q480="Sí"),G480*10000-A480,-1)</f>
        <v/>
      </c>
    </row>
    <row r="481" ht="14.25" customHeight="1" s="72">
      <c r="A481" s="23">
        <f>IF(INSCRITOS_FORM!D481&lt;&gt;"",ROW()-4,"")</f>
        <v/>
      </c>
      <c r="B481" s="23">
        <f>INSCRITOS_FORM!AD481</f>
        <v/>
      </c>
      <c r="C481" s="23">
        <f>INSCRITOS_FORM!T481</f>
        <v/>
      </c>
      <c r="D481" s="23">
        <f>INSCRITOS_FORM!S481</f>
        <v/>
      </c>
      <c r="E481" s="23">
        <f>INSCRITOS_FORM!G481</f>
        <v/>
      </c>
      <c r="F481" s="23">
        <f>INSCRITOS_FORM!L481</f>
        <v/>
      </c>
      <c r="G481" s="23">
        <f t="array" ref="G481">IFERROR(INDEX(CONFIG!$A$22:$A$35,MATCH(F481,CONFIG!$B$22:$B$35,0)),0)</f>
        <v/>
      </c>
      <c r="H481" s="23">
        <f>INSCRITOS_FORM!M481</f>
        <v/>
      </c>
      <c r="I481" s="23">
        <f>INSCRITOS_FORM!O481</f>
        <v/>
      </c>
      <c r="J481" s="23">
        <f>INSCRITOS_FORM!J481</f>
        <v/>
      </c>
      <c r="K481" s="23">
        <f>INSCRITOS_FORM!K481</f>
        <v/>
      </c>
      <c r="L481" s="23">
        <f>INSCRITOS_FORM!U481</f>
        <v/>
      </c>
      <c r="M481" s="23">
        <f>INSCRITOS_FORM!V481</f>
        <v/>
      </c>
      <c r="N481" s="23">
        <f>INSCRITOS_FORM!W481</f>
        <v/>
      </c>
      <c r="O481" s="23">
        <f>INSCRITOS_FORM!X481</f>
        <v/>
      </c>
      <c r="P481" s="23">
        <f>INSCRITOS_FORM!AB481</f>
        <v/>
      </c>
      <c r="Q481" s="23">
        <f>IF(B481="","",IF(AND(OR(P481="Pagado",P481="Beca",P481="Invitado"),OR(L481="Sí",M481="Sí")),"Sí","No"))</f>
        <v/>
      </c>
      <c r="R481" s="23">
        <f>IF(AND(C481=TORNEO_ACTIVO!$B$3,Q481="Sí"),G481*10000-A481,-1)</f>
        <v/>
      </c>
    </row>
    <row r="482" ht="14.25" customHeight="1" s="72">
      <c r="A482" s="23">
        <f>IF(INSCRITOS_FORM!D482&lt;&gt;"",ROW()-4,"")</f>
        <v/>
      </c>
      <c r="B482" s="23">
        <f>INSCRITOS_FORM!AD482</f>
        <v/>
      </c>
      <c r="C482" s="23">
        <f>INSCRITOS_FORM!T482</f>
        <v/>
      </c>
      <c r="D482" s="23">
        <f>INSCRITOS_FORM!S482</f>
        <v/>
      </c>
      <c r="E482" s="23">
        <f>INSCRITOS_FORM!G482</f>
        <v/>
      </c>
      <c r="F482" s="23">
        <f>INSCRITOS_FORM!L482</f>
        <v/>
      </c>
      <c r="G482" s="23">
        <f t="array" ref="G482">IFERROR(INDEX(CONFIG!$A$22:$A$35,MATCH(F482,CONFIG!$B$22:$B$35,0)),0)</f>
        <v/>
      </c>
      <c r="H482" s="23">
        <f>INSCRITOS_FORM!M482</f>
        <v/>
      </c>
      <c r="I482" s="23">
        <f>INSCRITOS_FORM!O482</f>
        <v/>
      </c>
      <c r="J482" s="23">
        <f>INSCRITOS_FORM!J482</f>
        <v/>
      </c>
      <c r="K482" s="23">
        <f>INSCRITOS_FORM!K482</f>
        <v/>
      </c>
      <c r="L482" s="23">
        <f>INSCRITOS_FORM!U482</f>
        <v/>
      </c>
      <c r="M482" s="23">
        <f>INSCRITOS_FORM!V482</f>
        <v/>
      </c>
      <c r="N482" s="23">
        <f>INSCRITOS_FORM!W482</f>
        <v/>
      </c>
      <c r="O482" s="23">
        <f>INSCRITOS_FORM!X482</f>
        <v/>
      </c>
      <c r="P482" s="23">
        <f>INSCRITOS_FORM!AB482</f>
        <v/>
      </c>
      <c r="Q482" s="23">
        <f>IF(B482="","",IF(AND(OR(P482="Pagado",P482="Beca",P482="Invitado"),OR(L482="Sí",M482="Sí")),"Sí","No"))</f>
        <v/>
      </c>
      <c r="R482" s="23">
        <f>IF(AND(C482=TORNEO_ACTIVO!$B$3,Q482="Sí"),G482*10000-A482,-1)</f>
        <v/>
      </c>
    </row>
    <row r="483" ht="14.25" customHeight="1" s="72">
      <c r="A483" s="23">
        <f>IF(INSCRITOS_FORM!D483&lt;&gt;"",ROW()-4,"")</f>
        <v/>
      </c>
      <c r="B483" s="23">
        <f>INSCRITOS_FORM!AD483</f>
        <v/>
      </c>
      <c r="C483" s="23">
        <f>INSCRITOS_FORM!T483</f>
        <v/>
      </c>
      <c r="D483" s="23">
        <f>INSCRITOS_FORM!S483</f>
        <v/>
      </c>
      <c r="E483" s="23">
        <f>INSCRITOS_FORM!G483</f>
        <v/>
      </c>
      <c r="F483" s="23">
        <f>INSCRITOS_FORM!L483</f>
        <v/>
      </c>
      <c r="G483" s="23">
        <f t="array" ref="G483">IFERROR(INDEX(CONFIG!$A$22:$A$35,MATCH(F483,CONFIG!$B$22:$B$35,0)),0)</f>
        <v/>
      </c>
      <c r="H483" s="23">
        <f>INSCRITOS_FORM!M483</f>
        <v/>
      </c>
      <c r="I483" s="23">
        <f>INSCRITOS_FORM!O483</f>
        <v/>
      </c>
      <c r="J483" s="23">
        <f>INSCRITOS_FORM!J483</f>
        <v/>
      </c>
      <c r="K483" s="23">
        <f>INSCRITOS_FORM!K483</f>
        <v/>
      </c>
      <c r="L483" s="23">
        <f>INSCRITOS_FORM!U483</f>
        <v/>
      </c>
      <c r="M483" s="23">
        <f>INSCRITOS_FORM!V483</f>
        <v/>
      </c>
      <c r="N483" s="23">
        <f>INSCRITOS_FORM!W483</f>
        <v/>
      </c>
      <c r="O483" s="23">
        <f>INSCRITOS_FORM!X483</f>
        <v/>
      </c>
      <c r="P483" s="23">
        <f>INSCRITOS_FORM!AB483</f>
        <v/>
      </c>
      <c r="Q483" s="23">
        <f>IF(B483="","",IF(AND(OR(P483="Pagado",P483="Beca",P483="Invitado"),OR(L483="Sí",M483="Sí")),"Sí","No"))</f>
        <v/>
      </c>
      <c r="R483" s="23">
        <f>IF(AND(C483=TORNEO_ACTIVO!$B$3,Q483="Sí"),G483*10000-A483,-1)</f>
        <v/>
      </c>
    </row>
    <row r="484" ht="14.25" customHeight="1" s="72">
      <c r="A484" s="23">
        <f>IF(INSCRITOS_FORM!D484&lt;&gt;"",ROW()-4,"")</f>
        <v/>
      </c>
      <c r="B484" s="23">
        <f>INSCRITOS_FORM!AD484</f>
        <v/>
      </c>
      <c r="C484" s="23">
        <f>INSCRITOS_FORM!T484</f>
        <v/>
      </c>
      <c r="D484" s="23">
        <f>INSCRITOS_FORM!S484</f>
        <v/>
      </c>
      <c r="E484" s="23">
        <f>INSCRITOS_FORM!G484</f>
        <v/>
      </c>
      <c r="F484" s="23">
        <f>INSCRITOS_FORM!L484</f>
        <v/>
      </c>
      <c r="G484" s="23">
        <f t="array" ref="G484">IFERROR(INDEX(CONFIG!$A$22:$A$35,MATCH(F484,CONFIG!$B$22:$B$35,0)),0)</f>
        <v/>
      </c>
      <c r="H484" s="23">
        <f>INSCRITOS_FORM!M484</f>
        <v/>
      </c>
      <c r="I484" s="23">
        <f>INSCRITOS_FORM!O484</f>
        <v/>
      </c>
      <c r="J484" s="23">
        <f>INSCRITOS_FORM!J484</f>
        <v/>
      </c>
      <c r="K484" s="23">
        <f>INSCRITOS_FORM!K484</f>
        <v/>
      </c>
      <c r="L484" s="23">
        <f>INSCRITOS_FORM!U484</f>
        <v/>
      </c>
      <c r="M484" s="23">
        <f>INSCRITOS_FORM!V484</f>
        <v/>
      </c>
      <c r="N484" s="23">
        <f>INSCRITOS_FORM!W484</f>
        <v/>
      </c>
      <c r="O484" s="23">
        <f>INSCRITOS_FORM!X484</f>
        <v/>
      </c>
      <c r="P484" s="23">
        <f>INSCRITOS_FORM!AB484</f>
        <v/>
      </c>
      <c r="Q484" s="23">
        <f>IF(B484="","",IF(AND(OR(P484="Pagado",P484="Beca",P484="Invitado"),OR(L484="Sí",M484="Sí")),"Sí","No"))</f>
        <v/>
      </c>
      <c r="R484" s="23">
        <f>IF(AND(C484=TORNEO_ACTIVO!$B$3,Q484="Sí"),G484*10000-A484,-1)</f>
        <v/>
      </c>
    </row>
    <row r="485" ht="14.25" customHeight="1" s="72">
      <c r="A485" s="23">
        <f>IF(INSCRITOS_FORM!D485&lt;&gt;"",ROW()-4,"")</f>
        <v/>
      </c>
      <c r="B485" s="23">
        <f>INSCRITOS_FORM!AD485</f>
        <v/>
      </c>
      <c r="C485" s="23">
        <f>INSCRITOS_FORM!T485</f>
        <v/>
      </c>
      <c r="D485" s="23">
        <f>INSCRITOS_FORM!S485</f>
        <v/>
      </c>
      <c r="E485" s="23">
        <f>INSCRITOS_FORM!G485</f>
        <v/>
      </c>
      <c r="F485" s="23">
        <f>INSCRITOS_FORM!L485</f>
        <v/>
      </c>
      <c r="G485" s="23">
        <f t="array" ref="G485">IFERROR(INDEX(CONFIG!$A$22:$A$35,MATCH(F485,CONFIG!$B$22:$B$35,0)),0)</f>
        <v/>
      </c>
      <c r="H485" s="23">
        <f>INSCRITOS_FORM!M485</f>
        <v/>
      </c>
      <c r="I485" s="23">
        <f>INSCRITOS_FORM!O485</f>
        <v/>
      </c>
      <c r="J485" s="23">
        <f>INSCRITOS_FORM!J485</f>
        <v/>
      </c>
      <c r="K485" s="23">
        <f>INSCRITOS_FORM!K485</f>
        <v/>
      </c>
      <c r="L485" s="23">
        <f>INSCRITOS_FORM!U485</f>
        <v/>
      </c>
      <c r="M485" s="23">
        <f>INSCRITOS_FORM!V485</f>
        <v/>
      </c>
      <c r="N485" s="23">
        <f>INSCRITOS_FORM!W485</f>
        <v/>
      </c>
      <c r="O485" s="23">
        <f>INSCRITOS_FORM!X485</f>
        <v/>
      </c>
      <c r="P485" s="23">
        <f>INSCRITOS_FORM!AB485</f>
        <v/>
      </c>
      <c r="Q485" s="23">
        <f>IF(B485="","",IF(AND(OR(P485="Pagado",P485="Beca",P485="Invitado"),OR(L485="Sí",M485="Sí")),"Sí","No"))</f>
        <v/>
      </c>
      <c r="R485" s="23">
        <f>IF(AND(C485=TORNEO_ACTIVO!$B$3,Q485="Sí"),G485*10000-A485,-1)</f>
        <v/>
      </c>
    </row>
    <row r="486" ht="14.25" customHeight="1" s="72">
      <c r="A486" s="23">
        <f>IF(INSCRITOS_FORM!D486&lt;&gt;"",ROW()-4,"")</f>
        <v/>
      </c>
      <c r="B486" s="23">
        <f>INSCRITOS_FORM!AD486</f>
        <v/>
      </c>
      <c r="C486" s="23">
        <f>INSCRITOS_FORM!T486</f>
        <v/>
      </c>
      <c r="D486" s="23">
        <f>INSCRITOS_FORM!S486</f>
        <v/>
      </c>
      <c r="E486" s="23">
        <f>INSCRITOS_FORM!G486</f>
        <v/>
      </c>
      <c r="F486" s="23">
        <f>INSCRITOS_FORM!L486</f>
        <v/>
      </c>
      <c r="G486" s="23">
        <f t="array" ref="G486">IFERROR(INDEX(CONFIG!$A$22:$A$35,MATCH(F486,CONFIG!$B$22:$B$35,0)),0)</f>
        <v/>
      </c>
      <c r="H486" s="23">
        <f>INSCRITOS_FORM!M486</f>
        <v/>
      </c>
      <c r="I486" s="23">
        <f>INSCRITOS_FORM!O486</f>
        <v/>
      </c>
      <c r="J486" s="23">
        <f>INSCRITOS_FORM!J486</f>
        <v/>
      </c>
      <c r="K486" s="23">
        <f>INSCRITOS_FORM!K486</f>
        <v/>
      </c>
      <c r="L486" s="23">
        <f>INSCRITOS_FORM!U486</f>
        <v/>
      </c>
      <c r="M486" s="23">
        <f>INSCRITOS_FORM!V486</f>
        <v/>
      </c>
      <c r="N486" s="23">
        <f>INSCRITOS_FORM!W486</f>
        <v/>
      </c>
      <c r="O486" s="23">
        <f>INSCRITOS_FORM!X486</f>
        <v/>
      </c>
      <c r="P486" s="23">
        <f>INSCRITOS_FORM!AB486</f>
        <v/>
      </c>
      <c r="Q486" s="23">
        <f>IF(B486="","",IF(AND(OR(P486="Pagado",P486="Beca",P486="Invitado"),OR(L486="Sí",M486="Sí")),"Sí","No"))</f>
        <v/>
      </c>
      <c r="R486" s="23">
        <f>IF(AND(C486=TORNEO_ACTIVO!$B$3,Q486="Sí"),G486*10000-A486,-1)</f>
        <v/>
      </c>
    </row>
    <row r="487" ht="14.25" customHeight="1" s="72">
      <c r="A487" s="23">
        <f>IF(INSCRITOS_FORM!D487&lt;&gt;"",ROW()-4,"")</f>
        <v/>
      </c>
      <c r="B487" s="23">
        <f>INSCRITOS_FORM!AD487</f>
        <v/>
      </c>
      <c r="C487" s="23">
        <f>INSCRITOS_FORM!T487</f>
        <v/>
      </c>
      <c r="D487" s="23">
        <f>INSCRITOS_FORM!S487</f>
        <v/>
      </c>
      <c r="E487" s="23">
        <f>INSCRITOS_FORM!G487</f>
        <v/>
      </c>
      <c r="F487" s="23">
        <f>INSCRITOS_FORM!L487</f>
        <v/>
      </c>
      <c r="G487" s="23">
        <f t="array" ref="G487">IFERROR(INDEX(CONFIG!$A$22:$A$35,MATCH(F487,CONFIG!$B$22:$B$35,0)),0)</f>
        <v/>
      </c>
      <c r="H487" s="23">
        <f>INSCRITOS_FORM!M487</f>
        <v/>
      </c>
      <c r="I487" s="23">
        <f>INSCRITOS_FORM!O487</f>
        <v/>
      </c>
      <c r="J487" s="23">
        <f>INSCRITOS_FORM!J487</f>
        <v/>
      </c>
      <c r="K487" s="23">
        <f>INSCRITOS_FORM!K487</f>
        <v/>
      </c>
      <c r="L487" s="23">
        <f>INSCRITOS_FORM!U487</f>
        <v/>
      </c>
      <c r="M487" s="23">
        <f>INSCRITOS_FORM!V487</f>
        <v/>
      </c>
      <c r="N487" s="23">
        <f>INSCRITOS_FORM!W487</f>
        <v/>
      </c>
      <c r="O487" s="23">
        <f>INSCRITOS_FORM!X487</f>
        <v/>
      </c>
      <c r="P487" s="23">
        <f>INSCRITOS_FORM!AB487</f>
        <v/>
      </c>
      <c r="Q487" s="23">
        <f>IF(B487="","",IF(AND(OR(P487="Pagado",P487="Beca",P487="Invitado"),OR(L487="Sí",M487="Sí")),"Sí","No"))</f>
        <v/>
      </c>
      <c r="R487" s="23">
        <f>IF(AND(C487=TORNEO_ACTIVO!$B$3,Q487="Sí"),G487*10000-A487,-1)</f>
        <v/>
      </c>
    </row>
    <row r="488" ht="14.25" customHeight="1" s="72">
      <c r="A488" s="23">
        <f>IF(INSCRITOS_FORM!D488&lt;&gt;"",ROW()-4,"")</f>
        <v/>
      </c>
      <c r="B488" s="23">
        <f>INSCRITOS_FORM!AD488</f>
        <v/>
      </c>
      <c r="C488" s="23">
        <f>INSCRITOS_FORM!T488</f>
        <v/>
      </c>
      <c r="D488" s="23">
        <f>INSCRITOS_FORM!S488</f>
        <v/>
      </c>
      <c r="E488" s="23">
        <f>INSCRITOS_FORM!G488</f>
        <v/>
      </c>
      <c r="F488" s="23">
        <f>INSCRITOS_FORM!L488</f>
        <v/>
      </c>
      <c r="G488" s="23">
        <f t="array" ref="G488">IFERROR(INDEX(CONFIG!$A$22:$A$35,MATCH(F488,CONFIG!$B$22:$B$35,0)),0)</f>
        <v/>
      </c>
      <c r="H488" s="23">
        <f>INSCRITOS_FORM!M488</f>
        <v/>
      </c>
      <c r="I488" s="23">
        <f>INSCRITOS_FORM!O488</f>
        <v/>
      </c>
      <c r="J488" s="23">
        <f>INSCRITOS_FORM!J488</f>
        <v/>
      </c>
      <c r="K488" s="23">
        <f>INSCRITOS_FORM!K488</f>
        <v/>
      </c>
      <c r="L488" s="23">
        <f>INSCRITOS_FORM!U488</f>
        <v/>
      </c>
      <c r="M488" s="23">
        <f>INSCRITOS_FORM!V488</f>
        <v/>
      </c>
      <c r="N488" s="23">
        <f>INSCRITOS_FORM!W488</f>
        <v/>
      </c>
      <c r="O488" s="23">
        <f>INSCRITOS_FORM!X488</f>
        <v/>
      </c>
      <c r="P488" s="23">
        <f>INSCRITOS_FORM!AB488</f>
        <v/>
      </c>
      <c r="Q488" s="23">
        <f>IF(B488="","",IF(AND(OR(P488="Pagado",P488="Beca",P488="Invitado"),OR(L488="Sí",M488="Sí")),"Sí","No"))</f>
        <v/>
      </c>
      <c r="R488" s="23">
        <f>IF(AND(C488=TORNEO_ACTIVO!$B$3,Q488="Sí"),G488*10000-A488,-1)</f>
        <v/>
      </c>
    </row>
    <row r="489" ht="14.25" customHeight="1" s="72">
      <c r="A489" s="23">
        <f>IF(INSCRITOS_FORM!D489&lt;&gt;"",ROW()-4,"")</f>
        <v/>
      </c>
      <c r="B489" s="23">
        <f>INSCRITOS_FORM!AD489</f>
        <v/>
      </c>
      <c r="C489" s="23">
        <f>INSCRITOS_FORM!T489</f>
        <v/>
      </c>
      <c r="D489" s="23">
        <f>INSCRITOS_FORM!S489</f>
        <v/>
      </c>
      <c r="E489" s="23">
        <f>INSCRITOS_FORM!G489</f>
        <v/>
      </c>
      <c r="F489" s="23">
        <f>INSCRITOS_FORM!L489</f>
        <v/>
      </c>
      <c r="G489" s="23">
        <f t="array" ref="G489">IFERROR(INDEX(CONFIG!$A$22:$A$35,MATCH(F489,CONFIG!$B$22:$B$35,0)),0)</f>
        <v/>
      </c>
      <c r="H489" s="23">
        <f>INSCRITOS_FORM!M489</f>
        <v/>
      </c>
      <c r="I489" s="23">
        <f>INSCRITOS_FORM!O489</f>
        <v/>
      </c>
      <c r="J489" s="23">
        <f>INSCRITOS_FORM!J489</f>
        <v/>
      </c>
      <c r="K489" s="23">
        <f>INSCRITOS_FORM!K489</f>
        <v/>
      </c>
      <c r="L489" s="23">
        <f>INSCRITOS_FORM!U489</f>
        <v/>
      </c>
      <c r="M489" s="23">
        <f>INSCRITOS_FORM!V489</f>
        <v/>
      </c>
      <c r="N489" s="23">
        <f>INSCRITOS_FORM!W489</f>
        <v/>
      </c>
      <c r="O489" s="23">
        <f>INSCRITOS_FORM!X489</f>
        <v/>
      </c>
      <c r="P489" s="23">
        <f>INSCRITOS_FORM!AB489</f>
        <v/>
      </c>
      <c r="Q489" s="23">
        <f>IF(B489="","",IF(AND(OR(P489="Pagado",P489="Beca",P489="Invitado"),OR(L489="Sí",M489="Sí")),"Sí","No"))</f>
        <v/>
      </c>
      <c r="R489" s="23">
        <f>IF(AND(C489=TORNEO_ACTIVO!$B$3,Q489="Sí"),G489*10000-A489,-1)</f>
        <v/>
      </c>
    </row>
    <row r="490" ht="14.25" customHeight="1" s="72">
      <c r="A490" s="23">
        <f>IF(INSCRITOS_FORM!D490&lt;&gt;"",ROW()-4,"")</f>
        <v/>
      </c>
      <c r="B490" s="23">
        <f>INSCRITOS_FORM!AD490</f>
        <v/>
      </c>
      <c r="C490" s="23">
        <f>INSCRITOS_FORM!T490</f>
        <v/>
      </c>
      <c r="D490" s="23">
        <f>INSCRITOS_FORM!S490</f>
        <v/>
      </c>
      <c r="E490" s="23">
        <f>INSCRITOS_FORM!G490</f>
        <v/>
      </c>
      <c r="F490" s="23">
        <f>INSCRITOS_FORM!L490</f>
        <v/>
      </c>
      <c r="G490" s="23">
        <f t="array" ref="G490">IFERROR(INDEX(CONFIG!$A$22:$A$35,MATCH(F490,CONFIG!$B$22:$B$35,0)),0)</f>
        <v/>
      </c>
      <c r="H490" s="23">
        <f>INSCRITOS_FORM!M490</f>
        <v/>
      </c>
      <c r="I490" s="23">
        <f>INSCRITOS_FORM!O490</f>
        <v/>
      </c>
      <c r="J490" s="23">
        <f>INSCRITOS_FORM!J490</f>
        <v/>
      </c>
      <c r="K490" s="23">
        <f>INSCRITOS_FORM!K490</f>
        <v/>
      </c>
      <c r="L490" s="23">
        <f>INSCRITOS_FORM!U490</f>
        <v/>
      </c>
      <c r="M490" s="23">
        <f>INSCRITOS_FORM!V490</f>
        <v/>
      </c>
      <c r="N490" s="23">
        <f>INSCRITOS_FORM!W490</f>
        <v/>
      </c>
      <c r="O490" s="23">
        <f>INSCRITOS_FORM!X490</f>
        <v/>
      </c>
      <c r="P490" s="23">
        <f>INSCRITOS_FORM!AB490</f>
        <v/>
      </c>
      <c r="Q490" s="23">
        <f>IF(B490="","",IF(AND(OR(P490="Pagado",P490="Beca",P490="Invitado"),OR(L490="Sí",M490="Sí")),"Sí","No"))</f>
        <v/>
      </c>
      <c r="R490" s="23">
        <f>IF(AND(C490=TORNEO_ACTIVO!$B$3,Q490="Sí"),G490*10000-A490,-1)</f>
        <v/>
      </c>
    </row>
    <row r="491" ht="14.25" customHeight="1" s="72">
      <c r="A491" s="23">
        <f>IF(INSCRITOS_FORM!D491&lt;&gt;"",ROW()-4,"")</f>
        <v/>
      </c>
      <c r="B491" s="23">
        <f>INSCRITOS_FORM!AD491</f>
        <v/>
      </c>
      <c r="C491" s="23">
        <f>INSCRITOS_FORM!T491</f>
        <v/>
      </c>
      <c r="D491" s="23">
        <f>INSCRITOS_FORM!S491</f>
        <v/>
      </c>
      <c r="E491" s="23">
        <f>INSCRITOS_FORM!G491</f>
        <v/>
      </c>
      <c r="F491" s="23">
        <f>INSCRITOS_FORM!L491</f>
        <v/>
      </c>
      <c r="G491" s="23">
        <f t="array" ref="G491">IFERROR(INDEX(CONFIG!$A$22:$A$35,MATCH(F491,CONFIG!$B$22:$B$35,0)),0)</f>
        <v/>
      </c>
      <c r="H491" s="23">
        <f>INSCRITOS_FORM!M491</f>
        <v/>
      </c>
      <c r="I491" s="23">
        <f>INSCRITOS_FORM!O491</f>
        <v/>
      </c>
      <c r="J491" s="23">
        <f>INSCRITOS_FORM!J491</f>
        <v/>
      </c>
      <c r="K491" s="23">
        <f>INSCRITOS_FORM!K491</f>
        <v/>
      </c>
      <c r="L491" s="23">
        <f>INSCRITOS_FORM!U491</f>
        <v/>
      </c>
      <c r="M491" s="23">
        <f>INSCRITOS_FORM!V491</f>
        <v/>
      </c>
      <c r="N491" s="23">
        <f>INSCRITOS_FORM!W491</f>
        <v/>
      </c>
      <c r="O491" s="23">
        <f>INSCRITOS_FORM!X491</f>
        <v/>
      </c>
      <c r="P491" s="23">
        <f>INSCRITOS_FORM!AB491</f>
        <v/>
      </c>
      <c r="Q491" s="23">
        <f>IF(B491="","",IF(AND(OR(P491="Pagado",P491="Beca",P491="Invitado"),OR(L491="Sí",M491="Sí")),"Sí","No"))</f>
        <v/>
      </c>
      <c r="R491" s="23">
        <f>IF(AND(C491=TORNEO_ACTIVO!$B$3,Q491="Sí"),G491*10000-A491,-1)</f>
        <v/>
      </c>
    </row>
    <row r="492" ht="14.25" customHeight="1" s="72">
      <c r="A492" s="23">
        <f>IF(INSCRITOS_FORM!D492&lt;&gt;"",ROW()-4,"")</f>
        <v/>
      </c>
      <c r="B492" s="23">
        <f>INSCRITOS_FORM!AD492</f>
        <v/>
      </c>
      <c r="C492" s="23">
        <f>INSCRITOS_FORM!T492</f>
        <v/>
      </c>
      <c r="D492" s="23">
        <f>INSCRITOS_FORM!S492</f>
        <v/>
      </c>
      <c r="E492" s="23">
        <f>INSCRITOS_FORM!G492</f>
        <v/>
      </c>
      <c r="F492" s="23">
        <f>INSCRITOS_FORM!L492</f>
        <v/>
      </c>
      <c r="G492" s="23">
        <f t="array" ref="G492">IFERROR(INDEX(CONFIG!$A$22:$A$35,MATCH(F492,CONFIG!$B$22:$B$35,0)),0)</f>
        <v/>
      </c>
      <c r="H492" s="23">
        <f>INSCRITOS_FORM!M492</f>
        <v/>
      </c>
      <c r="I492" s="23">
        <f>INSCRITOS_FORM!O492</f>
        <v/>
      </c>
      <c r="J492" s="23">
        <f>INSCRITOS_FORM!J492</f>
        <v/>
      </c>
      <c r="K492" s="23">
        <f>INSCRITOS_FORM!K492</f>
        <v/>
      </c>
      <c r="L492" s="23">
        <f>INSCRITOS_FORM!U492</f>
        <v/>
      </c>
      <c r="M492" s="23">
        <f>INSCRITOS_FORM!V492</f>
        <v/>
      </c>
      <c r="N492" s="23">
        <f>INSCRITOS_FORM!W492</f>
        <v/>
      </c>
      <c r="O492" s="23">
        <f>INSCRITOS_FORM!X492</f>
        <v/>
      </c>
      <c r="P492" s="23">
        <f>INSCRITOS_FORM!AB492</f>
        <v/>
      </c>
      <c r="Q492" s="23">
        <f>IF(B492="","",IF(AND(OR(P492="Pagado",P492="Beca",P492="Invitado"),OR(L492="Sí",M492="Sí")),"Sí","No"))</f>
        <v/>
      </c>
      <c r="R492" s="23">
        <f>IF(AND(C492=TORNEO_ACTIVO!$B$3,Q492="Sí"),G492*10000-A492,-1)</f>
        <v/>
      </c>
    </row>
    <row r="493" ht="14.25" customHeight="1" s="72">
      <c r="A493" s="23">
        <f>IF(INSCRITOS_FORM!D493&lt;&gt;"",ROW()-4,"")</f>
        <v/>
      </c>
      <c r="B493" s="23">
        <f>INSCRITOS_FORM!AD493</f>
        <v/>
      </c>
      <c r="C493" s="23">
        <f>INSCRITOS_FORM!T493</f>
        <v/>
      </c>
      <c r="D493" s="23">
        <f>INSCRITOS_FORM!S493</f>
        <v/>
      </c>
      <c r="E493" s="23">
        <f>INSCRITOS_FORM!G493</f>
        <v/>
      </c>
      <c r="F493" s="23">
        <f>INSCRITOS_FORM!L493</f>
        <v/>
      </c>
      <c r="G493" s="23">
        <f t="array" ref="G493">IFERROR(INDEX(CONFIG!$A$22:$A$35,MATCH(F493,CONFIG!$B$22:$B$35,0)),0)</f>
        <v/>
      </c>
      <c r="H493" s="23">
        <f>INSCRITOS_FORM!M493</f>
        <v/>
      </c>
      <c r="I493" s="23">
        <f>INSCRITOS_FORM!O493</f>
        <v/>
      </c>
      <c r="J493" s="23">
        <f>INSCRITOS_FORM!J493</f>
        <v/>
      </c>
      <c r="K493" s="23">
        <f>INSCRITOS_FORM!K493</f>
        <v/>
      </c>
      <c r="L493" s="23">
        <f>INSCRITOS_FORM!U493</f>
        <v/>
      </c>
      <c r="M493" s="23">
        <f>INSCRITOS_FORM!V493</f>
        <v/>
      </c>
      <c r="N493" s="23">
        <f>INSCRITOS_FORM!W493</f>
        <v/>
      </c>
      <c r="O493" s="23">
        <f>INSCRITOS_FORM!X493</f>
        <v/>
      </c>
      <c r="P493" s="23">
        <f>INSCRITOS_FORM!AB493</f>
        <v/>
      </c>
      <c r="Q493" s="23">
        <f>IF(B493="","",IF(AND(OR(P493="Pagado",P493="Beca",P493="Invitado"),OR(L493="Sí",M493="Sí")),"Sí","No"))</f>
        <v/>
      </c>
      <c r="R493" s="23">
        <f>IF(AND(C493=TORNEO_ACTIVO!$B$3,Q493="Sí"),G493*10000-A493,-1)</f>
        <v/>
      </c>
    </row>
    <row r="494" ht="14.25" customHeight="1" s="72">
      <c r="A494" s="23">
        <f>IF(INSCRITOS_FORM!D494&lt;&gt;"",ROW()-4,"")</f>
        <v/>
      </c>
      <c r="B494" s="23">
        <f>INSCRITOS_FORM!AD494</f>
        <v/>
      </c>
      <c r="C494" s="23">
        <f>INSCRITOS_FORM!T494</f>
        <v/>
      </c>
      <c r="D494" s="23">
        <f>INSCRITOS_FORM!S494</f>
        <v/>
      </c>
      <c r="E494" s="23">
        <f>INSCRITOS_FORM!G494</f>
        <v/>
      </c>
      <c r="F494" s="23">
        <f>INSCRITOS_FORM!L494</f>
        <v/>
      </c>
      <c r="G494" s="23">
        <f t="array" ref="G494">IFERROR(INDEX(CONFIG!$A$22:$A$35,MATCH(F494,CONFIG!$B$22:$B$35,0)),0)</f>
        <v/>
      </c>
      <c r="H494" s="23">
        <f>INSCRITOS_FORM!M494</f>
        <v/>
      </c>
      <c r="I494" s="23">
        <f>INSCRITOS_FORM!O494</f>
        <v/>
      </c>
      <c r="J494" s="23">
        <f>INSCRITOS_FORM!J494</f>
        <v/>
      </c>
      <c r="K494" s="23">
        <f>INSCRITOS_FORM!K494</f>
        <v/>
      </c>
      <c r="L494" s="23">
        <f>INSCRITOS_FORM!U494</f>
        <v/>
      </c>
      <c r="M494" s="23">
        <f>INSCRITOS_FORM!V494</f>
        <v/>
      </c>
      <c r="N494" s="23">
        <f>INSCRITOS_FORM!W494</f>
        <v/>
      </c>
      <c r="O494" s="23">
        <f>INSCRITOS_FORM!X494</f>
        <v/>
      </c>
      <c r="P494" s="23">
        <f>INSCRITOS_FORM!AB494</f>
        <v/>
      </c>
      <c r="Q494" s="23">
        <f>IF(B494="","",IF(AND(OR(P494="Pagado",P494="Beca",P494="Invitado"),OR(L494="Sí",M494="Sí")),"Sí","No"))</f>
        <v/>
      </c>
      <c r="R494" s="23">
        <f>IF(AND(C494=TORNEO_ACTIVO!$B$3,Q494="Sí"),G494*10000-A494,-1)</f>
        <v/>
      </c>
    </row>
    <row r="495" ht="14.25" customHeight="1" s="72">
      <c r="A495" s="23">
        <f>IF(INSCRITOS_FORM!D495&lt;&gt;"",ROW()-4,"")</f>
        <v/>
      </c>
      <c r="B495" s="23">
        <f>INSCRITOS_FORM!AD495</f>
        <v/>
      </c>
      <c r="C495" s="23">
        <f>INSCRITOS_FORM!T495</f>
        <v/>
      </c>
      <c r="D495" s="23">
        <f>INSCRITOS_FORM!S495</f>
        <v/>
      </c>
      <c r="E495" s="23">
        <f>INSCRITOS_FORM!G495</f>
        <v/>
      </c>
      <c r="F495" s="23">
        <f>INSCRITOS_FORM!L495</f>
        <v/>
      </c>
      <c r="G495" s="23">
        <f t="array" ref="G495">IFERROR(INDEX(CONFIG!$A$22:$A$35,MATCH(F495,CONFIG!$B$22:$B$35,0)),0)</f>
        <v/>
      </c>
      <c r="H495" s="23">
        <f>INSCRITOS_FORM!M495</f>
        <v/>
      </c>
      <c r="I495" s="23">
        <f>INSCRITOS_FORM!O495</f>
        <v/>
      </c>
      <c r="J495" s="23">
        <f>INSCRITOS_FORM!J495</f>
        <v/>
      </c>
      <c r="K495" s="23">
        <f>INSCRITOS_FORM!K495</f>
        <v/>
      </c>
      <c r="L495" s="23">
        <f>INSCRITOS_FORM!U495</f>
        <v/>
      </c>
      <c r="M495" s="23">
        <f>INSCRITOS_FORM!V495</f>
        <v/>
      </c>
      <c r="N495" s="23">
        <f>INSCRITOS_FORM!W495</f>
        <v/>
      </c>
      <c r="O495" s="23">
        <f>INSCRITOS_FORM!X495</f>
        <v/>
      </c>
      <c r="P495" s="23">
        <f>INSCRITOS_FORM!AB495</f>
        <v/>
      </c>
      <c r="Q495" s="23">
        <f>IF(B495="","",IF(AND(OR(P495="Pagado",P495="Beca",P495="Invitado"),OR(L495="Sí",M495="Sí")),"Sí","No"))</f>
        <v/>
      </c>
      <c r="R495" s="23">
        <f>IF(AND(C495=TORNEO_ACTIVO!$B$3,Q495="Sí"),G495*10000-A495,-1)</f>
        <v/>
      </c>
    </row>
    <row r="496" ht="14.25" customHeight="1" s="72">
      <c r="A496" s="23">
        <f>IF(INSCRITOS_FORM!D496&lt;&gt;"",ROW()-4,"")</f>
        <v/>
      </c>
      <c r="B496" s="23">
        <f>INSCRITOS_FORM!AD496</f>
        <v/>
      </c>
      <c r="C496" s="23">
        <f>INSCRITOS_FORM!T496</f>
        <v/>
      </c>
      <c r="D496" s="23">
        <f>INSCRITOS_FORM!S496</f>
        <v/>
      </c>
      <c r="E496" s="23">
        <f>INSCRITOS_FORM!G496</f>
        <v/>
      </c>
      <c r="F496" s="23">
        <f>INSCRITOS_FORM!L496</f>
        <v/>
      </c>
      <c r="G496" s="23">
        <f t="array" ref="G496">IFERROR(INDEX(CONFIG!$A$22:$A$35,MATCH(F496,CONFIG!$B$22:$B$35,0)),0)</f>
        <v/>
      </c>
      <c r="H496" s="23">
        <f>INSCRITOS_FORM!M496</f>
        <v/>
      </c>
      <c r="I496" s="23">
        <f>INSCRITOS_FORM!O496</f>
        <v/>
      </c>
      <c r="J496" s="23">
        <f>INSCRITOS_FORM!J496</f>
        <v/>
      </c>
      <c r="K496" s="23">
        <f>INSCRITOS_FORM!K496</f>
        <v/>
      </c>
      <c r="L496" s="23">
        <f>INSCRITOS_FORM!U496</f>
        <v/>
      </c>
      <c r="M496" s="23">
        <f>INSCRITOS_FORM!V496</f>
        <v/>
      </c>
      <c r="N496" s="23">
        <f>INSCRITOS_FORM!W496</f>
        <v/>
      </c>
      <c r="O496" s="23">
        <f>INSCRITOS_FORM!X496</f>
        <v/>
      </c>
      <c r="P496" s="23">
        <f>INSCRITOS_FORM!AB496</f>
        <v/>
      </c>
      <c r="Q496" s="23">
        <f>IF(B496="","",IF(AND(OR(P496="Pagado",P496="Beca",P496="Invitado"),OR(L496="Sí",M496="Sí")),"Sí","No"))</f>
        <v/>
      </c>
      <c r="R496" s="23">
        <f>IF(AND(C496=TORNEO_ACTIVO!$B$3,Q496="Sí"),G496*10000-A496,-1)</f>
        <v/>
      </c>
    </row>
    <row r="497" ht="14.25" customHeight="1" s="72">
      <c r="A497" s="23">
        <f>IF(INSCRITOS_FORM!D497&lt;&gt;"",ROW()-4,"")</f>
        <v/>
      </c>
      <c r="B497" s="23">
        <f>INSCRITOS_FORM!AD497</f>
        <v/>
      </c>
      <c r="C497" s="23">
        <f>INSCRITOS_FORM!T497</f>
        <v/>
      </c>
      <c r="D497" s="23">
        <f>INSCRITOS_FORM!S497</f>
        <v/>
      </c>
      <c r="E497" s="23">
        <f>INSCRITOS_FORM!G497</f>
        <v/>
      </c>
      <c r="F497" s="23">
        <f>INSCRITOS_FORM!L497</f>
        <v/>
      </c>
      <c r="G497" s="23">
        <f t="array" ref="G497">IFERROR(INDEX(CONFIG!$A$22:$A$35,MATCH(F497,CONFIG!$B$22:$B$35,0)),0)</f>
        <v/>
      </c>
      <c r="H497" s="23">
        <f>INSCRITOS_FORM!M497</f>
        <v/>
      </c>
      <c r="I497" s="23">
        <f>INSCRITOS_FORM!O497</f>
        <v/>
      </c>
      <c r="J497" s="23">
        <f>INSCRITOS_FORM!J497</f>
        <v/>
      </c>
      <c r="K497" s="23">
        <f>INSCRITOS_FORM!K497</f>
        <v/>
      </c>
      <c r="L497" s="23">
        <f>INSCRITOS_FORM!U497</f>
        <v/>
      </c>
      <c r="M497" s="23">
        <f>INSCRITOS_FORM!V497</f>
        <v/>
      </c>
      <c r="N497" s="23">
        <f>INSCRITOS_FORM!W497</f>
        <v/>
      </c>
      <c r="O497" s="23">
        <f>INSCRITOS_FORM!X497</f>
        <v/>
      </c>
      <c r="P497" s="23">
        <f>INSCRITOS_FORM!AB497</f>
        <v/>
      </c>
      <c r="Q497" s="23">
        <f>IF(B497="","",IF(AND(OR(P497="Pagado",P497="Beca",P497="Invitado"),OR(L497="Sí",M497="Sí")),"Sí","No"))</f>
        <v/>
      </c>
      <c r="R497" s="23">
        <f>IF(AND(C497=TORNEO_ACTIVO!$B$3,Q497="Sí"),G497*10000-A497,-1)</f>
        <v/>
      </c>
    </row>
    <row r="498" ht="14.25" customHeight="1" s="72">
      <c r="A498" s="23">
        <f>IF(INSCRITOS_FORM!D498&lt;&gt;"",ROW()-4,"")</f>
        <v/>
      </c>
      <c r="B498" s="23">
        <f>INSCRITOS_FORM!AD498</f>
        <v/>
      </c>
      <c r="C498" s="23">
        <f>INSCRITOS_FORM!T498</f>
        <v/>
      </c>
      <c r="D498" s="23">
        <f>INSCRITOS_FORM!S498</f>
        <v/>
      </c>
      <c r="E498" s="23">
        <f>INSCRITOS_FORM!G498</f>
        <v/>
      </c>
      <c r="F498" s="23">
        <f>INSCRITOS_FORM!L498</f>
        <v/>
      </c>
      <c r="G498" s="23">
        <f t="array" ref="G498">IFERROR(INDEX(CONFIG!$A$22:$A$35,MATCH(F498,CONFIG!$B$22:$B$35,0)),0)</f>
        <v/>
      </c>
      <c r="H498" s="23">
        <f>INSCRITOS_FORM!M498</f>
        <v/>
      </c>
      <c r="I498" s="23">
        <f>INSCRITOS_FORM!O498</f>
        <v/>
      </c>
      <c r="J498" s="23">
        <f>INSCRITOS_FORM!J498</f>
        <v/>
      </c>
      <c r="K498" s="23">
        <f>INSCRITOS_FORM!K498</f>
        <v/>
      </c>
      <c r="L498" s="23">
        <f>INSCRITOS_FORM!U498</f>
        <v/>
      </c>
      <c r="M498" s="23">
        <f>INSCRITOS_FORM!V498</f>
        <v/>
      </c>
      <c r="N498" s="23">
        <f>INSCRITOS_FORM!W498</f>
        <v/>
      </c>
      <c r="O498" s="23">
        <f>INSCRITOS_FORM!X498</f>
        <v/>
      </c>
      <c r="P498" s="23">
        <f>INSCRITOS_FORM!AB498</f>
        <v/>
      </c>
      <c r="Q498" s="23">
        <f>IF(B498="","",IF(AND(OR(P498="Pagado",P498="Beca",P498="Invitado"),OR(L498="Sí",M498="Sí")),"Sí","No"))</f>
        <v/>
      </c>
      <c r="R498" s="23">
        <f>IF(AND(C498=TORNEO_ACTIVO!$B$3,Q498="Sí"),G498*10000-A498,-1)</f>
        <v/>
      </c>
    </row>
    <row r="499" ht="14.25" customHeight="1" s="72">
      <c r="A499" s="23">
        <f>IF(INSCRITOS_FORM!D499&lt;&gt;"",ROW()-4,"")</f>
        <v/>
      </c>
      <c r="B499" s="23">
        <f>INSCRITOS_FORM!AD499</f>
        <v/>
      </c>
      <c r="C499" s="23">
        <f>INSCRITOS_FORM!T499</f>
        <v/>
      </c>
      <c r="D499" s="23">
        <f>INSCRITOS_FORM!S499</f>
        <v/>
      </c>
      <c r="E499" s="23">
        <f>INSCRITOS_FORM!G499</f>
        <v/>
      </c>
      <c r="F499" s="23">
        <f>INSCRITOS_FORM!L499</f>
        <v/>
      </c>
      <c r="G499" s="23">
        <f t="array" ref="G499">IFERROR(INDEX(CONFIG!$A$22:$A$35,MATCH(F499,CONFIG!$B$22:$B$35,0)),0)</f>
        <v/>
      </c>
      <c r="H499" s="23">
        <f>INSCRITOS_FORM!M499</f>
        <v/>
      </c>
      <c r="I499" s="23">
        <f>INSCRITOS_FORM!O499</f>
        <v/>
      </c>
      <c r="J499" s="23">
        <f>INSCRITOS_FORM!J499</f>
        <v/>
      </c>
      <c r="K499" s="23">
        <f>INSCRITOS_FORM!K499</f>
        <v/>
      </c>
      <c r="L499" s="23">
        <f>INSCRITOS_FORM!U499</f>
        <v/>
      </c>
      <c r="M499" s="23">
        <f>INSCRITOS_FORM!V499</f>
        <v/>
      </c>
      <c r="N499" s="23">
        <f>INSCRITOS_FORM!W499</f>
        <v/>
      </c>
      <c r="O499" s="23">
        <f>INSCRITOS_FORM!X499</f>
        <v/>
      </c>
      <c r="P499" s="23">
        <f>INSCRITOS_FORM!AB499</f>
        <v/>
      </c>
      <c r="Q499" s="23">
        <f>IF(B499="","",IF(AND(OR(P499="Pagado",P499="Beca",P499="Invitado"),OR(L499="Sí",M499="Sí")),"Sí","No"))</f>
        <v/>
      </c>
      <c r="R499" s="23">
        <f>IF(AND(C499=TORNEO_ACTIVO!$B$3,Q499="Sí"),G499*10000-A499,-1)</f>
        <v/>
      </c>
    </row>
    <row r="500" ht="14.25" customHeight="1" s="72">
      <c r="A500" s="23">
        <f>IF(INSCRITOS_FORM!D500&lt;&gt;"",ROW()-4,"")</f>
        <v/>
      </c>
      <c r="B500" s="23">
        <f>INSCRITOS_FORM!AD500</f>
        <v/>
      </c>
      <c r="C500" s="23">
        <f>INSCRITOS_FORM!T500</f>
        <v/>
      </c>
      <c r="D500" s="23">
        <f>INSCRITOS_FORM!S500</f>
        <v/>
      </c>
      <c r="E500" s="23">
        <f>INSCRITOS_FORM!G500</f>
        <v/>
      </c>
      <c r="F500" s="23">
        <f>INSCRITOS_FORM!L500</f>
        <v/>
      </c>
      <c r="G500" s="23">
        <f t="array" ref="G500">IFERROR(INDEX(CONFIG!$A$22:$A$35,MATCH(F500,CONFIG!$B$22:$B$35,0)),0)</f>
        <v/>
      </c>
      <c r="H500" s="23">
        <f>INSCRITOS_FORM!M500</f>
        <v/>
      </c>
      <c r="I500" s="23">
        <f>INSCRITOS_FORM!O500</f>
        <v/>
      </c>
      <c r="J500" s="23">
        <f>INSCRITOS_FORM!J500</f>
        <v/>
      </c>
      <c r="K500" s="23">
        <f>INSCRITOS_FORM!K500</f>
        <v/>
      </c>
      <c r="L500" s="23">
        <f>INSCRITOS_FORM!U500</f>
        <v/>
      </c>
      <c r="M500" s="23">
        <f>INSCRITOS_FORM!V500</f>
        <v/>
      </c>
      <c r="N500" s="23">
        <f>INSCRITOS_FORM!W500</f>
        <v/>
      </c>
      <c r="O500" s="23">
        <f>INSCRITOS_FORM!X500</f>
        <v/>
      </c>
      <c r="P500" s="23">
        <f>INSCRITOS_FORM!AB500</f>
        <v/>
      </c>
      <c r="Q500" s="23">
        <f>IF(B500="","",IF(AND(OR(P500="Pagado",P500="Beca",P500="Invitado"),OR(L500="Sí",M500="Sí")),"Sí","No"))</f>
        <v/>
      </c>
      <c r="R500" s="23">
        <f>IF(AND(C500=TORNEO_ACTIVO!$B$3,Q500="Sí"),G500*10000-A500,-1)</f>
        <v/>
      </c>
    </row>
    <row r="501" ht="14.25" customHeight="1" s="72">
      <c r="A501" s="23">
        <f>IF(INSCRITOS_FORM!D501&lt;&gt;"",ROW()-4,"")</f>
        <v/>
      </c>
      <c r="B501" s="23">
        <f>INSCRITOS_FORM!AD501</f>
        <v/>
      </c>
      <c r="C501" s="23">
        <f>INSCRITOS_FORM!T501</f>
        <v/>
      </c>
      <c r="D501" s="23">
        <f>INSCRITOS_FORM!S501</f>
        <v/>
      </c>
      <c r="E501" s="23">
        <f>INSCRITOS_FORM!G501</f>
        <v/>
      </c>
      <c r="F501" s="23">
        <f>INSCRITOS_FORM!L501</f>
        <v/>
      </c>
      <c r="G501" s="23">
        <f t="array" ref="G501">IFERROR(INDEX(CONFIG!$A$22:$A$35,MATCH(F501,CONFIG!$B$22:$B$35,0)),0)</f>
        <v/>
      </c>
      <c r="H501" s="23">
        <f>INSCRITOS_FORM!M501</f>
        <v/>
      </c>
      <c r="I501" s="23">
        <f>INSCRITOS_FORM!O501</f>
        <v/>
      </c>
      <c r="J501" s="23">
        <f>INSCRITOS_FORM!J501</f>
        <v/>
      </c>
      <c r="K501" s="23">
        <f>INSCRITOS_FORM!K501</f>
        <v/>
      </c>
      <c r="L501" s="23">
        <f>INSCRITOS_FORM!U501</f>
        <v/>
      </c>
      <c r="M501" s="23">
        <f>INSCRITOS_FORM!V501</f>
        <v/>
      </c>
      <c r="N501" s="23">
        <f>INSCRITOS_FORM!W501</f>
        <v/>
      </c>
      <c r="O501" s="23">
        <f>INSCRITOS_FORM!X501</f>
        <v/>
      </c>
      <c r="P501" s="23">
        <f>INSCRITOS_FORM!AB501</f>
        <v/>
      </c>
      <c r="Q501" s="23">
        <f>IF(B501="","",IF(AND(OR(P501="Pagado",P501="Beca",P501="Invitado"),OR(L501="Sí",M501="Sí")),"Sí","No"))</f>
        <v/>
      </c>
      <c r="R501" s="23">
        <f>IF(AND(C501=TORNEO_ACTIVO!$B$3,Q501="Sí"),G501*10000-A501,-1)</f>
        <v/>
      </c>
    </row>
    <row r="502" ht="14.25" customHeight="1" s="72">
      <c r="A502" s="23">
        <f>IF(INSCRITOS_FORM!D502&lt;&gt;"",ROW()-4,"")</f>
        <v/>
      </c>
      <c r="B502" s="23">
        <f>INSCRITOS_FORM!AD502</f>
        <v/>
      </c>
      <c r="C502" s="23">
        <f>INSCRITOS_FORM!T502</f>
        <v/>
      </c>
      <c r="D502" s="23">
        <f>INSCRITOS_FORM!S502</f>
        <v/>
      </c>
      <c r="E502" s="23">
        <f>INSCRITOS_FORM!G502</f>
        <v/>
      </c>
      <c r="F502" s="23">
        <f>INSCRITOS_FORM!L502</f>
        <v/>
      </c>
      <c r="G502" s="23">
        <f t="array" ref="G502">IFERROR(INDEX(CONFIG!$A$22:$A$35,MATCH(F502,CONFIG!$B$22:$B$35,0)),0)</f>
        <v/>
      </c>
      <c r="H502" s="23">
        <f>INSCRITOS_FORM!M502</f>
        <v/>
      </c>
      <c r="I502" s="23">
        <f>INSCRITOS_FORM!O502</f>
        <v/>
      </c>
      <c r="J502" s="23">
        <f>INSCRITOS_FORM!J502</f>
        <v/>
      </c>
      <c r="K502" s="23">
        <f>INSCRITOS_FORM!K502</f>
        <v/>
      </c>
      <c r="L502" s="23">
        <f>INSCRITOS_FORM!U502</f>
        <v/>
      </c>
      <c r="M502" s="23">
        <f>INSCRITOS_FORM!V502</f>
        <v/>
      </c>
      <c r="N502" s="23">
        <f>INSCRITOS_FORM!W502</f>
        <v/>
      </c>
      <c r="O502" s="23">
        <f>INSCRITOS_FORM!X502</f>
        <v/>
      </c>
      <c r="P502" s="23">
        <f>INSCRITOS_FORM!AB502</f>
        <v/>
      </c>
      <c r="Q502" s="23">
        <f>IF(B502="","",IF(AND(OR(P502="Pagado",P502="Beca",P502="Invitado"),OR(L502="Sí",M502="Sí")),"Sí","No"))</f>
        <v/>
      </c>
      <c r="R502" s="23">
        <f>IF(AND(C502=TORNEO_ACTIVO!$B$3,Q502="Sí"),G502*10000-A502,-1)</f>
        <v/>
      </c>
    </row>
    <row r="503" ht="14.25" customHeight="1" s="72">
      <c r="A503" s="23">
        <f>IF(INSCRITOS_FORM!D503&lt;&gt;"",ROW()-4,"")</f>
        <v/>
      </c>
      <c r="B503" s="23">
        <f>INSCRITOS_FORM!AD503</f>
        <v/>
      </c>
      <c r="C503" s="23">
        <f>INSCRITOS_FORM!T503</f>
        <v/>
      </c>
      <c r="D503" s="23">
        <f>INSCRITOS_FORM!S503</f>
        <v/>
      </c>
      <c r="E503" s="23">
        <f>INSCRITOS_FORM!G503</f>
        <v/>
      </c>
      <c r="F503" s="23">
        <f>INSCRITOS_FORM!L503</f>
        <v/>
      </c>
      <c r="G503" s="23">
        <f t="array" ref="G503">IFERROR(INDEX(CONFIG!$A$22:$A$35,MATCH(F503,CONFIG!$B$22:$B$35,0)),0)</f>
        <v/>
      </c>
      <c r="H503" s="23">
        <f>INSCRITOS_FORM!M503</f>
        <v/>
      </c>
      <c r="I503" s="23">
        <f>INSCRITOS_FORM!O503</f>
        <v/>
      </c>
      <c r="J503" s="23">
        <f>INSCRITOS_FORM!J503</f>
        <v/>
      </c>
      <c r="K503" s="23">
        <f>INSCRITOS_FORM!K503</f>
        <v/>
      </c>
      <c r="L503" s="23">
        <f>INSCRITOS_FORM!U503</f>
        <v/>
      </c>
      <c r="M503" s="23">
        <f>INSCRITOS_FORM!V503</f>
        <v/>
      </c>
      <c r="N503" s="23">
        <f>INSCRITOS_FORM!W503</f>
        <v/>
      </c>
      <c r="O503" s="23">
        <f>INSCRITOS_FORM!X503</f>
        <v/>
      </c>
      <c r="P503" s="23">
        <f>INSCRITOS_FORM!AB503</f>
        <v/>
      </c>
      <c r="Q503" s="23">
        <f>IF(B503="","",IF(AND(OR(P503="Pagado",P503="Beca",P503="Invitado"),OR(L503="Sí",M503="Sí")),"Sí","No"))</f>
        <v/>
      </c>
      <c r="R503" s="23">
        <f>IF(AND(C503=TORNEO_ACTIVO!$B$3,Q503="Sí"),G503*10000-A503,-1)</f>
        <v/>
      </c>
    </row>
    <row r="504" ht="14.25" customHeight="1" s="72">
      <c r="A504" s="23">
        <f>IF(INSCRITOS_FORM!D504&lt;&gt;"",ROW()-4,"")</f>
        <v/>
      </c>
      <c r="B504" s="23">
        <f>INSCRITOS_FORM!AD504</f>
        <v/>
      </c>
      <c r="C504" s="23">
        <f>INSCRITOS_FORM!T504</f>
        <v/>
      </c>
      <c r="D504" s="23">
        <f>INSCRITOS_FORM!S504</f>
        <v/>
      </c>
      <c r="E504" s="23">
        <f>INSCRITOS_FORM!G504</f>
        <v/>
      </c>
      <c r="F504" s="23">
        <f>INSCRITOS_FORM!L504</f>
        <v/>
      </c>
      <c r="G504" s="23">
        <f t="array" ref="G504">IFERROR(INDEX(CONFIG!$A$22:$A$35,MATCH(F504,CONFIG!$B$22:$B$35,0)),0)</f>
        <v/>
      </c>
      <c r="H504" s="23">
        <f>INSCRITOS_FORM!M504</f>
        <v/>
      </c>
      <c r="I504" s="23">
        <f>INSCRITOS_FORM!O504</f>
        <v/>
      </c>
      <c r="J504" s="23">
        <f>INSCRITOS_FORM!J504</f>
        <v/>
      </c>
      <c r="K504" s="23">
        <f>INSCRITOS_FORM!K504</f>
        <v/>
      </c>
      <c r="L504" s="23">
        <f>INSCRITOS_FORM!U504</f>
        <v/>
      </c>
      <c r="M504" s="23">
        <f>INSCRITOS_FORM!V504</f>
        <v/>
      </c>
      <c r="N504" s="23">
        <f>INSCRITOS_FORM!W504</f>
        <v/>
      </c>
      <c r="O504" s="23">
        <f>INSCRITOS_FORM!X504</f>
        <v/>
      </c>
      <c r="P504" s="23">
        <f>INSCRITOS_FORM!AB504</f>
        <v/>
      </c>
      <c r="Q504" s="23">
        <f>IF(B504="","",IF(AND(OR(P504="Pagado",P504="Beca",P504="Invitado"),OR(L504="Sí",M504="Sí")),"Sí","No"))</f>
        <v/>
      </c>
      <c r="R504" s="23">
        <f>IF(AND(C504=TORNEO_ACTIVO!$B$3,Q504="Sí"),G504*10000-A504,-1)</f>
        <v/>
      </c>
    </row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1">
    <mergeCell ref="A1:Q1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" customWidth="1" style="72" min="1" max="1"/>
    <col width="36" customWidth="1" style="72" min="2" max="2"/>
    <col width="10" customWidth="1" style="72" min="3" max="4"/>
    <col width="9" customWidth="1" style="72" min="5" max="5"/>
    <col width="12" customWidth="1" style="72" min="6" max="6"/>
    <col width="14" customWidth="1" style="72" min="7" max="7"/>
    <col width="7" customWidth="1" style="72" min="8" max="8"/>
    <col width="18" customWidth="1" style="72" min="9" max="9"/>
    <col width="10" customWidth="1" style="72" min="10" max="10"/>
    <col width="22" customWidth="1" style="72" min="11" max="11"/>
    <col width="8.710000000000001" customWidth="1" style="72" min="12" max="26"/>
  </cols>
  <sheetData>
    <row r="1" ht="25.5" customHeight="1" s="72">
      <c r="A1" s="74" t="inlineStr">
        <is>
          <t>LLAVES_INDEX · Catálogo de las 22 llaves</t>
        </is>
      </c>
    </row>
    <row r="2" ht="14.25" customHeight="1" s="72"/>
    <row r="3" ht="14.25" customHeight="1" s="72"/>
    <row r="4" ht="14.25" customHeight="1" s="72">
      <c r="A4" s="15" t="inlineStr">
        <is>
          <t>ID</t>
        </is>
      </c>
      <c r="B4" s="15" t="inlineStr">
        <is>
          <t>Categoría</t>
        </is>
      </c>
      <c r="C4" s="15" t="inlineStr">
        <is>
          <t>Tipo</t>
        </is>
      </c>
      <c r="D4" s="15" t="inlineStr">
        <is>
          <t>Inscritos</t>
        </is>
      </c>
      <c r="E4" s="15" t="inlineStr">
        <is>
          <t>Activos</t>
        </is>
      </c>
      <c r="F4" s="15" t="inlineStr">
        <is>
          <t>Tamaño llave</t>
        </is>
      </c>
      <c r="G4" s="15" t="inlineStr">
        <is>
          <t>Ronda inicial</t>
        </is>
      </c>
      <c r="H4" s="15" t="inlineStr">
        <is>
          <t>BYEs</t>
        </is>
      </c>
      <c r="I4" s="15" t="inlineStr">
        <is>
          <t>Estado</t>
        </is>
      </c>
      <c r="J4" s="15" t="inlineStr">
        <is>
          <t>Mesa</t>
        </is>
      </c>
      <c r="K4" s="15" t="inlineStr">
        <is>
          <t>Observaciones</t>
        </is>
      </c>
    </row>
    <row r="5" ht="14.25" customHeight="1" s="72">
      <c r="A5" s="27" t="inlineStr">
        <is>
          <t>L01</t>
        </is>
      </c>
      <c r="B5" s="11" t="inlineStr">
        <is>
          <t>Infantil · Masculino</t>
        </is>
      </c>
      <c r="C5" s="16" t="inlineStr">
        <is>
          <t>Jogo</t>
        </is>
      </c>
      <c r="D5" s="30">
        <f>COUNTIFS(PARTICIPANTES!$C$5:$C$504,$A5,PARTICIPANTES!$L$5:$L$504,"Sí")</f>
        <v/>
      </c>
      <c r="E5" s="30">
        <f>COUNTIFS(PARTICIPANTES!$C$5:$C$504,$A5,PARTICIPANTES!$L$5:$L$504,"Sí",PARTICIPANTES!$Q$5:$Q$504,"Sí")</f>
        <v/>
      </c>
      <c r="F5" s="30">
        <f>IF(E5&lt;=1,"-",IF(E5&lt;=4,4,IF(E5&lt;=8,8,IF(E5&lt;=16,16,32))))</f>
        <v/>
      </c>
      <c r="G5" s="30">
        <f>IF(F5=4,"Final",IF(F5=8,"Semifinal",IF(F5=16,"Octavas",IF(F5=32,"Eliminatoria","-"))))</f>
        <v/>
      </c>
      <c r="H5" s="30">
        <f>IF(OR(F5="-",E5=0),0,F5-E5)</f>
        <v/>
      </c>
      <c r="I5" s="30">
        <f>IF(E5=0,"⚪ Sin inscritos",IF(E5=1,"⚠ Solo 1 inscrito",IF(E5&lt;4,"🟡 Pocos inscritos","🟢 Lista")))</f>
        <v/>
      </c>
      <c r="J5" s="22" t="n"/>
      <c r="K5" s="22" t="n"/>
    </row>
    <row r="6" ht="14.25" customHeight="1" s="72">
      <c r="A6" s="27" t="inlineStr">
        <is>
          <t>L02</t>
        </is>
      </c>
      <c r="B6" s="11" t="inlineStr">
        <is>
          <t>Infantil · Femenino</t>
        </is>
      </c>
      <c r="C6" s="16" t="inlineStr">
        <is>
          <t>Jogo</t>
        </is>
      </c>
      <c r="D6" s="30">
        <f>COUNTIFS(PARTICIPANTES!$C$5:$C$504,$A6,PARTICIPANTES!$L$5:$L$504,"Sí")</f>
        <v/>
      </c>
      <c r="E6" s="30">
        <f>COUNTIFS(PARTICIPANTES!$C$5:$C$504,$A6,PARTICIPANTES!$L$5:$L$504,"Sí",PARTICIPANTES!$Q$5:$Q$504,"Sí")</f>
        <v/>
      </c>
      <c r="F6" s="30">
        <f>IF(E6&lt;=1,"-",IF(E6&lt;=4,4,IF(E6&lt;=8,8,IF(E6&lt;=16,16,32))))</f>
        <v/>
      </c>
      <c r="G6" s="30">
        <f>IF(F6=4,"Final",IF(F6=8,"Semifinal",IF(F6=16,"Octavas",IF(F6=32,"Eliminatoria","-"))))</f>
        <v/>
      </c>
      <c r="H6" s="30">
        <f>IF(OR(F6="-",E6=0),0,F6-E6)</f>
        <v/>
      </c>
      <c r="I6" s="30">
        <f>IF(E6=0,"⚪ Sin inscritos",IF(E6=1,"⚠ Solo 1 inscrito",IF(E6&lt;4,"🟡 Pocos inscritos","🟢 Lista")))</f>
        <v/>
      </c>
      <c r="J6" s="22" t="n"/>
      <c r="K6" s="22" t="n"/>
    </row>
    <row r="7" ht="14.25" customHeight="1" s="72">
      <c r="A7" s="27" t="inlineStr">
        <is>
          <t>L03</t>
        </is>
      </c>
      <c r="B7" s="11" t="inlineStr">
        <is>
          <t>Juvenil · Masculino</t>
        </is>
      </c>
      <c r="C7" s="16" t="inlineStr">
        <is>
          <t>Jogo</t>
        </is>
      </c>
      <c r="D7" s="30">
        <f>COUNTIFS(PARTICIPANTES!$C$5:$C$504,$A7,PARTICIPANTES!$L$5:$L$504,"Sí")</f>
        <v/>
      </c>
      <c r="E7" s="30">
        <f>COUNTIFS(PARTICIPANTES!$C$5:$C$504,$A7,PARTICIPANTES!$L$5:$L$504,"Sí",PARTICIPANTES!$Q$5:$Q$504,"Sí")</f>
        <v/>
      </c>
      <c r="F7" s="30">
        <f>IF(E7&lt;=1,"-",IF(E7&lt;=4,4,IF(E7&lt;=8,8,IF(E7&lt;=16,16,32))))</f>
        <v/>
      </c>
      <c r="G7" s="30">
        <f>IF(F7=4,"Final",IF(F7=8,"Semifinal",IF(F7=16,"Octavas",IF(F7=32,"Eliminatoria","-"))))</f>
        <v/>
      </c>
      <c r="H7" s="30">
        <f>IF(OR(F7="-",E7=0),0,F7-E7)</f>
        <v/>
      </c>
      <c r="I7" s="30">
        <f>IF(E7=0,"⚪ Sin inscritos",IF(E7=1,"⚠ Solo 1 inscrito",IF(E7&lt;4,"🟡 Pocos inscritos","🟢 Lista")))</f>
        <v/>
      </c>
      <c r="J7" s="22" t="n"/>
      <c r="K7" s="22" t="n"/>
    </row>
    <row r="8" ht="14.25" customHeight="1" s="72">
      <c r="A8" s="27" t="inlineStr">
        <is>
          <t>L04</t>
        </is>
      </c>
      <c r="B8" s="11" t="inlineStr">
        <is>
          <t>Juvenil · Femenino</t>
        </is>
      </c>
      <c r="C8" s="16" t="inlineStr">
        <is>
          <t>Jogo</t>
        </is>
      </c>
      <c r="D8" s="30">
        <f>COUNTIFS(PARTICIPANTES!$C$5:$C$504,$A8,PARTICIPANTES!$L$5:$L$504,"Sí")</f>
        <v/>
      </c>
      <c r="E8" s="30">
        <f>COUNTIFS(PARTICIPANTES!$C$5:$C$504,$A8,PARTICIPANTES!$L$5:$L$504,"Sí",PARTICIPANTES!$Q$5:$Q$504,"Sí")</f>
        <v/>
      </c>
      <c r="F8" s="30">
        <f>IF(E8&lt;=1,"-",IF(E8&lt;=4,4,IF(E8&lt;=8,8,IF(E8&lt;=16,16,32))))</f>
        <v/>
      </c>
      <c r="G8" s="30">
        <f>IF(F8=4,"Final",IF(F8=8,"Semifinal",IF(F8=16,"Octavas",IF(F8=32,"Eliminatoria","-"))))</f>
        <v/>
      </c>
      <c r="H8" s="30">
        <f>IF(OR(F8="-",E8=0),0,F8-E8)</f>
        <v/>
      </c>
      <c r="I8" s="30">
        <f>IF(E8=0,"⚪ Sin inscritos",IF(E8=1,"⚠ Solo 1 inscrito",IF(E8&lt;4,"🟡 Pocos inscritos","🟢 Lista")))</f>
        <v/>
      </c>
      <c r="J8" s="22" t="n"/>
      <c r="K8" s="22" t="n"/>
    </row>
    <row r="9" ht="14.25" customHeight="1" s="72">
      <c r="A9" s="27" t="inlineStr">
        <is>
          <t>L05</t>
        </is>
      </c>
      <c r="B9" s="11" t="inlineStr">
        <is>
          <t>Adulto-A · Masculino</t>
        </is>
      </c>
      <c r="C9" s="16" t="inlineStr">
        <is>
          <t>Jogo</t>
        </is>
      </c>
      <c r="D9" s="30">
        <f>COUNTIFS(PARTICIPANTES!$C$5:$C$504,$A9,PARTICIPANTES!$L$5:$L$504,"Sí")</f>
        <v/>
      </c>
      <c r="E9" s="30">
        <f>COUNTIFS(PARTICIPANTES!$C$5:$C$504,$A9,PARTICIPANTES!$L$5:$L$504,"Sí",PARTICIPANTES!$Q$5:$Q$504,"Sí")</f>
        <v/>
      </c>
      <c r="F9" s="30">
        <f>IF(E9&lt;=1,"-",IF(E9&lt;=4,4,IF(E9&lt;=8,8,IF(E9&lt;=16,16,32))))</f>
        <v/>
      </c>
      <c r="G9" s="30">
        <f>IF(F9=4,"Final",IF(F9=8,"Semifinal",IF(F9=16,"Octavas",IF(F9=32,"Eliminatoria","-"))))</f>
        <v/>
      </c>
      <c r="H9" s="30">
        <f>IF(OR(F9="-",E9=0),0,F9-E9)</f>
        <v/>
      </c>
      <c r="I9" s="30">
        <f>IF(E9=0,"⚪ Sin inscritos",IF(E9=1,"⚠ Solo 1 inscrito",IF(E9&lt;4,"🟡 Pocos inscritos","🟢 Lista")))</f>
        <v/>
      </c>
      <c r="J9" s="22" t="n"/>
      <c r="K9" s="22" t="n"/>
    </row>
    <row r="10" ht="14.25" customHeight="1" s="72">
      <c r="A10" s="27" t="inlineStr">
        <is>
          <t>L06</t>
        </is>
      </c>
      <c r="B10" s="11" t="inlineStr">
        <is>
          <t>Adulto-A · Femenino</t>
        </is>
      </c>
      <c r="C10" s="16" t="inlineStr">
        <is>
          <t>Jogo</t>
        </is>
      </c>
      <c r="D10" s="30">
        <f>COUNTIFS(PARTICIPANTES!$C$5:$C$504,$A10,PARTICIPANTES!$L$5:$L$504,"Sí")</f>
        <v/>
      </c>
      <c r="E10" s="30">
        <f>COUNTIFS(PARTICIPANTES!$C$5:$C$504,$A10,PARTICIPANTES!$L$5:$L$504,"Sí",PARTICIPANTES!$Q$5:$Q$504,"Sí")</f>
        <v/>
      </c>
      <c r="F10" s="30">
        <f>IF(E10&lt;=1,"-",IF(E10&lt;=4,4,IF(E10&lt;=8,8,IF(E10&lt;=16,16,32))))</f>
        <v/>
      </c>
      <c r="G10" s="30">
        <f>IF(F10=4,"Final",IF(F10=8,"Semifinal",IF(F10=16,"Octavas",IF(F10=32,"Eliminatoria","-"))))</f>
        <v/>
      </c>
      <c r="H10" s="30">
        <f>IF(OR(F10="-",E10=0),0,F10-E10)</f>
        <v/>
      </c>
      <c r="I10" s="30">
        <f>IF(E10=0,"⚪ Sin inscritos",IF(E10=1,"⚠ Solo 1 inscrito",IF(E10&lt;4,"🟡 Pocos inscritos","🟢 Lista")))</f>
        <v/>
      </c>
      <c r="J10" s="22" t="n"/>
      <c r="K10" s="22" t="n"/>
    </row>
    <row r="11" ht="14.25" customHeight="1" s="72">
      <c r="A11" s="27" t="inlineStr">
        <is>
          <t>L07</t>
        </is>
      </c>
      <c r="B11" s="11" t="inlineStr">
        <is>
          <t>Adulto-B · Masculino</t>
        </is>
      </c>
      <c r="C11" s="16" t="inlineStr">
        <is>
          <t>Jogo</t>
        </is>
      </c>
      <c r="D11" s="30">
        <f>COUNTIFS(PARTICIPANTES!$C$5:$C$504,$A11,PARTICIPANTES!$L$5:$L$504,"Sí")</f>
        <v/>
      </c>
      <c r="E11" s="30">
        <f>COUNTIFS(PARTICIPANTES!$C$5:$C$504,$A11,PARTICIPANTES!$L$5:$L$504,"Sí",PARTICIPANTES!$Q$5:$Q$504,"Sí")</f>
        <v/>
      </c>
      <c r="F11" s="30">
        <f>IF(E11&lt;=1,"-",IF(E11&lt;=4,4,IF(E11&lt;=8,8,IF(E11&lt;=16,16,32))))</f>
        <v/>
      </c>
      <c r="G11" s="30">
        <f>IF(F11=4,"Final",IF(F11=8,"Semifinal",IF(F11=16,"Octavas",IF(F11=32,"Eliminatoria","-"))))</f>
        <v/>
      </c>
      <c r="H11" s="30">
        <f>IF(OR(F11="-",E11=0),0,F11-E11)</f>
        <v/>
      </c>
      <c r="I11" s="30">
        <f>IF(E11=0,"⚪ Sin inscritos",IF(E11=1,"⚠ Solo 1 inscrito",IF(E11&lt;4,"🟡 Pocos inscritos","🟢 Lista")))</f>
        <v/>
      </c>
      <c r="J11" s="22" t="n"/>
      <c r="K11" s="22" t="n"/>
    </row>
    <row r="12" ht="14.25" customHeight="1" s="72">
      <c r="A12" s="27" t="inlineStr">
        <is>
          <t>L08</t>
        </is>
      </c>
      <c r="B12" s="11" t="inlineStr">
        <is>
          <t>Adulto-B · Femenino</t>
        </is>
      </c>
      <c r="C12" s="16" t="inlineStr">
        <is>
          <t>Jogo</t>
        </is>
      </c>
      <c r="D12" s="30">
        <f>COUNTIFS(PARTICIPANTES!$C$5:$C$504,$A12,PARTICIPANTES!$L$5:$L$504,"Sí")</f>
        <v/>
      </c>
      <c r="E12" s="30">
        <f>COUNTIFS(PARTICIPANTES!$C$5:$C$504,$A12,PARTICIPANTES!$L$5:$L$504,"Sí",PARTICIPANTES!$Q$5:$Q$504,"Sí")</f>
        <v/>
      </c>
      <c r="F12" s="30">
        <f>IF(E12&lt;=1,"-",IF(E12&lt;=4,4,IF(E12&lt;=8,8,IF(E12&lt;=16,16,32))))</f>
        <v/>
      </c>
      <c r="G12" s="30">
        <f>IF(F12=4,"Final",IF(F12=8,"Semifinal",IF(F12=16,"Octavas",IF(F12=32,"Eliminatoria","-"))))</f>
        <v/>
      </c>
      <c r="H12" s="30">
        <f>IF(OR(F12="-",E12=0),0,F12-E12)</f>
        <v/>
      </c>
      <c r="I12" s="30">
        <f>IF(E12=0,"⚪ Sin inscritos",IF(E12=1,"⚠ Solo 1 inscrito",IF(E12&lt;4,"🟡 Pocos inscritos","🟢 Lista")))</f>
        <v/>
      </c>
      <c r="J12" s="22" t="n"/>
      <c r="K12" s="22" t="n"/>
    </row>
    <row r="13" ht="14.25" customHeight="1" s="72">
      <c r="A13" s="27" t="inlineStr">
        <is>
          <t>L09</t>
        </is>
      </c>
      <c r="B13" s="11" t="inlineStr">
        <is>
          <t>Adulto-C · Masculino</t>
        </is>
      </c>
      <c r="C13" s="16" t="inlineStr">
        <is>
          <t>Jogo</t>
        </is>
      </c>
      <c r="D13" s="30">
        <f>COUNTIFS(PARTICIPANTES!$C$5:$C$504,$A13,PARTICIPANTES!$L$5:$L$504,"Sí")</f>
        <v/>
      </c>
      <c r="E13" s="30">
        <f>COUNTIFS(PARTICIPANTES!$C$5:$C$504,$A13,PARTICIPANTES!$L$5:$L$504,"Sí",PARTICIPANTES!$Q$5:$Q$504,"Sí")</f>
        <v/>
      </c>
      <c r="F13" s="30">
        <f>IF(E13&lt;=1,"-",IF(E13&lt;=4,4,IF(E13&lt;=8,8,IF(E13&lt;=16,16,32))))</f>
        <v/>
      </c>
      <c r="G13" s="30">
        <f>IF(F13=4,"Final",IF(F13=8,"Semifinal",IF(F13=16,"Octavas",IF(F13=32,"Eliminatoria","-"))))</f>
        <v/>
      </c>
      <c r="H13" s="30">
        <f>IF(OR(F13="-",E13=0),0,F13-E13)</f>
        <v/>
      </c>
      <c r="I13" s="30">
        <f>IF(E13=0,"⚪ Sin inscritos",IF(E13=1,"⚠ Solo 1 inscrito",IF(E13&lt;4,"🟡 Pocos inscritos","🟢 Lista")))</f>
        <v/>
      </c>
      <c r="J13" s="22" t="n"/>
      <c r="K13" s="22" t="n"/>
    </row>
    <row r="14" ht="14.25" customHeight="1" s="72">
      <c r="A14" s="27" t="inlineStr">
        <is>
          <t>L10</t>
        </is>
      </c>
      <c r="B14" s="11" t="inlineStr">
        <is>
          <t>Adulto-C · Femenino</t>
        </is>
      </c>
      <c r="C14" s="16" t="inlineStr">
        <is>
          <t>Jogo</t>
        </is>
      </c>
      <c r="D14" s="30">
        <f>COUNTIFS(PARTICIPANTES!$C$5:$C$504,$A14,PARTICIPANTES!$L$5:$L$504,"Sí")</f>
        <v/>
      </c>
      <c r="E14" s="30">
        <f>COUNTIFS(PARTICIPANTES!$C$5:$C$504,$A14,PARTICIPANTES!$L$5:$L$504,"Sí",PARTICIPANTES!$Q$5:$Q$504,"Sí")</f>
        <v/>
      </c>
      <c r="F14" s="30">
        <f>IF(E14&lt;=1,"-",IF(E14&lt;=4,4,IF(E14&lt;=8,8,IF(E14&lt;=16,16,32))))</f>
        <v/>
      </c>
      <c r="G14" s="30">
        <f>IF(F14=4,"Final",IF(F14=8,"Semifinal",IF(F14=16,"Octavas",IF(F14=32,"Eliminatoria","-"))))</f>
        <v/>
      </c>
      <c r="H14" s="30">
        <f>IF(OR(F14="-",E14=0),0,F14-E14)</f>
        <v/>
      </c>
      <c r="I14" s="30">
        <f>IF(E14=0,"⚪ Sin inscritos",IF(E14=1,"⚠ Solo 1 inscrito",IF(E14&lt;4,"🟡 Pocos inscritos","🟢 Lista")))</f>
        <v/>
      </c>
      <c r="J14" s="22" t="n"/>
      <c r="K14" s="22" t="n"/>
    </row>
    <row r="15" ht="14.25" customHeight="1" s="72">
      <c r="A15" s="27" t="inlineStr">
        <is>
          <t>L11</t>
        </is>
      </c>
      <c r="B15" s="11" t="inlineStr">
        <is>
          <t>Adulto-D · Masculino</t>
        </is>
      </c>
      <c r="C15" s="16" t="inlineStr">
        <is>
          <t>Jogo</t>
        </is>
      </c>
      <c r="D15" s="30">
        <f>COUNTIFS(PARTICIPANTES!$C$5:$C$504,$A15,PARTICIPANTES!$L$5:$L$504,"Sí")</f>
        <v/>
      </c>
      <c r="E15" s="30">
        <f>COUNTIFS(PARTICIPANTES!$C$5:$C$504,$A15,PARTICIPANTES!$L$5:$L$504,"Sí",PARTICIPANTES!$Q$5:$Q$504,"Sí")</f>
        <v/>
      </c>
      <c r="F15" s="30">
        <f>IF(E15&lt;=1,"-",IF(E15&lt;=4,4,IF(E15&lt;=8,8,IF(E15&lt;=16,16,32))))</f>
        <v/>
      </c>
      <c r="G15" s="30">
        <f>IF(F15=4,"Final",IF(F15=8,"Semifinal",IF(F15=16,"Octavas",IF(F15=32,"Eliminatoria","-"))))</f>
        <v/>
      </c>
      <c r="H15" s="30">
        <f>IF(OR(F15="-",E15=0),0,F15-E15)</f>
        <v/>
      </c>
      <c r="I15" s="30">
        <f>IF(E15=0,"⚪ Sin inscritos",IF(E15=1,"⚠ Solo 1 inscrito",IF(E15&lt;4,"🟡 Pocos inscritos","🟢 Lista")))</f>
        <v/>
      </c>
      <c r="J15" s="22" t="n"/>
      <c r="K15" s="22" t="n"/>
    </row>
    <row r="16" ht="14.25" customHeight="1" s="72">
      <c r="A16" s="27" t="inlineStr">
        <is>
          <t>L12</t>
        </is>
      </c>
      <c r="B16" s="11" t="inlineStr">
        <is>
          <t>Adulto-D · Femenino</t>
        </is>
      </c>
      <c r="C16" s="16" t="inlineStr">
        <is>
          <t>Jogo</t>
        </is>
      </c>
      <c r="D16" s="30">
        <f>COUNTIFS(PARTICIPANTES!$C$5:$C$504,$A16,PARTICIPANTES!$L$5:$L$504,"Sí")</f>
        <v/>
      </c>
      <c r="E16" s="30">
        <f>COUNTIFS(PARTICIPANTES!$C$5:$C$504,$A16,PARTICIPANTES!$L$5:$L$504,"Sí",PARTICIPANTES!$Q$5:$Q$504,"Sí")</f>
        <v/>
      </c>
      <c r="F16" s="30">
        <f>IF(E16&lt;=1,"-",IF(E16&lt;=4,4,IF(E16&lt;=8,8,IF(E16&lt;=16,16,32))))</f>
        <v/>
      </c>
      <c r="G16" s="30">
        <f>IF(F16=4,"Final",IF(F16=8,"Semifinal",IF(F16=16,"Octavas",IF(F16=32,"Eliminatoria","-"))))</f>
        <v/>
      </c>
      <c r="H16" s="30">
        <f>IF(OR(F16="-",E16=0),0,F16-E16)</f>
        <v/>
      </c>
      <c r="I16" s="30">
        <f>IF(E16=0,"⚪ Sin inscritos",IF(E16=1,"⚠ Solo 1 inscrito",IF(E16&lt;4,"🟡 Pocos inscritos","🟢 Lista")))</f>
        <v/>
      </c>
      <c r="J16" s="22" t="n"/>
      <c r="K16" s="22" t="n"/>
    </row>
    <row r="17" ht="14.25" customHeight="1" s="72">
      <c r="A17" s="27" t="inlineStr">
        <is>
          <t>L13</t>
        </is>
      </c>
      <c r="B17" s="11" t="inlineStr">
        <is>
          <t>Adulto-E · Masculino</t>
        </is>
      </c>
      <c r="C17" s="16" t="inlineStr">
        <is>
          <t>Jogo</t>
        </is>
      </c>
      <c r="D17" s="30">
        <f>COUNTIFS(PARTICIPANTES!$C$5:$C$504,$A17,PARTICIPANTES!$L$5:$L$504,"Sí")</f>
        <v/>
      </c>
      <c r="E17" s="30">
        <f>COUNTIFS(PARTICIPANTES!$C$5:$C$504,$A17,PARTICIPANTES!$L$5:$L$504,"Sí",PARTICIPANTES!$Q$5:$Q$504,"Sí")</f>
        <v/>
      </c>
      <c r="F17" s="30">
        <f>IF(E17&lt;=1,"-",IF(E17&lt;=4,4,IF(E17&lt;=8,8,IF(E17&lt;=16,16,32))))</f>
        <v/>
      </c>
      <c r="G17" s="30">
        <f>IF(F17=4,"Final",IF(F17=8,"Semifinal",IF(F17=16,"Octavas",IF(F17=32,"Eliminatoria","-"))))</f>
        <v/>
      </c>
      <c r="H17" s="30">
        <f>IF(OR(F17="-",E17=0),0,F17-E17)</f>
        <v/>
      </c>
      <c r="I17" s="30">
        <f>IF(E17=0,"⚪ Sin inscritos",IF(E17=1,"⚠ Solo 1 inscrito",IF(E17&lt;4,"🟡 Pocos inscritos","🟢 Lista")))</f>
        <v/>
      </c>
      <c r="J17" s="22" t="n"/>
      <c r="K17" s="22" t="n"/>
    </row>
    <row r="18" ht="14.25" customHeight="1" s="72">
      <c r="A18" s="27" t="inlineStr">
        <is>
          <t>L14</t>
        </is>
      </c>
      <c r="B18" s="11" t="inlineStr">
        <is>
          <t>Adulto-E · Femenino</t>
        </is>
      </c>
      <c r="C18" s="16" t="inlineStr">
        <is>
          <t>Jogo</t>
        </is>
      </c>
      <c r="D18" s="30">
        <f>COUNTIFS(PARTICIPANTES!$C$5:$C$504,$A18,PARTICIPANTES!$L$5:$L$504,"Sí")</f>
        <v/>
      </c>
      <c r="E18" s="30">
        <f>COUNTIFS(PARTICIPANTES!$C$5:$C$504,$A18,PARTICIPANTES!$L$5:$L$504,"Sí",PARTICIPANTES!$Q$5:$Q$504,"Sí")</f>
        <v/>
      </c>
      <c r="F18" s="30">
        <f>IF(E18&lt;=1,"-",IF(E18&lt;=4,4,IF(E18&lt;=8,8,IF(E18&lt;=16,16,32))))</f>
        <v/>
      </c>
      <c r="G18" s="30">
        <f>IF(F18=4,"Final",IF(F18=8,"Semifinal",IF(F18=16,"Octavas",IF(F18=32,"Eliminatoria","-"))))</f>
        <v/>
      </c>
      <c r="H18" s="30">
        <f>IF(OR(F18="-",E18=0),0,F18-E18)</f>
        <v/>
      </c>
      <c r="I18" s="30">
        <f>IF(E18=0,"⚪ Sin inscritos",IF(E18=1,"⚠ Solo 1 inscrito",IF(E18&lt;4,"🟡 Pocos inscritos","🟢 Lista")))</f>
        <v/>
      </c>
      <c r="J18" s="22" t="n"/>
      <c r="K18" s="22" t="n"/>
    </row>
    <row r="19" ht="14.25" customHeight="1" s="72">
      <c r="A19" s="27" t="inlineStr">
        <is>
          <t>L15</t>
        </is>
      </c>
      <c r="B19" s="11" t="inlineStr">
        <is>
          <t>Baobá-Alumnos · Masculino</t>
        </is>
      </c>
      <c r="C19" s="16" t="inlineStr">
        <is>
          <t>Jogo</t>
        </is>
      </c>
      <c r="D19" s="30">
        <f>COUNTIFS(PARTICIPANTES!$C$5:$C$504,$A19,PARTICIPANTES!$L$5:$L$504,"Sí")</f>
        <v/>
      </c>
      <c r="E19" s="30">
        <f>COUNTIFS(PARTICIPANTES!$C$5:$C$504,$A19,PARTICIPANTES!$L$5:$L$504,"Sí",PARTICIPANTES!$Q$5:$Q$504,"Sí")</f>
        <v/>
      </c>
      <c r="F19" s="30">
        <f>IF(E19&lt;=1,"-",IF(E19&lt;=4,4,IF(E19&lt;=8,8,IF(E19&lt;=16,16,32))))</f>
        <v/>
      </c>
      <c r="G19" s="30">
        <f>IF(F19=4,"Final",IF(F19=8,"Semifinal",IF(F19=16,"Octavas",IF(F19=32,"Eliminatoria","-"))))</f>
        <v/>
      </c>
      <c r="H19" s="30">
        <f>IF(OR(F19="-",E19=0),0,F19-E19)</f>
        <v/>
      </c>
      <c r="I19" s="30">
        <f>IF(E19=0,"⚪ Sin inscritos",IF(E19=1,"⚠ Solo 1 inscrito",IF(E19&lt;4,"🟡 Pocos inscritos","🟢 Lista")))</f>
        <v/>
      </c>
      <c r="J19" s="22" t="n"/>
      <c r="K19" s="22" t="n"/>
    </row>
    <row r="20" ht="14.25" customHeight="1" s="72">
      <c r="A20" s="27" t="inlineStr">
        <is>
          <t>L16</t>
        </is>
      </c>
      <c r="B20" s="11" t="inlineStr">
        <is>
          <t>Baobá-Alumnos · Femenino</t>
        </is>
      </c>
      <c r="C20" s="16" t="inlineStr">
        <is>
          <t>Jogo</t>
        </is>
      </c>
      <c r="D20" s="30">
        <f>COUNTIFS(PARTICIPANTES!$C$5:$C$504,$A20,PARTICIPANTES!$L$5:$L$504,"Sí")</f>
        <v/>
      </c>
      <c r="E20" s="30">
        <f>COUNTIFS(PARTICIPANTES!$C$5:$C$504,$A20,PARTICIPANTES!$L$5:$L$504,"Sí",PARTICIPANTES!$Q$5:$Q$504,"Sí")</f>
        <v/>
      </c>
      <c r="F20" s="30">
        <f>IF(E20&lt;=1,"-",IF(E20&lt;=4,4,IF(E20&lt;=8,8,IF(E20&lt;=16,16,32))))</f>
        <v/>
      </c>
      <c r="G20" s="30">
        <f>IF(F20=4,"Final",IF(F20=8,"Semifinal",IF(F20=16,"Octavas",IF(F20=32,"Eliminatoria","-"))))</f>
        <v/>
      </c>
      <c r="H20" s="30">
        <f>IF(OR(F20="-",E20=0),0,F20-E20)</f>
        <v/>
      </c>
      <c r="I20" s="30">
        <f>IF(E20=0,"⚪ Sin inscritos",IF(E20=1,"⚠ Solo 1 inscrito",IF(E20&lt;4,"🟡 Pocos inscritos","🟢 Lista")))</f>
        <v/>
      </c>
      <c r="J20" s="22" t="n"/>
      <c r="K20" s="22" t="n"/>
    </row>
    <row r="21" ht="14.25" customHeight="1" s="72">
      <c r="A21" s="27" t="inlineStr">
        <is>
          <t>L17</t>
        </is>
      </c>
      <c r="B21" s="11" t="inlineStr">
        <is>
          <t>Baobá-Graduados+ · Masculino</t>
        </is>
      </c>
      <c r="C21" s="16" t="inlineStr">
        <is>
          <t>Jogo</t>
        </is>
      </c>
      <c r="D21" s="30">
        <f>COUNTIFS(PARTICIPANTES!$C$5:$C$504,$A21,PARTICIPANTES!$L$5:$L$504,"Sí")</f>
        <v/>
      </c>
      <c r="E21" s="30">
        <f>COUNTIFS(PARTICIPANTES!$C$5:$C$504,$A21,PARTICIPANTES!$L$5:$L$504,"Sí",PARTICIPANTES!$Q$5:$Q$504,"Sí")</f>
        <v/>
      </c>
      <c r="F21" s="30">
        <f>IF(E21&lt;=1,"-",IF(E21&lt;=4,4,IF(E21&lt;=8,8,IF(E21&lt;=16,16,32))))</f>
        <v/>
      </c>
      <c r="G21" s="30">
        <f>IF(F21=4,"Final",IF(F21=8,"Semifinal",IF(F21=16,"Octavas",IF(F21=32,"Eliminatoria","-"))))</f>
        <v/>
      </c>
      <c r="H21" s="30">
        <f>IF(OR(F21="-",E21=0),0,F21-E21)</f>
        <v/>
      </c>
      <c r="I21" s="30">
        <f>IF(E21=0,"⚪ Sin inscritos",IF(E21=1,"⚠ Solo 1 inscrito",IF(E21&lt;4,"🟡 Pocos inscritos","🟢 Lista")))</f>
        <v/>
      </c>
      <c r="J21" s="22" t="n"/>
      <c r="K21" s="22" t="n"/>
    </row>
    <row r="22" ht="14.25" customHeight="1" s="72">
      <c r="A22" s="27" t="inlineStr">
        <is>
          <t>L18</t>
        </is>
      </c>
      <c r="B22" s="11" t="inlineStr">
        <is>
          <t>Baobá-Graduados+ · Femenino</t>
        </is>
      </c>
      <c r="C22" s="16" t="inlineStr">
        <is>
          <t>Jogo</t>
        </is>
      </c>
      <c r="D22" s="30">
        <f>COUNTIFS(PARTICIPANTES!$C$5:$C$504,$A22,PARTICIPANTES!$L$5:$L$504,"Sí")</f>
        <v/>
      </c>
      <c r="E22" s="30">
        <f>COUNTIFS(PARTICIPANTES!$C$5:$C$504,$A22,PARTICIPANTES!$L$5:$L$504,"Sí",PARTICIPANTES!$Q$5:$Q$504,"Sí")</f>
        <v/>
      </c>
      <c r="F22" s="30">
        <f>IF(E22&lt;=1,"-",IF(E22&lt;=4,4,IF(E22&lt;=8,8,IF(E22&lt;=16,16,32))))</f>
        <v/>
      </c>
      <c r="G22" s="30">
        <f>IF(F22=4,"Final",IF(F22=8,"Semifinal",IF(F22=16,"Octavas",IF(F22=32,"Eliminatoria","-"))))</f>
        <v/>
      </c>
      <c r="H22" s="30">
        <f>IF(OR(F22="-",E22=0),0,F22-E22)</f>
        <v/>
      </c>
      <c r="I22" s="30">
        <f>IF(E22=0,"⚪ Sin inscritos",IF(E22=1,"⚠ Solo 1 inscrito",IF(E22&lt;4,"🟡 Pocos inscritos","🟢 Lista")))</f>
        <v/>
      </c>
      <c r="J22" s="22" t="n"/>
      <c r="K22" s="22" t="n"/>
    </row>
    <row r="23" ht="14.25" customHeight="1" s="72">
      <c r="A23" s="27" t="inlineStr">
        <is>
          <t>L19</t>
        </is>
      </c>
      <c r="B23" s="11" t="inlineStr">
        <is>
          <t>Festival · Interpretación · Mixto</t>
        </is>
      </c>
      <c r="C23" s="16" t="inlineStr">
        <is>
          <t>Festival</t>
        </is>
      </c>
      <c r="D23" s="30">
        <f>COUNTIFS(PARTICIPANTES!$N$5:$N$504,"Interpretación",PARTICIPANTES!$M$5:$M$504,"Sí")</f>
        <v/>
      </c>
      <c r="E23" s="30">
        <f>COUNTIFS(PARTICIPANTES!$N$5:$N$504,"Interpretación",PARTICIPANTES!$M$5:$M$504,"Sí",PARTICIPANTES!$Q$5:$Q$504,"Sí")</f>
        <v/>
      </c>
      <c r="F23" s="30">
        <f>IF(E23&lt;=1,"-",IF(E23&lt;=4,4,IF(E23&lt;=8,8,IF(E23&lt;=16,16,32))))</f>
        <v/>
      </c>
      <c r="G23" s="30">
        <f>IF(F23=4,"Final",IF(F23=8,"Semifinal",IF(F23=16,"Octavas",IF(F23=32,"Eliminatoria","-"))))</f>
        <v/>
      </c>
      <c r="H23" s="30">
        <f>IF(OR(F23="-",E23=0),0,F23-E23)</f>
        <v/>
      </c>
      <c r="I23" s="30">
        <f>IF(E23=0,"⚪ Sin inscritos",IF(E23=1,"⚠ Solo 1 inscrito",IF(E23&lt;4,"🟡 Pocos inscritos","🟢 Lista")))</f>
        <v/>
      </c>
      <c r="J23" s="22" t="n"/>
      <c r="K23" s="22" t="n"/>
    </row>
    <row r="24" ht="14.25" customHeight="1" s="72">
      <c r="A24" s="27" t="inlineStr">
        <is>
          <t>L20</t>
        </is>
      </c>
      <c r="B24" s="11" t="inlineStr">
        <is>
          <t>Festival · Composición · Mixto</t>
        </is>
      </c>
      <c r="C24" s="16" t="inlineStr">
        <is>
          <t>Festival</t>
        </is>
      </c>
      <c r="D24" s="30">
        <f>COUNTIFS(PARTICIPANTES!$N$5:$N$504,"Composición",PARTICIPANTES!$M$5:$M$504,"Sí")</f>
        <v/>
      </c>
      <c r="E24" s="30">
        <f>COUNTIFS(PARTICIPANTES!$N$5:$N$504,"Composición",PARTICIPANTES!$M$5:$M$504,"Sí",PARTICIPANTES!$Q$5:$Q$504,"Sí")</f>
        <v/>
      </c>
      <c r="F24" s="30">
        <f>IF(E24&lt;=1,"-",IF(E24&lt;=4,4,IF(E24&lt;=8,8,IF(E24&lt;=16,16,32))))</f>
        <v/>
      </c>
      <c r="G24" s="30">
        <f>IF(F24=4,"Final",IF(F24=8,"Semifinal",IF(F24=16,"Octavas",IF(F24=32,"Eliminatoria","-"))))</f>
        <v/>
      </c>
      <c r="H24" s="30">
        <f>IF(OR(F24="-",E24=0),0,F24-E24)</f>
        <v/>
      </c>
      <c r="I24" s="30">
        <f>IF(E24=0,"⚪ Sin inscritos",IF(E24=1,"⚠ Solo 1 inscrito",IF(E24&lt;4,"🟡 Pocos inscritos","🟢 Lista")))</f>
        <v/>
      </c>
      <c r="J24" s="22" t="n"/>
      <c r="K24" s="22" t="n"/>
    </row>
    <row r="25" ht="14.25" customHeight="1" s="72">
      <c r="A25" s="27" t="inlineStr">
        <is>
          <t>L21</t>
        </is>
      </c>
      <c r="B25" s="11" t="inlineStr">
        <is>
          <t>Festival · Sólo Instrumento · Mixto</t>
        </is>
      </c>
      <c r="C25" s="16" t="inlineStr">
        <is>
          <t>Festival</t>
        </is>
      </c>
      <c r="D25" s="30">
        <f>COUNTIFS(PARTICIPANTES!$N$5:$N$504,"Sólo Instrumento",PARTICIPANTES!$M$5:$M$504,"Sí")</f>
        <v/>
      </c>
      <c r="E25" s="30">
        <f>COUNTIFS(PARTICIPANTES!$N$5:$N$504,"Sólo Instrumento",PARTICIPANTES!$M$5:$M$504,"Sí",PARTICIPANTES!$Q$5:$Q$504,"Sí")</f>
        <v/>
      </c>
      <c r="F25" s="30">
        <f>IF(E25&lt;=1,"-",IF(E25&lt;=4,4,IF(E25&lt;=8,8,IF(E25&lt;=16,16,32))))</f>
        <v/>
      </c>
      <c r="G25" s="30">
        <f>IF(F25=4,"Final",IF(F25=8,"Semifinal",IF(F25=16,"Octavas",IF(F25=32,"Eliminatoria","-"))))</f>
        <v/>
      </c>
      <c r="H25" s="30">
        <f>IF(OR(F25="-",E25=0),0,F25-E25)</f>
        <v/>
      </c>
      <c r="I25" s="30">
        <f>IF(E25=0,"⚪ Sin inscritos",IF(E25=1,"⚠ Solo 1 inscrito",IF(E25&lt;4,"🟡 Pocos inscritos","🟢 Lista")))</f>
        <v/>
      </c>
      <c r="J25" s="22" t="n"/>
      <c r="K25" s="22" t="n"/>
    </row>
    <row r="26" ht="14.25" customHeight="1" s="72">
      <c r="A26" s="27" t="inlineStr">
        <is>
          <t>L22</t>
        </is>
      </c>
      <c r="B26" s="11" t="inlineStr">
        <is>
          <t>Festival · Bateranga · Mixto</t>
        </is>
      </c>
      <c r="C26" s="16" t="inlineStr">
        <is>
          <t>Festival</t>
        </is>
      </c>
      <c r="D26" s="30">
        <f>COUNTIFS(PARTICIPANTES!$N$5:$N$504,"Bateranga",PARTICIPANTES!$M$5:$M$504,"Sí")</f>
        <v/>
      </c>
      <c r="E26" s="30">
        <f>COUNTIFS(PARTICIPANTES!$N$5:$N$504,"Bateranga",PARTICIPANTES!$M$5:$M$504,"Sí",PARTICIPANTES!$Q$5:$Q$504,"Sí")</f>
        <v/>
      </c>
      <c r="F26" s="30">
        <f>IF(E26&lt;=1,"-",IF(E26&lt;=4,4,IF(E26&lt;=8,8,IF(E26&lt;=16,16,32))))</f>
        <v/>
      </c>
      <c r="G26" s="30">
        <f>IF(F26=4,"Final",IF(F26=8,"Semifinal",IF(F26=16,"Octavas",IF(F26=32,"Eliminatoria","-"))))</f>
        <v/>
      </c>
      <c r="H26" s="30">
        <f>IF(OR(F26="-",E26=0),0,F26-E26)</f>
        <v/>
      </c>
      <c r="I26" s="30">
        <f>IF(E26=0,"⚪ Sin inscritos",IF(E26=1,"⚠ Solo 1 inscrito",IF(E26&lt;4,"🟡 Pocos inscritos","🟢 Lista")))</f>
        <v/>
      </c>
      <c r="J26" s="22" t="n"/>
      <c r="K26" s="22" t="n"/>
    </row>
    <row r="27" ht="14.25" customHeight="1" s="72">
      <c r="A27" s="11" t="n"/>
      <c r="B27" s="31" t="inlineStr">
        <is>
          <t>TOTAL</t>
        </is>
      </c>
      <c r="C27" s="11" t="n"/>
      <c r="D27" s="32">
        <f>SUM(D5:D26)</f>
        <v/>
      </c>
      <c r="E27" s="32">
        <f>SUM(E5:E26)</f>
        <v/>
      </c>
      <c r="F27" s="11" t="n"/>
      <c r="G27" s="11" t="n"/>
      <c r="H27" s="11" t="n"/>
      <c r="I27" s="11" t="n"/>
      <c r="J27" s="11" t="n"/>
      <c r="K27" s="11" t="n"/>
    </row>
    <row r="28" ht="14.25" customHeight="1" s="72"/>
    <row r="29" ht="14.25" customHeight="1" s="72"/>
    <row r="30" ht="14.25" customHeight="1" s="72"/>
    <row r="31" ht="14.25" customHeight="1" s="72"/>
    <row r="32" ht="14.25" customHeight="1" s="72"/>
    <row r="33" ht="14.25" customHeight="1" s="72"/>
    <row r="34" ht="14.25" customHeight="1" s="72"/>
    <row r="35" ht="14.25" customHeight="1" s="72"/>
    <row r="36" ht="14.25" customHeight="1" s="72"/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1">
    <mergeCell ref="A1:K1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1" topLeftCell="A12" activePane="bottomLeft" state="frozen"/>
      <selection pane="bottomLeft" activeCell="B13" sqref="B13"/>
    </sheetView>
  </sheetViews>
  <sheetFormatPr baseColWidth="8" defaultColWidth="14.43" defaultRowHeight="15" customHeight="1"/>
  <cols>
    <col width="6" customWidth="1" style="72" min="1" max="1"/>
    <col width="30" customWidth="1" style="72" min="2" max="2"/>
    <col width="18" customWidth="1" style="72" min="3" max="3"/>
    <col width="11" customWidth="1" style="72" min="4" max="4"/>
    <col width="12" customWidth="1" style="72" min="5" max="5"/>
    <col width="10" customWidth="1" style="72" min="6" max="10"/>
    <col width="8.710000000000001" customWidth="1" style="72" min="11" max="26"/>
  </cols>
  <sheetData>
    <row r="1" ht="25.5" customHeight="1" s="72">
      <c r="A1" s="74" t="inlineStr">
        <is>
          <t>TORNEO_ACTIVO · Selecciona una llave y se carga el bracket</t>
        </is>
      </c>
    </row>
    <row r="2" ht="14.25" customHeight="1" s="72"/>
    <row r="3" ht="14.25" customHeight="1" s="72">
      <c r="A3" s="14" t="inlineStr">
        <is>
          <t>ID Llave:</t>
        </is>
      </c>
      <c r="B3" s="33" t="inlineStr">
        <is>
          <t>L09</t>
        </is>
      </c>
    </row>
    <row r="4" ht="14.25" customHeight="1" s="72">
      <c r="A4" s="34" t="inlineStr">
        <is>
          <t>Categoría:</t>
        </is>
      </c>
      <c r="B4" s="79">
        <f>IFERROR(VLOOKUP($B$3,LLAVES_INDEX!$A$5:$K$26,2,FALSE()),"")</f>
        <v/>
      </c>
      <c r="C4" s="75" t="n"/>
      <c r="D4" s="76" t="n"/>
    </row>
    <row r="5" ht="14.25" customHeight="1" s="72">
      <c r="A5" s="34" t="inlineStr">
        <is>
          <t>Tipo:</t>
        </is>
      </c>
      <c r="B5" s="79">
        <f>IFERROR(VLOOKUP($B$3,LLAVES_INDEX!$A$5:$K$26,3,FALSE()),"")</f>
        <v/>
      </c>
      <c r="C5" s="75" t="n"/>
      <c r="D5" s="76" t="n"/>
    </row>
    <row r="6" ht="14.25" customHeight="1" s="72">
      <c r="A6" s="34" t="inlineStr">
        <is>
          <t>Inscritos activos:</t>
        </is>
      </c>
      <c r="B6" s="79">
        <f>IFERROR(VLOOKUP($B$3,LLAVES_INDEX!$A$5:$K$26,5,FALSE()),"")</f>
        <v/>
      </c>
      <c r="C6" s="75" t="n"/>
      <c r="D6" s="76" t="n"/>
    </row>
    <row r="7" ht="14.25" customHeight="1" s="72">
      <c r="A7" s="34" t="inlineStr">
        <is>
          <t>Tamaño llave:</t>
        </is>
      </c>
      <c r="B7" s="79">
        <f>IFERROR(VLOOKUP($B$3,LLAVES_INDEX!$A$5:$K$26,6,FALSE()),"")</f>
        <v/>
      </c>
      <c r="C7" s="75" t="n"/>
      <c r="D7" s="76" t="n"/>
    </row>
    <row r="8" ht="14.25" customHeight="1" s="72">
      <c r="A8" s="34" t="inlineStr">
        <is>
          <t>Ronda inicial:</t>
        </is>
      </c>
      <c r="B8" s="79">
        <f>IFERROR(VLOOKUP($B$3,LLAVES_INDEX!$A$5:$K$26,7,FALSE()),"")</f>
        <v/>
      </c>
      <c r="C8" s="75" t="n"/>
      <c r="D8" s="76" t="n"/>
    </row>
    <row r="9" ht="14.25" customHeight="1" s="72">
      <c r="A9" s="34" t="inlineStr">
        <is>
          <t>BYEs:</t>
        </is>
      </c>
      <c r="B9" s="79">
        <f>IFERROR(VLOOKUP($B$3,LLAVES_INDEX!$A$5:$K$26,8,FALSE()),"")</f>
        <v/>
      </c>
      <c r="C9" s="75" t="n"/>
      <c r="D9" s="76" t="n"/>
    </row>
    <row r="10" ht="14.25" customHeight="1" s="72"/>
    <row r="11" ht="14.25" customHeight="1" s="72">
      <c r="A11" s="34" t="inlineStr">
        <is>
          <t>POSICIONES SEEDED (1 = mejor corda / 32 = peor o BYE)</t>
        </is>
      </c>
    </row>
    <row r="12" ht="14.25" customHeight="1" s="72">
      <c r="A12" s="15" t="inlineStr">
        <is>
          <t>Pos.</t>
        </is>
      </c>
      <c r="B12" s="15" t="inlineStr">
        <is>
          <t>Participante</t>
        </is>
      </c>
      <c r="C12" s="15" t="inlineStr">
        <is>
          <t>Corda</t>
        </is>
      </c>
      <c r="D12" s="15" t="inlineStr">
        <is>
          <t>Orden corda</t>
        </is>
      </c>
      <c r="E12" s="15" t="inlineStr">
        <is>
          <t>Estado</t>
        </is>
      </c>
    </row>
    <row r="13" ht="14.25" customHeight="1" s="72">
      <c r="A13" s="36" t="n">
        <v>1</v>
      </c>
      <c r="B13" s="23">
        <f t="array" ref="B13">IFERROR(IF(LARGE(PARTICIPANTES!$R$5:$R$504,1)&gt;0,INDEX(PARTICIPANTES!$E$5:$E$504,MATCH(LARGE(PARTICIPANTES!$R$5:$R$504,1),PARTICIPANTES!$R$5:$R$504,0)),"BYE"),"BYE")</f>
        <v/>
      </c>
      <c r="C13" s="23">
        <f t="array" ref="C13">IFERROR(IF(LARGE(PARTICIPANTES!$R$5:$R$504,1)&gt;0,INDEX(PARTICIPANTES!$F$5:$F$504,MATCH(LARGE(PARTICIPANTES!$R$5:$R$504,1),PARTICIPANTES!$R$5:$R$504,0)),""),"")</f>
        <v/>
      </c>
      <c r="D13" s="23">
        <f t="array" ref="D13">IFERROR(IF(LARGE(PARTICIPANTES!$R$5:$R$504,1)&gt;0,INDEX(PARTICIPANTES!$G$5:$G$504,MATCH(LARGE(PARTICIPANTES!$R$5:$R$504,1),PARTICIPANTES!$R$5:$R$504,0)),0),0)</f>
        <v/>
      </c>
      <c r="E13" s="23">
        <f>IF(B13="BYE","🚫 BYE","✓ Activo")</f>
        <v/>
      </c>
    </row>
    <row r="14" ht="14.25" customHeight="1" s="72">
      <c r="A14" s="36" t="n">
        <v>2</v>
      </c>
      <c r="B14" s="23">
        <f t="array" ref="B14">IFERROR(IF(LARGE(PARTICIPANTES!$R$5:$R$504,2)&gt;0,INDEX(PARTICIPANTES!$E$5:$E$504,MATCH(LARGE(PARTICIPANTES!$R$5:$R$504,2),PARTICIPANTES!$R$5:$R$504,0)),"BYE"),"BYE")</f>
        <v/>
      </c>
      <c r="C14" s="23">
        <f t="array" ref="C14">IFERROR(IF(LARGE(PARTICIPANTES!$R$5:$R$504,2)&gt;0,INDEX(PARTICIPANTES!$F$5:$F$504,MATCH(LARGE(PARTICIPANTES!$R$5:$R$504,2),PARTICIPANTES!$R$5:$R$504,0)),""),"")</f>
        <v/>
      </c>
      <c r="D14" s="23">
        <f t="array" ref="D14">IFERROR(IF(LARGE(PARTICIPANTES!$R$5:$R$504,2)&gt;0,INDEX(PARTICIPANTES!$G$5:$G$504,MATCH(LARGE(PARTICIPANTES!$R$5:$R$504,2),PARTICIPANTES!$R$5:$R$504,0)),0),0)</f>
        <v/>
      </c>
      <c r="E14" s="23">
        <f>IF(B14="BYE","🚫 BYE","✓ Activo")</f>
        <v/>
      </c>
    </row>
    <row r="15" ht="14.25" customHeight="1" s="72">
      <c r="A15" s="36" t="n">
        <v>3</v>
      </c>
      <c r="B15" s="23">
        <f t="array" ref="B15">IFERROR(IF(LARGE(PARTICIPANTES!$R$5:$R$504,3)&gt;0,INDEX(PARTICIPANTES!$E$5:$E$504,MATCH(LARGE(PARTICIPANTES!$R$5:$R$504,3),PARTICIPANTES!$R$5:$R$504,0)),"BYE"),"BYE")</f>
        <v/>
      </c>
      <c r="C15" s="23">
        <f t="array" ref="C15">IFERROR(IF(LARGE(PARTICIPANTES!$R$5:$R$504,3)&gt;0,INDEX(PARTICIPANTES!$F$5:$F$504,MATCH(LARGE(PARTICIPANTES!$R$5:$R$504,3),PARTICIPANTES!$R$5:$R$504,0)),""),"")</f>
        <v/>
      </c>
      <c r="D15" s="23">
        <f t="array" ref="D15">IFERROR(IF(LARGE(PARTICIPANTES!$R$5:$R$504,3)&gt;0,INDEX(PARTICIPANTES!$G$5:$G$504,MATCH(LARGE(PARTICIPANTES!$R$5:$R$504,3),PARTICIPANTES!$R$5:$R$504,0)),0),0)</f>
        <v/>
      </c>
      <c r="E15" s="23">
        <f>IF(B15="BYE","🚫 BYE","✓ Activo")</f>
        <v/>
      </c>
    </row>
    <row r="16" ht="14.25" customHeight="1" s="72">
      <c r="A16" s="36" t="n">
        <v>4</v>
      </c>
      <c r="B16" s="23">
        <f t="array" ref="B16">IFERROR(IF(LARGE(PARTICIPANTES!$R$5:$R$504,4)&gt;0,INDEX(PARTICIPANTES!$E$5:$E$504,MATCH(LARGE(PARTICIPANTES!$R$5:$R$504,4),PARTICIPANTES!$R$5:$R$504,0)),"BYE"),"BYE")</f>
        <v/>
      </c>
      <c r="C16" s="23">
        <f t="array" ref="C16">IFERROR(IF(LARGE(PARTICIPANTES!$R$5:$R$504,4)&gt;0,INDEX(PARTICIPANTES!$F$5:$F$504,MATCH(LARGE(PARTICIPANTES!$R$5:$R$504,4),PARTICIPANTES!$R$5:$R$504,0)),""),"")</f>
        <v/>
      </c>
      <c r="D16" s="23">
        <f t="array" ref="D16">IFERROR(IF(LARGE(PARTICIPANTES!$R$5:$R$504,4)&gt;0,INDEX(PARTICIPANTES!$G$5:$G$504,MATCH(LARGE(PARTICIPANTES!$R$5:$R$504,4),PARTICIPANTES!$R$5:$R$504,0)),0),0)</f>
        <v/>
      </c>
      <c r="E16" s="23">
        <f>IF(B16="BYE","🚫 BYE","✓ Activo")</f>
        <v/>
      </c>
    </row>
    <row r="17" ht="14.25" customHeight="1" s="72">
      <c r="A17" s="36" t="n">
        <v>5</v>
      </c>
      <c r="B17" s="23">
        <f t="array" ref="B17">IFERROR(IF(LARGE(PARTICIPANTES!$R$5:$R$504,5)&gt;0,INDEX(PARTICIPANTES!$E$5:$E$504,MATCH(LARGE(PARTICIPANTES!$R$5:$R$504,5),PARTICIPANTES!$R$5:$R$504,0)),"BYE"),"BYE")</f>
        <v/>
      </c>
      <c r="C17" s="23">
        <f t="array" ref="C17">IFERROR(IF(LARGE(PARTICIPANTES!$R$5:$R$504,5)&gt;0,INDEX(PARTICIPANTES!$F$5:$F$504,MATCH(LARGE(PARTICIPANTES!$R$5:$R$504,5),PARTICIPANTES!$R$5:$R$504,0)),""),"")</f>
        <v/>
      </c>
      <c r="D17" s="23">
        <f t="array" ref="D17">IFERROR(IF(LARGE(PARTICIPANTES!$R$5:$R$504,5)&gt;0,INDEX(PARTICIPANTES!$G$5:$G$504,MATCH(LARGE(PARTICIPANTES!$R$5:$R$504,5),PARTICIPANTES!$R$5:$R$504,0)),0),0)</f>
        <v/>
      </c>
      <c r="E17" s="23">
        <f>IF(B17="BYE","🚫 BYE","✓ Activo")</f>
        <v/>
      </c>
    </row>
    <row r="18" ht="14.25" customHeight="1" s="72">
      <c r="A18" s="36" t="n">
        <v>6</v>
      </c>
      <c r="B18" s="23">
        <f t="array" ref="B18">IFERROR(IF(LARGE(PARTICIPANTES!$R$5:$R$504,6)&gt;0,INDEX(PARTICIPANTES!$E$5:$E$504,MATCH(LARGE(PARTICIPANTES!$R$5:$R$504,6),PARTICIPANTES!$R$5:$R$504,0)),"BYE"),"BYE")</f>
        <v/>
      </c>
      <c r="C18" s="23">
        <f t="array" ref="C18">IFERROR(IF(LARGE(PARTICIPANTES!$R$5:$R$504,6)&gt;0,INDEX(PARTICIPANTES!$F$5:$F$504,MATCH(LARGE(PARTICIPANTES!$R$5:$R$504,6),PARTICIPANTES!$R$5:$R$504,0)),""),"")</f>
        <v/>
      </c>
      <c r="D18" s="23">
        <f t="array" ref="D18">IFERROR(IF(LARGE(PARTICIPANTES!$R$5:$R$504,6)&gt;0,INDEX(PARTICIPANTES!$G$5:$G$504,MATCH(LARGE(PARTICIPANTES!$R$5:$R$504,6),PARTICIPANTES!$R$5:$R$504,0)),0),0)</f>
        <v/>
      </c>
      <c r="E18" s="23">
        <f>IF(B18="BYE","🚫 BYE","✓ Activo")</f>
        <v/>
      </c>
    </row>
    <row r="19" ht="14.25" customHeight="1" s="72">
      <c r="A19" s="36" t="n">
        <v>7</v>
      </c>
      <c r="B19" s="23">
        <f t="array" ref="B19">IFERROR(IF(LARGE(PARTICIPANTES!$R$5:$R$504,7)&gt;0,INDEX(PARTICIPANTES!$E$5:$E$504,MATCH(LARGE(PARTICIPANTES!$R$5:$R$504,7),PARTICIPANTES!$R$5:$R$504,0)),"BYE"),"BYE")</f>
        <v/>
      </c>
      <c r="C19" s="23">
        <f t="array" ref="C19">IFERROR(IF(LARGE(PARTICIPANTES!$R$5:$R$504,7)&gt;0,INDEX(PARTICIPANTES!$F$5:$F$504,MATCH(LARGE(PARTICIPANTES!$R$5:$R$504,7),PARTICIPANTES!$R$5:$R$504,0)),""),"")</f>
        <v/>
      </c>
      <c r="D19" s="23">
        <f t="array" ref="D19">IFERROR(IF(LARGE(PARTICIPANTES!$R$5:$R$504,7)&gt;0,INDEX(PARTICIPANTES!$G$5:$G$504,MATCH(LARGE(PARTICIPANTES!$R$5:$R$504,7),PARTICIPANTES!$R$5:$R$504,0)),0),0)</f>
        <v/>
      </c>
      <c r="E19" s="23">
        <f>IF(B19="BYE","🚫 BYE","✓ Activo")</f>
        <v/>
      </c>
    </row>
    <row r="20" ht="14.25" customHeight="1" s="72">
      <c r="A20" s="36" t="n">
        <v>8</v>
      </c>
      <c r="B20" s="23">
        <f t="array" ref="B20">IFERROR(IF(LARGE(PARTICIPANTES!$R$5:$R$504,8)&gt;0,INDEX(PARTICIPANTES!$E$5:$E$504,MATCH(LARGE(PARTICIPANTES!$R$5:$R$504,8),PARTICIPANTES!$R$5:$R$504,0)),"BYE"),"BYE")</f>
        <v/>
      </c>
      <c r="C20" s="23">
        <f t="array" ref="C20">IFERROR(IF(LARGE(PARTICIPANTES!$R$5:$R$504,8)&gt;0,INDEX(PARTICIPANTES!$F$5:$F$504,MATCH(LARGE(PARTICIPANTES!$R$5:$R$504,8),PARTICIPANTES!$R$5:$R$504,0)),""),"")</f>
        <v/>
      </c>
      <c r="D20" s="23">
        <f t="array" ref="D20">IFERROR(IF(LARGE(PARTICIPANTES!$R$5:$R$504,8)&gt;0,INDEX(PARTICIPANTES!$G$5:$G$504,MATCH(LARGE(PARTICIPANTES!$R$5:$R$504,8),PARTICIPANTES!$R$5:$R$504,0)),0),0)</f>
        <v/>
      </c>
      <c r="E20" s="23">
        <f>IF(B20="BYE","🚫 BYE","✓ Activo")</f>
        <v/>
      </c>
    </row>
    <row r="21" ht="14.25" customHeight="1" s="72">
      <c r="A21" s="36" t="n">
        <v>9</v>
      </c>
      <c r="B21" s="23">
        <f t="array" ref="B21">IFERROR(IF(LARGE(PARTICIPANTES!$R$5:$R$504,9)&gt;0,INDEX(PARTICIPANTES!$E$5:$E$504,MATCH(LARGE(PARTICIPANTES!$R$5:$R$504,9),PARTICIPANTES!$R$5:$R$504,0)),"BYE"),"BYE")</f>
        <v/>
      </c>
      <c r="C21" s="23">
        <f t="array" ref="C21">IFERROR(IF(LARGE(PARTICIPANTES!$R$5:$R$504,9)&gt;0,INDEX(PARTICIPANTES!$F$5:$F$504,MATCH(LARGE(PARTICIPANTES!$R$5:$R$504,9),PARTICIPANTES!$R$5:$R$504,0)),""),"")</f>
        <v/>
      </c>
      <c r="D21" s="23">
        <f t="array" ref="D21">IFERROR(IF(LARGE(PARTICIPANTES!$R$5:$R$504,9)&gt;0,INDEX(PARTICIPANTES!$G$5:$G$504,MATCH(LARGE(PARTICIPANTES!$R$5:$R$504,9),PARTICIPANTES!$R$5:$R$504,0)),0),0)</f>
        <v/>
      </c>
      <c r="E21" s="23">
        <f>IF(B21="BYE","🚫 BYE","✓ Activo")</f>
        <v/>
      </c>
    </row>
    <row r="22" ht="14.25" customHeight="1" s="72">
      <c r="A22" s="36" t="n">
        <v>10</v>
      </c>
      <c r="B22" s="23">
        <f t="array" ref="B22">IFERROR(IF(LARGE(PARTICIPANTES!$R$5:$R$504,10)&gt;0,INDEX(PARTICIPANTES!$E$5:$E$504,MATCH(LARGE(PARTICIPANTES!$R$5:$R$504,10),PARTICIPANTES!$R$5:$R$504,0)),"BYE"),"BYE")</f>
        <v/>
      </c>
      <c r="C22" s="23">
        <f t="array" ref="C22">IFERROR(IF(LARGE(PARTICIPANTES!$R$5:$R$504,10)&gt;0,INDEX(PARTICIPANTES!$F$5:$F$504,MATCH(LARGE(PARTICIPANTES!$R$5:$R$504,10),PARTICIPANTES!$R$5:$R$504,0)),""),"")</f>
        <v/>
      </c>
      <c r="D22" s="23">
        <f t="array" ref="D22">IFERROR(IF(LARGE(PARTICIPANTES!$R$5:$R$504,10)&gt;0,INDEX(PARTICIPANTES!$G$5:$G$504,MATCH(LARGE(PARTICIPANTES!$R$5:$R$504,10),PARTICIPANTES!$R$5:$R$504,0)),0),0)</f>
        <v/>
      </c>
      <c r="E22" s="23">
        <f>IF(B22="BYE","🚫 BYE","✓ Activo")</f>
        <v/>
      </c>
    </row>
    <row r="23" ht="14.25" customHeight="1" s="72">
      <c r="A23" s="36" t="n">
        <v>11</v>
      </c>
      <c r="B23" s="23">
        <f t="array" ref="B23">IFERROR(IF(LARGE(PARTICIPANTES!$R$5:$R$504,11)&gt;0,INDEX(PARTICIPANTES!$E$5:$E$504,MATCH(LARGE(PARTICIPANTES!$R$5:$R$504,11),PARTICIPANTES!$R$5:$R$504,0)),"BYE"),"BYE")</f>
        <v/>
      </c>
      <c r="C23" s="23">
        <f t="array" ref="C23">IFERROR(IF(LARGE(PARTICIPANTES!$R$5:$R$504,11)&gt;0,INDEX(PARTICIPANTES!$F$5:$F$504,MATCH(LARGE(PARTICIPANTES!$R$5:$R$504,11),PARTICIPANTES!$R$5:$R$504,0)),""),"")</f>
        <v/>
      </c>
      <c r="D23" s="23">
        <f t="array" ref="D23">IFERROR(IF(LARGE(PARTICIPANTES!$R$5:$R$504,11)&gt;0,INDEX(PARTICIPANTES!$G$5:$G$504,MATCH(LARGE(PARTICIPANTES!$R$5:$R$504,11),PARTICIPANTES!$R$5:$R$504,0)),0),0)</f>
        <v/>
      </c>
      <c r="E23" s="23">
        <f>IF(B23="BYE","🚫 BYE","✓ Activo")</f>
        <v/>
      </c>
    </row>
    <row r="24" ht="14.25" customHeight="1" s="72">
      <c r="A24" s="36" t="n">
        <v>12</v>
      </c>
      <c r="B24" s="23">
        <f t="array" ref="B24">IFERROR(IF(LARGE(PARTICIPANTES!$R$5:$R$504,12)&gt;0,INDEX(PARTICIPANTES!$E$5:$E$504,MATCH(LARGE(PARTICIPANTES!$R$5:$R$504,12),PARTICIPANTES!$R$5:$R$504,0)),"BYE"),"BYE")</f>
        <v/>
      </c>
      <c r="C24" s="23">
        <f t="array" ref="C24">IFERROR(IF(LARGE(PARTICIPANTES!$R$5:$R$504,12)&gt;0,INDEX(PARTICIPANTES!$F$5:$F$504,MATCH(LARGE(PARTICIPANTES!$R$5:$R$504,12),PARTICIPANTES!$R$5:$R$504,0)),""),"")</f>
        <v/>
      </c>
      <c r="D24" s="23">
        <f t="array" ref="D24">IFERROR(IF(LARGE(PARTICIPANTES!$R$5:$R$504,12)&gt;0,INDEX(PARTICIPANTES!$G$5:$G$504,MATCH(LARGE(PARTICIPANTES!$R$5:$R$504,12),PARTICIPANTES!$R$5:$R$504,0)),0),0)</f>
        <v/>
      </c>
      <c r="E24" s="23">
        <f>IF(B24="BYE","🚫 BYE","✓ Activo")</f>
        <v/>
      </c>
    </row>
    <row r="25" ht="14.25" customHeight="1" s="72">
      <c r="A25" s="36" t="n">
        <v>13</v>
      </c>
      <c r="B25" s="23">
        <f t="array" ref="B25">IFERROR(IF(LARGE(PARTICIPANTES!$R$5:$R$504,13)&gt;0,INDEX(PARTICIPANTES!$E$5:$E$504,MATCH(LARGE(PARTICIPANTES!$R$5:$R$504,13),PARTICIPANTES!$R$5:$R$504,0)),"BYE"),"BYE")</f>
        <v/>
      </c>
      <c r="C25" s="23">
        <f t="array" ref="C25">IFERROR(IF(LARGE(PARTICIPANTES!$R$5:$R$504,13)&gt;0,INDEX(PARTICIPANTES!$F$5:$F$504,MATCH(LARGE(PARTICIPANTES!$R$5:$R$504,13),PARTICIPANTES!$R$5:$R$504,0)),""),"")</f>
        <v/>
      </c>
      <c r="D25" s="23">
        <f t="array" ref="D25">IFERROR(IF(LARGE(PARTICIPANTES!$R$5:$R$504,13)&gt;0,INDEX(PARTICIPANTES!$G$5:$G$504,MATCH(LARGE(PARTICIPANTES!$R$5:$R$504,13),PARTICIPANTES!$R$5:$R$504,0)),0),0)</f>
        <v/>
      </c>
      <c r="E25" s="23">
        <f>IF(B25="BYE","🚫 BYE","✓ Activo")</f>
        <v/>
      </c>
    </row>
    <row r="26" ht="14.25" customHeight="1" s="72">
      <c r="A26" s="36" t="n">
        <v>14</v>
      </c>
      <c r="B26" s="23">
        <f t="array" ref="B26">IFERROR(IF(LARGE(PARTICIPANTES!$R$5:$R$504,14)&gt;0,INDEX(PARTICIPANTES!$E$5:$E$504,MATCH(LARGE(PARTICIPANTES!$R$5:$R$504,14),PARTICIPANTES!$R$5:$R$504,0)),"BYE"),"BYE")</f>
        <v/>
      </c>
      <c r="C26" s="23">
        <f t="array" ref="C26">IFERROR(IF(LARGE(PARTICIPANTES!$R$5:$R$504,14)&gt;0,INDEX(PARTICIPANTES!$F$5:$F$504,MATCH(LARGE(PARTICIPANTES!$R$5:$R$504,14),PARTICIPANTES!$R$5:$R$504,0)),""),"")</f>
        <v/>
      </c>
      <c r="D26" s="23">
        <f t="array" ref="D26">IFERROR(IF(LARGE(PARTICIPANTES!$R$5:$R$504,14)&gt;0,INDEX(PARTICIPANTES!$G$5:$G$504,MATCH(LARGE(PARTICIPANTES!$R$5:$R$504,14),PARTICIPANTES!$R$5:$R$504,0)),0),0)</f>
        <v/>
      </c>
      <c r="E26" s="23">
        <f>IF(B26="BYE","🚫 BYE","✓ Activo")</f>
        <v/>
      </c>
    </row>
    <row r="27" ht="14.25" customHeight="1" s="72">
      <c r="A27" s="36" t="n">
        <v>15</v>
      </c>
      <c r="B27" s="23">
        <f t="array" ref="B27">IFERROR(IF(LARGE(PARTICIPANTES!$R$5:$R$504,15)&gt;0,INDEX(PARTICIPANTES!$E$5:$E$504,MATCH(LARGE(PARTICIPANTES!$R$5:$R$504,15),PARTICIPANTES!$R$5:$R$504,0)),"BYE"),"BYE")</f>
        <v/>
      </c>
      <c r="C27" s="23">
        <f t="array" ref="C27">IFERROR(IF(LARGE(PARTICIPANTES!$R$5:$R$504,15)&gt;0,INDEX(PARTICIPANTES!$F$5:$F$504,MATCH(LARGE(PARTICIPANTES!$R$5:$R$504,15),PARTICIPANTES!$R$5:$R$504,0)),""),"")</f>
        <v/>
      </c>
      <c r="D27" s="23">
        <f t="array" ref="D27">IFERROR(IF(LARGE(PARTICIPANTES!$R$5:$R$504,15)&gt;0,INDEX(PARTICIPANTES!$G$5:$G$504,MATCH(LARGE(PARTICIPANTES!$R$5:$R$504,15),PARTICIPANTES!$R$5:$R$504,0)),0),0)</f>
        <v/>
      </c>
      <c r="E27" s="23">
        <f>IF(B27="BYE","🚫 BYE","✓ Activo")</f>
        <v/>
      </c>
    </row>
    <row r="28" ht="14.25" customHeight="1" s="72">
      <c r="A28" s="36" t="n">
        <v>16</v>
      </c>
      <c r="B28" s="23">
        <f t="array" ref="B28">IFERROR(IF(LARGE(PARTICIPANTES!$R$5:$R$504,16)&gt;0,INDEX(PARTICIPANTES!$E$5:$E$504,MATCH(LARGE(PARTICIPANTES!$R$5:$R$504,16),PARTICIPANTES!$R$5:$R$504,0)),"BYE"),"BYE")</f>
        <v/>
      </c>
      <c r="C28" s="23">
        <f t="array" ref="C28">IFERROR(IF(LARGE(PARTICIPANTES!$R$5:$R$504,16)&gt;0,INDEX(PARTICIPANTES!$F$5:$F$504,MATCH(LARGE(PARTICIPANTES!$R$5:$R$504,16),PARTICIPANTES!$R$5:$R$504,0)),""),"")</f>
        <v/>
      </c>
      <c r="D28" s="23">
        <f t="array" ref="D28">IFERROR(IF(LARGE(PARTICIPANTES!$R$5:$R$504,16)&gt;0,INDEX(PARTICIPANTES!$G$5:$G$504,MATCH(LARGE(PARTICIPANTES!$R$5:$R$504,16),PARTICIPANTES!$R$5:$R$504,0)),0),0)</f>
        <v/>
      </c>
      <c r="E28" s="23">
        <f>IF(B28="BYE","🚫 BYE","✓ Activo")</f>
        <v/>
      </c>
    </row>
    <row r="29" ht="14.25" customHeight="1" s="72">
      <c r="A29" s="36" t="n">
        <v>17</v>
      </c>
      <c r="B29" s="23">
        <f t="array" ref="B29">IFERROR(IF(LARGE(PARTICIPANTES!$R$5:$R$504,17)&gt;0,INDEX(PARTICIPANTES!$E$5:$E$504,MATCH(LARGE(PARTICIPANTES!$R$5:$R$504,17),PARTICIPANTES!$R$5:$R$504,0)),"BYE"),"BYE")</f>
        <v/>
      </c>
      <c r="C29" s="23">
        <f t="array" ref="C29">IFERROR(IF(LARGE(PARTICIPANTES!$R$5:$R$504,17)&gt;0,INDEX(PARTICIPANTES!$F$5:$F$504,MATCH(LARGE(PARTICIPANTES!$R$5:$R$504,17),PARTICIPANTES!$R$5:$R$504,0)),""),"")</f>
        <v/>
      </c>
      <c r="D29" s="23">
        <f t="array" ref="D29">IFERROR(IF(LARGE(PARTICIPANTES!$R$5:$R$504,17)&gt;0,INDEX(PARTICIPANTES!$G$5:$G$504,MATCH(LARGE(PARTICIPANTES!$R$5:$R$504,17),PARTICIPANTES!$R$5:$R$504,0)),0),0)</f>
        <v/>
      </c>
      <c r="E29" s="23">
        <f>IF(B29="BYE","🚫 BYE","✓ Activo")</f>
        <v/>
      </c>
    </row>
    <row r="30" ht="14.25" customHeight="1" s="72">
      <c r="A30" s="36" t="n">
        <v>18</v>
      </c>
      <c r="B30" s="23">
        <f t="array" ref="B30">IFERROR(IF(LARGE(PARTICIPANTES!$R$5:$R$504,18)&gt;0,INDEX(PARTICIPANTES!$E$5:$E$504,MATCH(LARGE(PARTICIPANTES!$R$5:$R$504,18),PARTICIPANTES!$R$5:$R$504,0)),"BYE"),"BYE")</f>
        <v/>
      </c>
      <c r="C30" s="23">
        <f t="array" ref="C30">IFERROR(IF(LARGE(PARTICIPANTES!$R$5:$R$504,18)&gt;0,INDEX(PARTICIPANTES!$F$5:$F$504,MATCH(LARGE(PARTICIPANTES!$R$5:$R$504,18),PARTICIPANTES!$R$5:$R$504,0)),""),"")</f>
        <v/>
      </c>
      <c r="D30" s="23">
        <f t="array" ref="D30">IFERROR(IF(LARGE(PARTICIPANTES!$R$5:$R$504,18)&gt;0,INDEX(PARTICIPANTES!$G$5:$G$504,MATCH(LARGE(PARTICIPANTES!$R$5:$R$504,18),PARTICIPANTES!$R$5:$R$504,0)),0),0)</f>
        <v/>
      </c>
      <c r="E30" s="23">
        <f>IF(B30="BYE","🚫 BYE","✓ Activo")</f>
        <v/>
      </c>
    </row>
    <row r="31" ht="14.25" customHeight="1" s="72">
      <c r="A31" s="36" t="n">
        <v>19</v>
      </c>
      <c r="B31" s="23">
        <f t="array" ref="B31">IFERROR(IF(LARGE(PARTICIPANTES!$R$5:$R$504,19)&gt;0,INDEX(PARTICIPANTES!$E$5:$E$504,MATCH(LARGE(PARTICIPANTES!$R$5:$R$504,19),PARTICIPANTES!$R$5:$R$504,0)),"BYE"),"BYE")</f>
        <v/>
      </c>
      <c r="C31" s="23">
        <f t="array" ref="C31">IFERROR(IF(LARGE(PARTICIPANTES!$R$5:$R$504,19)&gt;0,INDEX(PARTICIPANTES!$F$5:$F$504,MATCH(LARGE(PARTICIPANTES!$R$5:$R$504,19),PARTICIPANTES!$R$5:$R$504,0)),""),"")</f>
        <v/>
      </c>
      <c r="D31" s="23">
        <f t="array" ref="D31">IFERROR(IF(LARGE(PARTICIPANTES!$R$5:$R$504,19)&gt;0,INDEX(PARTICIPANTES!$G$5:$G$504,MATCH(LARGE(PARTICIPANTES!$R$5:$R$504,19),PARTICIPANTES!$R$5:$R$504,0)),0),0)</f>
        <v/>
      </c>
      <c r="E31" s="23">
        <f>IF(B31="BYE","🚫 BYE","✓ Activo")</f>
        <v/>
      </c>
    </row>
    <row r="32" ht="14.25" customHeight="1" s="72">
      <c r="A32" s="36" t="n">
        <v>20</v>
      </c>
      <c r="B32" s="23">
        <f t="array" ref="B32">IFERROR(IF(LARGE(PARTICIPANTES!$R$5:$R$504,20)&gt;0,INDEX(PARTICIPANTES!$E$5:$E$504,MATCH(LARGE(PARTICIPANTES!$R$5:$R$504,20),PARTICIPANTES!$R$5:$R$504,0)),"BYE"),"BYE")</f>
        <v/>
      </c>
      <c r="C32" s="23">
        <f t="array" ref="C32">IFERROR(IF(LARGE(PARTICIPANTES!$R$5:$R$504,20)&gt;0,INDEX(PARTICIPANTES!$F$5:$F$504,MATCH(LARGE(PARTICIPANTES!$R$5:$R$504,20),PARTICIPANTES!$R$5:$R$504,0)),""),"")</f>
        <v/>
      </c>
      <c r="D32" s="23">
        <f t="array" ref="D32">IFERROR(IF(LARGE(PARTICIPANTES!$R$5:$R$504,20)&gt;0,INDEX(PARTICIPANTES!$G$5:$G$504,MATCH(LARGE(PARTICIPANTES!$R$5:$R$504,20),PARTICIPANTES!$R$5:$R$504,0)),0),0)</f>
        <v/>
      </c>
      <c r="E32" s="23">
        <f>IF(B32="BYE","🚫 BYE","✓ Activo")</f>
        <v/>
      </c>
    </row>
    <row r="33" ht="14.25" customHeight="1" s="72">
      <c r="A33" s="36" t="n">
        <v>21</v>
      </c>
      <c r="B33" s="23">
        <f t="array" ref="B33">IFERROR(IF(LARGE(PARTICIPANTES!$R$5:$R$504,21)&gt;0,INDEX(PARTICIPANTES!$E$5:$E$504,MATCH(LARGE(PARTICIPANTES!$R$5:$R$504,21),PARTICIPANTES!$R$5:$R$504,0)),"BYE"),"BYE")</f>
        <v/>
      </c>
      <c r="C33" s="23">
        <f t="array" ref="C33">IFERROR(IF(LARGE(PARTICIPANTES!$R$5:$R$504,21)&gt;0,INDEX(PARTICIPANTES!$F$5:$F$504,MATCH(LARGE(PARTICIPANTES!$R$5:$R$504,21),PARTICIPANTES!$R$5:$R$504,0)),""),"")</f>
        <v/>
      </c>
      <c r="D33" s="23">
        <f t="array" ref="D33">IFERROR(IF(LARGE(PARTICIPANTES!$R$5:$R$504,21)&gt;0,INDEX(PARTICIPANTES!$G$5:$G$504,MATCH(LARGE(PARTICIPANTES!$R$5:$R$504,21),PARTICIPANTES!$R$5:$R$504,0)),0),0)</f>
        <v/>
      </c>
      <c r="E33" s="23">
        <f>IF(B33="BYE","🚫 BYE","✓ Activo")</f>
        <v/>
      </c>
    </row>
    <row r="34" ht="14.25" customHeight="1" s="72">
      <c r="A34" s="36" t="n">
        <v>22</v>
      </c>
      <c r="B34" s="23">
        <f t="array" ref="B34">IFERROR(IF(LARGE(PARTICIPANTES!$R$5:$R$504,22)&gt;0,INDEX(PARTICIPANTES!$E$5:$E$504,MATCH(LARGE(PARTICIPANTES!$R$5:$R$504,22),PARTICIPANTES!$R$5:$R$504,0)),"BYE"),"BYE")</f>
        <v/>
      </c>
      <c r="C34" s="23">
        <f t="array" ref="C34">IFERROR(IF(LARGE(PARTICIPANTES!$R$5:$R$504,22)&gt;0,INDEX(PARTICIPANTES!$F$5:$F$504,MATCH(LARGE(PARTICIPANTES!$R$5:$R$504,22),PARTICIPANTES!$R$5:$R$504,0)),""),"")</f>
        <v/>
      </c>
      <c r="D34" s="23">
        <f t="array" ref="D34">IFERROR(IF(LARGE(PARTICIPANTES!$R$5:$R$504,22)&gt;0,INDEX(PARTICIPANTES!$G$5:$G$504,MATCH(LARGE(PARTICIPANTES!$R$5:$R$504,22),PARTICIPANTES!$R$5:$R$504,0)),0),0)</f>
        <v/>
      </c>
      <c r="E34" s="23">
        <f>IF(B34="BYE","🚫 BYE","✓ Activo")</f>
        <v/>
      </c>
    </row>
    <row r="35" ht="14.25" customHeight="1" s="72">
      <c r="A35" s="36" t="n">
        <v>23</v>
      </c>
      <c r="B35" s="23">
        <f t="array" ref="B35">IFERROR(IF(LARGE(PARTICIPANTES!$R$5:$R$504,23)&gt;0,INDEX(PARTICIPANTES!$E$5:$E$504,MATCH(LARGE(PARTICIPANTES!$R$5:$R$504,23),PARTICIPANTES!$R$5:$R$504,0)),"BYE"),"BYE")</f>
        <v/>
      </c>
      <c r="C35" s="23">
        <f t="array" ref="C35">IFERROR(IF(LARGE(PARTICIPANTES!$R$5:$R$504,23)&gt;0,INDEX(PARTICIPANTES!$F$5:$F$504,MATCH(LARGE(PARTICIPANTES!$R$5:$R$504,23),PARTICIPANTES!$R$5:$R$504,0)),""),"")</f>
        <v/>
      </c>
      <c r="D35" s="23">
        <f t="array" ref="D35">IFERROR(IF(LARGE(PARTICIPANTES!$R$5:$R$504,23)&gt;0,INDEX(PARTICIPANTES!$G$5:$G$504,MATCH(LARGE(PARTICIPANTES!$R$5:$R$504,23),PARTICIPANTES!$R$5:$R$504,0)),0),0)</f>
        <v/>
      </c>
      <c r="E35" s="23">
        <f>IF(B35="BYE","🚫 BYE","✓ Activo")</f>
        <v/>
      </c>
    </row>
    <row r="36" ht="14.25" customHeight="1" s="72">
      <c r="A36" s="36" t="n">
        <v>24</v>
      </c>
      <c r="B36" s="23">
        <f t="array" ref="B36">IFERROR(IF(LARGE(PARTICIPANTES!$R$5:$R$504,24)&gt;0,INDEX(PARTICIPANTES!$E$5:$E$504,MATCH(LARGE(PARTICIPANTES!$R$5:$R$504,24),PARTICIPANTES!$R$5:$R$504,0)),"BYE"),"BYE")</f>
        <v/>
      </c>
      <c r="C36" s="23">
        <f t="array" ref="C36">IFERROR(IF(LARGE(PARTICIPANTES!$R$5:$R$504,24)&gt;0,INDEX(PARTICIPANTES!$F$5:$F$504,MATCH(LARGE(PARTICIPANTES!$R$5:$R$504,24),PARTICIPANTES!$R$5:$R$504,0)),""),"")</f>
        <v/>
      </c>
      <c r="D36" s="23">
        <f t="array" ref="D36">IFERROR(IF(LARGE(PARTICIPANTES!$R$5:$R$504,24)&gt;0,INDEX(PARTICIPANTES!$G$5:$G$504,MATCH(LARGE(PARTICIPANTES!$R$5:$R$504,24),PARTICIPANTES!$R$5:$R$504,0)),0),0)</f>
        <v/>
      </c>
      <c r="E36" s="23">
        <f>IF(B36="BYE","🚫 BYE","✓ Activo")</f>
        <v/>
      </c>
    </row>
    <row r="37" ht="14.25" customHeight="1" s="72">
      <c r="A37" s="36" t="n">
        <v>25</v>
      </c>
      <c r="B37" s="23">
        <f t="array" ref="B37">IFERROR(IF(LARGE(PARTICIPANTES!$R$5:$R$504,25)&gt;0,INDEX(PARTICIPANTES!$E$5:$E$504,MATCH(LARGE(PARTICIPANTES!$R$5:$R$504,25),PARTICIPANTES!$R$5:$R$504,0)),"BYE"),"BYE")</f>
        <v/>
      </c>
      <c r="C37" s="23">
        <f t="array" ref="C37">IFERROR(IF(LARGE(PARTICIPANTES!$R$5:$R$504,25)&gt;0,INDEX(PARTICIPANTES!$F$5:$F$504,MATCH(LARGE(PARTICIPANTES!$R$5:$R$504,25),PARTICIPANTES!$R$5:$R$504,0)),""),"")</f>
        <v/>
      </c>
      <c r="D37" s="23">
        <f t="array" ref="D37">IFERROR(IF(LARGE(PARTICIPANTES!$R$5:$R$504,25)&gt;0,INDEX(PARTICIPANTES!$G$5:$G$504,MATCH(LARGE(PARTICIPANTES!$R$5:$R$504,25),PARTICIPANTES!$R$5:$R$504,0)),0),0)</f>
        <v/>
      </c>
      <c r="E37" s="23">
        <f>IF(B37="BYE","🚫 BYE","✓ Activo")</f>
        <v/>
      </c>
    </row>
    <row r="38" ht="14.25" customHeight="1" s="72">
      <c r="A38" s="36" t="n">
        <v>26</v>
      </c>
      <c r="B38" s="23">
        <f t="array" ref="B38">IFERROR(IF(LARGE(PARTICIPANTES!$R$5:$R$504,26)&gt;0,INDEX(PARTICIPANTES!$E$5:$E$504,MATCH(LARGE(PARTICIPANTES!$R$5:$R$504,26),PARTICIPANTES!$R$5:$R$504,0)),"BYE"),"BYE")</f>
        <v/>
      </c>
      <c r="C38" s="23">
        <f t="array" ref="C38">IFERROR(IF(LARGE(PARTICIPANTES!$R$5:$R$504,26)&gt;0,INDEX(PARTICIPANTES!$F$5:$F$504,MATCH(LARGE(PARTICIPANTES!$R$5:$R$504,26),PARTICIPANTES!$R$5:$R$504,0)),""),"")</f>
        <v/>
      </c>
      <c r="D38" s="23">
        <f t="array" ref="D38">IFERROR(IF(LARGE(PARTICIPANTES!$R$5:$R$504,26)&gt;0,INDEX(PARTICIPANTES!$G$5:$G$504,MATCH(LARGE(PARTICIPANTES!$R$5:$R$504,26),PARTICIPANTES!$R$5:$R$504,0)),0),0)</f>
        <v/>
      </c>
      <c r="E38" s="23">
        <f>IF(B38="BYE","🚫 BYE","✓ Activo")</f>
        <v/>
      </c>
    </row>
    <row r="39" ht="14.25" customHeight="1" s="72">
      <c r="A39" s="36" t="n">
        <v>27</v>
      </c>
      <c r="B39" s="23">
        <f t="array" ref="B39">IFERROR(IF(LARGE(PARTICIPANTES!$R$5:$R$504,27)&gt;0,INDEX(PARTICIPANTES!$E$5:$E$504,MATCH(LARGE(PARTICIPANTES!$R$5:$R$504,27),PARTICIPANTES!$R$5:$R$504,0)),"BYE"),"BYE")</f>
        <v/>
      </c>
      <c r="C39" s="23">
        <f t="array" ref="C39">IFERROR(IF(LARGE(PARTICIPANTES!$R$5:$R$504,27)&gt;0,INDEX(PARTICIPANTES!$F$5:$F$504,MATCH(LARGE(PARTICIPANTES!$R$5:$R$504,27),PARTICIPANTES!$R$5:$R$504,0)),""),"")</f>
        <v/>
      </c>
      <c r="D39" s="23">
        <f t="array" ref="D39">IFERROR(IF(LARGE(PARTICIPANTES!$R$5:$R$504,27)&gt;0,INDEX(PARTICIPANTES!$G$5:$G$504,MATCH(LARGE(PARTICIPANTES!$R$5:$R$504,27),PARTICIPANTES!$R$5:$R$504,0)),0),0)</f>
        <v/>
      </c>
      <c r="E39" s="23">
        <f>IF(B39="BYE","🚫 BYE","✓ Activo")</f>
        <v/>
      </c>
    </row>
    <row r="40" ht="14.25" customHeight="1" s="72">
      <c r="A40" s="36" t="n">
        <v>28</v>
      </c>
      <c r="B40" s="23">
        <f t="array" ref="B40">IFERROR(IF(LARGE(PARTICIPANTES!$R$5:$R$504,28)&gt;0,INDEX(PARTICIPANTES!$E$5:$E$504,MATCH(LARGE(PARTICIPANTES!$R$5:$R$504,28),PARTICIPANTES!$R$5:$R$504,0)),"BYE"),"BYE")</f>
        <v/>
      </c>
      <c r="C40" s="23">
        <f t="array" ref="C40">IFERROR(IF(LARGE(PARTICIPANTES!$R$5:$R$504,28)&gt;0,INDEX(PARTICIPANTES!$F$5:$F$504,MATCH(LARGE(PARTICIPANTES!$R$5:$R$504,28),PARTICIPANTES!$R$5:$R$504,0)),""),"")</f>
        <v/>
      </c>
      <c r="D40" s="23">
        <f t="array" ref="D40">IFERROR(IF(LARGE(PARTICIPANTES!$R$5:$R$504,28)&gt;0,INDEX(PARTICIPANTES!$G$5:$G$504,MATCH(LARGE(PARTICIPANTES!$R$5:$R$504,28),PARTICIPANTES!$R$5:$R$504,0)),0),0)</f>
        <v/>
      </c>
      <c r="E40" s="23">
        <f>IF(B40="BYE","🚫 BYE","✓ Activo")</f>
        <v/>
      </c>
    </row>
    <row r="41" ht="14.25" customHeight="1" s="72">
      <c r="A41" s="36" t="n">
        <v>29</v>
      </c>
      <c r="B41" s="23">
        <f t="array" ref="B41">IFERROR(IF(LARGE(PARTICIPANTES!$R$5:$R$504,29)&gt;0,INDEX(PARTICIPANTES!$E$5:$E$504,MATCH(LARGE(PARTICIPANTES!$R$5:$R$504,29),PARTICIPANTES!$R$5:$R$504,0)),"BYE"),"BYE")</f>
        <v/>
      </c>
      <c r="C41" s="23">
        <f t="array" ref="C41">IFERROR(IF(LARGE(PARTICIPANTES!$R$5:$R$504,29)&gt;0,INDEX(PARTICIPANTES!$F$5:$F$504,MATCH(LARGE(PARTICIPANTES!$R$5:$R$504,29),PARTICIPANTES!$R$5:$R$504,0)),""),"")</f>
        <v/>
      </c>
      <c r="D41" s="23">
        <f t="array" ref="D41">IFERROR(IF(LARGE(PARTICIPANTES!$R$5:$R$504,29)&gt;0,INDEX(PARTICIPANTES!$G$5:$G$504,MATCH(LARGE(PARTICIPANTES!$R$5:$R$504,29),PARTICIPANTES!$R$5:$R$504,0)),0),0)</f>
        <v/>
      </c>
      <c r="E41" s="23">
        <f>IF(B41="BYE","🚫 BYE","✓ Activo")</f>
        <v/>
      </c>
    </row>
    <row r="42" ht="14.25" customHeight="1" s="72">
      <c r="A42" s="36" t="n">
        <v>30</v>
      </c>
      <c r="B42" s="23">
        <f t="array" ref="B42">IFERROR(IF(LARGE(PARTICIPANTES!$R$5:$R$504,30)&gt;0,INDEX(PARTICIPANTES!$E$5:$E$504,MATCH(LARGE(PARTICIPANTES!$R$5:$R$504,30),PARTICIPANTES!$R$5:$R$504,0)),"BYE"),"BYE")</f>
        <v/>
      </c>
      <c r="C42" s="23">
        <f t="array" ref="C42">IFERROR(IF(LARGE(PARTICIPANTES!$R$5:$R$504,30)&gt;0,INDEX(PARTICIPANTES!$F$5:$F$504,MATCH(LARGE(PARTICIPANTES!$R$5:$R$504,30),PARTICIPANTES!$R$5:$R$504,0)),""),"")</f>
        <v/>
      </c>
      <c r="D42" s="23">
        <f t="array" ref="D42">IFERROR(IF(LARGE(PARTICIPANTES!$R$5:$R$504,30)&gt;0,INDEX(PARTICIPANTES!$G$5:$G$504,MATCH(LARGE(PARTICIPANTES!$R$5:$R$504,30),PARTICIPANTES!$R$5:$R$504,0)),0),0)</f>
        <v/>
      </c>
      <c r="E42" s="23">
        <f>IF(B42="BYE","🚫 BYE","✓ Activo")</f>
        <v/>
      </c>
    </row>
    <row r="43" ht="14.25" customHeight="1" s="72">
      <c r="A43" s="36" t="n">
        <v>31</v>
      </c>
      <c r="B43" s="23">
        <f t="array" ref="B43">IFERROR(IF(LARGE(PARTICIPANTES!$R$5:$R$504,31)&gt;0,INDEX(PARTICIPANTES!$E$5:$E$504,MATCH(LARGE(PARTICIPANTES!$R$5:$R$504,31),PARTICIPANTES!$R$5:$R$504,0)),"BYE"),"BYE")</f>
        <v/>
      </c>
      <c r="C43" s="23">
        <f t="array" ref="C43">IFERROR(IF(LARGE(PARTICIPANTES!$R$5:$R$504,31)&gt;0,INDEX(PARTICIPANTES!$F$5:$F$504,MATCH(LARGE(PARTICIPANTES!$R$5:$R$504,31),PARTICIPANTES!$R$5:$R$504,0)),""),"")</f>
        <v/>
      </c>
      <c r="D43" s="23">
        <f t="array" ref="D43">IFERROR(IF(LARGE(PARTICIPANTES!$R$5:$R$504,31)&gt;0,INDEX(PARTICIPANTES!$G$5:$G$504,MATCH(LARGE(PARTICIPANTES!$R$5:$R$504,31),PARTICIPANTES!$R$5:$R$504,0)),0),0)</f>
        <v/>
      </c>
      <c r="E43" s="23">
        <f>IF(B43="BYE","🚫 BYE","✓ Activo")</f>
        <v/>
      </c>
    </row>
    <row r="44" ht="14.25" customHeight="1" s="72">
      <c r="A44" s="36" t="n">
        <v>32</v>
      </c>
      <c r="B44" s="23">
        <f t="array" ref="B44">IFERROR(IF(LARGE(PARTICIPANTES!$R$5:$R$504,32)&gt;0,INDEX(PARTICIPANTES!$E$5:$E$504,MATCH(LARGE(PARTICIPANTES!$R$5:$R$504,32),PARTICIPANTES!$R$5:$R$504,0)),"BYE"),"BYE")</f>
        <v/>
      </c>
      <c r="C44" s="23">
        <f t="array" ref="C44">IFERROR(IF(LARGE(PARTICIPANTES!$R$5:$R$504,32)&gt;0,INDEX(PARTICIPANTES!$F$5:$F$504,MATCH(LARGE(PARTICIPANTES!$R$5:$R$504,32),PARTICIPANTES!$R$5:$R$504,0)),""),"")</f>
        <v/>
      </c>
      <c r="D44" s="23">
        <f t="array" ref="D44">IFERROR(IF(LARGE(PARTICIPANTES!$R$5:$R$504,32)&gt;0,INDEX(PARTICIPANTES!$G$5:$G$504,MATCH(LARGE(PARTICIPANTES!$R$5:$R$504,32),PARTICIPANTES!$R$5:$R$504,0)),0),0)</f>
        <v/>
      </c>
      <c r="E44" s="23">
        <f>IF(B44="BYE","🚫 BYE","✓ Activo")</f>
        <v/>
      </c>
    </row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8">
    <mergeCell ref="A1:J1"/>
    <mergeCell ref="B5:D5"/>
    <mergeCell ref="B8:D8"/>
    <mergeCell ref="B4:D4"/>
    <mergeCell ref="A11:E11"/>
    <mergeCell ref="B9:D9"/>
    <mergeCell ref="B7:D7"/>
    <mergeCell ref="B6:D6"/>
  </mergeCells>
  <dataValidations count="1">
    <dataValidation sqref="B3" showDropDown="0" showInputMessage="0" showErrorMessage="0" allowBlank="1" type="list">
      <formula1>CONFIG!$A$74:$A$95</formula1>
    </dataValidation>
  </dataValidation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1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.14" customWidth="1" style="72" min="1" max="1"/>
    <col width="11.14" customWidth="1" style="72" min="2" max="2"/>
    <col width="24.14" customWidth="1" style="72" min="3" max="3"/>
    <col width="17.57" customWidth="1" style="72" min="4" max="4"/>
    <col width="10.29" customWidth="1" style="72" min="5" max="5"/>
    <col width="17.57" customWidth="1" style="72" min="6" max="6"/>
    <col width="10.29" customWidth="1" style="72" min="7" max="7"/>
    <col width="15.71" customWidth="1" style="72" min="8" max="8"/>
    <col width="12" customWidth="1" style="72" min="9" max="10"/>
    <col width="8.710000000000001" customWidth="1" style="72" min="11" max="26"/>
  </cols>
  <sheetData>
    <row r="1" ht="25.5" customHeight="1" s="72">
      <c r="A1" s="73" t="inlineStr">
        <is>
          <t>JUEZ 1 · EVENTO COMPLETO · Rellena NOTA y puntos a quitar por jugador en cada jogo</t>
        </is>
      </c>
    </row>
    <row r="2" ht="14.25" customHeight="1" s="72"/>
    <row r="3" ht="14.25" customHeight="1" s="72">
      <c r="A3" s="80" t="inlineStr">
        <is>
          <t>═══ CATEGORÍA A · Masculino · Marrón (Profesores) · Toques: Benguela, São Bento da Abadá, Siriuna ═══</t>
        </is>
      </c>
    </row>
    <row r="4" ht="14.25" customHeight="1" s="72">
      <c r="A4" s="8" t="inlineStr">
        <is>
          <t>Jogo</t>
        </is>
      </c>
      <c r="B4" s="8" t="inlineStr">
        <is>
          <t>Fase</t>
        </is>
      </c>
      <c r="C4" s="8" t="inlineStr">
        <is>
          <t>Toque</t>
        </is>
      </c>
      <c r="D4" s="8" t="inlineStr">
        <is>
          <t>Jugador A</t>
        </is>
      </c>
      <c r="E4" s="8" t="inlineStr">
        <is>
          <t>Quita A</t>
        </is>
      </c>
      <c r="F4" s="8" t="inlineStr">
        <is>
          <t>Jugador B</t>
        </is>
      </c>
      <c r="G4" s="8" t="inlineStr">
        <is>
          <t>Quita B</t>
        </is>
      </c>
      <c r="H4" s="8" t="inlineStr">
        <is>
          <t>NOTA (0-5)</t>
        </is>
      </c>
      <c r="I4" s="8" t="inlineStr">
        <is>
          <t>Final A</t>
        </is>
      </c>
      <c r="J4" s="8" t="inlineStr">
        <is>
          <t>Final B</t>
        </is>
      </c>
    </row>
    <row r="5" ht="19.5" customHeight="1" s="72">
      <c r="A5" s="38" t="inlineStr">
        <is>
          <t>AM-32-P01-BEN</t>
        </is>
      </c>
      <c r="B5" s="38" t="inlineStr">
        <is>
          <t>Fase 32</t>
        </is>
      </c>
      <c r="C5" s="38" t="inlineStr">
        <is>
          <t>Benguela</t>
        </is>
      </c>
      <c r="D5" s="39" t="inlineStr">
        <is>
          <t>A_A_M_32_P1</t>
        </is>
      </c>
      <c r="E5" s="40" t="n"/>
      <c r="F5" s="39" t="inlineStr">
        <is>
          <t>B_A_M_32_P1</t>
        </is>
      </c>
      <c r="G5" s="40" t="n"/>
      <c r="H5" s="41" t="n"/>
      <c r="I5" s="42">
        <f>IF($H5="","",MAX(0,$H5-N($E5)))</f>
        <v/>
      </c>
      <c r="J5" s="42">
        <f>IF($H5="","",MAX(0,$H5-N($G5)))</f>
        <v/>
      </c>
    </row>
    <row r="6" ht="19.5" customHeight="1" s="72">
      <c r="A6" s="38" t="inlineStr">
        <is>
          <t>AM-32-P01-SBA</t>
        </is>
      </c>
      <c r="B6" s="38" t="inlineStr">
        <is>
          <t>Fase 32</t>
        </is>
      </c>
      <c r="C6" s="38" t="inlineStr">
        <is>
          <t>São Bento da Abadá</t>
        </is>
      </c>
      <c r="D6" s="39" t="inlineStr">
        <is>
          <t>A_A_M_32_P1</t>
        </is>
      </c>
      <c r="E6" s="40" t="n"/>
      <c r="F6" s="39" t="inlineStr">
        <is>
          <t>B_A_M_32_P1</t>
        </is>
      </c>
      <c r="G6" s="40" t="n"/>
      <c r="H6" s="41" t="n"/>
      <c r="I6" s="42">
        <f>IF($H6="","",MAX(0,$H6-N($E6)))</f>
        <v/>
      </c>
      <c r="J6" s="42">
        <f>IF($H6="","",MAX(0,$H6-N($G6)))</f>
        <v/>
      </c>
    </row>
    <row r="7" ht="19.5" customHeight="1" s="72">
      <c r="A7" s="38" t="inlineStr">
        <is>
          <t>AM-32-P01-SIR</t>
        </is>
      </c>
      <c r="B7" s="38" t="inlineStr">
        <is>
          <t>Fase 32</t>
        </is>
      </c>
      <c r="C7" s="38" t="inlineStr">
        <is>
          <t>Siriuna</t>
        </is>
      </c>
      <c r="D7" s="39" t="inlineStr">
        <is>
          <t>A_A_M_32_P1</t>
        </is>
      </c>
      <c r="E7" s="40" t="n"/>
      <c r="F7" s="39" t="inlineStr">
        <is>
          <t>B_A_M_32_P1</t>
        </is>
      </c>
      <c r="G7" s="40" t="n"/>
      <c r="H7" s="41" t="n"/>
      <c r="I7" s="42">
        <f>IF($H7="","",MAX(0,$H7-N($E7)))</f>
        <v/>
      </c>
      <c r="J7" s="42">
        <f>IF($H7="","",MAX(0,$H7-N($G7)))</f>
        <v/>
      </c>
    </row>
    <row r="8" ht="19.5" customHeight="1" s="72">
      <c r="A8" s="38" t="inlineStr">
        <is>
          <t>AM-32-P02-BEN</t>
        </is>
      </c>
      <c r="B8" s="38" t="inlineStr">
        <is>
          <t>Fase 32</t>
        </is>
      </c>
      <c r="C8" s="38" t="inlineStr">
        <is>
          <t>Benguela</t>
        </is>
      </c>
      <c r="D8" s="39" t="inlineStr">
        <is>
          <t>A_A_M_32_P2</t>
        </is>
      </c>
      <c r="E8" s="40" t="n"/>
      <c r="F8" s="39" t="inlineStr">
        <is>
          <t>B_A_M_32_P2</t>
        </is>
      </c>
      <c r="G8" s="40" t="n"/>
      <c r="H8" s="41" t="n"/>
      <c r="I8" s="42">
        <f>IF($H8="","",MAX(0,$H8-N($E8)))</f>
        <v/>
      </c>
      <c r="J8" s="42">
        <f>IF($H8="","",MAX(0,$H8-N($G8)))</f>
        <v/>
      </c>
    </row>
    <row r="9" ht="19.5" customHeight="1" s="72">
      <c r="A9" s="38" t="inlineStr">
        <is>
          <t>AM-32-P02-SBA</t>
        </is>
      </c>
      <c r="B9" s="38" t="inlineStr">
        <is>
          <t>Fase 32</t>
        </is>
      </c>
      <c r="C9" s="38" t="inlineStr">
        <is>
          <t>São Bento da Abadá</t>
        </is>
      </c>
      <c r="D9" s="39" t="inlineStr">
        <is>
          <t>A_A_M_32_P2</t>
        </is>
      </c>
      <c r="E9" s="40" t="n"/>
      <c r="F9" s="39" t="inlineStr">
        <is>
          <t>B_A_M_32_P2</t>
        </is>
      </c>
      <c r="G9" s="40" t="n"/>
      <c r="H9" s="41" t="n"/>
      <c r="I9" s="42">
        <f>IF($H9="","",MAX(0,$H9-N($E9)))</f>
        <v/>
      </c>
      <c r="J9" s="42">
        <f>IF($H9="","",MAX(0,$H9-N($G9)))</f>
        <v/>
      </c>
    </row>
    <row r="10" ht="19.5" customHeight="1" s="72">
      <c r="A10" s="38" t="inlineStr">
        <is>
          <t>AM-32-P02-SIR</t>
        </is>
      </c>
      <c r="B10" s="38" t="inlineStr">
        <is>
          <t>Fase 32</t>
        </is>
      </c>
      <c r="C10" s="38" t="inlineStr">
        <is>
          <t>Siriuna</t>
        </is>
      </c>
      <c r="D10" s="39" t="inlineStr">
        <is>
          <t>A_A_M_32_P2</t>
        </is>
      </c>
      <c r="E10" s="40" t="n"/>
      <c r="F10" s="39" t="inlineStr">
        <is>
          <t>B_A_M_32_P2</t>
        </is>
      </c>
      <c r="G10" s="40" t="n"/>
      <c r="H10" s="41" t="n"/>
      <c r="I10" s="42">
        <f>IF($H10="","",MAX(0,$H10-N($E10)))</f>
        <v/>
      </c>
      <c r="J10" s="42">
        <f>IF($H10="","",MAX(0,$H10-N($G10)))</f>
        <v/>
      </c>
    </row>
    <row r="11" ht="19.5" customHeight="1" s="72">
      <c r="A11" s="38" t="inlineStr">
        <is>
          <t>AM-32-P03-BEN</t>
        </is>
      </c>
      <c r="B11" s="38" t="inlineStr">
        <is>
          <t>Fase 32</t>
        </is>
      </c>
      <c r="C11" s="38" t="inlineStr">
        <is>
          <t>Benguela</t>
        </is>
      </c>
      <c r="D11" s="39" t="inlineStr">
        <is>
          <t>A_A_M_32_P3</t>
        </is>
      </c>
      <c r="E11" s="40" t="n"/>
      <c r="F11" s="39" t="inlineStr">
        <is>
          <t>B_A_M_32_P3</t>
        </is>
      </c>
      <c r="G11" s="40" t="n"/>
      <c r="H11" s="41" t="n"/>
      <c r="I11" s="42">
        <f>IF($H11="","",MAX(0,$H11-N($E11)))</f>
        <v/>
      </c>
      <c r="J11" s="42">
        <f>IF($H11="","",MAX(0,$H11-N($G11)))</f>
        <v/>
      </c>
    </row>
    <row r="12" ht="19.5" customHeight="1" s="72">
      <c r="A12" s="38" t="inlineStr">
        <is>
          <t>AM-32-P03-SBA</t>
        </is>
      </c>
      <c r="B12" s="38" t="inlineStr">
        <is>
          <t>Fase 32</t>
        </is>
      </c>
      <c r="C12" s="38" t="inlineStr">
        <is>
          <t>São Bento da Abadá</t>
        </is>
      </c>
      <c r="D12" s="39" t="inlineStr">
        <is>
          <t>A_A_M_32_P3</t>
        </is>
      </c>
      <c r="E12" s="40" t="n"/>
      <c r="F12" s="39" t="inlineStr">
        <is>
          <t>B_A_M_32_P3</t>
        </is>
      </c>
      <c r="G12" s="40" t="n"/>
      <c r="H12" s="41" t="n"/>
      <c r="I12" s="42">
        <f>IF($H12="","",MAX(0,$H12-N($E12)))</f>
        <v/>
      </c>
      <c r="J12" s="42">
        <f>IF($H12="","",MAX(0,$H12-N($G12)))</f>
        <v/>
      </c>
    </row>
    <row r="13" ht="19.5" customHeight="1" s="72">
      <c r="A13" s="38" t="inlineStr">
        <is>
          <t>AM-32-P03-SIR</t>
        </is>
      </c>
      <c r="B13" s="38" t="inlineStr">
        <is>
          <t>Fase 32</t>
        </is>
      </c>
      <c r="C13" s="38" t="inlineStr">
        <is>
          <t>Siriuna</t>
        </is>
      </c>
      <c r="D13" s="39" t="inlineStr">
        <is>
          <t>A_A_M_32_P3</t>
        </is>
      </c>
      <c r="E13" s="40" t="n"/>
      <c r="F13" s="39" t="inlineStr">
        <is>
          <t>B_A_M_32_P3</t>
        </is>
      </c>
      <c r="G13" s="40" t="n"/>
      <c r="H13" s="41" t="n"/>
      <c r="I13" s="42">
        <f>IF($H13="","",MAX(0,$H13-N($E13)))</f>
        <v/>
      </c>
      <c r="J13" s="42">
        <f>IF($H13="","",MAX(0,$H13-N($G13)))</f>
        <v/>
      </c>
    </row>
    <row r="14" ht="19.5" customHeight="1" s="72">
      <c r="A14" s="38" t="inlineStr">
        <is>
          <t>AM-32-P04-BEN</t>
        </is>
      </c>
      <c r="B14" s="38" t="inlineStr">
        <is>
          <t>Fase 32</t>
        </is>
      </c>
      <c r="C14" s="38" t="inlineStr">
        <is>
          <t>Benguela</t>
        </is>
      </c>
      <c r="D14" s="39" t="inlineStr">
        <is>
          <t>A_A_M_32_P4</t>
        </is>
      </c>
      <c r="E14" s="40" t="n"/>
      <c r="F14" s="39" t="inlineStr">
        <is>
          <t>B_A_M_32_P4</t>
        </is>
      </c>
      <c r="G14" s="40" t="n"/>
      <c r="H14" s="41" t="n"/>
      <c r="I14" s="42">
        <f>IF($H14="","",MAX(0,$H14-N($E14)))</f>
        <v/>
      </c>
      <c r="J14" s="42">
        <f>IF($H14="","",MAX(0,$H14-N($G14)))</f>
        <v/>
      </c>
    </row>
    <row r="15" ht="19.5" customHeight="1" s="72">
      <c r="A15" s="38" t="inlineStr">
        <is>
          <t>AM-32-P04-SBA</t>
        </is>
      </c>
      <c r="B15" s="38" t="inlineStr">
        <is>
          <t>Fase 32</t>
        </is>
      </c>
      <c r="C15" s="38" t="inlineStr">
        <is>
          <t>São Bento da Abadá</t>
        </is>
      </c>
      <c r="D15" s="39" t="inlineStr">
        <is>
          <t>A_A_M_32_P4</t>
        </is>
      </c>
      <c r="E15" s="40" t="n"/>
      <c r="F15" s="39" t="inlineStr">
        <is>
          <t>B_A_M_32_P4</t>
        </is>
      </c>
      <c r="G15" s="40" t="n"/>
      <c r="H15" s="41" t="n"/>
      <c r="I15" s="42">
        <f>IF($H15="","",MAX(0,$H15-N($E15)))</f>
        <v/>
      </c>
      <c r="J15" s="42">
        <f>IF($H15="","",MAX(0,$H15-N($G15)))</f>
        <v/>
      </c>
    </row>
    <row r="16" ht="19.5" customHeight="1" s="72">
      <c r="A16" s="38" t="inlineStr">
        <is>
          <t>AM-32-P04-SIR</t>
        </is>
      </c>
      <c r="B16" s="38" t="inlineStr">
        <is>
          <t>Fase 32</t>
        </is>
      </c>
      <c r="C16" s="38" t="inlineStr">
        <is>
          <t>Siriuna</t>
        </is>
      </c>
      <c r="D16" s="39" t="inlineStr">
        <is>
          <t>A_A_M_32_P4</t>
        </is>
      </c>
      <c r="E16" s="40" t="n"/>
      <c r="F16" s="39" t="inlineStr">
        <is>
          <t>B_A_M_32_P4</t>
        </is>
      </c>
      <c r="G16" s="40" t="n"/>
      <c r="H16" s="41" t="n"/>
      <c r="I16" s="42">
        <f>IF($H16="","",MAX(0,$H16-N($E16)))</f>
        <v/>
      </c>
      <c r="J16" s="42">
        <f>IF($H16="","",MAX(0,$H16-N($G16)))</f>
        <v/>
      </c>
    </row>
    <row r="17" ht="19.5" customHeight="1" s="72">
      <c r="A17" s="38" t="inlineStr">
        <is>
          <t>AM-32-P05-BEN</t>
        </is>
      </c>
      <c r="B17" s="38" t="inlineStr">
        <is>
          <t>Fase 32</t>
        </is>
      </c>
      <c r="C17" s="38" t="inlineStr">
        <is>
          <t>Benguela</t>
        </is>
      </c>
      <c r="D17" s="39" t="inlineStr">
        <is>
          <t>A_A_M_32_P5</t>
        </is>
      </c>
      <c r="E17" s="40" t="n"/>
      <c r="F17" s="39" t="inlineStr">
        <is>
          <t>B_A_M_32_P5</t>
        </is>
      </c>
      <c r="G17" s="40" t="n"/>
      <c r="H17" s="41" t="n"/>
      <c r="I17" s="42">
        <f>IF($H17="","",MAX(0,$H17-N($E17)))</f>
        <v/>
      </c>
      <c r="J17" s="42">
        <f>IF($H17="","",MAX(0,$H17-N($G17)))</f>
        <v/>
      </c>
    </row>
    <row r="18" ht="19.5" customHeight="1" s="72">
      <c r="A18" s="38" t="inlineStr">
        <is>
          <t>AM-32-P05-SBA</t>
        </is>
      </c>
      <c r="B18" s="38" t="inlineStr">
        <is>
          <t>Fase 32</t>
        </is>
      </c>
      <c r="C18" s="38" t="inlineStr">
        <is>
          <t>São Bento da Abadá</t>
        </is>
      </c>
      <c r="D18" s="39" t="inlineStr">
        <is>
          <t>A_A_M_32_P5</t>
        </is>
      </c>
      <c r="E18" s="40" t="n"/>
      <c r="F18" s="39" t="inlineStr">
        <is>
          <t>B_A_M_32_P5</t>
        </is>
      </c>
      <c r="G18" s="40" t="n"/>
      <c r="H18" s="41" t="n"/>
      <c r="I18" s="42">
        <f>IF($H18="","",MAX(0,$H18-N($E18)))</f>
        <v/>
      </c>
      <c r="J18" s="42">
        <f>IF($H18="","",MAX(0,$H18-N($G18)))</f>
        <v/>
      </c>
    </row>
    <row r="19" ht="19.5" customHeight="1" s="72">
      <c r="A19" s="38" t="inlineStr">
        <is>
          <t>AM-32-P05-SIR</t>
        </is>
      </c>
      <c r="B19" s="38" t="inlineStr">
        <is>
          <t>Fase 32</t>
        </is>
      </c>
      <c r="C19" s="38" t="inlineStr">
        <is>
          <t>Siriuna</t>
        </is>
      </c>
      <c r="D19" s="39" t="inlineStr">
        <is>
          <t>A_A_M_32_P5</t>
        </is>
      </c>
      <c r="E19" s="40" t="n"/>
      <c r="F19" s="39" t="inlineStr">
        <is>
          <t>B_A_M_32_P5</t>
        </is>
      </c>
      <c r="G19" s="40" t="n"/>
      <c r="H19" s="41" t="n"/>
      <c r="I19" s="42">
        <f>IF($H19="","",MAX(0,$H19-N($E19)))</f>
        <v/>
      </c>
      <c r="J19" s="42">
        <f>IF($H19="","",MAX(0,$H19-N($G19)))</f>
        <v/>
      </c>
    </row>
    <row r="20" ht="19.5" customHeight="1" s="72">
      <c r="A20" s="38" t="inlineStr">
        <is>
          <t>AM-32-P06-BEN</t>
        </is>
      </c>
      <c r="B20" s="38" t="inlineStr">
        <is>
          <t>Fase 32</t>
        </is>
      </c>
      <c r="C20" s="38" t="inlineStr">
        <is>
          <t>Benguela</t>
        </is>
      </c>
      <c r="D20" s="39" t="inlineStr">
        <is>
          <t>A_A_M_32_P6</t>
        </is>
      </c>
      <c r="E20" s="40" t="n"/>
      <c r="F20" s="39" t="inlineStr">
        <is>
          <t>B_A_M_32_P6</t>
        </is>
      </c>
      <c r="G20" s="40" t="n"/>
      <c r="H20" s="41" t="n"/>
      <c r="I20" s="42">
        <f>IF($H20="","",MAX(0,$H20-N($E20)))</f>
        <v/>
      </c>
      <c r="J20" s="42">
        <f>IF($H20="","",MAX(0,$H20-N($G20)))</f>
        <v/>
      </c>
    </row>
    <row r="21" ht="19.5" customHeight="1" s="72">
      <c r="A21" s="38" t="inlineStr">
        <is>
          <t>AM-32-P06-SBA</t>
        </is>
      </c>
      <c r="B21" s="38" t="inlineStr">
        <is>
          <t>Fase 32</t>
        </is>
      </c>
      <c r="C21" s="38" t="inlineStr">
        <is>
          <t>São Bento da Abadá</t>
        </is>
      </c>
      <c r="D21" s="39" t="inlineStr">
        <is>
          <t>A_A_M_32_P6</t>
        </is>
      </c>
      <c r="E21" s="40" t="n"/>
      <c r="F21" s="39" t="inlineStr">
        <is>
          <t>B_A_M_32_P6</t>
        </is>
      </c>
      <c r="G21" s="40" t="n"/>
      <c r="H21" s="41" t="n"/>
      <c r="I21" s="42">
        <f>IF($H21="","",MAX(0,$H21-N($E21)))</f>
        <v/>
      </c>
      <c r="J21" s="42">
        <f>IF($H21="","",MAX(0,$H21-N($G21)))</f>
        <v/>
      </c>
    </row>
    <row r="22" ht="19.5" customHeight="1" s="72">
      <c r="A22" s="38" t="inlineStr">
        <is>
          <t>AM-32-P06-SIR</t>
        </is>
      </c>
      <c r="B22" s="38" t="inlineStr">
        <is>
          <t>Fase 32</t>
        </is>
      </c>
      <c r="C22" s="38" t="inlineStr">
        <is>
          <t>Siriuna</t>
        </is>
      </c>
      <c r="D22" s="39" t="inlineStr">
        <is>
          <t>A_A_M_32_P6</t>
        </is>
      </c>
      <c r="E22" s="40" t="n"/>
      <c r="F22" s="39" t="inlineStr">
        <is>
          <t>B_A_M_32_P6</t>
        </is>
      </c>
      <c r="G22" s="40" t="n"/>
      <c r="H22" s="41" t="n"/>
      <c r="I22" s="42">
        <f>IF($H22="","",MAX(0,$H22-N($E22)))</f>
        <v/>
      </c>
      <c r="J22" s="42">
        <f>IF($H22="","",MAX(0,$H22-N($G22)))</f>
        <v/>
      </c>
    </row>
    <row r="23" ht="19.5" customHeight="1" s="72">
      <c r="A23" s="38" t="inlineStr">
        <is>
          <t>AM-32-P07-BEN</t>
        </is>
      </c>
      <c r="B23" s="38" t="inlineStr">
        <is>
          <t>Fase 32</t>
        </is>
      </c>
      <c r="C23" s="38" t="inlineStr">
        <is>
          <t>Benguela</t>
        </is>
      </c>
      <c r="D23" s="39" t="inlineStr">
        <is>
          <t>A_A_M_32_P7</t>
        </is>
      </c>
      <c r="E23" s="40" t="n"/>
      <c r="F23" s="39" t="inlineStr">
        <is>
          <t>B_A_M_32_P7</t>
        </is>
      </c>
      <c r="G23" s="40" t="n"/>
      <c r="H23" s="41" t="n"/>
      <c r="I23" s="42">
        <f>IF($H23="","",MAX(0,$H23-N($E23)))</f>
        <v/>
      </c>
      <c r="J23" s="42">
        <f>IF($H23="","",MAX(0,$H23-N($G23)))</f>
        <v/>
      </c>
    </row>
    <row r="24" ht="19.5" customHeight="1" s="72">
      <c r="A24" s="38" t="inlineStr">
        <is>
          <t>AM-32-P07-SBA</t>
        </is>
      </c>
      <c r="B24" s="38" t="inlineStr">
        <is>
          <t>Fase 32</t>
        </is>
      </c>
      <c r="C24" s="38" t="inlineStr">
        <is>
          <t>São Bento da Abadá</t>
        </is>
      </c>
      <c r="D24" s="39" t="inlineStr">
        <is>
          <t>A_A_M_32_P7</t>
        </is>
      </c>
      <c r="E24" s="40" t="n"/>
      <c r="F24" s="39" t="inlineStr">
        <is>
          <t>B_A_M_32_P7</t>
        </is>
      </c>
      <c r="G24" s="40" t="n"/>
      <c r="H24" s="41" t="n"/>
      <c r="I24" s="42">
        <f>IF($H24="","",MAX(0,$H24-N($E24)))</f>
        <v/>
      </c>
      <c r="J24" s="42">
        <f>IF($H24="","",MAX(0,$H24-N($G24)))</f>
        <v/>
      </c>
    </row>
    <row r="25" ht="19.5" customHeight="1" s="72">
      <c r="A25" s="38" t="inlineStr">
        <is>
          <t>AM-32-P07-SIR</t>
        </is>
      </c>
      <c r="B25" s="38" t="inlineStr">
        <is>
          <t>Fase 32</t>
        </is>
      </c>
      <c r="C25" s="38" t="inlineStr">
        <is>
          <t>Siriuna</t>
        </is>
      </c>
      <c r="D25" s="39" t="inlineStr">
        <is>
          <t>A_A_M_32_P7</t>
        </is>
      </c>
      <c r="E25" s="40" t="n"/>
      <c r="F25" s="39" t="inlineStr">
        <is>
          <t>B_A_M_32_P7</t>
        </is>
      </c>
      <c r="G25" s="40" t="n"/>
      <c r="H25" s="41" t="n"/>
      <c r="I25" s="42">
        <f>IF($H25="","",MAX(0,$H25-N($E25)))</f>
        <v/>
      </c>
      <c r="J25" s="42">
        <f>IF($H25="","",MAX(0,$H25-N($G25)))</f>
        <v/>
      </c>
    </row>
    <row r="26" ht="19.5" customHeight="1" s="72">
      <c r="A26" s="38" t="inlineStr">
        <is>
          <t>AM-32-P08-BEN</t>
        </is>
      </c>
      <c r="B26" s="38" t="inlineStr">
        <is>
          <t>Fase 32</t>
        </is>
      </c>
      <c r="C26" s="38" t="inlineStr">
        <is>
          <t>Benguela</t>
        </is>
      </c>
      <c r="D26" s="39" t="inlineStr">
        <is>
          <t>A_A_M_32_P8</t>
        </is>
      </c>
      <c r="E26" s="40" t="n"/>
      <c r="F26" s="39" t="inlineStr">
        <is>
          <t>B_A_M_32_P8</t>
        </is>
      </c>
      <c r="G26" s="40" t="n"/>
      <c r="H26" s="41" t="n"/>
      <c r="I26" s="42">
        <f>IF($H26="","",MAX(0,$H26-N($E26)))</f>
        <v/>
      </c>
      <c r="J26" s="42">
        <f>IF($H26="","",MAX(0,$H26-N($G26)))</f>
        <v/>
      </c>
    </row>
    <row r="27" ht="19.5" customHeight="1" s="72">
      <c r="A27" s="38" t="inlineStr">
        <is>
          <t>AM-32-P08-SBA</t>
        </is>
      </c>
      <c r="B27" s="38" t="inlineStr">
        <is>
          <t>Fase 32</t>
        </is>
      </c>
      <c r="C27" s="38" t="inlineStr">
        <is>
          <t>São Bento da Abadá</t>
        </is>
      </c>
      <c r="D27" s="39" t="inlineStr">
        <is>
          <t>A_A_M_32_P8</t>
        </is>
      </c>
      <c r="E27" s="40" t="n"/>
      <c r="F27" s="39" t="inlineStr">
        <is>
          <t>B_A_M_32_P8</t>
        </is>
      </c>
      <c r="G27" s="40" t="n"/>
      <c r="H27" s="41" t="n"/>
      <c r="I27" s="42">
        <f>IF($H27="","",MAX(0,$H27-N($E27)))</f>
        <v/>
      </c>
      <c r="J27" s="42">
        <f>IF($H27="","",MAX(0,$H27-N($G27)))</f>
        <v/>
      </c>
    </row>
    <row r="28" ht="19.5" customHeight="1" s="72">
      <c r="A28" s="38" t="inlineStr">
        <is>
          <t>AM-32-P08-SIR</t>
        </is>
      </c>
      <c r="B28" s="38" t="inlineStr">
        <is>
          <t>Fase 32</t>
        </is>
      </c>
      <c r="C28" s="38" t="inlineStr">
        <is>
          <t>Siriuna</t>
        </is>
      </c>
      <c r="D28" s="39" t="inlineStr">
        <is>
          <t>A_A_M_32_P8</t>
        </is>
      </c>
      <c r="E28" s="40" t="n"/>
      <c r="F28" s="39" t="inlineStr">
        <is>
          <t>B_A_M_32_P8</t>
        </is>
      </c>
      <c r="G28" s="40" t="n"/>
      <c r="H28" s="41" t="n"/>
      <c r="I28" s="42">
        <f>IF($H28="","",MAX(0,$H28-N($E28)))</f>
        <v/>
      </c>
      <c r="J28" s="42">
        <f>IF($H28="","",MAX(0,$H28-N($G28)))</f>
        <v/>
      </c>
    </row>
    <row r="29" ht="19.5" customHeight="1" s="72">
      <c r="A29" s="38" t="inlineStr">
        <is>
          <t>AM-32-P09-BEN</t>
        </is>
      </c>
      <c r="B29" s="38" t="inlineStr">
        <is>
          <t>Fase 32</t>
        </is>
      </c>
      <c r="C29" s="38" t="inlineStr">
        <is>
          <t>Benguela</t>
        </is>
      </c>
      <c r="D29" s="39" t="inlineStr">
        <is>
          <t>A_A_M_32_P9</t>
        </is>
      </c>
      <c r="E29" s="40" t="n"/>
      <c r="F29" s="39" t="inlineStr">
        <is>
          <t>B_A_M_32_P9</t>
        </is>
      </c>
      <c r="G29" s="40" t="n"/>
      <c r="H29" s="41" t="n"/>
      <c r="I29" s="42">
        <f>IF($H29="","",MAX(0,$H29-N($E29)))</f>
        <v/>
      </c>
      <c r="J29" s="42">
        <f>IF($H29="","",MAX(0,$H29-N($G29)))</f>
        <v/>
      </c>
    </row>
    <row r="30" ht="19.5" customHeight="1" s="72">
      <c r="A30" s="38" t="inlineStr">
        <is>
          <t>AM-32-P09-SBA</t>
        </is>
      </c>
      <c r="B30" s="38" t="inlineStr">
        <is>
          <t>Fase 32</t>
        </is>
      </c>
      <c r="C30" s="38" t="inlineStr">
        <is>
          <t>São Bento da Abadá</t>
        </is>
      </c>
      <c r="D30" s="39" t="inlineStr">
        <is>
          <t>A_A_M_32_P9</t>
        </is>
      </c>
      <c r="E30" s="40" t="n"/>
      <c r="F30" s="39" t="inlineStr">
        <is>
          <t>B_A_M_32_P9</t>
        </is>
      </c>
      <c r="G30" s="40" t="n"/>
      <c r="H30" s="41" t="n"/>
      <c r="I30" s="42">
        <f>IF($H30="","",MAX(0,$H30-N($E30)))</f>
        <v/>
      </c>
      <c r="J30" s="42">
        <f>IF($H30="","",MAX(0,$H30-N($G30)))</f>
        <v/>
      </c>
    </row>
    <row r="31" ht="19.5" customHeight="1" s="72">
      <c r="A31" s="38" t="inlineStr">
        <is>
          <t>AM-32-P09-SIR</t>
        </is>
      </c>
      <c r="B31" s="38" t="inlineStr">
        <is>
          <t>Fase 32</t>
        </is>
      </c>
      <c r="C31" s="38" t="inlineStr">
        <is>
          <t>Siriuna</t>
        </is>
      </c>
      <c r="D31" s="39" t="inlineStr">
        <is>
          <t>A_A_M_32_P9</t>
        </is>
      </c>
      <c r="E31" s="40" t="n"/>
      <c r="F31" s="39" t="inlineStr">
        <is>
          <t>B_A_M_32_P9</t>
        </is>
      </c>
      <c r="G31" s="40" t="n"/>
      <c r="H31" s="41" t="n"/>
      <c r="I31" s="42">
        <f>IF($H31="","",MAX(0,$H31-N($E31)))</f>
        <v/>
      </c>
      <c r="J31" s="42">
        <f>IF($H31="","",MAX(0,$H31-N($G31)))</f>
        <v/>
      </c>
    </row>
    <row r="32" ht="19.5" customHeight="1" s="72">
      <c r="A32" s="38" t="inlineStr">
        <is>
          <t>AM-32-P10-BEN</t>
        </is>
      </c>
      <c r="B32" s="38" t="inlineStr">
        <is>
          <t>Fase 32</t>
        </is>
      </c>
      <c r="C32" s="38" t="inlineStr">
        <is>
          <t>Benguela</t>
        </is>
      </c>
      <c r="D32" s="39" t="inlineStr">
        <is>
          <t>A_A_M_32_P10</t>
        </is>
      </c>
      <c r="E32" s="40" t="n"/>
      <c r="F32" s="39" t="inlineStr">
        <is>
          <t>B_A_M_32_P10</t>
        </is>
      </c>
      <c r="G32" s="40" t="n"/>
      <c r="H32" s="41" t="n"/>
      <c r="I32" s="42">
        <f>IF($H32="","",MAX(0,$H32-N($E32)))</f>
        <v/>
      </c>
      <c r="J32" s="42">
        <f>IF($H32="","",MAX(0,$H32-N($G32)))</f>
        <v/>
      </c>
    </row>
    <row r="33" ht="19.5" customHeight="1" s="72">
      <c r="A33" s="38" t="inlineStr">
        <is>
          <t>AM-32-P10-SBA</t>
        </is>
      </c>
      <c r="B33" s="38" t="inlineStr">
        <is>
          <t>Fase 32</t>
        </is>
      </c>
      <c r="C33" s="38" t="inlineStr">
        <is>
          <t>São Bento da Abadá</t>
        </is>
      </c>
      <c r="D33" s="39" t="inlineStr">
        <is>
          <t>A_A_M_32_P10</t>
        </is>
      </c>
      <c r="E33" s="40" t="n"/>
      <c r="F33" s="39" t="inlineStr">
        <is>
          <t>B_A_M_32_P10</t>
        </is>
      </c>
      <c r="G33" s="40" t="n"/>
      <c r="H33" s="41" t="n"/>
      <c r="I33" s="42">
        <f>IF($H33="","",MAX(0,$H33-N($E33)))</f>
        <v/>
      </c>
      <c r="J33" s="42">
        <f>IF($H33="","",MAX(0,$H33-N($G33)))</f>
        <v/>
      </c>
    </row>
    <row r="34" ht="19.5" customHeight="1" s="72">
      <c r="A34" s="38" t="inlineStr">
        <is>
          <t>AM-32-P10-SIR</t>
        </is>
      </c>
      <c r="B34" s="38" t="inlineStr">
        <is>
          <t>Fase 32</t>
        </is>
      </c>
      <c r="C34" s="38" t="inlineStr">
        <is>
          <t>Siriuna</t>
        </is>
      </c>
      <c r="D34" s="39" t="inlineStr">
        <is>
          <t>A_A_M_32_P10</t>
        </is>
      </c>
      <c r="E34" s="40" t="n"/>
      <c r="F34" s="39" t="inlineStr">
        <is>
          <t>B_A_M_32_P10</t>
        </is>
      </c>
      <c r="G34" s="40" t="n"/>
      <c r="H34" s="41" t="n"/>
      <c r="I34" s="42">
        <f>IF($H34="","",MAX(0,$H34-N($E34)))</f>
        <v/>
      </c>
      <c r="J34" s="42">
        <f>IF($H34="","",MAX(0,$H34-N($G34)))</f>
        <v/>
      </c>
    </row>
    <row r="35" ht="19.5" customHeight="1" s="72">
      <c r="A35" s="38" t="inlineStr">
        <is>
          <t>AM-32-P11-BEN</t>
        </is>
      </c>
      <c r="B35" s="38" t="inlineStr">
        <is>
          <t>Fase 32</t>
        </is>
      </c>
      <c r="C35" s="38" t="inlineStr">
        <is>
          <t>Benguela</t>
        </is>
      </c>
      <c r="D35" s="39" t="inlineStr">
        <is>
          <t>A_A_M_32_P11</t>
        </is>
      </c>
      <c r="E35" s="40" t="n"/>
      <c r="F35" s="39" t="inlineStr">
        <is>
          <t>B_A_M_32_P11</t>
        </is>
      </c>
      <c r="G35" s="40" t="n"/>
      <c r="H35" s="41" t="n"/>
      <c r="I35" s="42">
        <f>IF($H35="","",MAX(0,$H35-N($E35)))</f>
        <v/>
      </c>
      <c r="J35" s="42">
        <f>IF($H35="","",MAX(0,$H35-N($G35)))</f>
        <v/>
      </c>
    </row>
    <row r="36" ht="19.5" customHeight="1" s="72">
      <c r="A36" s="38" t="inlineStr">
        <is>
          <t>AM-32-P11-SBA</t>
        </is>
      </c>
      <c r="B36" s="38" t="inlineStr">
        <is>
          <t>Fase 32</t>
        </is>
      </c>
      <c r="C36" s="38" t="inlineStr">
        <is>
          <t>São Bento da Abadá</t>
        </is>
      </c>
      <c r="D36" s="39" t="inlineStr">
        <is>
          <t>A_A_M_32_P11</t>
        </is>
      </c>
      <c r="E36" s="40" t="n"/>
      <c r="F36" s="39" t="inlineStr">
        <is>
          <t>B_A_M_32_P11</t>
        </is>
      </c>
      <c r="G36" s="40" t="n"/>
      <c r="H36" s="41" t="n"/>
      <c r="I36" s="42">
        <f>IF($H36="","",MAX(0,$H36-N($E36)))</f>
        <v/>
      </c>
      <c r="J36" s="42">
        <f>IF($H36="","",MAX(0,$H36-N($G36)))</f>
        <v/>
      </c>
    </row>
    <row r="37" ht="19.5" customHeight="1" s="72">
      <c r="A37" s="38" t="inlineStr">
        <is>
          <t>AM-32-P11-SIR</t>
        </is>
      </c>
      <c r="B37" s="38" t="inlineStr">
        <is>
          <t>Fase 32</t>
        </is>
      </c>
      <c r="C37" s="38" t="inlineStr">
        <is>
          <t>Siriuna</t>
        </is>
      </c>
      <c r="D37" s="39" t="inlineStr">
        <is>
          <t>A_A_M_32_P11</t>
        </is>
      </c>
      <c r="E37" s="40" t="n"/>
      <c r="F37" s="39" t="inlineStr">
        <is>
          <t>B_A_M_32_P11</t>
        </is>
      </c>
      <c r="G37" s="40" t="n"/>
      <c r="H37" s="41" t="n"/>
      <c r="I37" s="42">
        <f>IF($H37="","",MAX(0,$H37-N($E37)))</f>
        <v/>
      </c>
      <c r="J37" s="42">
        <f>IF($H37="","",MAX(0,$H37-N($G37)))</f>
        <v/>
      </c>
    </row>
    <row r="38" ht="19.5" customHeight="1" s="72">
      <c r="A38" s="38" t="inlineStr">
        <is>
          <t>AM-32-P12-BEN</t>
        </is>
      </c>
      <c r="B38" s="38" t="inlineStr">
        <is>
          <t>Fase 32</t>
        </is>
      </c>
      <c r="C38" s="38" t="inlineStr">
        <is>
          <t>Benguela</t>
        </is>
      </c>
      <c r="D38" s="39" t="inlineStr">
        <is>
          <t>A_A_M_32_P12</t>
        </is>
      </c>
      <c r="E38" s="40" t="n"/>
      <c r="F38" s="39" t="inlineStr">
        <is>
          <t>B_A_M_32_P12</t>
        </is>
      </c>
      <c r="G38" s="40" t="n"/>
      <c r="H38" s="41" t="n"/>
      <c r="I38" s="42">
        <f>IF($H38="","",MAX(0,$H38-N($E38)))</f>
        <v/>
      </c>
      <c r="J38" s="42">
        <f>IF($H38="","",MAX(0,$H38-N($G38)))</f>
        <v/>
      </c>
    </row>
    <row r="39" ht="19.5" customHeight="1" s="72">
      <c r="A39" s="38" t="inlineStr">
        <is>
          <t>AM-32-P12-SBA</t>
        </is>
      </c>
      <c r="B39" s="38" t="inlineStr">
        <is>
          <t>Fase 32</t>
        </is>
      </c>
      <c r="C39" s="38" t="inlineStr">
        <is>
          <t>São Bento da Abadá</t>
        </is>
      </c>
      <c r="D39" s="39" t="inlineStr">
        <is>
          <t>A_A_M_32_P12</t>
        </is>
      </c>
      <c r="E39" s="40" t="n"/>
      <c r="F39" s="39" t="inlineStr">
        <is>
          <t>B_A_M_32_P12</t>
        </is>
      </c>
      <c r="G39" s="40" t="n"/>
      <c r="H39" s="41" t="n"/>
      <c r="I39" s="42">
        <f>IF($H39="","",MAX(0,$H39-N($E39)))</f>
        <v/>
      </c>
      <c r="J39" s="42">
        <f>IF($H39="","",MAX(0,$H39-N($G39)))</f>
        <v/>
      </c>
    </row>
    <row r="40" ht="19.5" customHeight="1" s="72">
      <c r="A40" s="38" t="inlineStr">
        <is>
          <t>AM-32-P12-SIR</t>
        </is>
      </c>
      <c r="B40" s="38" t="inlineStr">
        <is>
          <t>Fase 32</t>
        </is>
      </c>
      <c r="C40" s="38" t="inlineStr">
        <is>
          <t>Siriuna</t>
        </is>
      </c>
      <c r="D40" s="39" t="inlineStr">
        <is>
          <t>A_A_M_32_P12</t>
        </is>
      </c>
      <c r="E40" s="40" t="n"/>
      <c r="F40" s="39" t="inlineStr">
        <is>
          <t>B_A_M_32_P12</t>
        </is>
      </c>
      <c r="G40" s="40" t="n"/>
      <c r="H40" s="41" t="n"/>
      <c r="I40" s="42">
        <f>IF($H40="","",MAX(0,$H40-N($E40)))</f>
        <v/>
      </c>
      <c r="J40" s="42">
        <f>IF($H40="","",MAX(0,$H40-N($G40)))</f>
        <v/>
      </c>
    </row>
    <row r="41" ht="19.5" customHeight="1" s="72">
      <c r="A41" s="38" t="inlineStr">
        <is>
          <t>AM-32-P13-BEN</t>
        </is>
      </c>
      <c r="B41" s="38" t="inlineStr">
        <is>
          <t>Fase 32</t>
        </is>
      </c>
      <c r="C41" s="38" t="inlineStr">
        <is>
          <t>Benguela</t>
        </is>
      </c>
      <c r="D41" s="39" t="inlineStr">
        <is>
          <t>A_A_M_32_P13</t>
        </is>
      </c>
      <c r="E41" s="40" t="n"/>
      <c r="F41" s="39" t="inlineStr">
        <is>
          <t>B_A_M_32_P13</t>
        </is>
      </c>
      <c r="G41" s="40" t="n"/>
      <c r="H41" s="41" t="n"/>
      <c r="I41" s="42">
        <f>IF($H41="","",MAX(0,$H41-N($E41)))</f>
        <v/>
      </c>
      <c r="J41" s="42">
        <f>IF($H41="","",MAX(0,$H41-N($G41)))</f>
        <v/>
      </c>
    </row>
    <row r="42" ht="19.5" customHeight="1" s="72">
      <c r="A42" s="38" t="inlineStr">
        <is>
          <t>AM-32-P13-SBA</t>
        </is>
      </c>
      <c r="B42" s="38" t="inlineStr">
        <is>
          <t>Fase 32</t>
        </is>
      </c>
      <c r="C42" s="38" t="inlineStr">
        <is>
          <t>São Bento da Abadá</t>
        </is>
      </c>
      <c r="D42" s="39" t="inlineStr">
        <is>
          <t>A_A_M_32_P13</t>
        </is>
      </c>
      <c r="E42" s="40" t="n"/>
      <c r="F42" s="39" t="inlineStr">
        <is>
          <t>B_A_M_32_P13</t>
        </is>
      </c>
      <c r="G42" s="40" t="n"/>
      <c r="H42" s="41" t="n"/>
      <c r="I42" s="42">
        <f>IF($H42="","",MAX(0,$H42-N($E42)))</f>
        <v/>
      </c>
      <c r="J42" s="42">
        <f>IF($H42="","",MAX(0,$H42-N($G42)))</f>
        <v/>
      </c>
    </row>
    <row r="43" ht="19.5" customHeight="1" s="72">
      <c r="A43" s="38" t="inlineStr">
        <is>
          <t>AM-32-P13-SIR</t>
        </is>
      </c>
      <c r="B43" s="38" t="inlineStr">
        <is>
          <t>Fase 32</t>
        </is>
      </c>
      <c r="C43" s="38" t="inlineStr">
        <is>
          <t>Siriuna</t>
        </is>
      </c>
      <c r="D43" s="39" t="inlineStr">
        <is>
          <t>A_A_M_32_P13</t>
        </is>
      </c>
      <c r="E43" s="40" t="n"/>
      <c r="F43" s="39" t="inlineStr">
        <is>
          <t>B_A_M_32_P13</t>
        </is>
      </c>
      <c r="G43" s="40" t="n"/>
      <c r="H43" s="41" t="n"/>
      <c r="I43" s="42">
        <f>IF($H43="","",MAX(0,$H43-N($E43)))</f>
        <v/>
      </c>
      <c r="J43" s="42">
        <f>IF($H43="","",MAX(0,$H43-N($G43)))</f>
        <v/>
      </c>
    </row>
    <row r="44" ht="19.5" customHeight="1" s="72">
      <c r="A44" s="38" t="inlineStr">
        <is>
          <t>AM-32-P14-BEN</t>
        </is>
      </c>
      <c r="B44" s="38" t="inlineStr">
        <is>
          <t>Fase 32</t>
        </is>
      </c>
      <c r="C44" s="38" t="inlineStr">
        <is>
          <t>Benguela</t>
        </is>
      </c>
      <c r="D44" s="39" t="inlineStr">
        <is>
          <t>A_A_M_32_P14</t>
        </is>
      </c>
      <c r="E44" s="40" t="n"/>
      <c r="F44" s="39" t="inlineStr">
        <is>
          <t>B_A_M_32_P14</t>
        </is>
      </c>
      <c r="G44" s="40" t="n"/>
      <c r="H44" s="41" t="n"/>
      <c r="I44" s="42">
        <f>IF($H44="","",MAX(0,$H44-N($E44)))</f>
        <v/>
      </c>
      <c r="J44" s="42">
        <f>IF($H44="","",MAX(0,$H44-N($G44)))</f>
        <v/>
      </c>
    </row>
    <row r="45" ht="19.5" customHeight="1" s="72">
      <c r="A45" s="38" t="inlineStr">
        <is>
          <t>AM-32-P14-SBA</t>
        </is>
      </c>
      <c r="B45" s="38" t="inlineStr">
        <is>
          <t>Fase 32</t>
        </is>
      </c>
      <c r="C45" s="38" t="inlineStr">
        <is>
          <t>São Bento da Abadá</t>
        </is>
      </c>
      <c r="D45" s="39" t="inlineStr">
        <is>
          <t>A_A_M_32_P14</t>
        </is>
      </c>
      <c r="E45" s="40" t="n"/>
      <c r="F45" s="39" t="inlineStr">
        <is>
          <t>B_A_M_32_P14</t>
        </is>
      </c>
      <c r="G45" s="40" t="n"/>
      <c r="H45" s="41" t="n"/>
      <c r="I45" s="42">
        <f>IF($H45="","",MAX(0,$H45-N($E45)))</f>
        <v/>
      </c>
      <c r="J45" s="42">
        <f>IF($H45="","",MAX(0,$H45-N($G45)))</f>
        <v/>
      </c>
    </row>
    <row r="46" ht="19.5" customHeight="1" s="72">
      <c r="A46" s="38" t="inlineStr">
        <is>
          <t>AM-32-P14-SIR</t>
        </is>
      </c>
      <c r="B46" s="38" t="inlineStr">
        <is>
          <t>Fase 32</t>
        </is>
      </c>
      <c r="C46" s="38" t="inlineStr">
        <is>
          <t>Siriuna</t>
        </is>
      </c>
      <c r="D46" s="39" t="inlineStr">
        <is>
          <t>A_A_M_32_P14</t>
        </is>
      </c>
      <c r="E46" s="40" t="n"/>
      <c r="F46" s="39" t="inlineStr">
        <is>
          <t>B_A_M_32_P14</t>
        </is>
      </c>
      <c r="G46" s="40" t="n"/>
      <c r="H46" s="41" t="n"/>
      <c r="I46" s="42">
        <f>IF($H46="","",MAX(0,$H46-N($E46)))</f>
        <v/>
      </c>
      <c r="J46" s="42">
        <f>IF($H46="","",MAX(0,$H46-N($G46)))</f>
        <v/>
      </c>
    </row>
    <row r="47" ht="19.5" customHeight="1" s="72">
      <c r="A47" s="38" t="inlineStr">
        <is>
          <t>AM-32-P15-BEN</t>
        </is>
      </c>
      <c r="B47" s="38" t="inlineStr">
        <is>
          <t>Fase 32</t>
        </is>
      </c>
      <c r="C47" s="38" t="inlineStr">
        <is>
          <t>Benguela</t>
        </is>
      </c>
      <c r="D47" s="39" t="inlineStr">
        <is>
          <t>A_A_M_32_P15</t>
        </is>
      </c>
      <c r="E47" s="40" t="n"/>
      <c r="F47" s="39" t="inlineStr">
        <is>
          <t>B_A_M_32_P15</t>
        </is>
      </c>
      <c r="G47" s="40" t="n"/>
      <c r="H47" s="41" t="n"/>
      <c r="I47" s="42">
        <f>IF($H47="","",MAX(0,$H47-N($E47)))</f>
        <v/>
      </c>
      <c r="J47" s="42">
        <f>IF($H47="","",MAX(0,$H47-N($G47)))</f>
        <v/>
      </c>
    </row>
    <row r="48" ht="19.5" customHeight="1" s="72">
      <c r="A48" s="38" t="inlineStr">
        <is>
          <t>AM-32-P15-SBA</t>
        </is>
      </c>
      <c r="B48" s="38" t="inlineStr">
        <is>
          <t>Fase 32</t>
        </is>
      </c>
      <c r="C48" s="38" t="inlineStr">
        <is>
          <t>São Bento da Abadá</t>
        </is>
      </c>
      <c r="D48" s="39" t="inlineStr">
        <is>
          <t>A_A_M_32_P15</t>
        </is>
      </c>
      <c r="E48" s="40" t="n"/>
      <c r="F48" s="39" t="inlineStr">
        <is>
          <t>B_A_M_32_P15</t>
        </is>
      </c>
      <c r="G48" s="40" t="n"/>
      <c r="H48" s="41" t="n"/>
      <c r="I48" s="42">
        <f>IF($H48="","",MAX(0,$H48-N($E48)))</f>
        <v/>
      </c>
      <c r="J48" s="42">
        <f>IF($H48="","",MAX(0,$H48-N($G48)))</f>
        <v/>
      </c>
    </row>
    <row r="49" ht="19.5" customHeight="1" s="72">
      <c r="A49" s="38" t="inlineStr">
        <is>
          <t>AM-32-P15-SIR</t>
        </is>
      </c>
      <c r="B49" s="38" t="inlineStr">
        <is>
          <t>Fase 32</t>
        </is>
      </c>
      <c r="C49" s="38" t="inlineStr">
        <is>
          <t>Siriuna</t>
        </is>
      </c>
      <c r="D49" s="39" t="inlineStr">
        <is>
          <t>A_A_M_32_P15</t>
        </is>
      </c>
      <c r="E49" s="40" t="n"/>
      <c r="F49" s="39" t="inlineStr">
        <is>
          <t>B_A_M_32_P15</t>
        </is>
      </c>
      <c r="G49" s="40" t="n"/>
      <c r="H49" s="41" t="n"/>
      <c r="I49" s="42">
        <f>IF($H49="","",MAX(0,$H49-N($E49)))</f>
        <v/>
      </c>
      <c r="J49" s="42">
        <f>IF($H49="","",MAX(0,$H49-N($G49)))</f>
        <v/>
      </c>
    </row>
    <row r="50" ht="19.5" customHeight="1" s="72">
      <c r="A50" s="38" t="inlineStr">
        <is>
          <t>AM-32-P16-BEN</t>
        </is>
      </c>
      <c r="B50" s="38" t="inlineStr">
        <is>
          <t>Fase 32</t>
        </is>
      </c>
      <c r="C50" s="38" t="inlineStr">
        <is>
          <t>Benguela</t>
        </is>
      </c>
      <c r="D50" s="39" t="inlineStr">
        <is>
          <t>A_A_M_32_P16</t>
        </is>
      </c>
      <c r="E50" s="40" t="n"/>
      <c r="F50" s="39" t="inlineStr">
        <is>
          <t>B_A_M_32_P16</t>
        </is>
      </c>
      <c r="G50" s="40" t="n"/>
      <c r="H50" s="41" t="n"/>
      <c r="I50" s="42">
        <f>IF($H50="","",MAX(0,$H50-N($E50)))</f>
        <v/>
      </c>
      <c r="J50" s="42">
        <f>IF($H50="","",MAX(0,$H50-N($G50)))</f>
        <v/>
      </c>
    </row>
    <row r="51" ht="19.5" customHeight="1" s="72">
      <c r="A51" s="38" t="inlineStr">
        <is>
          <t>AM-32-P16-SBA</t>
        </is>
      </c>
      <c r="B51" s="38" t="inlineStr">
        <is>
          <t>Fase 32</t>
        </is>
      </c>
      <c r="C51" s="38" t="inlineStr">
        <is>
          <t>São Bento da Abadá</t>
        </is>
      </c>
      <c r="D51" s="39" t="inlineStr">
        <is>
          <t>A_A_M_32_P16</t>
        </is>
      </c>
      <c r="E51" s="40" t="n"/>
      <c r="F51" s="39" t="inlineStr">
        <is>
          <t>B_A_M_32_P16</t>
        </is>
      </c>
      <c r="G51" s="40" t="n"/>
      <c r="H51" s="41" t="n"/>
      <c r="I51" s="42">
        <f>IF($H51="","",MAX(0,$H51-N($E51)))</f>
        <v/>
      </c>
      <c r="J51" s="42">
        <f>IF($H51="","",MAX(0,$H51-N($G51)))</f>
        <v/>
      </c>
    </row>
    <row r="52" ht="19.5" customHeight="1" s="72">
      <c r="A52" s="38" t="inlineStr">
        <is>
          <t>AM-32-P16-SIR</t>
        </is>
      </c>
      <c r="B52" s="38" t="inlineStr">
        <is>
          <t>Fase 32</t>
        </is>
      </c>
      <c r="C52" s="38" t="inlineStr">
        <is>
          <t>Siriuna</t>
        </is>
      </c>
      <c r="D52" s="39" t="inlineStr">
        <is>
          <t>A_A_M_32_P16</t>
        </is>
      </c>
      <c r="E52" s="40" t="n"/>
      <c r="F52" s="39" t="inlineStr">
        <is>
          <t>B_A_M_32_P16</t>
        </is>
      </c>
      <c r="G52" s="40" t="n"/>
      <c r="H52" s="41" t="n"/>
      <c r="I52" s="42">
        <f>IF($H52="","",MAX(0,$H52-N($E52)))</f>
        <v/>
      </c>
      <c r="J52" s="42">
        <f>IF($H52="","",MAX(0,$H52-N($G52)))</f>
        <v/>
      </c>
    </row>
    <row r="53" ht="19.5" customHeight="1" s="72">
      <c r="A53" s="38" t="inlineStr">
        <is>
          <t>AM-OCT-P01-BEN</t>
        </is>
      </c>
      <c r="B53" s="38" t="inlineStr">
        <is>
          <t>Octavas</t>
        </is>
      </c>
      <c r="C53" s="38" t="inlineStr">
        <is>
          <t>Benguela</t>
        </is>
      </c>
      <c r="D53" s="39">
        <f>IFERROR(CLASIF_A_M!$F$5,"")</f>
        <v/>
      </c>
      <c r="E53" s="40" t="n"/>
      <c r="F53" s="39">
        <f>IFERROR(CLASIF_A_M!$F$20,"")</f>
        <v/>
      </c>
      <c r="G53" s="40" t="n"/>
      <c r="H53" s="41" t="n"/>
      <c r="I53" s="42">
        <f>IF($H53="","",MAX(0,$H53-N($E53)))</f>
        <v/>
      </c>
      <c r="J53" s="42">
        <f>IF($H53="","",MAX(0,$H53-N($G53)))</f>
        <v/>
      </c>
    </row>
    <row r="54" ht="19.5" customHeight="1" s="72">
      <c r="A54" s="38" t="inlineStr">
        <is>
          <t>AM-OCT-P01-SBA</t>
        </is>
      </c>
      <c r="B54" s="38" t="inlineStr">
        <is>
          <t>Octavas</t>
        </is>
      </c>
      <c r="C54" s="38" t="inlineStr">
        <is>
          <t>São Bento da Abadá</t>
        </is>
      </c>
      <c r="D54" s="39">
        <f>IFERROR(CLASIF_A_M!$F$5,"")</f>
        <v/>
      </c>
      <c r="E54" s="40" t="n"/>
      <c r="F54" s="39">
        <f>IFERROR(CLASIF_A_M!$F$20,"")</f>
        <v/>
      </c>
      <c r="G54" s="40" t="n"/>
      <c r="H54" s="41" t="n"/>
      <c r="I54" s="42">
        <f>IF($H54="","",MAX(0,$H54-N($E54)))</f>
        <v/>
      </c>
      <c r="J54" s="42">
        <f>IF($H54="","",MAX(0,$H54-N($G54)))</f>
        <v/>
      </c>
    </row>
    <row r="55" ht="19.5" customHeight="1" s="72">
      <c r="A55" s="38" t="inlineStr">
        <is>
          <t>AM-OCT-P01-SIR</t>
        </is>
      </c>
      <c r="B55" s="38" t="inlineStr">
        <is>
          <t>Octavas</t>
        </is>
      </c>
      <c r="C55" s="38" t="inlineStr">
        <is>
          <t>Siriuna</t>
        </is>
      </c>
      <c r="D55" s="39">
        <f>IFERROR(CLASIF_A_M!$F$5,"")</f>
        <v/>
      </c>
      <c r="E55" s="40" t="n"/>
      <c r="F55" s="39">
        <f>IFERROR(CLASIF_A_M!$F$20,"")</f>
        <v/>
      </c>
      <c r="G55" s="40" t="n"/>
      <c r="H55" s="41" t="n"/>
      <c r="I55" s="42">
        <f>IF($H55="","",MAX(0,$H55-N($E55)))</f>
        <v/>
      </c>
      <c r="J55" s="42">
        <f>IF($H55="","",MAX(0,$H55-N($G55)))</f>
        <v/>
      </c>
    </row>
    <row r="56" ht="19.5" customHeight="1" s="72">
      <c r="A56" s="38" t="inlineStr">
        <is>
          <t>AM-OCT-P02-BEN</t>
        </is>
      </c>
      <c r="B56" s="38" t="inlineStr">
        <is>
          <t>Octavas</t>
        </is>
      </c>
      <c r="C56" s="38" t="inlineStr">
        <is>
          <t>Benguela</t>
        </is>
      </c>
      <c r="D56" s="39">
        <f>IFERROR(CLASIF_A_M!$F$6,"")</f>
        <v/>
      </c>
      <c r="E56" s="40" t="n"/>
      <c r="F56" s="39">
        <f>IFERROR(CLASIF_A_M!$F$19,"")</f>
        <v/>
      </c>
      <c r="G56" s="40" t="n"/>
      <c r="H56" s="41" t="n"/>
      <c r="I56" s="42">
        <f>IF($H56="","",MAX(0,$H56-N($E56)))</f>
        <v/>
      </c>
      <c r="J56" s="42">
        <f>IF($H56="","",MAX(0,$H56-N($G56)))</f>
        <v/>
      </c>
    </row>
    <row r="57" ht="19.5" customHeight="1" s="72">
      <c r="A57" s="38" t="inlineStr">
        <is>
          <t>AM-OCT-P02-SBA</t>
        </is>
      </c>
      <c r="B57" s="38" t="inlineStr">
        <is>
          <t>Octavas</t>
        </is>
      </c>
      <c r="C57" s="38" t="inlineStr">
        <is>
          <t>São Bento da Abadá</t>
        </is>
      </c>
      <c r="D57" s="39">
        <f>IFERROR(CLASIF_A_M!$F$6,"")</f>
        <v/>
      </c>
      <c r="E57" s="40" t="n"/>
      <c r="F57" s="39">
        <f>IFERROR(CLASIF_A_M!$F$19,"")</f>
        <v/>
      </c>
      <c r="G57" s="40" t="n"/>
      <c r="H57" s="41" t="n"/>
      <c r="I57" s="42">
        <f>IF($H57="","",MAX(0,$H57-N($E57)))</f>
        <v/>
      </c>
      <c r="J57" s="42">
        <f>IF($H57="","",MAX(0,$H57-N($G57)))</f>
        <v/>
      </c>
    </row>
    <row r="58" ht="19.5" customHeight="1" s="72">
      <c r="A58" s="38" t="inlineStr">
        <is>
          <t>AM-OCT-P02-SIR</t>
        </is>
      </c>
      <c r="B58" s="38" t="inlineStr">
        <is>
          <t>Octavas</t>
        </is>
      </c>
      <c r="C58" s="38" t="inlineStr">
        <is>
          <t>Siriuna</t>
        </is>
      </c>
      <c r="D58" s="39">
        <f>IFERROR(CLASIF_A_M!$F$6,"")</f>
        <v/>
      </c>
      <c r="E58" s="40" t="n"/>
      <c r="F58" s="39">
        <f>IFERROR(CLASIF_A_M!$F$19,"")</f>
        <v/>
      </c>
      <c r="G58" s="40" t="n"/>
      <c r="H58" s="41" t="n"/>
      <c r="I58" s="42">
        <f>IF($H58="","",MAX(0,$H58-N($E58)))</f>
        <v/>
      </c>
      <c r="J58" s="42">
        <f>IF($H58="","",MAX(0,$H58-N($G58)))</f>
        <v/>
      </c>
    </row>
    <row r="59" ht="19.5" customHeight="1" s="72">
      <c r="A59" s="38" t="inlineStr">
        <is>
          <t>AM-OCT-P03-BEN</t>
        </is>
      </c>
      <c r="B59" s="38" t="inlineStr">
        <is>
          <t>Octavas</t>
        </is>
      </c>
      <c r="C59" s="38" t="inlineStr">
        <is>
          <t>Benguela</t>
        </is>
      </c>
      <c r="D59" s="39">
        <f>IFERROR(CLASIF_A_M!$F$7,"")</f>
        <v/>
      </c>
      <c r="E59" s="40" t="n"/>
      <c r="F59" s="39">
        <f>IFERROR(CLASIF_A_M!$F$18,"")</f>
        <v/>
      </c>
      <c r="G59" s="40" t="n"/>
      <c r="H59" s="41" t="n"/>
      <c r="I59" s="42">
        <f>IF($H59="","",MAX(0,$H59-N($E59)))</f>
        <v/>
      </c>
      <c r="J59" s="42">
        <f>IF($H59="","",MAX(0,$H59-N($G59)))</f>
        <v/>
      </c>
    </row>
    <row r="60" ht="19.5" customHeight="1" s="72">
      <c r="A60" s="38" t="inlineStr">
        <is>
          <t>AM-OCT-P03-SBA</t>
        </is>
      </c>
      <c r="B60" s="38" t="inlineStr">
        <is>
          <t>Octavas</t>
        </is>
      </c>
      <c r="C60" s="38" t="inlineStr">
        <is>
          <t>São Bento da Abadá</t>
        </is>
      </c>
      <c r="D60" s="39">
        <f>IFERROR(CLASIF_A_M!$F$7,"")</f>
        <v/>
      </c>
      <c r="E60" s="40" t="n"/>
      <c r="F60" s="39">
        <f>IFERROR(CLASIF_A_M!$F$18,"")</f>
        <v/>
      </c>
      <c r="G60" s="40" t="n"/>
      <c r="H60" s="41" t="n"/>
      <c r="I60" s="42">
        <f>IF($H60="","",MAX(0,$H60-N($E60)))</f>
        <v/>
      </c>
      <c r="J60" s="42">
        <f>IF($H60="","",MAX(0,$H60-N($G60)))</f>
        <v/>
      </c>
    </row>
    <row r="61" ht="19.5" customHeight="1" s="72">
      <c r="A61" s="38" t="inlineStr">
        <is>
          <t>AM-OCT-P03-SIR</t>
        </is>
      </c>
      <c r="B61" s="38" t="inlineStr">
        <is>
          <t>Octavas</t>
        </is>
      </c>
      <c r="C61" s="38" t="inlineStr">
        <is>
          <t>Siriuna</t>
        </is>
      </c>
      <c r="D61" s="39">
        <f>IFERROR(CLASIF_A_M!$F$7,"")</f>
        <v/>
      </c>
      <c r="E61" s="40" t="n"/>
      <c r="F61" s="39">
        <f>IFERROR(CLASIF_A_M!$F$18,"")</f>
        <v/>
      </c>
      <c r="G61" s="40" t="n"/>
      <c r="H61" s="41" t="n"/>
      <c r="I61" s="42">
        <f>IF($H61="","",MAX(0,$H61-N($E61)))</f>
        <v/>
      </c>
      <c r="J61" s="42">
        <f>IF($H61="","",MAX(0,$H61-N($G61)))</f>
        <v/>
      </c>
    </row>
    <row r="62" ht="19.5" customHeight="1" s="72">
      <c r="A62" s="38" t="inlineStr">
        <is>
          <t>AM-OCT-P04-BEN</t>
        </is>
      </c>
      <c r="B62" s="38" t="inlineStr">
        <is>
          <t>Octavas</t>
        </is>
      </c>
      <c r="C62" s="38" t="inlineStr">
        <is>
          <t>Benguela</t>
        </is>
      </c>
      <c r="D62" s="39">
        <f>IFERROR(CLASIF_A_M!$F$8,"")</f>
        <v/>
      </c>
      <c r="E62" s="40" t="n"/>
      <c r="F62" s="39">
        <f>IFERROR(CLASIF_A_M!$F$17,"")</f>
        <v/>
      </c>
      <c r="G62" s="40" t="n"/>
      <c r="H62" s="41" t="n"/>
      <c r="I62" s="42">
        <f>IF($H62="","",MAX(0,$H62-N($E62)))</f>
        <v/>
      </c>
      <c r="J62" s="42">
        <f>IF($H62="","",MAX(0,$H62-N($G62)))</f>
        <v/>
      </c>
    </row>
    <row r="63" ht="19.5" customHeight="1" s="72">
      <c r="A63" s="38" t="inlineStr">
        <is>
          <t>AM-OCT-P04-SBA</t>
        </is>
      </c>
      <c r="B63" s="38" t="inlineStr">
        <is>
          <t>Octavas</t>
        </is>
      </c>
      <c r="C63" s="38" t="inlineStr">
        <is>
          <t>São Bento da Abadá</t>
        </is>
      </c>
      <c r="D63" s="39">
        <f>IFERROR(CLASIF_A_M!$F$8,"")</f>
        <v/>
      </c>
      <c r="E63" s="40" t="n"/>
      <c r="F63" s="39">
        <f>IFERROR(CLASIF_A_M!$F$17,"")</f>
        <v/>
      </c>
      <c r="G63" s="40" t="n"/>
      <c r="H63" s="41" t="n"/>
      <c r="I63" s="42">
        <f>IF($H63="","",MAX(0,$H63-N($E63)))</f>
        <v/>
      </c>
      <c r="J63" s="42">
        <f>IF($H63="","",MAX(0,$H63-N($G63)))</f>
        <v/>
      </c>
    </row>
    <row r="64" ht="19.5" customHeight="1" s="72">
      <c r="A64" s="38" t="inlineStr">
        <is>
          <t>AM-OCT-P04-SIR</t>
        </is>
      </c>
      <c r="B64" s="38" t="inlineStr">
        <is>
          <t>Octavas</t>
        </is>
      </c>
      <c r="C64" s="38" t="inlineStr">
        <is>
          <t>Siriuna</t>
        </is>
      </c>
      <c r="D64" s="39">
        <f>IFERROR(CLASIF_A_M!$F$8,"")</f>
        <v/>
      </c>
      <c r="E64" s="40" t="n"/>
      <c r="F64" s="39">
        <f>IFERROR(CLASIF_A_M!$F$17,"")</f>
        <v/>
      </c>
      <c r="G64" s="40" t="n"/>
      <c r="H64" s="41" t="n"/>
      <c r="I64" s="42">
        <f>IF($H64="","",MAX(0,$H64-N($E64)))</f>
        <v/>
      </c>
      <c r="J64" s="42">
        <f>IF($H64="","",MAX(0,$H64-N($G64)))</f>
        <v/>
      </c>
    </row>
    <row r="65" ht="19.5" customHeight="1" s="72">
      <c r="A65" s="38" t="inlineStr">
        <is>
          <t>AM-OCT-P05-BEN</t>
        </is>
      </c>
      <c r="B65" s="38" t="inlineStr">
        <is>
          <t>Octavas</t>
        </is>
      </c>
      <c r="C65" s="38" t="inlineStr">
        <is>
          <t>Benguela</t>
        </is>
      </c>
      <c r="D65" s="39">
        <f>IFERROR(CLASIF_A_M!$F$9,"")</f>
        <v/>
      </c>
      <c r="E65" s="40" t="n"/>
      <c r="F65" s="39">
        <f>IFERROR(CLASIF_A_M!$F$16,"")</f>
        <v/>
      </c>
      <c r="G65" s="40" t="n"/>
      <c r="H65" s="41" t="n"/>
      <c r="I65" s="42">
        <f>IF($H65="","",MAX(0,$H65-N($E65)))</f>
        <v/>
      </c>
      <c r="J65" s="42">
        <f>IF($H65="","",MAX(0,$H65-N($G65)))</f>
        <v/>
      </c>
    </row>
    <row r="66" ht="19.5" customHeight="1" s="72">
      <c r="A66" s="38" t="inlineStr">
        <is>
          <t>AM-OCT-P05-SBA</t>
        </is>
      </c>
      <c r="B66" s="38" t="inlineStr">
        <is>
          <t>Octavas</t>
        </is>
      </c>
      <c r="C66" s="38" t="inlineStr">
        <is>
          <t>São Bento da Abadá</t>
        </is>
      </c>
      <c r="D66" s="39">
        <f>IFERROR(CLASIF_A_M!$F$9,"")</f>
        <v/>
      </c>
      <c r="E66" s="40" t="n"/>
      <c r="F66" s="39">
        <f>IFERROR(CLASIF_A_M!$F$16,"")</f>
        <v/>
      </c>
      <c r="G66" s="40" t="n"/>
      <c r="H66" s="41" t="n"/>
      <c r="I66" s="42">
        <f>IF($H66="","",MAX(0,$H66-N($E66)))</f>
        <v/>
      </c>
      <c r="J66" s="42">
        <f>IF($H66="","",MAX(0,$H66-N($G66)))</f>
        <v/>
      </c>
    </row>
    <row r="67" ht="19.5" customHeight="1" s="72">
      <c r="A67" s="38" t="inlineStr">
        <is>
          <t>AM-OCT-P05-SIR</t>
        </is>
      </c>
      <c r="B67" s="38" t="inlineStr">
        <is>
          <t>Octavas</t>
        </is>
      </c>
      <c r="C67" s="38" t="inlineStr">
        <is>
          <t>Siriuna</t>
        </is>
      </c>
      <c r="D67" s="39">
        <f>IFERROR(CLASIF_A_M!$F$9,"")</f>
        <v/>
      </c>
      <c r="E67" s="40" t="n"/>
      <c r="F67" s="39">
        <f>IFERROR(CLASIF_A_M!$F$16,"")</f>
        <v/>
      </c>
      <c r="G67" s="40" t="n"/>
      <c r="H67" s="41" t="n"/>
      <c r="I67" s="42">
        <f>IF($H67="","",MAX(0,$H67-N($E67)))</f>
        <v/>
      </c>
      <c r="J67" s="42">
        <f>IF($H67="","",MAX(0,$H67-N($G67)))</f>
        <v/>
      </c>
    </row>
    <row r="68" ht="19.5" customHeight="1" s="72">
      <c r="A68" s="38" t="inlineStr">
        <is>
          <t>AM-OCT-P06-BEN</t>
        </is>
      </c>
      <c r="B68" s="38" t="inlineStr">
        <is>
          <t>Octavas</t>
        </is>
      </c>
      <c r="C68" s="38" t="inlineStr">
        <is>
          <t>Benguela</t>
        </is>
      </c>
      <c r="D68" s="39">
        <f>IFERROR(CLASIF_A_M!$F$10,"")</f>
        <v/>
      </c>
      <c r="E68" s="40" t="n"/>
      <c r="F68" s="39">
        <f>IFERROR(CLASIF_A_M!$F$15,"")</f>
        <v/>
      </c>
      <c r="G68" s="40" t="n"/>
      <c r="H68" s="41" t="n"/>
      <c r="I68" s="42">
        <f>IF($H68="","",MAX(0,$H68-N($E68)))</f>
        <v/>
      </c>
      <c r="J68" s="42">
        <f>IF($H68="","",MAX(0,$H68-N($G68)))</f>
        <v/>
      </c>
    </row>
    <row r="69" ht="19.5" customHeight="1" s="72">
      <c r="A69" s="38" t="inlineStr">
        <is>
          <t>AM-OCT-P06-SBA</t>
        </is>
      </c>
      <c r="B69" s="38" t="inlineStr">
        <is>
          <t>Octavas</t>
        </is>
      </c>
      <c r="C69" s="38" t="inlineStr">
        <is>
          <t>São Bento da Abadá</t>
        </is>
      </c>
      <c r="D69" s="39">
        <f>IFERROR(CLASIF_A_M!$F$10,"")</f>
        <v/>
      </c>
      <c r="E69" s="40" t="n"/>
      <c r="F69" s="39">
        <f>IFERROR(CLASIF_A_M!$F$15,"")</f>
        <v/>
      </c>
      <c r="G69" s="40" t="n"/>
      <c r="H69" s="41" t="n"/>
      <c r="I69" s="42">
        <f>IF($H69="","",MAX(0,$H69-N($E69)))</f>
        <v/>
      </c>
      <c r="J69" s="42">
        <f>IF($H69="","",MAX(0,$H69-N($G69)))</f>
        <v/>
      </c>
    </row>
    <row r="70" ht="19.5" customHeight="1" s="72">
      <c r="A70" s="38" t="inlineStr">
        <is>
          <t>AM-OCT-P06-SIR</t>
        </is>
      </c>
      <c r="B70" s="38" t="inlineStr">
        <is>
          <t>Octavas</t>
        </is>
      </c>
      <c r="C70" s="38" t="inlineStr">
        <is>
          <t>Siriuna</t>
        </is>
      </c>
      <c r="D70" s="39">
        <f>IFERROR(CLASIF_A_M!$F$10,"")</f>
        <v/>
      </c>
      <c r="E70" s="40" t="n"/>
      <c r="F70" s="39">
        <f>IFERROR(CLASIF_A_M!$F$15,"")</f>
        <v/>
      </c>
      <c r="G70" s="40" t="n"/>
      <c r="H70" s="41" t="n"/>
      <c r="I70" s="42">
        <f>IF($H70="","",MAX(0,$H70-N($E70)))</f>
        <v/>
      </c>
      <c r="J70" s="42">
        <f>IF($H70="","",MAX(0,$H70-N($G70)))</f>
        <v/>
      </c>
    </row>
    <row r="71" ht="19.5" customHeight="1" s="72">
      <c r="A71" s="38" t="inlineStr">
        <is>
          <t>AM-OCT-P07-BEN</t>
        </is>
      </c>
      <c r="B71" s="38" t="inlineStr">
        <is>
          <t>Octavas</t>
        </is>
      </c>
      <c r="C71" s="38" t="inlineStr">
        <is>
          <t>Benguela</t>
        </is>
      </c>
      <c r="D71" s="39">
        <f>IFERROR(CLASIF_A_M!$F$11,"")</f>
        <v/>
      </c>
      <c r="E71" s="40" t="n"/>
      <c r="F71" s="39">
        <f>IFERROR(CLASIF_A_M!$F$14,"")</f>
        <v/>
      </c>
      <c r="G71" s="40" t="n"/>
      <c r="H71" s="41" t="n"/>
      <c r="I71" s="42">
        <f>IF($H71="","",MAX(0,$H71-N($E71)))</f>
        <v/>
      </c>
      <c r="J71" s="42">
        <f>IF($H71="","",MAX(0,$H71-N($G71)))</f>
        <v/>
      </c>
    </row>
    <row r="72" ht="19.5" customHeight="1" s="72">
      <c r="A72" s="38" t="inlineStr">
        <is>
          <t>AM-OCT-P07-SBA</t>
        </is>
      </c>
      <c r="B72" s="38" t="inlineStr">
        <is>
          <t>Octavas</t>
        </is>
      </c>
      <c r="C72" s="38" t="inlineStr">
        <is>
          <t>São Bento da Abadá</t>
        </is>
      </c>
      <c r="D72" s="39">
        <f>IFERROR(CLASIF_A_M!$F$11,"")</f>
        <v/>
      </c>
      <c r="E72" s="40" t="n"/>
      <c r="F72" s="39">
        <f>IFERROR(CLASIF_A_M!$F$14,"")</f>
        <v/>
      </c>
      <c r="G72" s="40" t="n"/>
      <c r="H72" s="41" t="n"/>
      <c r="I72" s="42">
        <f>IF($H72="","",MAX(0,$H72-N($E72)))</f>
        <v/>
      </c>
      <c r="J72" s="42">
        <f>IF($H72="","",MAX(0,$H72-N($G72)))</f>
        <v/>
      </c>
    </row>
    <row r="73" ht="19.5" customHeight="1" s="72">
      <c r="A73" s="38" t="inlineStr">
        <is>
          <t>AM-OCT-P07-SIR</t>
        </is>
      </c>
      <c r="B73" s="38" t="inlineStr">
        <is>
          <t>Octavas</t>
        </is>
      </c>
      <c r="C73" s="38" t="inlineStr">
        <is>
          <t>Siriuna</t>
        </is>
      </c>
      <c r="D73" s="39">
        <f>IFERROR(CLASIF_A_M!$F$11,"")</f>
        <v/>
      </c>
      <c r="E73" s="40" t="n"/>
      <c r="F73" s="39">
        <f>IFERROR(CLASIF_A_M!$F$14,"")</f>
        <v/>
      </c>
      <c r="G73" s="40" t="n"/>
      <c r="H73" s="41" t="n"/>
      <c r="I73" s="42">
        <f>IF($H73="","",MAX(0,$H73-N($E73)))</f>
        <v/>
      </c>
      <c r="J73" s="42">
        <f>IF($H73="","",MAX(0,$H73-N($G73)))</f>
        <v/>
      </c>
    </row>
    <row r="74" ht="19.5" customHeight="1" s="72">
      <c r="A74" s="38" t="inlineStr">
        <is>
          <t>AM-OCT-P08-BEN</t>
        </is>
      </c>
      <c r="B74" s="38" t="inlineStr">
        <is>
          <t>Octavas</t>
        </is>
      </c>
      <c r="C74" s="38" t="inlineStr">
        <is>
          <t>Benguela</t>
        </is>
      </c>
      <c r="D74" s="39">
        <f>IFERROR(CLASIF_A_M!$F$12,"")</f>
        <v/>
      </c>
      <c r="E74" s="40" t="n"/>
      <c r="F74" s="39">
        <f>IFERROR(CLASIF_A_M!$F$13,"")</f>
        <v/>
      </c>
      <c r="G74" s="40" t="n"/>
      <c r="H74" s="41" t="n"/>
      <c r="I74" s="42">
        <f>IF($H74="","",MAX(0,$H74-N($E74)))</f>
        <v/>
      </c>
      <c r="J74" s="42">
        <f>IF($H74="","",MAX(0,$H74-N($G74)))</f>
        <v/>
      </c>
    </row>
    <row r="75" ht="19.5" customHeight="1" s="72">
      <c r="A75" s="38" t="inlineStr">
        <is>
          <t>AM-OCT-P08-SBA</t>
        </is>
      </c>
      <c r="B75" s="38" t="inlineStr">
        <is>
          <t>Octavas</t>
        </is>
      </c>
      <c r="C75" s="38" t="inlineStr">
        <is>
          <t>São Bento da Abadá</t>
        </is>
      </c>
      <c r="D75" s="39">
        <f>IFERROR(CLASIF_A_M!$F$12,"")</f>
        <v/>
      </c>
      <c r="E75" s="40" t="n"/>
      <c r="F75" s="39">
        <f>IFERROR(CLASIF_A_M!$F$13,"")</f>
        <v/>
      </c>
      <c r="G75" s="40" t="n"/>
      <c r="H75" s="41" t="n"/>
      <c r="I75" s="42">
        <f>IF($H75="","",MAX(0,$H75-N($E75)))</f>
        <v/>
      </c>
      <c r="J75" s="42">
        <f>IF($H75="","",MAX(0,$H75-N($G75)))</f>
        <v/>
      </c>
    </row>
    <row r="76" ht="19.5" customHeight="1" s="72">
      <c r="A76" s="38" t="inlineStr">
        <is>
          <t>AM-OCT-P08-SIR</t>
        </is>
      </c>
      <c r="B76" s="38" t="inlineStr">
        <is>
          <t>Octavas</t>
        </is>
      </c>
      <c r="C76" s="38" t="inlineStr">
        <is>
          <t>Siriuna</t>
        </is>
      </c>
      <c r="D76" s="39">
        <f>IFERROR(CLASIF_A_M!$F$12,"")</f>
        <v/>
      </c>
      <c r="E76" s="40" t="n"/>
      <c r="F76" s="39">
        <f>IFERROR(CLASIF_A_M!$F$13,"")</f>
        <v/>
      </c>
      <c r="G76" s="40" t="n"/>
      <c r="H76" s="41" t="n"/>
      <c r="I76" s="42">
        <f>IF($H76="","",MAX(0,$H76-N($E76)))</f>
        <v/>
      </c>
      <c r="J76" s="42">
        <f>IF($H76="","",MAX(0,$H76-N($G76)))</f>
        <v/>
      </c>
    </row>
    <row r="77" ht="19.5" customHeight="1" s="72">
      <c r="A77" s="38" t="inlineStr">
        <is>
          <t>AM-SEM-P01-BEN</t>
        </is>
      </c>
      <c r="B77" s="38" t="inlineStr">
        <is>
          <t>Semifinal</t>
        </is>
      </c>
      <c r="C77" s="38" t="inlineStr">
        <is>
          <t>Benguela</t>
        </is>
      </c>
      <c r="D77" s="39">
        <f>IFERROR(CLASIF_A_M!$O$5,"")</f>
        <v/>
      </c>
      <c r="E77" s="40" t="n"/>
      <c r="F77" s="39">
        <f>IFERROR(CLASIF_A_M!$O$12,"")</f>
        <v/>
      </c>
      <c r="G77" s="40" t="n"/>
      <c r="H77" s="41" t="n"/>
      <c r="I77" s="42">
        <f>IF($H77="","",MAX(0,$H77-N($E77)))</f>
        <v/>
      </c>
      <c r="J77" s="42">
        <f>IF($H77="","",MAX(0,$H77-N($G77)))</f>
        <v/>
      </c>
    </row>
    <row r="78" ht="19.5" customHeight="1" s="72">
      <c r="A78" s="38" t="inlineStr">
        <is>
          <t>AM-SEM-P01-SBA</t>
        </is>
      </c>
      <c r="B78" s="38" t="inlineStr">
        <is>
          <t>Semifinal</t>
        </is>
      </c>
      <c r="C78" s="38" t="inlineStr">
        <is>
          <t>São Bento da Abadá</t>
        </is>
      </c>
      <c r="D78" s="39">
        <f>IFERROR(CLASIF_A_M!$O$5,"")</f>
        <v/>
      </c>
      <c r="E78" s="40" t="n"/>
      <c r="F78" s="39">
        <f>IFERROR(CLASIF_A_M!$O$12,"")</f>
        <v/>
      </c>
      <c r="G78" s="40" t="n"/>
      <c r="H78" s="41" t="n"/>
      <c r="I78" s="42">
        <f>IF($H78="","",MAX(0,$H78-N($E78)))</f>
        <v/>
      </c>
      <c r="J78" s="42">
        <f>IF($H78="","",MAX(0,$H78-N($G78)))</f>
        <v/>
      </c>
    </row>
    <row r="79" ht="19.5" customHeight="1" s="72">
      <c r="A79" s="38" t="inlineStr">
        <is>
          <t>AM-SEM-P01-SIR</t>
        </is>
      </c>
      <c r="B79" s="38" t="inlineStr">
        <is>
          <t>Semifinal</t>
        </is>
      </c>
      <c r="C79" s="38" t="inlineStr">
        <is>
          <t>Siriuna</t>
        </is>
      </c>
      <c r="D79" s="39">
        <f>IFERROR(CLASIF_A_M!$O$5,"")</f>
        <v/>
      </c>
      <c r="E79" s="40" t="n"/>
      <c r="F79" s="39">
        <f>IFERROR(CLASIF_A_M!$O$12,"")</f>
        <v/>
      </c>
      <c r="G79" s="40" t="n"/>
      <c r="H79" s="41" t="n"/>
      <c r="I79" s="42">
        <f>IF($H79="","",MAX(0,$H79-N($E79)))</f>
        <v/>
      </c>
      <c r="J79" s="42">
        <f>IF($H79="","",MAX(0,$H79-N($G79)))</f>
        <v/>
      </c>
    </row>
    <row r="80" ht="19.5" customHeight="1" s="72">
      <c r="A80" s="38" t="inlineStr">
        <is>
          <t>AM-SEM-P02-BEN</t>
        </is>
      </c>
      <c r="B80" s="38" t="inlineStr">
        <is>
          <t>Semifinal</t>
        </is>
      </c>
      <c r="C80" s="38" t="inlineStr">
        <is>
          <t>Benguela</t>
        </is>
      </c>
      <c r="D80" s="39">
        <f>IFERROR(CLASIF_A_M!$O$6,"")</f>
        <v/>
      </c>
      <c r="E80" s="40" t="n"/>
      <c r="F80" s="39">
        <f>IFERROR(CLASIF_A_M!$O$11,"")</f>
        <v/>
      </c>
      <c r="G80" s="40" t="n"/>
      <c r="H80" s="41" t="n"/>
      <c r="I80" s="42">
        <f>IF($H80="","",MAX(0,$H80-N($E80)))</f>
        <v/>
      </c>
      <c r="J80" s="42">
        <f>IF($H80="","",MAX(0,$H80-N($G80)))</f>
        <v/>
      </c>
    </row>
    <row r="81" ht="19.5" customHeight="1" s="72">
      <c r="A81" s="38" t="inlineStr">
        <is>
          <t>AM-SEM-P02-SBA</t>
        </is>
      </c>
      <c r="B81" s="38" t="inlineStr">
        <is>
          <t>Semifinal</t>
        </is>
      </c>
      <c r="C81" s="38" t="inlineStr">
        <is>
          <t>São Bento da Abadá</t>
        </is>
      </c>
      <c r="D81" s="39">
        <f>IFERROR(CLASIF_A_M!$O$6,"")</f>
        <v/>
      </c>
      <c r="E81" s="40" t="n"/>
      <c r="F81" s="39">
        <f>IFERROR(CLASIF_A_M!$O$11,"")</f>
        <v/>
      </c>
      <c r="G81" s="40" t="n"/>
      <c r="H81" s="41" t="n"/>
      <c r="I81" s="42">
        <f>IF($H81="","",MAX(0,$H81-N($E81)))</f>
        <v/>
      </c>
      <c r="J81" s="42">
        <f>IF($H81="","",MAX(0,$H81-N($G81)))</f>
        <v/>
      </c>
    </row>
    <row r="82" ht="19.5" customHeight="1" s="72">
      <c r="A82" s="38" t="inlineStr">
        <is>
          <t>AM-SEM-P02-SIR</t>
        </is>
      </c>
      <c r="B82" s="38" t="inlineStr">
        <is>
          <t>Semifinal</t>
        </is>
      </c>
      <c r="C82" s="38" t="inlineStr">
        <is>
          <t>Siriuna</t>
        </is>
      </c>
      <c r="D82" s="39">
        <f>IFERROR(CLASIF_A_M!$O$6,"")</f>
        <v/>
      </c>
      <c r="E82" s="40" t="n"/>
      <c r="F82" s="39">
        <f>IFERROR(CLASIF_A_M!$O$11,"")</f>
        <v/>
      </c>
      <c r="G82" s="40" t="n"/>
      <c r="H82" s="41" t="n"/>
      <c r="I82" s="42">
        <f>IF($H82="","",MAX(0,$H82-N($E82)))</f>
        <v/>
      </c>
      <c r="J82" s="42">
        <f>IF($H82="","",MAX(0,$H82-N($G82)))</f>
        <v/>
      </c>
    </row>
    <row r="83" ht="19.5" customHeight="1" s="72">
      <c r="A83" s="38" t="inlineStr">
        <is>
          <t>AM-SEM-P03-BEN</t>
        </is>
      </c>
      <c r="B83" s="38" t="inlineStr">
        <is>
          <t>Semifinal</t>
        </is>
      </c>
      <c r="C83" s="38" t="inlineStr">
        <is>
          <t>Benguela</t>
        </is>
      </c>
      <c r="D83" s="39">
        <f>IFERROR(CLASIF_A_M!$O$7,"")</f>
        <v/>
      </c>
      <c r="E83" s="40" t="n"/>
      <c r="F83" s="39">
        <f>IFERROR(CLASIF_A_M!$O$10,"")</f>
        <v/>
      </c>
      <c r="G83" s="40" t="n"/>
      <c r="H83" s="41" t="n"/>
      <c r="I83" s="42">
        <f>IF($H83="","",MAX(0,$H83-N($E83)))</f>
        <v/>
      </c>
      <c r="J83" s="42">
        <f>IF($H83="","",MAX(0,$H83-N($G83)))</f>
        <v/>
      </c>
    </row>
    <row r="84" ht="19.5" customHeight="1" s="72">
      <c r="A84" s="38" t="inlineStr">
        <is>
          <t>AM-SEM-P03-SBA</t>
        </is>
      </c>
      <c r="B84" s="38" t="inlineStr">
        <is>
          <t>Semifinal</t>
        </is>
      </c>
      <c r="C84" s="38" t="inlineStr">
        <is>
          <t>São Bento da Abadá</t>
        </is>
      </c>
      <c r="D84" s="39">
        <f>IFERROR(CLASIF_A_M!$O$7,"")</f>
        <v/>
      </c>
      <c r="E84" s="40" t="n"/>
      <c r="F84" s="39">
        <f>IFERROR(CLASIF_A_M!$O$10,"")</f>
        <v/>
      </c>
      <c r="G84" s="40" t="n"/>
      <c r="H84" s="41" t="n"/>
      <c r="I84" s="42">
        <f>IF($H84="","",MAX(0,$H84-N($E84)))</f>
        <v/>
      </c>
      <c r="J84" s="42">
        <f>IF($H84="","",MAX(0,$H84-N($G84)))</f>
        <v/>
      </c>
    </row>
    <row r="85" ht="19.5" customHeight="1" s="72">
      <c r="A85" s="38" t="inlineStr">
        <is>
          <t>AM-SEM-P03-SIR</t>
        </is>
      </c>
      <c r="B85" s="38" t="inlineStr">
        <is>
          <t>Semifinal</t>
        </is>
      </c>
      <c r="C85" s="38" t="inlineStr">
        <is>
          <t>Siriuna</t>
        </is>
      </c>
      <c r="D85" s="39">
        <f>IFERROR(CLASIF_A_M!$O$7,"")</f>
        <v/>
      </c>
      <c r="E85" s="40" t="n"/>
      <c r="F85" s="39">
        <f>IFERROR(CLASIF_A_M!$O$10,"")</f>
        <v/>
      </c>
      <c r="G85" s="40" t="n"/>
      <c r="H85" s="41" t="n"/>
      <c r="I85" s="42">
        <f>IF($H85="","",MAX(0,$H85-N($E85)))</f>
        <v/>
      </c>
      <c r="J85" s="42">
        <f>IF($H85="","",MAX(0,$H85-N($G85)))</f>
        <v/>
      </c>
    </row>
    <row r="86" ht="19.5" customHeight="1" s="72">
      <c r="A86" s="38" t="inlineStr">
        <is>
          <t>AM-SEM-P04-BEN</t>
        </is>
      </c>
      <c r="B86" s="38" t="inlineStr">
        <is>
          <t>Semifinal</t>
        </is>
      </c>
      <c r="C86" s="38" t="inlineStr">
        <is>
          <t>Benguela</t>
        </is>
      </c>
      <c r="D86" s="39">
        <f>IFERROR(CLASIF_A_M!$O$8,"")</f>
        <v/>
      </c>
      <c r="E86" s="40" t="n"/>
      <c r="F86" s="39">
        <f>IFERROR(CLASIF_A_M!$O$9,"")</f>
        <v/>
      </c>
      <c r="G86" s="40" t="n"/>
      <c r="H86" s="41" t="n"/>
      <c r="I86" s="42">
        <f>IF($H86="","",MAX(0,$H86-N($E86)))</f>
        <v/>
      </c>
      <c r="J86" s="42">
        <f>IF($H86="","",MAX(0,$H86-N($G86)))</f>
        <v/>
      </c>
    </row>
    <row r="87" ht="19.5" customHeight="1" s="72">
      <c r="A87" s="38" t="inlineStr">
        <is>
          <t>AM-SEM-P04-SBA</t>
        </is>
      </c>
      <c r="B87" s="38" t="inlineStr">
        <is>
          <t>Semifinal</t>
        </is>
      </c>
      <c r="C87" s="38" t="inlineStr">
        <is>
          <t>São Bento da Abadá</t>
        </is>
      </c>
      <c r="D87" s="39">
        <f>IFERROR(CLASIF_A_M!$O$8,"")</f>
        <v/>
      </c>
      <c r="E87" s="40" t="n"/>
      <c r="F87" s="39">
        <f>IFERROR(CLASIF_A_M!$O$9,"")</f>
        <v/>
      </c>
      <c r="G87" s="40" t="n"/>
      <c r="H87" s="41" t="n"/>
      <c r="I87" s="42">
        <f>IF($H87="","",MAX(0,$H87-N($E87)))</f>
        <v/>
      </c>
      <c r="J87" s="42">
        <f>IF($H87="","",MAX(0,$H87-N($G87)))</f>
        <v/>
      </c>
    </row>
    <row r="88" ht="19.5" customHeight="1" s="72">
      <c r="A88" s="38" t="inlineStr">
        <is>
          <t>AM-SEM-P04-SIR</t>
        </is>
      </c>
      <c r="B88" s="38" t="inlineStr">
        <is>
          <t>Semifinal</t>
        </is>
      </c>
      <c r="C88" s="38" t="inlineStr">
        <is>
          <t>Siriuna</t>
        </is>
      </c>
      <c r="D88" s="39">
        <f>IFERROR(CLASIF_A_M!$O$8,"")</f>
        <v/>
      </c>
      <c r="E88" s="40" t="n"/>
      <c r="F88" s="39">
        <f>IFERROR(CLASIF_A_M!$O$9,"")</f>
        <v/>
      </c>
      <c r="G88" s="40" t="n"/>
      <c r="H88" s="41" t="n"/>
      <c r="I88" s="42">
        <f>IF($H88="","",MAX(0,$H88-N($E88)))</f>
        <v/>
      </c>
      <c r="J88" s="42">
        <f>IF($H88="","",MAX(0,$H88-N($G88)))</f>
        <v/>
      </c>
    </row>
    <row r="89" ht="19.5" customHeight="1" s="72">
      <c r="A89" s="38" t="inlineStr">
        <is>
          <t>AM-FIN-P01-BEN</t>
        </is>
      </c>
      <c r="B89" s="38" t="inlineStr">
        <is>
          <t>Final</t>
        </is>
      </c>
      <c r="C89" s="38" t="inlineStr">
        <is>
          <t>Benguela</t>
        </is>
      </c>
      <c r="D89" s="39">
        <f>IFERROR(CLASIF_A_M!$X$5,"")</f>
        <v/>
      </c>
      <c r="E89" s="40" t="n"/>
      <c r="F89" s="39">
        <f>IFERROR(CLASIF_A_M!$X$8,"")</f>
        <v/>
      </c>
      <c r="G89" s="40" t="n"/>
      <c r="H89" s="41" t="n"/>
      <c r="I89" s="42">
        <f>IF($H89="","",MAX(0,$H89-N($E89)))</f>
        <v/>
      </c>
      <c r="J89" s="42">
        <f>IF($H89="","",MAX(0,$H89-N($G89)))</f>
        <v/>
      </c>
    </row>
    <row r="90" ht="19.5" customHeight="1" s="72">
      <c r="A90" s="38" t="inlineStr">
        <is>
          <t>AM-FIN-P01-SBA</t>
        </is>
      </c>
      <c r="B90" s="38" t="inlineStr">
        <is>
          <t>Final</t>
        </is>
      </c>
      <c r="C90" s="38" t="inlineStr">
        <is>
          <t>São Bento da Abadá</t>
        </is>
      </c>
      <c r="D90" s="39">
        <f>IFERROR(CLASIF_A_M!$X$5,"")</f>
        <v/>
      </c>
      <c r="E90" s="40" t="n"/>
      <c r="F90" s="39">
        <f>IFERROR(CLASIF_A_M!$X$8,"")</f>
        <v/>
      </c>
      <c r="G90" s="40" t="n"/>
      <c r="H90" s="41" t="n"/>
      <c r="I90" s="42">
        <f>IF($H90="","",MAX(0,$H90-N($E90)))</f>
        <v/>
      </c>
      <c r="J90" s="42">
        <f>IF($H90="","",MAX(0,$H90-N($G90)))</f>
        <v/>
      </c>
    </row>
    <row r="91" ht="19.5" customHeight="1" s="72">
      <c r="A91" s="38" t="inlineStr">
        <is>
          <t>AM-FIN-P01-SIR</t>
        </is>
      </c>
      <c r="B91" s="38" t="inlineStr">
        <is>
          <t>Final</t>
        </is>
      </c>
      <c r="C91" s="38" t="inlineStr">
        <is>
          <t>Siriuna</t>
        </is>
      </c>
      <c r="D91" s="39">
        <f>IFERROR(CLASIF_A_M!$X$5,"")</f>
        <v/>
      </c>
      <c r="E91" s="40" t="n"/>
      <c r="F91" s="39">
        <f>IFERROR(CLASIF_A_M!$X$8,"")</f>
        <v/>
      </c>
      <c r="G91" s="40" t="n"/>
      <c r="H91" s="41" t="n"/>
      <c r="I91" s="42">
        <f>IF($H91="","",MAX(0,$H91-N($E91)))</f>
        <v/>
      </c>
      <c r="J91" s="42">
        <f>IF($H91="","",MAX(0,$H91-N($G91)))</f>
        <v/>
      </c>
    </row>
    <row r="92" ht="19.5" customHeight="1" s="72">
      <c r="A92" s="38" t="inlineStr">
        <is>
          <t>AM-FIN-P02-BEN</t>
        </is>
      </c>
      <c r="B92" s="38" t="inlineStr">
        <is>
          <t>Final</t>
        </is>
      </c>
      <c r="C92" s="38" t="inlineStr">
        <is>
          <t>Benguela</t>
        </is>
      </c>
      <c r="D92" s="39">
        <f>IFERROR(CLASIF_A_M!$X$6,"")</f>
        <v/>
      </c>
      <c r="E92" s="40" t="n"/>
      <c r="F92" s="39">
        <f>IFERROR(CLASIF_A_M!$X$7,"")</f>
        <v/>
      </c>
      <c r="G92" s="40" t="n"/>
      <c r="H92" s="41" t="n"/>
      <c r="I92" s="42">
        <f>IF($H92="","",MAX(0,$H92-N($E92)))</f>
        <v/>
      </c>
      <c r="J92" s="42">
        <f>IF($H92="","",MAX(0,$H92-N($G92)))</f>
        <v/>
      </c>
    </row>
    <row r="93" ht="19.5" customHeight="1" s="72">
      <c r="A93" s="38" t="inlineStr">
        <is>
          <t>AM-FIN-P02-SBA</t>
        </is>
      </c>
      <c r="B93" s="38" t="inlineStr">
        <is>
          <t>Final</t>
        </is>
      </c>
      <c r="C93" s="38" t="inlineStr">
        <is>
          <t>São Bento da Abadá</t>
        </is>
      </c>
      <c r="D93" s="39">
        <f>IFERROR(CLASIF_A_M!$X$6,"")</f>
        <v/>
      </c>
      <c r="E93" s="40" t="n"/>
      <c r="F93" s="39">
        <f>IFERROR(CLASIF_A_M!$X$7,"")</f>
        <v/>
      </c>
      <c r="G93" s="40" t="n"/>
      <c r="H93" s="41" t="n"/>
      <c r="I93" s="42">
        <f>IF($H93="","",MAX(0,$H93-N($E93)))</f>
        <v/>
      </c>
      <c r="J93" s="42">
        <f>IF($H93="","",MAX(0,$H93-N($G93)))</f>
        <v/>
      </c>
    </row>
    <row r="94" ht="19.5" customHeight="1" s="72">
      <c r="A94" s="38" t="inlineStr">
        <is>
          <t>AM-FIN-P02-SIR</t>
        </is>
      </c>
      <c r="B94" s="38" t="inlineStr">
        <is>
          <t>Final</t>
        </is>
      </c>
      <c r="C94" s="38" t="inlineStr">
        <is>
          <t>Siriuna</t>
        </is>
      </c>
      <c r="D94" s="39">
        <f>IFERROR(CLASIF_A_M!$X$6,"")</f>
        <v/>
      </c>
      <c r="E94" s="40" t="n"/>
      <c r="F94" s="39">
        <f>IFERROR(CLASIF_A_M!$X$7,"")</f>
        <v/>
      </c>
      <c r="G94" s="40" t="n"/>
      <c r="H94" s="41" t="n"/>
      <c r="I94" s="42">
        <f>IF($H94="","",MAX(0,$H94-N($E94)))</f>
        <v/>
      </c>
      <c r="J94" s="42">
        <f>IF($H94="","",MAX(0,$H94-N($G94)))</f>
        <v/>
      </c>
    </row>
    <row r="95" ht="19.5" customHeight="1" s="72">
      <c r="A95" s="43" t="n"/>
      <c r="B95" s="43" t="n"/>
      <c r="C95" s="43" t="n"/>
      <c r="D95" s="43" t="n"/>
      <c r="E95" s="43" t="n"/>
      <c r="F95" s="43" t="n"/>
      <c r="G95" s="43" t="n"/>
      <c r="H95" s="44" t="n"/>
      <c r="I95" s="43">
        <f>IF($H95="","",MAX(0,$H95-N($E95)))</f>
        <v/>
      </c>
      <c r="J95" s="43">
        <f>IF($H95="","",MAX(0,$H95-N($G95)))</f>
        <v/>
      </c>
    </row>
    <row r="96" ht="19.5" customHeight="1" s="72">
      <c r="A96" s="80" t="inlineStr">
        <is>
          <t>═══ CATEGORÍA A · Femenino · Marrón (Profesores) · Toques: Benguela, São Bento da Abadá, Siriuna ═══</t>
        </is>
      </c>
    </row>
    <row r="97" ht="19.5" customHeight="1" s="72">
      <c r="A97" s="45" t="inlineStr">
        <is>
          <t>Jogo</t>
        </is>
      </c>
      <c r="B97" s="45" t="inlineStr">
        <is>
          <t>Fase</t>
        </is>
      </c>
      <c r="C97" s="45" t="inlineStr">
        <is>
          <t>Toque</t>
        </is>
      </c>
      <c r="D97" s="45" t="inlineStr">
        <is>
          <t>Jugador A</t>
        </is>
      </c>
      <c r="E97" s="45" t="inlineStr">
        <is>
          <t>Quita A</t>
        </is>
      </c>
      <c r="F97" s="45" t="inlineStr">
        <is>
          <t>Jugador B</t>
        </is>
      </c>
      <c r="G97" s="45" t="inlineStr">
        <is>
          <t>Quita B</t>
        </is>
      </c>
      <c r="H97" s="45" t="inlineStr">
        <is>
          <t>NOTA (0-5)</t>
        </is>
      </c>
      <c r="I97" s="45">
        <f>IF($H97="","",MAX(0,$H97-N($E97)))</f>
        <v/>
      </c>
      <c r="J97" s="45">
        <f>IF($H97="","",MAX(0,$H97-N($G97)))</f>
        <v/>
      </c>
    </row>
    <row r="98" ht="19.5" customHeight="1" s="72">
      <c r="A98" s="38" t="inlineStr">
        <is>
          <t>AF-32-P01-BEN</t>
        </is>
      </c>
      <c r="B98" s="38" t="inlineStr">
        <is>
          <t>Fase 32</t>
        </is>
      </c>
      <c r="C98" s="38" t="inlineStr">
        <is>
          <t>Benguela</t>
        </is>
      </c>
      <c r="D98" s="39" t="inlineStr">
        <is>
          <t>A_A_F_32_P1</t>
        </is>
      </c>
      <c r="E98" s="40" t="n"/>
      <c r="F98" s="39" t="inlineStr">
        <is>
          <t>B_A_F_32_P1</t>
        </is>
      </c>
      <c r="G98" s="40" t="n"/>
      <c r="H98" s="41" t="n"/>
      <c r="I98" s="42">
        <f>IF($H98="","",MAX(0,$H98-N($E98)))</f>
        <v/>
      </c>
      <c r="J98" s="42">
        <f>IF($H98="","",MAX(0,$H98-N($G98)))</f>
        <v/>
      </c>
    </row>
    <row r="99" ht="19.5" customHeight="1" s="72">
      <c r="A99" s="38" t="inlineStr">
        <is>
          <t>AF-32-P01-SBA</t>
        </is>
      </c>
      <c r="B99" s="38" t="inlineStr">
        <is>
          <t>Fase 32</t>
        </is>
      </c>
      <c r="C99" s="38" t="inlineStr">
        <is>
          <t>São Bento da Abadá</t>
        </is>
      </c>
      <c r="D99" s="39" t="inlineStr">
        <is>
          <t>A_A_F_32_P1</t>
        </is>
      </c>
      <c r="E99" s="40" t="n"/>
      <c r="F99" s="39" t="inlineStr">
        <is>
          <t>B_A_F_32_P1</t>
        </is>
      </c>
      <c r="G99" s="40" t="n"/>
      <c r="H99" s="41" t="n"/>
      <c r="I99" s="42">
        <f>IF($H99="","",MAX(0,$H99-N($E99)))</f>
        <v/>
      </c>
      <c r="J99" s="42">
        <f>IF($H99="","",MAX(0,$H99-N($G99)))</f>
        <v/>
      </c>
    </row>
    <row r="100" ht="19.5" customHeight="1" s="72">
      <c r="A100" s="38" t="inlineStr">
        <is>
          <t>AF-32-P01-SIR</t>
        </is>
      </c>
      <c r="B100" s="38" t="inlineStr">
        <is>
          <t>Fase 32</t>
        </is>
      </c>
      <c r="C100" s="38" t="inlineStr">
        <is>
          <t>Siriuna</t>
        </is>
      </c>
      <c r="D100" s="39" t="inlineStr">
        <is>
          <t>A_A_F_32_P1</t>
        </is>
      </c>
      <c r="E100" s="40" t="n"/>
      <c r="F100" s="39" t="inlineStr">
        <is>
          <t>B_A_F_32_P1</t>
        </is>
      </c>
      <c r="G100" s="40" t="n"/>
      <c r="H100" s="41" t="n"/>
      <c r="I100" s="42">
        <f>IF($H100="","",MAX(0,$H100-N($E100)))</f>
        <v/>
      </c>
      <c r="J100" s="42">
        <f>IF($H100="","",MAX(0,$H100-N($G100)))</f>
        <v/>
      </c>
    </row>
    <row r="101" ht="19.5" customHeight="1" s="72">
      <c r="A101" s="38" t="inlineStr">
        <is>
          <t>AF-32-P02-BEN</t>
        </is>
      </c>
      <c r="B101" s="38" t="inlineStr">
        <is>
          <t>Fase 32</t>
        </is>
      </c>
      <c r="C101" s="38" t="inlineStr">
        <is>
          <t>Benguela</t>
        </is>
      </c>
      <c r="D101" s="39" t="inlineStr">
        <is>
          <t>A_A_F_32_P2</t>
        </is>
      </c>
      <c r="E101" s="40" t="n"/>
      <c r="F101" s="39" t="inlineStr">
        <is>
          <t>B_A_F_32_P2</t>
        </is>
      </c>
      <c r="G101" s="40" t="n"/>
      <c r="H101" s="41" t="n"/>
      <c r="I101" s="42">
        <f>IF($H101="","",MAX(0,$H101-N($E101)))</f>
        <v/>
      </c>
      <c r="J101" s="42">
        <f>IF($H101="","",MAX(0,$H101-N($G101)))</f>
        <v/>
      </c>
    </row>
    <row r="102" ht="19.5" customHeight="1" s="72">
      <c r="A102" s="38" t="inlineStr">
        <is>
          <t>AF-32-P02-SBA</t>
        </is>
      </c>
      <c r="B102" s="38" t="inlineStr">
        <is>
          <t>Fase 32</t>
        </is>
      </c>
      <c r="C102" s="38" t="inlineStr">
        <is>
          <t>São Bento da Abadá</t>
        </is>
      </c>
      <c r="D102" s="39" t="inlineStr">
        <is>
          <t>A_A_F_32_P2</t>
        </is>
      </c>
      <c r="E102" s="40" t="n"/>
      <c r="F102" s="39" t="inlineStr">
        <is>
          <t>B_A_F_32_P2</t>
        </is>
      </c>
      <c r="G102" s="40" t="n"/>
      <c r="H102" s="41" t="n"/>
      <c r="I102" s="42">
        <f>IF($H102="","",MAX(0,$H102-N($E102)))</f>
        <v/>
      </c>
      <c r="J102" s="42">
        <f>IF($H102="","",MAX(0,$H102-N($G102)))</f>
        <v/>
      </c>
    </row>
    <row r="103" ht="19.5" customHeight="1" s="72">
      <c r="A103" s="38" t="inlineStr">
        <is>
          <t>AF-32-P02-SIR</t>
        </is>
      </c>
      <c r="B103" s="38" t="inlineStr">
        <is>
          <t>Fase 32</t>
        </is>
      </c>
      <c r="C103" s="38" t="inlineStr">
        <is>
          <t>Siriuna</t>
        </is>
      </c>
      <c r="D103" s="39" t="inlineStr">
        <is>
          <t>A_A_F_32_P2</t>
        </is>
      </c>
      <c r="E103" s="40" t="n"/>
      <c r="F103" s="39" t="inlineStr">
        <is>
          <t>B_A_F_32_P2</t>
        </is>
      </c>
      <c r="G103" s="40" t="n"/>
      <c r="H103" s="41" t="n"/>
      <c r="I103" s="42">
        <f>IF($H103="","",MAX(0,$H103-N($E103)))</f>
        <v/>
      </c>
      <c r="J103" s="42">
        <f>IF($H103="","",MAX(0,$H103-N($G103)))</f>
        <v/>
      </c>
    </row>
    <row r="104" ht="19.5" customHeight="1" s="72">
      <c r="A104" s="38" t="inlineStr">
        <is>
          <t>AF-32-P03-BEN</t>
        </is>
      </c>
      <c r="B104" s="38" t="inlineStr">
        <is>
          <t>Fase 32</t>
        </is>
      </c>
      <c r="C104" s="38" t="inlineStr">
        <is>
          <t>Benguela</t>
        </is>
      </c>
      <c r="D104" s="39" t="inlineStr">
        <is>
          <t>A_A_F_32_P3</t>
        </is>
      </c>
      <c r="E104" s="40" t="n"/>
      <c r="F104" s="39" t="inlineStr">
        <is>
          <t>B_A_F_32_P3</t>
        </is>
      </c>
      <c r="G104" s="40" t="n"/>
      <c r="H104" s="41" t="n"/>
      <c r="I104" s="42">
        <f>IF($H104="","",MAX(0,$H104-N($E104)))</f>
        <v/>
      </c>
      <c r="J104" s="42">
        <f>IF($H104="","",MAX(0,$H104-N($G104)))</f>
        <v/>
      </c>
    </row>
    <row r="105" ht="19.5" customHeight="1" s="72">
      <c r="A105" s="38" t="inlineStr">
        <is>
          <t>AF-32-P03-SBA</t>
        </is>
      </c>
      <c r="B105" s="38" t="inlineStr">
        <is>
          <t>Fase 32</t>
        </is>
      </c>
      <c r="C105" s="38" t="inlineStr">
        <is>
          <t>São Bento da Abadá</t>
        </is>
      </c>
      <c r="D105" s="39" t="inlineStr">
        <is>
          <t>A_A_F_32_P3</t>
        </is>
      </c>
      <c r="E105" s="40" t="n"/>
      <c r="F105" s="39" t="inlineStr">
        <is>
          <t>B_A_F_32_P3</t>
        </is>
      </c>
      <c r="G105" s="40" t="n"/>
      <c r="H105" s="41" t="n"/>
      <c r="I105" s="42">
        <f>IF($H105="","",MAX(0,$H105-N($E105)))</f>
        <v/>
      </c>
      <c r="J105" s="42">
        <f>IF($H105="","",MAX(0,$H105-N($G105)))</f>
        <v/>
      </c>
    </row>
    <row r="106" ht="19.5" customHeight="1" s="72">
      <c r="A106" s="38" t="inlineStr">
        <is>
          <t>AF-32-P03-SIR</t>
        </is>
      </c>
      <c r="B106" s="38" t="inlineStr">
        <is>
          <t>Fase 32</t>
        </is>
      </c>
      <c r="C106" s="38" t="inlineStr">
        <is>
          <t>Siriuna</t>
        </is>
      </c>
      <c r="D106" s="39" t="inlineStr">
        <is>
          <t>A_A_F_32_P3</t>
        </is>
      </c>
      <c r="E106" s="40" t="n"/>
      <c r="F106" s="39" t="inlineStr">
        <is>
          <t>B_A_F_32_P3</t>
        </is>
      </c>
      <c r="G106" s="40" t="n"/>
      <c r="H106" s="41" t="n"/>
      <c r="I106" s="42">
        <f>IF($H106="","",MAX(0,$H106-N($E106)))</f>
        <v/>
      </c>
      <c r="J106" s="42">
        <f>IF($H106="","",MAX(0,$H106-N($G106)))</f>
        <v/>
      </c>
    </row>
    <row r="107" ht="19.5" customHeight="1" s="72">
      <c r="A107" s="38" t="inlineStr">
        <is>
          <t>AF-32-P04-BEN</t>
        </is>
      </c>
      <c r="B107" s="38" t="inlineStr">
        <is>
          <t>Fase 32</t>
        </is>
      </c>
      <c r="C107" s="38" t="inlineStr">
        <is>
          <t>Benguela</t>
        </is>
      </c>
      <c r="D107" s="39" t="inlineStr">
        <is>
          <t>A_A_F_32_P4</t>
        </is>
      </c>
      <c r="E107" s="40" t="n"/>
      <c r="F107" s="39" t="inlineStr">
        <is>
          <t>B_A_F_32_P4</t>
        </is>
      </c>
      <c r="G107" s="40" t="n"/>
      <c r="H107" s="41" t="n"/>
      <c r="I107" s="42">
        <f>IF($H107="","",MAX(0,$H107-N($E107)))</f>
        <v/>
      </c>
      <c r="J107" s="42">
        <f>IF($H107="","",MAX(0,$H107-N($G107)))</f>
        <v/>
      </c>
    </row>
    <row r="108" ht="19.5" customHeight="1" s="72">
      <c r="A108" s="38" t="inlineStr">
        <is>
          <t>AF-32-P04-SBA</t>
        </is>
      </c>
      <c r="B108" s="38" t="inlineStr">
        <is>
          <t>Fase 32</t>
        </is>
      </c>
      <c r="C108" s="38" t="inlineStr">
        <is>
          <t>São Bento da Abadá</t>
        </is>
      </c>
      <c r="D108" s="39" t="inlineStr">
        <is>
          <t>A_A_F_32_P4</t>
        </is>
      </c>
      <c r="E108" s="40" t="n"/>
      <c r="F108" s="39" t="inlineStr">
        <is>
          <t>B_A_F_32_P4</t>
        </is>
      </c>
      <c r="G108" s="40" t="n"/>
      <c r="H108" s="41" t="n"/>
      <c r="I108" s="42">
        <f>IF($H108="","",MAX(0,$H108-N($E108)))</f>
        <v/>
      </c>
      <c r="J108" s="42">
        <f>IF($H108="","",MAX(0,$H108-N($G108)))</f>
        <v/>
      </c>
    </row>
    <row r="109" ht="19.5" customHeight="1" s="72">
      <c r="A109" s="38" t="inlineStr">
        <is>
          <t>AF-32-P04-SIR</t>
        </is>
      </c>
      <c r="B109" s="38" t="inlineStr">
        <is>
          <t>Fase 32</t>
        </is>
      </c>
      <c r="C109" s="38" t="inlineStr">
        <is>
          <t>Siriuna</t>
        </is>
      </c>
      <c r="D109" s="39" t="inlineStr">
        <is>
          <t>A_A_F_32_P4</t>
        </is>
      </c>
      <c r="E109" s="40" t="n"/>
      <c r="F109" s="39" t="inlineStr">
        <is>
          <t>B_A_F_32_P4</t>
        </is>
      </c>
      <c r="G109" s="40" t="n"/>
      <c r="H109" s="41" t="n"/>
      <c r="I109" s="42">
        <f>IF($H109="","",MAX(0,$H109-N($E109)))</f>
        <v/>
      </c>
      <c r="J109" s="42">
        <f>IF($H109="","",MAX(0,$H109-N($G109)))</f>
        <v/>
      </c>
    </row>
    <row r="110" ht="19.5" customHeight="1" s="72">
      <c r="A110" s="38" t="inlineStr">
        <is>
          <t>AF-32-P05-BEN</t>
        </is>
      </c>
      <c r="B110" s="38" t="inlineStr">
        <is>
          <t>Fase 32</t>
        </is>
      </c>
      <c r="C110" s="38" t="inlineStr">
        <is>
          <t>Benguela</t>
        </is>
      </c>
      <c r="D110" s="39" t="inlineStr">
        <is>
          <t>A_A_F_32_P5</t>
        </is>
      </c>
      <c r="E110" s="40" t="n"/>
      <c r="F110" s="39" t="inlineStr">
        <is>
          <t>B_A_F_32_P5</t>
        </is>
      </c>
      <c r="G110" s="40" t="n"/>
      <c r="H110" s="41" t="n"/>
      <c r="I110" s="42">
        <f>IF($H110="","",MAX(0,$H110-N($E110)))</f>
        <v/>
      </c>
      <c r="J110" s="42">
        <f>IF($H110="","",MAX(0,$H110-N($G110)))</f>
        <v/>
      </c>
    </row>
    <row r="111" ht="19.5" customHeight="1" s="72">
      <c r="A111" s="38" t="inlineStr">
        <is>
          <t>AF-32-P05-SBA</t>
        </is>
      </c>
      <c r="B111" s="38" t="inlineStr">
        <is>
          <t>Fase 32</t>
        </is>
      </c>
      <c r="C111" s="38" t="inlineStr">
        <is>
          <t>São Bento da Abadá</t>
        </is>
      </c>
      <c r="D111" s="39" t="inlineStr">
        <is>
          <t>A_A_F_32_P5</t>
        </is>
      </c>
      <c r="E111" s="40" t="n"/>
      <c r="F111" s="39" t="inlineStr">
        <is>
          <t>B_A_F_32_P5</t>
        </is>
      </c>
      <c r="G111" s="40" t="n"/>
      <c r="H111" s="41" t="n"/>
      <c r="I111" s="42">
        <f>IF($H111="","",MAX(0,$H111-N($E111)))</f>
        <v/>
      </c>
      <c r="J111" s="42">
        <f>IF($H111="","",MAX(0,$H111-N($G111)))</f>
        <v/>
      </c>
    </row>
    <row r="112" ht="19.5" customHeight="1" s="72">
      <c r="A112" s="38" t="inlineStr">
        <is>
          <t>AF-32-P05-SIR</t>
        </is>
      </c>
      <c r="B112" s="38" t="inlineStr">
        <is>
          <t>Fase 32</t>
        </is>
      </c>
      <c r="C112" s="38" t="inlineStr">
        <is>
          <t>Siriuna</t>
        </is>
      </c>
      <c r="D112" s="39" t="inlineStr">
        <is>
          <t>A_A_F_32_P5</t>
        </is>
      </c>
      <c r="E112" s="40" t="n"/>
      <c r="F112" s="39" t="inlineStr">
        <is>
          <t>B_A_F_32_P5</t>
        </is>
      </c>
      <c r="G112" s="40" t="n"/>
      <c r="H112" s="41" t="n"/>
      <c r="I112" s="42">
        <f>IF($H112="","",MAX(0,$H112-N($E112)))</f>
        <v/>
      </c>
      <c r="J112" s="42">
        <f>IF($H112="","",MAX(0,$H112-N($G112)))</f>
        <v/>
      </c>
    </row>
    <row r="113" ht="19.5" customHeight="1" s="72">
      <c r="A113" s="38" t="inlineStr">
        <is>
          <t>AF-32-P06-BEN</t>
        </is>
      </c>
      <c r="B113" s="38" t="inlineStr">
        <is>
          <t>Fase 32</t>
        </is>
      </c>
      <c r="C113" s="38" t="inlineStr">
        <is>
          <t>Benguela</t>
        </is>
      </c>
      <c r="D113" s="39" t="inlineStr">
        <is>
          <t>A_A_F_32_P6</t>
        </is>
      </c>
      <c r="E113" s="40" t="n"/>
      <c r="F113" s="39" t="inlineStr">
        <is>
          <t>B_A_F_32_P6</t>
        </is>
      </c>
      <c r="G113" s="40" t="n"/>
      <c r="H113" s="41" t="n"/>
      <c r="I113" s="42">
        <f>IF($H113="","",MAX(0,$H113-N($E113)))</f>
        <v/>
      </c>
      <c r="J113" s="42">
        <f>IF($H113="","",MAX(0,$H113-N($G113)))</f>
        <v/>
      </c>
    </row>
    <row r="114" ht="19.5" customHeight="1" s="72">
      <c r="A114" s="38" t="inlineStr">
        <is>
          <t>AF-32-P06-SBA</t>
        </is>
      </c>
      <c r="B114" s="38" t="inlineStr">
        <is>
          <t>Fase 32</t>
        </is>
      </c>
      <c r="C114" s="38" t="inlineStr">
        <is>
          <t>São Bento da Abadá</t>
        </is>
      </c>
      <c r="D114" s="39" t="inlineStr">
        <is>
          <t>A_A_F_32_P6</t>
        </is>
      </c>
      <c r="E114" s="40" t="n"/>
      <c r="F114" s="39" t="inlineStr">
        <is>
          <t>B_A_F_32_P6</t>
        </is>
      </c>
      <c r="G114" s="40" t="n"/>
      <c r="H114" s="41" t="n"/>
      <c r="I114" s="42">
        <f>IF($H114="","",MAX(0,$H114-N($E114)))</f>
        <v/>
      </c>
      <c r="J114" s="42">
        <f>IF($H114="","",MAX(0,$H114-N($G114)))</f>
        <v/>
      </c>
    </row>
    <row r="115" ht="19.5" customHeight="1" s="72">
      <c r="A115" s="38" t="inlineStr">
        <is>
          <t>AF-32-P06-SIR</t>
        </is>
      </c>
      <c r="B115" s="38" t="inlineStr">
        <is>
          <t>Fase 32</t>
        </is>
      </c>
      <c r="C115" s="38" t="inlineStr">
        <is>
          <t>Siriuna</t>
        </is>
      </c>
      <c r="D115" s="39" t="inlineStr">
        <is>
          <t>A_A_F_32_P6</t>
        </is>
      </c>
      <c r="E115" s="40" t="n"/>
      <c r="F115" s="39" t="inlineStr">
        <is>
          <t>B_A_F_32_P6</t>
        </is>
      </c>
      <c r="G115" s="40" t="n"/>
      <c r="H115" s="41" t="n"/>
      <c r="I115" s="42">
        <f>IF($H115="","",MAX(0,$H115-N($E115)))</f>
        <v/>
      </c>
      <c r="J115" s="42">
        <f>IF($H115="","",MAX(0,$H115-N($G115)))</f>
        <v/>
      </c>
    </row>
    <row r="116" ht="19.5" customHeight="1" s="72">
      <c r="A116" s="38" t="inlineStr">
        <is>
          <t>AF-32-P07-BEN</t>
        </is>
      </c>
      <c r="B116" s="38" t="inlineStr">
        <is>
          <t>Fase 32</t>
        </is>
      </c>
      <c r="C116" s="38" t="inlineStr">
        <is>
          <t>Benguela</t>
        </is>
      </c>
      <c r="D116" s="39" t="inlineStr">
        <is>
          <t>A_A_F_32_P7</t>
        </is>
      </c>
      <c r="E116" s="40" t="n"/>
      <c r="F116" s="39" t="inlineStr">
        <is>
          <t>B_A_F_32_P7</t>
        </is>
      </c>
      <c r="G116" s="40" t="n"/>
      <c r="H116" s="41" t="n"/>
      <c r="I116" s="42">
        <f>IF($H116="","",MAX(0,$H116-N($E116)))</f>
        <v/>
      </c>
      <c r="J116" s="42">
        <f>IF($H116="","",MAX(0,$H116-N($G116)))</f>
        <v/>
      </c>
    </row>
    <row r="117" ht="19.5" customHeight="1" s="72">
      <c r="A117" s="38" t="inlineStr">
        <is>
          <t>AF-32-P07-SBA</t>
        </is>
      </c>
      <c r="B117" s="38" t="inlineStr">
        <is>
          <t>Fase 32</t>
        </is>
      </c>
      <c r="C117" s="38" t="inlineStr">
        <is>
          <t>São Bento da Abadá</t>
        </is>
      </c>
      <c r="D117" s="39" t="inlineStr">
        <is>
          <t>A_A_F_32_P7</t>
        </is>
      </c>
      <c r="E117" s="40" t="n"/>
      <c r="F117" s="39" t="inlineStr">
        <is>
          <t>B_A_F_32_P7</t>
        </is>
      </c>
      <c r="G117" s="40" t="n"/>
      <c r="H117" s="41" t="n"/>
      <c r="I117" s="42">
        <f>IF($H117="","",MAX(0,$H117-N($E117)))</f>
        <v/>
      </c>
      <c r="J117" s="42">
        <f>IF($H117="","",MAX(0,$H117-N($G117)))</f>
        <v/>
      </c>
    </row>
    <row r="118" ht="19.5" customHeight="1" s="72">
      <c r="A118" s="38" t="inlineStr">
        <is>
          <t>AF-32-P07-SIR</t>
        </is>
      </c>
      <c r="B118" s="38" t="inlineStr">
        <is>
          <t>Fase 32</t>
        </is>
      </c>
      <c r="C118" s="38" t="inlineStr">
        <is>
          <t>Siriuna</t>
        </is>
      </c>
      <c r="D118" s="39" t="inlineStr">
        <is>
          <t>A_A_F_32_P7</t>
        </is>
      </c>
      <c r="E118" s="40" t="n"/>
      <c r="F118" s="39" t="inlineStr">
        <is>
          <t>B_A_F_32_P7</t>
        </is>
      </c>
      <c r="G118" s="40" t="n"/>
      <c r="H118" s="41" t="n"/>
      <c r="I118" s="42">
        <f>IF($H118="","",MAX(0,$H118-N($E118)))</f>
        <v/>
      </c>
      <c r="J118" s="42">
        <f>IF($H118="","",MAX(0,$H118-N($G118)))</f>
        <v/>
      </c>
    </row>
    <row r="119" ht="19.5" customHeight="1" s="72">
      <c r="A119" s="38" t="inlineStr">
        <is>
          <t>AF-32-P08-BEN</t>
        </is>
      </c>
      <c r="B119" s="38" t="inlineStr">
        <is>
          <t>Fase 32</t>
        </is>
      </c>
      <c r="C119" s="38" t="inlineStr">
        <is>
          <t>Benguela</t>
        </is>
      </c>
      <c r="D119" s="39" t="inlineStr">
        <is>
          <t>A_A_F_32_P8</t>
        </is>
      </c>
      <c r="E119" s="40" t="n"/>
      <c r="F119" s="39" t="inlineStr">
        <is>
          <t>B_A_F_32_P8</t>
        </is>
      </c>
      <c r="G119" s="40" t="n"/>
      <c r="H119" s="41" t="n"/>
      <c r="I119" s="42">
        <f>IF($H119="","",MAX(0,$H119-N($E119)))</f>
        <v/>
      </c>
      <c r="J119" s="42">
        <f>IF($H119="","",MAX(0,$H119-N($G119)))</f>
        <v/>
      </c>
    </row>
    <row r="120" ht="19.5" customHeight="1" s="72">
      <c r="A120" s="38" t="inlineStr">
        <is>
          <t>AF-32-P08-SBA</t>
        </is>
      </c>
      <c r="B120" s="38" t="inlineStr">
        <is>
          <t>Fase 32</t>
        </is>
      </c>
      <c r="C120" s="38" t="inlineStr">
        <is>
          <t>São Bento da Abadá</t>
        </is>
      </c>
      <c r="D120" s="39" t="inlineStr">
        <is>
          <t>A_A_F_32_P8</t>
        </is>
      </c>
      <c r="E120" s="40" t="n"/>
      <c r="F120" s="39" t="inlineStr">
        <is>
          <t>B_A_F_32_P8</t>
        </is>
      </c>
      <c r="G120" s="40" t="n"/>
      <c r="H120" s="41" t="n"/>
      <c r="I120" s="42">
        <f>IF($H120="","",MAX(0,$H120-N($E120)))</f>
        <v/>
      </c>
      <c r="J120" s="42">
        <f>IF($H120="","",MAX(0,$H120-N($G120)))</f>
        <v/>
      </c>
    </row>
    <row r="121" ht="19.5" customHeight="1" s="72">
      <c r="A121" s="38" t="inlineStr">
        <is>
          <t>AF-32-P08-SIR</t>
        </is>
      </c>
      <c r="B121" s="38" t="inlineStr">
        <is>
          <t>Fase 32</t>
        </is>
      </c>
      <c r="C121" s="38" t="inlineStr">
        <is>
          <t>Siriuna</t>
        </is>
      </c>
      <c r="D121" s="39" t="inlineStr">
        <is>
          <t>A_A_F_32_P8</t>
        </is>
      </c>
      <c r="E121" s="40" t="n"/>
      <c r="F121" s="39" t="inlineStr">
        <is>
          <t>B_A_F_32_P8</t>
        </is>
      </c>
      <c r="G121" s="40" t="n"/>
      <c r="H121" s="41" t="n"/>
      <c r="I121" s="42">
        <f>IF($H121="","",MAX(0,$H121-N($E121)))</f>
        <v/>
      </c>
      <c r="J121" s="42">
        <f>IF($H121="","",MAX(0,$H121-N($G121)))</f>
        <v/>
      </c>
    </row>
    <row r="122" ht="19.5" customHeight="1" s="72">
      <c r="A122" s="38" t="inlineStr">
        <is>
          <t>AF-32-P09-BEN</t>
        </is>
      </c>
      <c r="B122" s="38" t="inlineStr">
        <is>
          <t>Fase 32</t>
        </is>
      </c>
      <c r="C122" s="38" t="inlineStr">
        <is>
          <t>Benguela</t>
        </is>
      </c>
      <c r="D122" s="39" t="inlineStr">
        <is>
          <t>A_A_F_32_P9</t>
        </is>
      </c>
      <c r="E122" s="40" t="n"/>
      <c r="F122" s="39" t="inlineStr">
        <is>
          <t>B_A_F_32_P9</t>
        </is>
      </c>
      <c r="G122" s="40" t="n"/>
      <c r="H122" s="41" t="n"/>
      <c r="I122" s="42">
        <f>IF($H122="","",MAX(0,$H122-N($E122)))</f>
        <v/>
      </c>
      <c r="J122" s="42">
        <f>IF($H122="","",MAX(0,$H122-N($G122)))</f>
        <v/>
      </c>
    </row>
    <row r="123" ht="19.5" customHeight="1" s="72">
      <c r="A123" s="38" t="inlineStr">
        <is>
          <t>AF-32-P09-SBA</t>
        </is>
      </c>
      <c r="B123" s="38" t="inlineStr">
        <is>
          <t>Fase 32</t>
        </is>
      </c>
      <c r="C123" s="38" t="inlineStr">
        <is>
          <t>São Bento da Abadá</t>
        </is>
      </c>
      <c r="D123" s="39" t="inlineStr">
        <is>
          <t>A_A_F_32_P9</t>
        </is>
      </c>
      <c r="E123" s="40" t="n"/>
      <c r="F123" s="39" t="inlineStr">
        <is>
          <t>B_A_F_32_P9</t>
        </is>
      </c>
      <c r="G123" s="40" t="n"/>
      <c r="H123" s="41" t="n"/>
      <c r="I123" s="42">
        <f>IF($H123="","",MAX(0,$H123-N($E123)))</f>
        <v/>
      </c>
      <c r="J123" s="42">
        <f>IF($H123="","",MAX(0,$H123-N($G123)))</f>
        <v/>
      </c>
    </row>
    <row r="124" ht="19.5" customHeight="1" s="72">
      <c r="A124" s="38" t="inlineStr">
        <is>
          <t>AF-32-P09-SIR</t>
        </is>
      </c>
      <c r="B124" s="38" t="inlineStr">
        <is>
          <t>Fase 32</t>
        </is>
      </c>
      <c r="C124" s="38" t="inlineStr">
        <is>
          <t>Siriuna</t>
        </is>
      </c>
      <c r="D124" s="39" t="inlineStr">
        <is>
          <t>A_A_F_32_P9</t>
        </is>
      </c>
      <c r="E124" s="40" t="n"/>
      <c r="F124" s="39" t="inlineStr">
        <is>
          <t>B_A_F_32_P9</t>
        </is>
      </c>
      <c r="G124" s="40" t="n"/>
      <c r="H124" s="41" t="n"/>
      <c r="I124" s="42">
        <f>IF($H124="","",MAX(0,$H124-N($E124)))</f>
        <v/>
      </c>
      <c r="J124" s="42">
        <f>IF($H124="","",MAX(0,$H124-N($G124)))</f>
        <v/>
      </c>
    </row>
    <row r="125" ht="19.5" customHeight="1" s="72">
      <c r="A125" s="38" t="inlineStr">
        <is>
          <t>AF-32-P10-BEN</t>
        </is>
      </c>
      <c r="B125" s="38" t="inlineStr">
        <is>
          <t>Fase 32</t>
        </is>
      </c>
      <c r="C125" s="38" t="inlineStr">
        <is>
          <t>Benguela</t>
        </is>
      </c>
      <c r="D125" s="39" t="inlineStr">
        <is>
          <t>A_A_F_32_P10</t>
        </is>
      </c>
      <c r="E125" s="40" t="n"/>
      <c r="F125" s="39" t="inlineStr">
        <is>
          <t>B_A_F_32_P10</t>
        </is>
      </c>
      <c r="G125" s="40" t="n"/>
      <c r="H125" s="41" t="n"/>
      <c r="I125" s="42">
        <f>IF($H125="","",MAX(0,$H125-N($E125)))</f>
        <v/>
      </c>
      <c r="J125" s="42">
        <f>IF($H125="","",MAX(0,$H125-N($G125)))</f>
        <v/>
      </c>
    </row>
    <row r="126" ht="19.5" customHeight="1" s="72">
      <c r="A126" s="38" t="inlineStr">
        <is>
          <t>AF-32-P10-SBA</t>
        </is>
      </c>
      <c r="B126" s="38" t="inlineStr">
        <is>
          <t>Fase 32</t>
        </is>
      </c>
      <c r="C126" s="38" t="inlineStr">
        <is>
          <t>São Bento da Abadá</t>
        </is>
      </c>
      <c r="D126" s="39" t="inlineStr">
        <is>
          <t>A_A_F_32_P10</t>
        </is>
      </c>
      <c r="E126" s="40" t="n"/>
      <c r="F126" s="39" t="inlineStr">
        <is>
          <t>B_A_F_32_P10</t>
        </is>
      </c>
      <c r="G126" s="40" t="n"/>
      <c r="H126" s="41" t="n"/>
      <c r="I126" s="42">
        <f>IF($H126="","",MAX(0,$H126-N($E126)))</f>
        <v/>
      </c>
      <c r="J126" s="42">
        <f>IF($H126="","",MAX(0,$H126-N($G126)))</f>
        <v/>
      </c>
    </row>
    <row r="127" ht="19.5" customHeight="1" s="72">
      <c r="A127" s="38" t="inlineStr">
        <is>
          <t>AF-32-P10-SIR</t>
        </is>
      </c>
      <c r="B127" s="38" t="inlineStr">
        <is>
          <t>Fase 32</t>
        </is>
      </c>
      <c r="C127" s="38" t="inlineStr">
        <is>
          <t>Siriuna</t>
        </is>
      </c>
      <c r="D127" s="39" t="inlineStr">
        <is>
          <t>A_A_F_32_P10</t>
        </is>
      </c>
      <c r="E127" s="40" t="n"/>
      <c r="F127" s="39" t="inlineStr">
        <is>
          <t>B_A_F_32_P10</t>
        </is>
      </c>
      <c r="G127" s="40" t="n"/>
      <c r="H127" s="41" t="n"/>
      <c r="I127" s="42">
        <f>IF($H127="","",MAX(0,$H127-N($E127)))</f>
        <v/>
      </c>
      <c r="J127" s="42">
        <f>IF($H127="","",MAX(0,$H127-N($G127)))</f>
        <v/>
      </c>
    </row>
    <row r="128" ht="19.5" customHeight="1" s="72">
      <c r="A128" s="38" t="inlineStr">
        <is>
          <t>AF-32-P11-BEN</t>
        </is>
      </c>
      <c r="B128" s="38" t="inlineStr">
        <is>
          <t>Fase 32</t>
        </is>
      </c>
      <c r="C128" s="38" t="inlineStr">
        <is>
          <t>Benguela</t>
        </is>
      </c>
      <c r="D128" s="39" t="inlineStr">
        <is>
          <t>A_A_F_32_P11</t>
        </is>
      </c>
      <c r="E128" s="40" t="n"/>
      <c r="F128" s="39" t="inlineStr">
        <is>
          <t>B_A_F_32_P11</t>
        </is>
      </c>
      <c r="G128" s="40" t="n"/>
      <c r="H128" s="41" t="n"/>
      <c r="I128" s="42">
        <f>IF($H128="","",MAX(0,$H128-N($E128)))</f>
        <v/>
      </c>
      <c r="J128" s="42">
        <f>IF($H128="","",MAX(0,$H128-N($G128)))</f>
        <v/>
      </c>
    </row>
    <row r="129" ht="19.5" customHeight="1" s="72">
      <c r="A129" s="38" t="inlineStr">
        <is>
          <t>AF-32-P11-SBA</t>
        </is>
      </c>
      <c r="B129" s="38" t="inlineStr">
        <is>
          <t>Fase 32</t>
        </is>
      </c>
      <c r="C129" s="38" t="inlineStr">
        <is>
          <t>São Bento da Abadá</t>
        </is>
      </c>
      <c r="D129" s="39" t="inlineStr">
        <is>
          <t>A_A_F_32_P11</t>
        </is>
      </c>
      <c r="E129" s="40" t="n"/>
      <c r="F129" s="39" t="inlineStr">
        <is>
          <t>B_A_F_32_P11</t>
        </is>
      </c>
      <c r="G129" s="40" t="n"/>
      <c r="H129" s="41" t="n"/>
      <c r="I129" s="42">
        <f>IF($H129="","",MAX(0,$H129-N($E129)))</f>
        <v/>
      </c>
      <c r="J129" s="42">
        <f>IF($H129="","",MAX(0,$H129-N($G129)))</f>
        <v/>
      </c>
    </row>
    <row r="130" ht="19.5" customHeight="1" s="72">
      <c r="A130" s="38" t="inlineStr">
        <is>
          <t>AF-32-P11-SIR</t>
        </is>
      </c>
      <c r="B130" s="38" t="inlineStr">
        <is>
          <t>Fase 32</t>
        </is>
      </c>
      <c r="C130" s="38" t="inlineStr">
        <is>
          <t>Siriuna</t>
        </is>
      </c>
      <c r="D130" s="39" t="inlineStr">
        <is>
          <t>A_A_F_32_P11</t>
        </is>
      </c>
      <c r="E130" s="40" t="n"/>
      <c r="F130" s="39" t="inlineStr">
        <is>
          <t>B_A_F_32_P11</t>
        </is>
      </c>
      <c r="G130" s="40" t="n"/>
      <c r="H130" s="41" t="n"/>
      <c r="I130" s="42">
        <f>IF($H130="","",MAX(0,$H130-N($E130)))</f>
        <v/>
      </c>
      <c r="J130" s="42">
        <f>IF($H130="","",MAX(0,$H130-N($G130)))</f>
        <v/>
      </c>
    </row>
    <row r="131" ht="19.5" customHeight="1" s="72">
      <c r="A131" s="38" t="inlineStr">
        <is>
          <t>AF-32-P12-BEN</t>
        </is>
      </c>
      <c r="B131" s="38" t="inlineStr">
        <is>
          <t>Fase 32</t>
        </is>
      </c>
      <c r="C131" s="38" t="inlineStr">
        <is>
          <t>Benguela</t>
        </is>
      </c>
      <c r="D131" s="39" t="inlineStr">
        <is>
          <t>A_A_F_32_P12</t>
        </is>
      </c>
      <c r="E131" s="40" t="n"/>
      <c r="F131" s="39" t="inlineStr">
        <is>
          <t>B_A_F_32_P12</t>
        </is>
      </c>
      <c r="G131" s="40" t="n"/>
      <c r="H131" s="41" t="n"/>
      <c r="I131" s="42">
        <f>IF($H131="","",MAX(0,$H131-N($E131)))</f>
        <v/>
      </c>
      <c r="J131" s="42">
        <f>IF($H131="","",MAX(0,$H131-N($G131)))</f>
        <v/>
      </c>
    </row>
    <row r="132" ht="19.5" customHeight="1" s="72">
      <c r="A132" s="38" t="inlineStr">
        <is>
          <t>AF-32-P12-SBA</t>
        </is>
      </c>
      <c r="B132" s="38" t="inlineStr">
        <is>
          <t>Fase 32</t>
        </is>
      </c>
      <c r="C132" s="38" t="inlineStr">
        <is>
          <t>São Bento da Abadá</t>
        </is>
      </c>
      <c r="D132" s="39" t="inlineStr">
        <is>
          <t>A_A_F_32_P12</t>
        </is>
      </c>
      <c r="E132" s="40" t="n"/>
      <c r="F132" s="39" t="inlineStr">
        <is>
          <t>B_A_F_32_P12</t>
        </is>
      </c>
      <c r="G132" s="40" t="n"/>
      <c r="H132" s="41" t="n"/>
      <c r="I132" s="42">
        <f>IF($H132="","",MAX(0,$H132-N($E132)))</f>
        <v/>
      </c>
      <c r="J132" s="42">
        <f>IF($H132="","",MAX(0,$H132-N($G132)))</f>
        <v/>
      </c>
    </row>
    <row r="133" ht="19.5" customHeight="1" s="72">
      <c r="A133" s="38" t="inlineStr">
        <is>
          <t>AF-32-P12-SIR</t>
        </is>
      </c>
      <c r="B133" s="38" t="inlineStr">
        <is>
          <t>Fase 32</t>
        </is>
      </c>
      <c r="C133" s="38" t="inlineStr">
        <is>
          <t>Siriuna</t>
        </is>
      </c>
      <c r="D133" s="39" t="inlineStr">
        <is>
          <t>A_A_F_32_P12</t>
        </is>
      </c>
      <c r="E133" s="40" t="n"/>
      <c r="F133" s="39" t="inlineStr">
        <is>
          <t>B_A_F_32_P12</t>
        </is>
      </c>
      <c r="G133" s="40" t="n"/>
      <c r="H133" s="41" t="n"/>
      <c r="I133" s="42">
        <f>IF($H133="","",MAX(0,$H133-N($E133)))</f>
        <v/>
      </c>
      <c r="J133" s="42">
        <f>IF($H133="","",MAX(0,$H133-N($G133)))</f>
        <v/>
      </c>
    </row>
    <row r="134" ht="19.5" customHeight="1" s="72">
      <c r="A134" s="38" t="inlineStr">
        <is>
          <t>AF-32-P13-BEN</t>
        </is>
      </c>
      <c r="B134" s="38" t="inlineStr">
        <is>
          <t>Fase 32</t>
        </is>
      </c>
      <c r="C134" s="38" t="inlineStr">
        <is>
          <t>Benguela</t>
        </is>
      </c>
      <c r="D134" s="39" t="inlineStr">
        <is>
          <t>A_A_F_32_P13</t>
        </is>
      </c>
      <c r="E134" s="40" t="n"/>
      <c r="F134" s="39" t="inlineStr">
        <is>
          <t>B_A_F_32_P13</t>
        </is>
      </c>
      <c r="G134" s="40" t="n"/>
      <c r="H134" s="41" t="n"/>
      <c r="I134" s="42">
        <f>IF($H134="","",MAX(0,$H134-N($E134)))</f>
        <v/>
      </c>
      <c r="J134" s="42">
        <f>IF($H134="","",MAX(0,$H134-N($G134)))</f>
        <v/>
      </c>
    </row>
    <row r="135" ht="19.5" customHeight="1" s="72">
      <c r="A135" s="38" t="inlineStr">
        <is>
          <t>AF-32-P13-SBA</t>
        </is>
      </c>
      <c r="B135" s="38" t="inlineStr">
        <is>
          <t>Fase 32</t>
        </is>
      </c>
      <c r="C135" s="38" t="inlineStr">
        <is>
          <t>São Bento da Abadá</t>
        </is>
      </c>
      <c r="D135" s="39" t="inlineStr">
        <is>
          <t>A_A_F_32_P13</t>
        </is>
      </c>
      <c r="E135" s="40" t="n"/>
      <c r="F135" s="39" t="inlineStr">
        <is>
          <t>B_A_F_32_P13</t>
        </is>
      </c>
      <c r="G135" s="40" t="n"/>
      <c r="H135" s="41" t="n"/>
      <c r="I135" s="42">
        <f>IF($H135="","",MAX(0,$H135-N($E135)))</f>
        <v/>
      </c>
      <c r="J135" s="42">
        <f>IF($H135="","",MAX(0,$H135-N($G135)))</f>
        <v/>
      </c>
    </row>
    <row r="136" ht="19.5" customHeight="1" s="72">
      <c r="A136" s="38" t="inlineStr">
        <is>
          <t>AF-32-P13-SIR</t>
        </is>
      </c>
      <c r="B136" s="38" t="inlineStr">
        <is>
          <t>Fase 32</t>
        </is>
      </c>
      <c r="C136" s="38" t="inlineStr">
        <is>
          <t>Siriuna</t>
        </is>
      </c>
      <c r="D136" s="39" t="inlineStr">
        <is>
          <t>A_A_F_32_P13</t>
        </is>
      </c>
      <c r="E136" s="40" t="n"/>
      <c r="F136" s="39" t="inlineStr">
        <is>
          <t>B_A_F_32_P13</t>
        </is>
      </c>
      <c r="G136" s="40" t="n"/>
      <c r="H136" s="41" t="n"/>
      <c r="I136" s="42">
        <f>IF($H136="","",MAX(0,$H136-N($E136)))</f>
        <v/>
      </c>
      <c r="J136" s="42">
        <f>IF($H136="","",MAX(0,$H136-N($G136)))</f>
        <v/>
      </c>
    </row>
    <row r="137" ht="19.5" customHeight="1" s="72">
      <c r="A137" s="38" t="inlineStr">
        <is>
          <t>AF-32-P14-BEN</t>
        </is>
      </c>
      <c r="B137" s="38" t="inlineStr">
        <is>
          <t>Fase 32</t>
        </is>
      </c>
      <c r="C137" s="38" t="inlineStr">
        <is>
          <t>Benguela</t>
        </is>
      </c>
      <c r="D137" s="39" t="inlineStr">
        <is>
          <t>A_A_F_32_P14</t>
        </is>
      </c>
      <c r="E137" s="40" t="n"/>
      <c r="F137" s="39" t="inlineStr">
        <is>
          <t>B_A_F_32_P14</t>
        </is>
      </c>
      <c r="G137" s="40" t="n"/>
      <c r="H137" s="41" t="n"/>
      <c r="I137" s="42">
        <f>IF($H137="","",MAX(0,$H137-N($E137)))</f>
        <v/>
      </c>
      <c r="J137" s="42">
        <f>IF($H137="","",MAX(0,$H137-N($G137)))</f>
        <v/>
      </c>
    </row>
    <row r="138" ht="19.5" customHeight="1" s="72">
      <c r="A138" s="38" t="inlineStr">
        <is>
          <t>AF-32-P14-SBA</t>
        </is>
      </c>
      <c r="B138" s="38" t="inlineStr">
        <is>
          <t>Fase 32</t>
        </is>
      </c>
      <c r="C138" s="38" t="inlineStr">
        <is>
          <t>São Bento da Abadá</t>
        </is>
      </c>
      <c r="D138" s="39" t="inlineStr">
        <is>
          <t>A_A_F_32_P14</t>
        </is>
      </c>
      <c r="E138" s="40" t="n"/>
      <c r="F138" s="39" t="inlineStr">
        <is>
          <t>B_A_F_32_P14</t>
        </is>
      </c>
      <c r="G138" s="40" t="n"/>
      <c r="H138" s="41" t="n"/>
      <c r="I138" s="42">
        <f>IF($H138="","",MAX(0,$H138-N($E138)))</f>
        <v/>
      </c>
      <c r="J138" s="42">
        <f>IF($H138="","",MAX(0,$H138-N($G138)))</f>
        <v/>
      </c>
    </row>
    <row r="139" ht="19.5" customHeight="1" s="72">
      <c r="A139" s="38" t="inlineStr">
        <is>
          <t>AF-32-P14-SIR</t>
        </is>
      </c>
      <c r="B139" s="38" t="inlineStr">
        <is>
          <t>Fase 32</t>
        </is>
      </c>
      <c r="C139" s="38" t="inlineStr">
        <is>
          <t>Siriuna</t>
        </is>
      </c>
      <c r="D139" s="39" t="inlineStr">
        <is>
          <t>A_A_F_32_P14</t>
        </is>
      </c>
      <c r="E139" s="40" t="n"/>
      <c r="F139" s="39" t="inlineStr">
        <is>
          <t>B_A_F_32_P14</t>
        </is>
      </c>
      <c r="G139" s="40" t="n"/>
      <c r="H139" s="41" t="n"/>
      <c r="I139" s="42">
        <f>IF($H139="","",MAX(0,$H139-N($E139)))</f>
        <v/>
      </c>
      <c r="J139" s="42">
        <f>IF($H139="","",MAX(0,$H139-N($G139)))</f>
        <v/>
      </c>
    </row>
    <row r="140" ht="19.5" customHeight="1" s="72">
      <c r="A140" s="38" t="inlineStr">
        <is>
          <t>AF-32-P15-BEN</t>
        </is>
      </c>
      <c r="B140" s="38" t="inlineStr">
        <is>
          <t>Fase 32</t>
        </is>
      </c>
      <c r="C140" s="38" t="inlineStr">
        <is>
          <t>Benguela</t>
        </is>
      </c>
      <c r="D140" s="39" t="inlineStr">
        <is>
          <t>A_A_F_32_P15</t>
        </is>
      </c>
      <c r="E140" s="40" t="n"/>
      <c r="F140" s="39" t="inlineStr">
        <is>
          <t>B_A_F_32_P15</t>
        </is>
      </c>
      <c r="G140" s="40" t="n"/>
      <c r="H140" s="41" t="n"/>
      <c r="I140" s="42">
        <f>IF($H140="","",MAX(0,$H140-N($E140)))</f>
        <v/>
      </c>
      <c r="J140" s="42">
        <f>IF($H140="","",MAX(0,$H140-N($G140)))</f>
        <v/>
      </c>
    </row>
    <row r="141" ht="19.5" customHeight="1" s="72">
      <c r="A141" s="38" t="inlineStr">
        <is>
          <t>AF-32-P15-SBA</t>
        </is>
      </c>
      <c r="B141" s="38" t="inlineStr">
        <is>
          <t>Fase 32</t>
        </is>
      </c>
      <c r="C141" s="38" t="inlineStr">
        <is>
          <t>São Bento da Abadá</t>
        </is>
      </c>
      <c r="D141" s="39" t="inlineStr">
        <is>
          <t>A_A_F_32_P15</t>
        </is>
      </c>
      <c r="E141" s="40" t="n"/>
      <c r="F141" s="39" t="inlineStr">
        <is>
          <t>B_A_F_32_P15</t>
        </is>
      </c>
      <c r="G141" s="40" t="n"/>
      <c r="H141" s="41" t="n"/>
      <c r="I141" s="42">
        <f>IF($H141="","",MAX(0,$H141-N($E141)))</f>
        <v/>
      </c>
      <c r="J141" s="42">
        <f>IF($H141="","",MAX(0,$H141-N($G141)))</f>
        <v/>
      </c>
    </row>
    <row r="142" ht="19.5" customHeight="1" s="72">
      <c r="A142" s="38" t="inlineStr">
        <is>
          <t>AF-32-P15-SIR</t>
        </is>
      </c>
      <c r="B142" s="38" t="inlineStr">
        <is>
          <t>Fase 32</t>
        </is>
      </c>
      <c r="C142" s="38" t="inlineStr">
        <is>
          <t>Siriuna</t>
        </is>
      </c>
      <c r="D142" s="39" t="inlineStr">
        <is>
          <t>A_A_F_32_P15</t>
        </is>
      </c>
      <c r="E142" s="40" t="n"/>
      <c r="F142" s="39" t="inlineStr">
        <is>
          <t>B_A_F_32_P15</t>
        </is>
      </c>
      <c r="G142" s="40" t="n"/>
      <c r="H142" s="41" t="n"/>
      <c r="I142" s="42">
        <f>IF($H142="","",MAX(0,$H142-N($E142)))</f>
        <v/>
      </c>
      <c r="J142" s="42">
        <f>IF($H142="","",MAX(0,$H142-N($G142)))</f>
        <v/>
      </c>
    </row>
    <row r="143" ht="19.5" customHeight="1" s="72">
      <c r="A143" s="38" t="inlineStr">
        <is>
          <t>AF-32-P16-BEN</t>
        </is>
      </c>
      <c r="B143" s="38" t="inlineStr">
        <is>
          <t>Fase 32</t>
        </is>
      </c>
      <c r="C143" s="38" t="inlineStr">
        <is>
          <t>Benguela</t>
        </is>
      </c>
      <c r="D143" s="39" t="inlineStr">
        <is>
          <t>A_A_F_32_P16</t>
        </is>
      </c>
      <c r="E143" s="40" t="n"/>
      <c r="F143" s="39" t="inlineStr">
        <is>
          <t>B_A_F_32_P16</t>
        </is>
      </c>
      <c r="G143" s="40" t="n"/>
      <c r="H143" s="41" t="n"/>
      <c r="I143" s="42">
        <f>IF($H143="","",MAX(0,$H143-N($E143)))</f>
        <v/>
      </c>
      <c r="J143" s="42">
        <f>IF($H143="","",MAX(0,$H143-N($G143)))</f>
        <v/>
      </c>
    </row>
    <row r="144" ht="19.5" customHeight="1" s="72">
      <c r="A144" s="38" t="inlineStr">
        <is>
          <t>AF-32-P16-SBA</t>
        </is>
      </c>
      <c r="B144" s="38" t="inlineStr">
        <is>
          <t>Fase 32</t>
        </is>
      </c>
      <c r="C144" s="38" t="inlineStr">
        <is>
          <t>São Bento da Abadá</t>
        </is>
      </c>
      <c r="D144" s="39" t="inlineStr">
        <is>
          <t>A_A_F_32_P16</t>
        </is>
      </c>
      <c r="E144" s="40" t="n"/>
      <c r="F144" s="39" t="inlineStr">
        <is>
          <t>B_A_F_32_P16</t>
        </is>
      </c>
      <c r="G144" s="40" t="n"/>
      <c r="H144" s="41" t="n"/>
      <c r="I144" s="42">
        <f>IF($H144="","",MAX(0,$H144-N($E144)))</f>
        <v/>
      </c>
      <c r="J144" s="42">
        <f>IF($H144="","",MAX(0,$H144-N($G144)))</f>
        <v/>
      </c>
    </row>
    <row r="145" ht="19.5" customHeight="1" s="72">
      <c r="A145" s="38" t="inlineStr">
        <is>
          <t>AF-32-P16-SIR</t>
        </is>
      </c>
      <c r="B145" s="38" t="inlineStr">
        <is>
          <t>Fase 32</t>
        </is>
      </c>
      <c r="C145" s="38" t="inlineStr">
        <is>
          <t>Siriuna</t>
        </is>
      </c>
      <c r="D145" s="39" t="inlineStr">
        <is>
          <t>A_A_F_32_P16</t>
        </is>
      </c>
      <c r="E145" s="40" t="n"/>
      <c r="F145" s="39" t="inlineStr">
        <is>
          <t>B_A_F_32_P16</t>
        </is>
      </c>
      <c r="G145" s="40" t="n"/>
      <c r="H145" s="41" t="n"/>
      <c r="I145" s="42">
        <f>IF($H145="","",MAX(0,$H145-N($E145)))</f>
        <v/>
      </c>
      <c r="J145" s="42">
        <f>IF($H145="","",MAX(0,$H145-N($G145)))</f>
        <v/>
      </c>
    </row>
    <row r="146" ht="19.5" customHeight="1" s="72">
      <c r="A146" s="38" t="inlineStr">
        <is>
          <t>AF-OCT-P01-BEN</t>
        </is>
      </c>
      <c r="B146" s="38" t="inlineStr">
        <is>
          <t>Octavas</t>
        </is>
      </c>
      <c r="C146" s="38" t="inlineStr">
        <is>
          <t>Benguela</t>
        </is>
      </c>
      <c r="D146" s="39">
        <f>IFERROR(CLASIF_A_F!$F$5,"")</f>
        <v/>
      </c>
      <c r="E146" s="40" t="n"/>
      <c r="F146" s="39">
        <f>IFERROR(CLASIF_A_F!$F$20,"")</f>
        <v/>
      </c>
      <c r="G146" s="40" t="n"/>
      <c r="H146" s="41" t="n"/>
      <c r="I146" s="42">
        <f>IF($H146="","",MAX(0,$H146-N($E146)))</f>
        <v/>
      </c>
      <c r="J146" s="42">
        <f>IF($H146="","",MAX(0,$H146-N($G146)))</f>
        <v/>
      </c>
    </row>
    <row r="147" ht="19.5" customHeight="1" s="72">
      <c r="A147" s="38" t="inlineStr">
        <is>
          <t>AF-OCT-P01-SBA</t>
        </is>
      </c>
      <c r="B147" s="38" t="inlineStr">
        <is>
          <t>Octavas</t>
        </is>
      </c>
      <c r="C147" s="38" t="inlineStr">
        <is>
          <t>São Bento da Abadá</t>
        </is>
      </c>
      <c r="D147" s="39">
        <f>IFERROR(CLASIF_A_F!$F$5,"")</f>
        <v/>
      </c>
      <c r="E147" s="40" t="n"/>
      <c r="F147" s="39">
        <f>IFERROR(CLASIF_A_F!$F$20,"")</f>
        <v/>
      </c>
      <c r="G147" s="40" t="n"/>
      <c r="H147" s="41" t="n"/>
      <c r="I147" s="42">
        <f>IF($H147="","",MAX(0,$H147-N($E147)))</f>
        <v/>
      </c>
      <c r="J147" s="42">
        <f>IF($H147="","",MAX(0,$H147-N($G147)))</f>
        <v/>
      </c>
    </row>
    <row r="148" ht="19.5" customHeight="1" s="72">
      <c r="A148" s="38" t="inlineStr">
        <is>
          <t>AF-OCT-P01-SIR</t>
        </is>
      </c>
      <c r="B148" s="38" t="inlineStr">
        <is>
          <t>Octavas</t>
        </is>
      </c>
      <c r="C148" s="38" t="inlineStr">
        <is>
          <t>Siriuna</t>
        </is>
      </c>
      <c r="D148" s="39">
        <f>IFERROR(CLASIF_A_F!$F$5,"")</f>
        <v/>
      </c>
      <c r="E148" s="40" t="n"/>
      <c r="F148" s="39">
        <f>IFERROR(CLASIF_A_F!$F$20,"")</f>
        <v/>
      </c>
      <c r="G148" s="40" t="n"/>
      <c r="H148" s="41" t="n"/>
      <c r="I148" s="42">
        <f>IF($H148="","",MAX(0,$H148-N($E148)))</f>
        <v/>
      </c>
      <c r="J148" s="42">
        <f>IF($H148="","",MAX(0,$H148-N($G148)))</f>
        <v/>
      </c>
    </row>
    <row r="149" ht="19.5" customHeight="1" s="72">
      <c r="A149" s="38" t="inlineStr">
        <is>
          <t>AF-OCT-P02-BEN</t>
        </is>
      </c>
      <c r="B149" s="38" t="inlineStr">
        <is>
          <t>Octavas</t>
        </is>
      </c>
      <c r="C149" s="38" t="inlineStr">
        <is>
          <t>Benguela</t>
        </is>
      </c>
      <c r="D149" s="39">
        <f>IFERROR(CLASIF_A_F!$F$6,"")</f>
        <v/>
      </c>
      <c r="E149" s="40" t="n"/>
      <c r="F149" s="39">
        <f>IFERROR(CLASIF_A_F!$F$19,"")</f>
        <v/>
      </c>
      <c r="G149" s="40" t="n"/>
      <c r="H149" s="41" t="n"/>
      <c r="I149" s="42">
        <f>IF($H149="","",MAX(0,$H149-N($E149)))</f>
        <v/>
      </c>
      <c r="J149" s="42">
        <f>IF($H149="","",MAX(0,$H149-N($G149)))</f>
        <v/>
      </c>
    </row>
    <row r="150" ht="19.5" customHeight="1" s="72">
      <c r="A150" s="38" t="inlineStr">
        <is>
          <t>AF-OCT-P02-SBA</t>
        </is>
      </c>
      <c r="B150" s="38" t="inlineStr">
        <is>
          <t>Octavas</t>
        </is>
      </c>
      <c r="C150" s="38" t="inlineStr">
        <is>
          <t>São Bento da Abadá</t>
        </is>
      </c>
      <c r="D150" s="39">
        <f>IFERROR(CLASIF_A_F!$F$6,"")</f>
        <v/>
      </c>
      <c r="E150" s="40" t="n"/>
      <c r="F150" s="39">
        <f>IFERROR(CLASIF_A_F!$F$19,"")</f>
        <v/>
      </c>
      <c r="G150" s="40" t="n"/>
      <c r="H150" s="41" t="n"/>
      <c r="I150" s="42">
        <f>IF($H150="","",MAX(0,$H150-N($E150)))</f>
        <v/>
      </c>
      <c r="J150" s="42">
        <f>IF($H150="","",MAX(0,$H150-N($G150)))</f>
        <v/>
      </c>
    </row>
    <row r="151" ht="19.5" customHeight="1" s="72">
      <c r="A151" s="38" t="inlineStr">
        <is>
          <t>AF-OCT-P02-SIR</t>
        </is>
      </c>
      <c r="B151" s="38" t="inlineStr">
        <is>
          <t>Octavas</t>
        </is>
      </c>
      <c r="C151" s="38" t="inlineStr">
        <is>
          <t>Siriuna</t>
        </is>
      </c>
      <c r="D151" s="39">
        <f>IFERROR(CLASIF_A_F!$F$6,"")</f>
        <v/>
      </c>
      <c r="E151" s="40" t="n"/>
      <c r="F151" s="39">
        <f>IFERROR(CLASIF_A_F!$F$19,"")</f>
        <v/>
      </c>
      <c r="G151" s="40" t="n"/>
      <c r="H151" s="41" t="n"/>
      <c r="I151" s="42">
        <f>IF($H151="","",MAX(0,$H151-N($E151)))</f>
        <v/>
      </c>
      <c r="J151" s="42">
        <f>IF($H151="","",MAX(0,$H151-N($G151)))</f>
        <v/>
      </c>
    </row>
    <row r="152" ht="19.5" customHeight="1" s="72">
      <c r="A152" s="38" t="inlineStr">
        <is>
          <t>AF-OCT-P03-BEN</t>
        </is>
      </c>
      <c r="B152" s="38" t="inlineStr">
        <is>
          <t>Octavas</t>
        </is>
      </c>
      <c r="C152" s="38" t="inlineStr">
        <is>
          <t>Benguela</t>
        </is>
      </c>
      <c r="D152" s="39">
        <f>IFERROR(CLASIF_A_F!$F$7,"")</f>
        <v/>
      </c>
      <c r="E152" s="40" t="n"/>
      <c r="F152" s="39">
        <f>IFERROR(CLASIF_A_F!$F$18,"")</f>
        <v/>
      </c>
      <c r="G152" s="40" t="n"/>
      <c r="H152" s="41" t="n"/>
      <c r="I152" s="42">
        <f>IF($H152="","",MAX(0,$H152-N($E152)))</f>
        <v/>
      </c>
      <c r="J152" s="42">
        <f>IF($H152="","",MAX(0,$H152-N($G152)))</f>
        <v/>
      </c>
    </row>
    <row r="153" ht="19.5" customHeight="1" s="72">
      <c r="A153" s="38" t="inlineStr">
        <is>
          <t>AF-OCT-P03-SBA</t>
        </is>
      </c>
      <c r="B153" s="38" t="inlineStr">
        <is>
          <t>Octavas</t>
        </is>
      </c>
      <c r="C153" s="38" t="inlineStr">
        <is>
          <t>São Bento da Abadá</t>
        </is>
      </c>
      <c r="D153" s="39">
        <f>IFERROR(CLASIF_A_F!$F$7,"")</f>
        <v/>
      </c>
      <c r="E153" s="40" t="n"/>
      <c r="F153" s="39">
        <f>IFERROR(CLASIF_A_F!$F$18,"")</f>
        <v/>
      </c>
      <c r="G153" s="40" t="n"/>
      <c r="H153" s="41" t="n"/>
      <c r="I153" s="42">
        <f>IF($H153="","",MAX(0,$H153-N($E153)))</f>
        <v/>
      </c>
      <c r="J153" s="42">
        <f>IF($H153="","",MAX(0,$H153-N($G153)))</f>
        <v/>
      </c>
    </row>
    <row r="154" ht="19.5" customHeight="1" s="72">
      <c r="A154" s="38" t="inlineStr">
        <is>
          <t>AF-OCT-P03-SIR</t>
        </is>
      </c>
      <c r="B154" s="38" t="inlineStr">
        <is>
          <t>Octavas</t>
        </is>
      </c>
      <c r="C154" s="38" t="inlineStr">
        <is>
          <t>Siriuna</t>
        </is>
      </c>
      <c r="D154" s="39">
        <f>IFERROR(CLASIF_A_F!$F$7,"")</f>
        <v/>
      </c>
      <c r="E154" s="40" t="n"/>
      <c r="F154" s="39">
        <f>IFERROR(CLASIF_A_F!$F$18,"")</f>
        <v/>
      </c>
      <c r="G154" s="40" t="n"/>
      <c r="H154" s="41" t="n"/>
      <c r="I154" s="42">
        <f>IF($H154="","",MAX(0,$H154-N($E154)))</f>
        <v/>
      </c>
      <c r="J154" s="42">
        <f>IF($H154="","",MAX(0,$H154-N($G154)))</f>
        <v/>
      </c>
    </row>
    <row r="155" ht="19.5" customHeight="1" s="72">
      <c r="A155" s="38" t="inlineStr">
        <is>
          <t>AF-OCT-P04-BEN</t>
        </is>
      </c>
      <c r="B155" s="38" t="inlineStr">
        <is>
          <t>Octavas</t>
        </is>
      </c>
      <c r="C155" s="38" t="inlineStr">
        <is>
          <t>Benguela</t>
        </is>
      </c>
      <c r="D155" s="39">
        <f>IFERROR(CLASIF_A_F!$F$8,"")</f>
        <v/>
      </c>
      <c r="E155" s="40" t="n"/>
      <c r="F155" s="39">
        <f>IFERROR(CLASIF_A_F!$F$17,"")</f>
        <v/>
      </c>
      <c r="G155" s="40" t="n"/>
      <c r="H155" s="41" t="n"/>
      <c r="I155" s="42">
        <f>IF($H155="","",MAX(0,$H155-N($E155)))</f>
        <v/>
      </c>
      <c r="J155" s="42">
        <f>IF($H155="","",MAX(0,$H155-N($G155)))</f>
        <v/>
      </c>
    </row>
    <row r="156" ht="19.5" customHeight="1" s="72">
      <c r="A156" s="38" t="inlineStr">
        <is>
          <t>AF-OCT-P04-SBA</t>
        </is>
      </c>
      <c r="B156" s="38" t="inlineStr">
        <is>
          <t>Octavas</t>
        </is>
      </c>
      <c r="C156" s="38" t="inlineStr">
        <is>
          <t>São Bento da Abadá</t>
        </is>
      </c>
      <c r="D156" s="39">
        <f>IFERROR(CLASIF_A_F!$F$8,"")</f>
        <v/>
      </c>
      <c r="E156" s="40" t="n"/>
      <c r="F156" s="39">
        <f>IFERROR(CLASIF_A_F!$F$17,"")</f>
        <v/>
      </c>
      <c r="G156" s="40" t="n"/>
      <c r="H156" s="41" t="n"/>
      <c r="I156" s="42">
        <f>IF($H156="","",MAX(0,$H156-N($E156)))</f>
        <v/>
      </c>
      <c r="J156" s="42">
        <f>IF($H156="","",MAX(0,$H156-N($G156)))</f>
        <v/>
      </c>
    </row>
    <row r="157" ht="19.5" customHeight="1" s="72">
      <c r="A157" s="38" t="inlineStr">
        <is>
          <t>AF-OCT-P04-SIR</t>
        </is>
      </c>
      <c r="B157" s="38" t="inlineStr">
        <is>
          <t>Octavas</t>
        </is>
      </c>
      <c r="C157" s="38" t="inlineStr">
        <is>
          <t>Siriuna</t>
        </is>
      </c>
      <c r="D157" s="39">
        <f>IFERROR(CLASIF_A_F!$F$8,"")</f>
        <v/>
      </c>
      <c r="E157" s="40" t="n"/>
      <c r="F157" s="39">
        <f>IFERROR(CLASIF_A_F!$F$17,"")</f>
        <v/>
      </c>
      <c r="G157" s="40" t="n"/>
      <c r="H157" s="41" t="n"/>
      <c r="I157" s="42">
        <f>IF($H157="","",MAX(0,$H157-N($E157)))</f>
        <v/>
      </c>
      <c r="J157" s="42">
        <f>IF($H157="","",MAX(0,$H157-N($G157)))</f>
        <v/>
      </c>
    </row>
    <row r="158" ht="19.5" customHeight="1" s="72">
      <c r="A158" s="38" t="inlineStr">
        <is>
          <t>AF-OCT-P05-BEN</t>
        </is>
      </c>
      <c r="B158" s="38" t="inlineStr">
        <is>
          <t>Octavas</t>
        </is>
      </c>
      <c r="C158" s="38" t="inlineStr">
        <is>
          <t>Benguela</t>
        </is>
      </c>
      <c r="D158" s="39">
        <f>IFERROR(CLASIF_A_F!$F$9,"")</f>
        <v/>
      </c>
      <c r="E158" s="40" t="n"/>
      <c r="F158" s="39">
        <f>IFERROR(CLASIF_A_F!$F$16,"")</f>
        <v/>
      </c>
      <c r="G158" s="40" t="n"/>
      <c r="H158" s="41" t="n"/>
      <c r="I158" s="42">
        <f>IF($H158="","",MAX(0,$H158-N($E158)))</f>
        <v/>
      </c>
      <c r="J158" s="42">
        <f>IF($H158="","",MAX(0,$H158-N($G158)))</f>
        <v/>
      </c>
    </row>
    <row r="159" ht="19.5" customHeight="1" s="72">
      <c r="A159" s="38" t="inlineStr">
        <is>
          <t>AF-OCT-P05-SBA</t>
        </is>
      </c>
      <c r="B159" s="38" t="inlineStr">
        <is>
          <t>Octavas</t>
        </is>
      </c>
      <c r="C159" s="38" t="inlineStr">
        <is>
          <t>São Bento da Abadá</t>
        </is>
      </c>
      <c r="D159" s="39">
        <f>IFERROR(CLASIF_A_F!$F$9,"")</f>
        <v/>
      </c>
      <c r="E159" s="40" t="n"/>
      <c r="F159" s="39">
        <f>IFERROR(CLASIF_A_F!$F$16,"")</f>
        <v/>
      </c>
      <c r="G159" s="40" t="n"/>
      <c r="H159" s="41" t="n"/>
      <c r="I159" s="42">
        <f>IF($H159="","",MAX(0,$H159-N($E159)))</f>
        <v/>
      </c>
      <c r="J159" s="42">
        <f>IF($H159="","",MAX(0,$H159-N($G159)))</f>
        <v/>
      </c>
    </row>
    <row r="160" ht="19.5" customHeight="1" s="72">
      <c r="A160" s="38" t="inlineStr">
        <is>
          <t>AF-OCT-P05-SIR</t>
        </is>
      </c>
      <c r="B160" s="38" t="inlineStr">
        <is>
          <t>Octavas</t>
        </is>
      </c>
      <c r="C160" s="38" t="inlineStr">
        <is>
          <t>Siriuna</t>
        </is>
      </c>
      <c r="D160" s="39">
        <f>IFERROR(CLASIF_A_F!$F$9,"")</f>
        <v/>
      </c>
      <c r="E160" s="40" t="n"/>
      <c r="F160" s="39">
        <f>IFERROR(CLASIF_A_F!$F$16,"")</f>
        <v/>
      </c>
      <c r="G160" s="40" t="n"/>
      <c r="H160" s="41" t="n"/>
      <c r="I160" s="42">
        <f>IF($H160="","",MAX(0,$H160-N($E160)))</f>
        <v/>
      </c>
      <c r="J160" s="42">
        <f>IF($H160="","",MAX(0,$H160-N($G160)))</f>
        <v/>
      </c>
    </row>
    <row r="161" ht="19.5" customHeight="1" s="72">
      <c r="A161" s="38" t="inlineStr">
        <is>
          <t>AF-OCT-P06-BEN</t>
        </is>
      </c>
      <c r="B161" s="38" t="inlineStr">
        <is>
          <t>Octavas</t>
        </is>
      </c>
      <c r="C161" s="38" t="inlineStr">
        <is>
          <t>Benguela</t>
        </is>
      </c>
      <c r="D161" s="39">
        <f>IFERROR(CLASIF_A_F!$F$10,"")</f>
        <v/>
      </c>
      <c r="E161" s="40" t="n"/>
      <c r="F161" s="39">
        <f>IFERROR(CLASIF_A_F!$F$15,"")</f>
        <v/>
      </c>
      <c r="G161" s="40" t="n"/>
      <c r="H161" s="41" t="n"/>
      <c r="I161" s="42">
        <f>IF($H161="","",MAX(0,$H161-N($E161)))</f>
        <v/>
      </c>
      <c r="J161" s="42">
        <f>IF($H161="","",MAX(0,$H161-N($G161)))</f>
        <v/>
      </c>
    </row>
    <row r="162" ht="19.5" customHeight="1" s="72">
      <c r="A162" s="38" t="inlineStr">
        <is>
          <t>AF-OCT-P06-SBA</t>
        </is>
      </c>
      <c r="B162" s="38" t="inlineStr">
        <is>
          <t>Octavas</t>
        </is>
      </c>
      <c r="C162" s="38" t="inlineStr">
        <is>
          <t>São Bento da Abadá</t>
        </is>
      </c>
      <c r="D162" s="39">
        <f>IFERROR(CLASIF_A_F!$F$10,"")</f>
        <v/>
      </c>
      <c r="E162" s="40" t="n"/>
      <c r="F162" s="39">
        <f>IFERROR(CLASIF_A_F!$F$15,"")</f>
        <v/>
      </c>
      <c r="G162" s="40" t="n"/>
      <c r="H162" s="41" t="n"/>
      <c r="I162" s="42">
        <f>IF($H162="","",MAX(0,$H162-N($E162)))</f>
        <v/>
      </c>
      <c r="J162" s="42">
        <f>IF($H162="","",MAX(0,$H162-N($G162)))</f>
        <v/>
      </c>
    </row>
    <row r="163" ht="19.5" customHeight="1" s="72">
      <c r="A163" s="38" t="inlineStr">
        <is>
          <t>AF-OCT-P06-SIR</t>
        </is>
      </c>
      <c r="B163" s="38" t="inlineStr">
        <is>
          <t>Octavas</t>
        </is>
      </c>
      <c r="C163" s="38" t="inlineStr">
        <is>
          <t>Siriuna</t>
        </is>
      </c>
      <c r="D163" s="39">
        <f>IFERROR(CLASIF_A_F!$F$10,"")</f>
        <v/>
      </c>
      <c r="E163" s="40" t="n"/>
      <c r="F163" s="39">
        <f>IFERROR(CLASIF_A_F!$F$15,"")</f>
        <v/>
      </c>
      <c r="G163" s="40" t="n"/>
      <c r="H163" s="41" t="n"/>
      <c r="I163" s="42">
        <f>IF($H163="","",MAX(0,$H163-N($E163)))</f>
        <v/>
      </c>
      <c r="J163" s="42">
        <f>IF($H163="","",MAX(0,$H163-N($G163)))</f>
        <v/>
      </c>
    </row>
    <row r="164" ht="19.5" customHeight="1" s="72">
      <c r="A164" s="38" t="inlineStr">
        <is>
          <t>AF-OCT-P07-BEN</t>
        </is>
      </c>
      <c r="B164" s="38" t="inlineStr">
        <is>
          <t>Octavas</t>
        </is>
      </c>
      <c r="C164" s="38" t="inlineStr">
        <is>
          <t>Benguela</t>
        </is>
      </c>
      <c r="D164" s="39">
        <f>IFERROR(CLASIF_A_F!$F$11,"")</f>
        <v/>
      </c>
      <c r="E164" s="40" t="n"/>
      <c r="F164" s="39">
        <f>IFERROR(CLASIF_A_F!$F$14,"")</f>
        <v/>
      </c>
      <c r="G164" s="40" t="n"/>
      <c r="H164" s="41" t="n"/>
      <c r="I164" s="42">
        <f>IF($H164="","",MAX(0,$H164-N($E164)))</f>
        <v/>
      </c>
      <c r="J164" s="42">
        <f>IF($H164="","",MAX(0,$H164-N($G164)))</f>
        <v/>
      </c>
    </row>
    <row r="165" ht="19.5" customHeight="1" s="72">
      <c r="A165" s="38" t="inlineStr">
        <is>
          <t>AF-OCT-P07-SBA</t>
        </is>
      </c>
      <c r="B165" s="38" t="inlineStr">
        <is>
          <t>Octavas</t>
        </is>
      </c>
      <c r="C165" s="38" t="inlineStr">
        <is>
          <t>São Bento da Abadá</t>
        </is>
      </c>
      <c r="D165" s="39">
        <f>IFERROR(CLASIF_A_F!$F$11,"")</f>
        <v/>
      </c>
      <c r="E165" s="40" t="n"/>
      <c r="F165" s="39">
        <f>IFERROR(CLASIF_A_F!$F$14,"")</f>
        <v/>
      </c>
      <c r="G165" s="40" t="n"/>
      <c r="H165" s="41" t="n"/>
      <c r="I165" s="42">
        <f>IF($H165="","",MAX(0,$H165-N($E165)))</f>
        <v/>
      </c>
      <c r="J165" s="42">
        <f>IF($H165="","",MAX(0,$H165-N($G165)))</f>
        <v/>
      </c>
    </row>
    <row r="166" ht="19.5" customHeight="1" s="72">
      <c r="A166" s="38" t="inlineStr">
        <is>
          <t>AF-OCT-P07-SIR</t>
        </is>
      </c>
      <c r="B166" s="38" t="inlineStr">
        <is>
          <t>Octavas</t>
        </is>
      </c>
      <c r="C166" s="38" t="inlineStr">
        <is>
          <t>Siriuna</t>
        </is>
      </c>
      <c r="D166" s="39">
        <f>IFERROR(CLASIF_A_F!$F$11,"")</f>
        <v/>
      </c>
      <c r="E166" s="40" t="n"/>
      <c r="F166" s="39">
        <f>IFERROR(CLASIF_A_F!$F$14,"")</f>
        <v/>
      </c>
      <c r="G166" s="40" t="n"/>
      <c r="H166" s="41" t="n"/>
      <c r="I166" s="42">
        <f>IF($H166="","",MAX(0,$H166-N($E166)))</f>
        <v/>
      </c>
      <c r="J166" s="42">
        <f>IF($H166="","",MAX(0,$H166-N($G166)))</f>
        <v/>
      </c>
    </row>
    <row r="167" ht="19.5" customHeight="1" s="72">
      <c r="A167" s="38" t="inlineStr">
        <is>
          <t>AF-OCT-P08-BEN</t>
        </is>
      </c>
      <c r="B167" s="38" t="inlineStr">
        <is>
          <t>Octavas</t>
        </is>
      </c>
      <c r="C167" s="38" t="inlineStr">
        <is>
          <t>Benguela</t>
        </is>
      </c>
      <c r="D167" s="39">
        <f>IFERROR(CLASIF_A_F!$F$12,"")</f>
        <v/>
      </c>
      <c r="E167" s="40" t="n"/>
      <c r="F167" s="39">
        <f>IFERROR(CLASIF_A_F!$F$13,"")</f>
        <v/>
      </c>
      <c r="G167" s="40" t="n"/>
      <c r="H167" s="41" t="n"/>
      <c r="I167" s="42">
        <f>IF($H167="","",MAX(0,$H167-N($E167)))</f>
        <v/>
      </c>
      <c r="J167" s="42">
        <f>IF($H167="","",MAX(0,$H167-N($G167)))</f>
        <v/>
      </c>
    </row>
    <row r="168" ht="19.5" customHeight="1" s="72">
      <c r="A168" s="38" t="inlineStr">
        <is>
          <t>AF-OCT-P08-SBA</t>
        </is>
      </c>
      <c r="B168" s="38" t="inlineStr">
        <is>
          <t>Octavas</t>
        </is>
      </c>
      <c r="C168" s="38" t="inlineStr">
        <is>
          <t>São Bento da Abadá</t>
        </is>
      </c>
      <c r="D168" s="39">
        <f>IFERROR(CLASIF_A_F!$F$12,"")</f>
        <v/>
      </c>
      <c r="E168" s="40" t="n"/>
      <c r="F168" s="39">
        <f>IFERROR(CLASIF_A_F!$F$13,"")</f>
        <v/>
      </c>
      <c r="G168" s="40" t="n"/>
      <c r="H168" s="41" t="n"/>
      <c r="I168" s="42">
        <f>IF($H168="","",MAX(0,$H168-N($E168)))</f>
        <v/>
      </c>
      <c r="J168" s="42">
        <f>IF($H168="","",MAX(0,$H168-N($G168)))</f>
        <v/>
      </c>
    </row>
    <row r="169" ht="19.5" customHeight="1" s="72">
      <c r="A169" s="38" t="inlineStr">
        <is>
          <t>AF-OCT-P08-SIR</t>
        </is>
      </c>
      <c r="B169" s="38" t="inlineStr">
        <is>
          <t>Octavas</t>
        </is>
      </c>
      <c r="C169" s="38" t="inlineStr">
        <is>
          <t>Siriuna</t>
        </is>
      </c>
      <c r="D169" s="39">
        <f>IFERROR(CLASIF_A_F!$F$12,"")</f>
        <v/>
      </c>
      <c r="E169" s="40" t="n"/>
      <c r="F169" s="39">
        <f>IFERROR(CLASIF_A_F!$F$13,"")</f>
        <v/>
      </c>
      <c r="G169" s="40" t="n"/>
      <c r="H169" s="41" t="n"/>
      <c r="I169" s="42">
        <f>IF($H169="","",MAX(0,$H169-N($E169)))</f>
        <v/>
      </c>
      <c r="J169" s="42">
        <f>IF($H169="","",MAX(0,$H169-N($G169)))</f>
        <v/>
      </c>
    </row>
    <row r="170" ht="19.5" customHeight="1" s="72">
      <c r="A170" s="38" t="inlineStr">
        <is>
          <t>AF-SEM-P01-BEN</t>
        </is>
      </c>
      <c r="B170" s="38" t="inlineStr">
        <is>
          <t>Semifinal</t>
        </is>
      </c>
      <c r="C170" s="38" t="inlineStr">
        <is>
          <t>Benguela</t>
        </is>
      </c>
      <c r="D170" s="39">
        <f>IFERROR(CLASIF_A_F!$O$5,"")</f>
        <v/>
      </c>
      <c r="E170" s="40" t="n"/>
      <c r="F170" s="39">
        <f>IFERROR(CLASIF_A_F!$O$12,"")</f>
        <v/>
      </c>
      <c r="G170" s="40" t="n"/>
      <c r="H170" s="41" t="n"/>
      <c r="I170" s="42">
        <f>IF($H170="","",MAX(0,$H170-N($E170)))</f>
        <v/>
      </c>
      <c r="J170" s="42">
        <f>IF($H170="","",MAX(0,$H170-N($G170)))</f>
        <v/>
      </c>
    </row>
    <row r="171" ht="19.5" customHeight="1" s="72">
      <c r="A171" s="38" t="inlineStr">
        <is>
          <t>AF-SEM-P01-SBA</t>
        </is>
      </c>
      <c r="B171" s="38" t="inlineStr">
        <is>
          <t>Semifinal</t>
        </is>
      </c>
      <c r="C171" s="38" t="inlineStr">
        <is>
          <t>São Bento da Abadá</t>
        </is>
      </c>
      <c r="D171" s="39">
        <f>IFERROR(CLASIF_A_F!$O$5,"")</f>
        <v/>
      </c>
      <c r="E171" s="40" t="n"/>
      <c r="F171" s="39">
        <f>IFERROR(CLASIF_A_F!$O$12,"")</f>
        <v/>
      </c>
      <c r="G171" s="40" t="n"/>
      <c r="H171" s="41" t="n"/>
      <c r="I171" s="42">
        <f>IF($H171="","",MAX(0,$H171-N($E171)))</f>
        <v/>
      </c>
      <c r="J171" s="42">
        <f>IF($H171="","",MAX(0,$H171-N($G171)))</f>
        <v/>
      </c>
    </row>
    <row r="172" ht="19.5" customHeight="1" s="72">
      <c r="A172" s="38" t="inlineStr">
        <is>
          <t>AF-SEM-P01-SIR</t>
        </is>
      </c>
      <c r="B172" s="38" t="inlineStr">
        <is>
          <t>Semifinal</t>
        </is>
      </c>
      <c r="C172" s="38" t="inlineStr">
        <is>
          <t>Siriuna</t>
        </is>
      </c>
      <c r="D172" s="39">
        <f>IFERROR(CLASIF_A_F!$O$5,"")</f>
        <v/>
      </c>
      <c r="E172" s="40" t="n"/>
      <c r="F172" s="39">
        <f>IFERROR(CLASIF_A_F!$O$12,"")</f>
        <v/>
      </c>
      <c r="G172" s="40" t="n"/>
      <c r="H172" s="41" t="n"/>
      <c r="I172" s="42">
        <f>IF($H172="","",MAX(0,$H172-N($E172)))</f>
        <v/>
      </c>
      <c r="J172" s="42">
        <f>IF($H172="","",MAX(0,$H172-N($G172)))</f>
        <v/>
      </c>
    </row>
    <row r="173" ht="19.5" customHeight="1" s="72">
      <c r="A173" s="38" t="inlineStr">
        <is>
          <t>AF-SEM-P02-BEN</t>
        </is>
      </c>
      <c r="B173" s="38" t="inlineStr">
        <is>
          <t>Semifinal</t>
        </is>
      </c>
      <c r="C173" s="38" t="inlineStr">
        <is>
          <t>Benguela</t>
        </is>
      </c>
      <c r="D173" s="39">
        <f>IFERROR(CLASIF_A_F!$O$6,"")</f>
        <v/>
      </c>
      <c r="E173" s="40" t="n"/>
      <c r="F173" s="39">
        <f>IFERROR(CLASIF_A_F!$O$11,"")</f>
        <v/>
      </c>
      <c r="G173" s="40" t="n"/>
      <c r="H173" s="41" t="n"/>
      <c r="I173" s="42">
        <f>IF($H173="","",MAX(0,$H173-N($E173)))</f>
        <v/>
      </c>
      <c r="J173" s="42">
        <f>IF($H173="","",MAX(0,$H173-N($G173)))</f>
        <v/>
      </c>
    </row>
    <row r="174" ht="19.5" customHeight="1" s="72">
      <c r="A174" s="38" t="inlineStr">
        <is>
          <t>AF-SEM-P02-SBA</t>
        </is>
      </c>
      <c r="B174" s="38" t="inlineStr">
        <is>
          <t>Semifinal</t>
        </is>
      </c>
      <c r="C174" s="38" t="inlineStr">
        <is>
          <t>São Bento da Abadá</t>
        </is>
      </c>
      <c r="D174" s="39">
        <f>IFERROR(CLASIF_A_F!$O$6,"")</f>
        <v/>
      </c>
      <c r="E174" s="40" t="n"/>
      <c r="F174" s="39">
        <f>IFERROR(CLASIF_A_F!$O$11,"")</f>
        <v/>
      </c>
      <c r="G174" s="40" t="n"/>
      <c r="H174" s="41" t="n"/>
      <c r="I174" s="42">
        <f>IF($H174="","",MAX(0,$H174-N($E174)))</f>
        <v/>
      </c>
      <c r="J174" s="42">
        <f>IF($H174="","",MAX(0,$H174-N($G174)))</f>
        <v/>
      </c>
    </row>
    <row r="175" ht="19.5" customHeight="1" s="72">
      <c r="A175" s="38" t="inlineStr">
        <is>
          <t>AF-SEM-P02-SIR</t>
        </is>
      </c>
      <c r="B175" s="38" t="inlineStr">
        <is>
          <t>Semifinal</t>
        </is>
      </c>
      <c r="C175" s="38" t="inlineStr">
        <is>
          <t>Siriuna</t>
        </is>
      </c>
      <c r="D175" s="39">
        <f>IFERROR(CLASIF_A_F!$O$6,"")</f>
        <v/>
      </c>
      <c r="E175" s="40" t="n"/>
      <c r="F175" s="39">
        <f>IFERROR(CLASIF_A_F!$O$11,"")</f>
        <v/>
      </c>
      <c r="G175" s="40" t="n"/>
      <c r="H175" s="41" t="n"/>
      <c r="I175" s="42">
        <f>IF($H175="","",MAX(0,$H175-N($E175)))</f>
        <v/>
      </c>
      <c r="J175" s="42">
        <f>IF($H175="","",MAX(0,$H175-N($G175)))</f>
        <v/>
      </c>
    </row>
    <row r="176" ht="19.5" customHeight="1" s="72">
      <c r="A176" s="38" t="inlineStr">
        <is>
          <t>AF-SEM-P03-BEN</t>
        </is>
      </c>
      <c r="B176" s="38" t="inlineStr">
        <is>
          <t>Semifinal</t>
        </is>
      </c>
      <c r="C176" s="38" t="inlineStr">
        <is>
          <t>Benguela</t>
        </is>
      </c>
      <c r="D176" s="39">
        <f>IFERROR(CLASIF_A_F!$O$7,"")</f>
        <v/>
      </c>
      <c r="E176" s="40" t="n"/>
      <c r="F176" s="39">
        <f>IFERROR(CLASIF_A_F!$O$10,"")</f>
        <v/>
      </c>
      <c r="G176" s="40" t="n"/>
      <c r="H176" s="41" t="n"/>
      <c r="I176" s="42">
        <f>IF($H176="","",MAX(0,$H176-N($E176)))</f>
        <v/>
      </c>
      <c r="J176" s="42">
        <f>IF($H176="","",MAX(0,$H176-N($G176)))</f>
        <v/>
      </c>
    </row>
    <row r="177" ht="19.5" customHeight="1" s="72">
      <c r="A177" s="38" t="inlineStr">
        <is>
          <t>AF-SEM-P03-SBA</t>
        </is>
      </c>
      <c r="B177" s="38" t="inlineStr">
        <is>
          <t>Semifinal</t>
        </is>
      </c>
      <c r="C177" s="38" t="inlineStr">
        <is>
          <t>São Bento da Abadá</t>
        </is>
      </c>
      <c r="D177" s="39">
        <f>IFERROR(CLASIF_A_F!$O$7,"")</f>
        <v/>
      </c>
      <c r="E177" s="40" t="n"/>
      <c r="F177" s="39">
        <f>IFERROR(CLASIF_A_F!$O$10,"")</f>
        <v/>
      </c>
      <c r="G177" s="40" t="n"/>
      <c r="H177" s="41" t="n"/>
      <c r="I177" s="42">
        <f>IF($H177="","",MAX(0,$H177-N($E177)))</f>
        <v/>
      </c>
      <c r="J177" s="42">
        <f>IF($H177="","",MAX(0,$H177-N($G177)))</f>
        <v/>
      </c>
    </row>
    <row r="178" ht="19.5" customHeight="1" s="72">
      <c r="A178" s="38" t="inlineStr">
        <is>
          <t>AF-SEM-P03-SIR</t>
        </is>
      </c>
      <c r="B178" s="38" t="inlineStr">
        <is>
          <t>Semifinal</t>
        </is>
      </c>
      <c r="C178" s="38" t="inlineStr">
        <is>
          <t>Siriuna</t>
        </is>
      </c>
      <c r="D178" s="39">
        <f>IFERROR(CLASIF_A_F!$O$7,"")</f>
        <v/>
      </c>
      <c r="E178" s="40" t="n"/>
      <c r="F178" s="39">
        <f>IFERROR(CLASIF_A_F!$O$10,"")</f>
        <v/>
      </c>
      <c r="G178" s="40" t="n"/>
      <c r="H178" s="41" t="n"/>
      <c r="I178" s="42">
        <f>IF($H178="","",MAX(0,$H178-N($E178)))</f>
        <v/>
      </c>
      <c r="J178" s="42">
        <f>IF($H178="","",MAX(0,$H178-N($G178)))</f>
        <v/>
      </c>
    </row>
    <row r="179" ht="19.5" customHeight="1" s="72">
      <c r="A179" s="38" t="inlineStr">
        <is>
          <t>AF-SEM-P04-BEN</t>
        </is>
      </c>
      <c r="B179" s="38" t="inlineStr">
        <is>
          <t>Semifinal</t>
        </is>
      </c>
      <c r="C179" s="38" t="inlineStr">
        <is>
          <t>Benguela</t>
        </is>
      </c>
      <c r="D179" s="39">
        <f>IFERROR(CLASIF_A_F!$O$8,"")</f>
        <v/>
      </c>
      <c r="E179" s="40" t="n"/>
      <c r="F179" s="39">
        <f>IFERROR(CLASIF_A_F!$O$9,"")</f>
        <v/>
      </c>
      <c r="G179" s="40" t="n"/>
      <c r="H179" s="41" t="n"/>
      <c r="I179" s="42">
        <f>IF($H179="","",MAX(0,$H179-N($E179)))</f>
        <v/>
      </c>
      <c r="J179" s="42">
        <f>IF($H179="","",MAX(0,$H179-N($G179)))</f>
        <v/>
      </c>
    </row>
    <row r="180" ht="19.5" customHeight="1" s="72">
      <c r="A180" s="38" t="inlineStr">
        <is>
          <t>AF-SEM-P04-SBA</t>
        </is>
      </c>
      <c r="B180" s="38" t="inlineStr">
        <is>
          <t>Semifinal</t>
        </is>
      </c>
      <c r="C180" s="38" t="inlineStr">
        <is>
          <t>São Bento da Abadá</t>
        </is>
      </c>
      <c r="D180" s="39">
        <f>IFERROR(CLASIF_A_F!$O$8,"")</f>
        <v/>
      </c>
      <c r="E180" s="40" t="n"/>
      <c r="F180" s="39">
        <f>IFERROR(CLASIF_A_F!$O$9,"")</f>
        <v/>
      </c>
      <c r="G180" s="40" t="n"/>
      <c r="H180" s="41" t="n"/>
      <c r="I180" s="42">
        <f>IF($H180="","",MAX(0,$H180-N($E180)))</f>
        <v/>
      </c>
      <c r="J180" s="42">
        <f>IF($H180="","",MAX(0,$H180-N($G180)))</f>
        <v/>
      </c>
    </row>
    <row r="181" ht="19.5" customHeight="1" s="72">
      <c r="A181" s="38" t="inlineStr">
        <is>
          <t>AF-SEM-P04-SIR</t>
        </is>
      </c>
      <c r="B181" s="38" t="inlineStr">
        <is>
          <t>Semifinal</t>
        </is>
      </c>
      <c r="C181" s="38" t="inlineStr">
        <is>
          <t>Siriuna</t>
        </is>
      </c>
      <c r="D181" s="39">
        <f>IFERROR(CLASIF_A_F!$O$8,"")</f>
        <v/>
      </c>
      <c r="E181" s="40" t="n"/>
      <c r="F181" s="39">
        <f>IFERROR(CLASIF_A_F!$O$9,"")</f>
        <v/>
      </c>
      <c r="G181" s="40" t="n"/>
      <c r="H181" s="41" t="n"/>
      <c r="I181" s="42">
        <f>IF($H181="","",MAX(0,$H181-N($E181)))</f>
        <v/>
      </c>
      <c r="J181" s="42">
        <f>IF($H181="","",MAX(0,$H181-N($G181)))</f>
        <v/>
      </c>
    </row>
    <row r="182" ht="19.5" customHeight="1" s="72">
      <c r="A182" s="38" t="inlineStr">
        <is>
          <t>AF-FIN-P01-BEN</t>
        </is>
      </c>
      <c r="B182" s="38" t="inlineStr">
        <is>
          <t>Final</t>
        </is>
      </c>
      <c r="C182" s="38" t="inlineStr">
        <is>
          <t>Benguela</t>
        </is>
      </c>
      <c r="D182" s="39">
        <f>IFERROR(CLASIF_A_F!$X$5,"")</f>
        <v/>
      </c>
      <c r="E182" s="40" t="n"/>
      <c r="F182" s="39">
        <f>IFERROR(CLASIF_A_F!$X$8,"")</f>
        <v/>
      </c>
      <c r="G182" s="40" t="n"/>
      <c r="H182" s="41" t="n"/>
      <c r="I182" s="42">
        <f>IF($H182="","",MAX(0,$H182-N($E182)))</f>
        <v/>
      </c>
      <c r="J182" s="42">
        <f>IF($H182="","",MAX(0,$H182-N($G182)))</f>
        <v/>
      </c>
    </row>
    <row r="183" ht="19.5" customHeight="1" s="72">
      <c r="A183" s="38" t="inlineStr">
        <is>
          <t>AF-FIN-P01-SBA</t>
        </is>
      </c>
      <c r="B183" s="38" t="inlineStr">
        <is>
          <t>Final</t>
        </is>
      </c>
      <c r="C183" s="38" t="inlineStr">
        <is>
          <t>São Bento da Abadá</t>
        </is>
      </c>
      <c r="D183" s="39">
        <f>IFERROR(CLASIF_A_F!$X$5,"")</f>
        <v/>
      </c>
      <c r="E183" s="40" t="n"/>
      <c r="F183" s="39">
        <f>IFERROR(CLASIF_A_F!$X$8,"")</f>
        <v/>
      </c>
      <c r="G183" s="40" t="n"/>
      <c r="H183" s="41" t="n"/>
      <c r="I183" s="42">
        <f>IF($H183="","",MAX(0,$H183-N($E183)))</f>
        <v/>
      </c>
      <c r="J183" s="42">
        <f>IF($H183="","",MAX(0,$H183-N($G183)))</f>
        <v/>
      </c>
    </row>
    <row r="184" ht="19.5" customHeight="1" s="72">
      <c r="A184" s="38" t="inlineStr">
        <is>
          <t>AF-FIN-P01-SIR</t>
        </is>
      </c>
      <c r="B184" s="38" t="inlineStr">
        <is>
          <t>Final</t>
        </is>
      </c>
      <c r="C184" s="38" t="inlineStr">
        <is>
          <t>Siriuna</t>
        </is>
      </c>
      <c r="D184" s="39">
        <f>IFERROR(CLASIF_A_F!$X$5,"")</f>
        <v/>
      </c>
      <c r="E184" s="40" t="n"/>
      <c r="F184" s="39">
        <f>IFERROR(CLASIF_A_F!$X$8,"")</f>
        <v/>
      </c>
      <c r="G184" s="40" t="n"/>
      <c r="H184" s="41" t="n"/>
      <c r="I184" s="42">
        <f>IF($H184="","",MAX(0,$H184-N($E184)))</f>
        <v/>
      </c>
      <c r="J184" s="42">
        <f>IF($H184="","",MAX(0,$H184-N($G184)))</f>
        <v/>
      </c>
    </row>
    <row r="185" ht="19.5" customHeight="1" s="72">
      <c r="A185" s="38" t="inlineStr">
        <is>
          <t>AF-FIN-P02-BEN</t>
        </is>
      </c>
      <c r="B185" s="38" t="inlineStr">
        <is>
          <t>Final</t>
        </is>
      </c>
      <c r="C185" s="38" t="inlineStr">
        <is>
          <t>Benguela</t>
        </is>
      </c>
      <c r="D185" s="39">
        <f>IFERROR(CLASIF_A_F!$X$6,"")</f>
        <v/>
      </c>
      <c r="E185" s="40" t="n"/>
      <c r="F185" s="39">
        <f>IFERROR(CLASIF_A_F!$X$7,"")</f>
        <v/>
      </c>
      <c r="G185" s="40" t="n"/>
      <c r="H185" s="41" t="n"/>
      <c r="I185" s="42">
        <f>IF($H185="","",MAX(0,$H185-N($E185)))</f>
        <v/>
      </c>
      <c r="J185" s="42">
        <f>IF($H185="","",MAX(0,$H185-N($G185)))</f>
        <v/>
      </c>
    </row>
    <row r="186" ht="19.5" customHeight="1" s="72">
      <c r="A186" s="38" t="inlineStr">
        <is>
          <t>AF-FIN-P02-SBA</t>
        </is>
      </c>
      <c r="B186" s="38" t="inlineStr">
        <is>
          <t>Final</t>
        </is>
      </c>
      <c r="C186" s="38" t="inlineStr">
        <is>
          <t>São Bento da Abadá</t>
        </is>
      </c>
      <c r="D186" s="39">
        <f>IFERROR(CLASIF_A_F!$X$6,"")</f>
        <v/>
      </c>
      <c r="E186" s="40" t="n"/>
      <c r="F186" s="39">
        <f>IFERROR(CLASIF_A_F!$X$7,"")</f>
        <v/>
      </c>
      <c r="G186" s="40" t="n"/>
      <c r="H186" s="41" t="n"/>
      <c r="I186" s="42">
        <f>IF($H186="","",MAX(0,$H186-N($E186)))</f>
        <v/>
      </c>
      <c r="J186" s="42">
        <f>IF($H186="","",MAX(0,$H186-N($G186)))</f>
        <v/>
      </c>
    </row>
    <row r="187" ht="19.5" customHeight="1" s="72">
      <c r="A187" s="38" t="inlineStr">
        <is>
          <t>AF-FIN-P02-SIR</t>
        </is>
      </c>
      <c r="B187" s="38" t="inlineStr">
        <is>
          <t>Final</t>
        </is>
      </c>
      <c r="C187" s="38" t="inlineStr">
        <is>
          <t>Siriuna</t>
        </is>
      </c>
      <c r="D187" s="39">
        <f>IFERROR(CLASIF_A_F!$X$6,"")</f>
        <v/>
      </c>
      <c r="E187" s="40" t="n"/>
      <c r="F187" s="39">
        <f>IFERROR(CLASIF_A_F!$X$7,"")</f>
        <v/>
      </c>
      <c r="G187" s="40" t="n"/>
      <c r="H187" s="41" t="n"/>
      <c r="I187" s="42">
        <f>IF($H187="","",MAX(0,$H187-N($E187)))</f>
        <v/>
      </c>
      <c r="J187" s="42">
        <f>IF($H187="","",MAX(0,$H187-N($G187)))</f>
        <v/>
      </c>
    </row>
    <row r="188" ht="19.5" customHeight="1" s="72">
      <c r="A188" s="43" t="n"/>
      <c r="B188" s="43" t="n"/>
      <c r="C188" s="43" t="n"/>
      <c r="D188" s="43" t="n"/>
      <c r="E188" s="43" t="n"/>
      <c r="F188" s="43" t="n"/>
      <c r="G188" s="43" t="n"/>
      <c r="H188" s="44" t="n"/>
      <c r="I188" s="43">
        <f>IF($H188="","",MAX(0,$H188-N($E188)))</f>
        <v/>
      </c>
      <c r="J188" s="43">
        <f>IF($H188="","",MAX(0,$H188-N($G188)))</f>
        <v/>
      </c>
    </row>
    <row r="189" ht="19.5" customHeight="1" s="72">
      <c r="A189" s="81" t="inlineStr">
        <is>
          <t>═══ CATEGORÍA B · Masculino · Morada (Instructores) · Toques: Benguela, São Bento da Abadá, Siriuna ═══</t>
        </is>
      </c>
    </row>
    <row r="190" ht="19.5" customHeight="1" s="72">
      <c r="A190" s="8" t="inlineStr">
        <is>
          <t>Jogo</t>
        </is>
      </c>
      <c r="B190" s="8" t="inlineStr">
        <is>
          <t>Fase</t>
        </is>
      </c>
      <c r="C190" s="8" t="inlineStr">
        <is>
          <t>Toque</t>
        </is>
      </c>
      <c r="D190" s="8" t="inlineStr">
        <is>
          <t>Jugador A</t>
        </is>
      </c>
      <c r="E190" s="8" t="inlineStr">
        <is>
          <t>Quita A</t>
        </is>
      </c>
      <c r="F190" s="8" t="inlineStr">
        <is>
          <t>Jugador B</t>
        </is>
      </c>
      <c r="G190" s="8" t="inlineStr">
        <is>
          <t>Quita B</t>
        </is>
      </c>
      <c r="H190" s="8" t="inlineStr">
        <is>
          <t>NOTA (0-5)</t>
        </is>
      </c>
      <c r="I190" s="8">
        <f>IF($H190="","",MAX(0,$H190-N($E190)))</f>
        <v/>
      </c>
      <c r="J190" s="8">
        <f>IF($H190="","",MAX(0,$H190-N($G190)))</f>
        <v/>
      </c>
    </row>
    <row r="191" ht="19.5" customHeight="1" s="72">
      <c r="A191" s="38" t="inlineStr">
        <is>
          <t>BM-32-P01-BEN</t>
        </is>
      </c>
      <c r="B191" s="38" t="inlineStr">
        <is>
          <t>Fase 32</t>
        </is>
      </c>
      <c r="C191" s="38" t="inlineStr">
        <is>
          <t>Benguela</t>
        </is>
      </c>
      <c r="D191" s="39" t="inlineStr">
        <is>
          <t>A_B_M_32_P1</t>
        </is>
      </c>
      <c r="E191" s="40" t="n"/>
      <c r="F191" s="39" t="inlineStr">
        <is>
          <t>B_B_M_32_P1</t>
        </is>
      </c>
      <c r="G191" s="40" t="n"/>
      <c r="H191" s="41" t="n"/>
      <c r="I191" s="42">
        <f>IF($H191="","",MAX(0,$H191-N($E191)))</f>
        <v/>
      </c>
      <c r="J191" s="42">
        <f>IF($H191="","",MAX(0,$H191-N($G191)))</f>
        <v/>
      </c>
    </row>
    <row r="192" ht="19.5" customHeight="1" s="72">
      <c r="A192" s="38" t="inlineStr">
        <is>
          <t>BM-32-P01-SBA</t>
        </is>
      </c>
      <c r="B192" s="38" t="inlineStr">
        <is>
          <t>Fase 32</t>
        </is>
      </c>
      <c r="C192" s="38" t="inlineStr">
        <is>
          <t>São Bento da Abadá</t>
        </is>
      </c>
      <c r="D192" s="39" t="inlineStr">
        <is>
          <t>A_B_M_32_P1</t>
        </is>
      </c>
      <c r="E192" s="40" t="n"/>
      <c r="F192" s="39" t="inlineStr">
        <is>
          <t>B_B_M_32_P1</t>
        </is>
      </c>
      <c r="G192" s="40" t="n"/>
      <c r="H192" s="41" t="n"/>
      <c r="I192" s="42">
        <f>IF($H192="","",MAX(0,$H192-N($E192)))</f>
        <v/>
      </c>
      <c r="J192" s="42">
        <f>IF($H192="","",MAX(0,$H192-N($G192)))</f>
        <v/>
      </c>
    </row>
    <row r="193" ht="19.5" customHeight="1" s="72">
      <c r="A193" s="38" t="inlineStr">
        <is>
          <t>BM-32-P01-SIR</t>
        </is>
      </c>
      <c r="B193" s="38" t="inlineStr">
        <is>
          <t>Fase 32</t>
        </is>
      </c>
      <c r="C193" s="38" t="inlineStr">
        <is>
          <t>Siriuna</t>
        </is>
      </c>
      <c r="D193" s="39" t="inlineStr">
        <is>
          <t>A_B_M_32_P1</t>
        </is>
      </c>
      <c r="E193" s="40" t="n"/>
      <c r="F193" s="39" t="inlineStr">
        <is>
          <t>B_B_M_32_P1</t>
        </is>
      </c>
      <c r="G193" s="40" t="n"/>
      <c r="H193" s="41" t="n"/>
      <c r="I193" s="42">
        <f>IF($H193="","",MAX(0,$H193-N($E193)))</f>
        <v/>
      </c>
      <c r="J193" s="42">
        <f>IF($H193="","",MAX(0,$H193-N($G193)))</f>
        <v/>
      </c>
    </row>
    <row r="194" ht="19.5" customHeight="1" s="72">
      <c r="A194" s="38" t="inlineStr">
        <is>
          <t>BM-32-P02-BEN</t>
        </is>
      </c>
      <c r="B194" s="38" t="inlineStr">
        <is>
          <t>Fase 32</t>
        </is>
      </c>
      <c r="C194" s="38" t="inlineStr">
        <is>
          <t>Benguela</t>
        </is>
      </c>
      <c r="D194" s="39" t="inlineStr">
        <is>
          <t>A_B_M_32_P2</t>
        </is>
      </c>
      <c r="E194" s="40" t="n"/>
      <c r="F194" s="39" t="inlineStr">
        <is>
          <t>B_B_M_32_P2</t>
        </is>
      </c>
      <c r="G194" s="40" t="n"/>
      <c r="H194" s="41" t="n"/>
      <c r="I194" s="42">
        <f>IF($H194="","",MAX(0,$H194-N($E194)))</f>
        <v/>
      </c>
      <c r="J194" s="42">
        <f>IF($H194="","",MAX(0,$H194-N($G194)))</f>
        <v/>
      </c>
    </row>
    <row r="195" ht="19.5" customHeight="1" s="72">
      <c r="A195" s="38" t="inlineStr">
        <is>
          <t>BM-32-P02-SBA</t>
        </is>
      </c>
      <c r="B195" s="38" t="inlineStr">
        <is>
          <t>Fase 32</t>
        </is>
      </c>
      <c r="C195" s="38" t="inlineStr">
        <is>
          <t>São Bento da Abadá</t>
        </is>
      </c>
      <c r="D195" s="39" t="inlineStr">
        <is>
          <t>A_B_M_32_P2</t>
        </is>
      </c>
      <c r="E195" s="40" t="n"/>
      <c r="F195" s="39" t="inlineStr">
        <is>
          <t>B_B_M_32_P2</t>
        </is>
      </c>
      <c r="G195" s="40" t="n"/>
      <c r="H195" s="41" t="n"/>
      <c r="I195" s="42">
        <f>IF($H195="","",MAX(0,$H195-N($E195)))</f>
        <v/>
      </c>
      <c r="J195" s="42">
        <f>IF($H195="","",MAX(0,$H195-N($G195)))</f>
        <v/>
      </c>
    </row>
    <row r="196" ht="19.5" customHeight="1" s="72">
      <c r="A196" s="38" t="inlineStr">
        <is>
          <t>BM-32-P02-SIR</t>
        </is>
      </c>
      <c r="B196" s="38" t="inlineStr">
        <is>
          <t>Fase 32</t>
        </is>
      </c>
      <c r="C196" s="38" t="inlineStr">
        <is>
          <t>Siriuna</t>
        </is>
      </c>
      <c r="D196" s="39" t="inlineStr">
        <is>
          <t>A_B_M_32_P2</t>
        </is>
      </c>
      <c r="E196" s="40" t="n"/>
      <c r="F196" s="39" t="inlineStr">
        <is>
          <t>B_B_M_32_P2</t>
        </is>
      </c>
      <c r="G196" s="40" t="n"/>
      <c r="H196" s="41" t="n"/>
      <c r="I196" s="42">
        <f>IF($H196="","",MAX(0,$H196-N($E196)))</f>
        <v/>
      </c>
      <c r="J196" s="42">
        <f>IF($H196="","",MAX(0,$H196-N($G196)))</f>
        <v/>
      </c>
    </row>
    <row r="197" ht="19.5" customHeight="1" s="72">
      <c r="A197" s="38" t="inlineStr">
        <is>
          <t>BM-32-P03-BEN</t>
        </is>
      </c>
      <c r="B197" s="38" t="inlineStr">
        <is>
          <t>Fase 32</t>
        </is>
      </c>
      <c r="C197" s="38" t="inlineStr">
        <is>
          <t>Benguela</t>
        </is>
      </c>
      <c r="D197" s="39" t="inlineStr">
        <is>
          <t>A_B_M_32_P3</t>
        </is>
      </c>
      <c r="E197" s="40" t="n"/>
      <c r="F197" s="39" t="inlineStr">
        <is>
          <t>B_B_M_32_P3</t>
        </is>
      </c>
      <c r="G197" s="40" t="n"/>
      <c r="H197" s="41" t="n"/>
      <c r="I197" s="42">
        <f>IF($H197="","",MAX(0,$H197-N($E197)))</f>
        <v/>
      </c>
      <c r="J197" s="42">
        <f>IF($H197="","",MAX(0,$H197-N($G197)))</f>
        <v/>
      </c>
    </row>
    <row r="198" ht="19.5" customHeight="1" s="72">
      <c r="A198" s="38" t="inlineStr">
        <is>
          <t>BM-32-P03-SBA</t>
        </is>
      </c>
      <c r="B198" s="38" t="inlineStr">
        <is>
          <t>Fase 32</t>
        </is>
      </c>
      <c r="C198" s="38" t="inlineStr">
        <is>
          <t>São Bento da Abadá</t>
        </is>
      </c>
      <c r="D198" s="39" t="inlineStr">
        <is>
          <t>A_B_M_32_P3</t>
        </is>
      </c>
      <c r="E198" s="40" t="n"/>
      <c r="F198" s="39" t="inlineStr">
        <is>
          <t>B_B_M_32_P3</t>
        </is>
      </c>
      <c r="G198" s="40" t="n"/>
      <c r="H198" s="41" t="n"/>
      <c r="I198" s="42">
        <f>IF($H198="","",MAX(0,$H198-N($E198)))</f>
        <v/>
      </c>
      <c r="J198" s="42">
        <f>IF($H198="","",MAX(0,$H198-N($G198)))</f>
        <v/>
      </c>
    </row>
    <row r="199" ht="19.5" customHeight="1" s="72">
      <c r="A199" s="38" t="inlineStr">
        <is>
          <t>BM-32-P03-SIR</t>
        </is>
      </c>
      <c r="B199" s="38" t="inlineStr">
        <is>
          <t>Fase 32</t>
        </is>
      </c>
      <c r="C199" s="38" t="inlineStr">
        <is>
          <t>Siriuna</t>
        </is>
      </c>
      <c r="D199" s="39" t="inlineStr">
        <is>
          <t>A_B_M_32_P3</t>
        </is>
      </c>
      <c r="E199" s="40" t="n"/>
      <c r="F199" s="39" t="inlineStr">
        <is>
          <t>B_B_M_32_P3</t>
        </is>
      </c>
      <c r="G199" s="40" t="n"/>
      <c r="H199" s="41" t="n"/>
      <c r="I199" s="42">
        <f>IF($H199="","",MAX(0,$H199-N($E199)))</f>
        <v/>
      </c>
      <c r="J199" s="42">
        <f>IF($H199="","",MAX(0,$H199-N($G199)))</f>
        <v/>
      </c>
    </row>
    <row r="200" ht="19.5" customHeight="1" s="72">
      <c r="A200" s="38" t="inlineStr">
        <is>
          <t>BM-32-P04-BEN</t>
        </is>
      </c>
      <c r="B200" s="38" t="inlineStr">
        <is>
          <t>Fase 32</t>
        </is>
      </c>
      <c r="C200" s="38" t="inlineStr">
        <is>
          <t>Benguela</t>
        </is>
      </c>
      <c r="D200" s="39" t="inlineStr">
        <is>
          <t>A_B_M_32_P4</t>
        </is>
      </c>
      <c r="E200" s="40" t="n"/>
      <c r="F200" s="39" t="inlineStr">
        <is>
          <t>B_B_M_32_P4</t>
        </is>
      </c>
      <c r="G200" s="40" t="n"/>
      <c r="H200" s="41" t="n"/>
      <c r="I200" s="42">
        <f>IF($H200="","",MAX(0,$H200-N($E200)))</f>
        <v/>
      </c>
      <c r="J200" s="42">
        <f>IF($H200="","",MAX(0,$H200-N($G200)))</f>
        <v/>
      </c>
    </row>
    <row r="201" ht="19.5" customHeight="1" s="72">
      <c r="A201" s="38" t="inlineStr">
        <is>
          <t>BM-32-P04-SBA</t>
        </is>
      </c>
      <c r="B201" s="38" t="inlineStr">
        <is>
          <t>Fase 32</t>
        </is>
      </c>
      <c r="C201" s="38" t="inlineStr">
        <is>
          <t>São Bento da Abadá</t>
        </is>
      </c>
      <c r="D201" s="39" t="inlineStr">
        <is>
          <t>A_B_M_32_P4</t>
        </is>
      </c>
      <c r="E201" s="40" t="n"/>
      <c r="F201" s="39" t="inlineStr">
        <is>
          <t>B_B_M_32_P4</t>
        </is>
      </c>
      <c r="G201" s="40" t="n"/>
      <c r="H201" s="41" t="n"/>
      <c r="I201" s="42">
        <f>IF($H201="","",MAX(0,$H201-N($E201)))</f>
        <v/>
      </c>
      <c r="J201" s="42">
        <f>IF($H201="","",MAX(0,$H201-N($G201)))</f>
        <v/>
      </c>
    </row>
    <row r="202" ht="19.5" customHeight="1" s="72">
      <c r="A202" s="38" t="inlineStr">
        <is>
          <t>BM-32-P04-SIR</t>
        </is>
      </c>
      <c r="B202" s="38" t="inlineStr">
        <is>
          <t>Fase 32</t>
        </is>
      </c>
      <c r="C202" s="38" t="inlineStr">
        <is>
          <t>Siriuna</t>
        </is>
      </c>
      <c r="D202" s="39" t="inlineStr">
        <is>
          <t>A_B_M_32_P4</t>
        </is>
      </c>
      <c r="E202" s="40" t="n"/>
      <c r="F202" s="39" t="inlineStr">
        <is>
          <t>B_B_M_32_P4</t>
        </is>
      </c>
      <c r="G202" s="40" t="n"/>
      <c r="H202" s="41" t="n"/>
      <c r="I202" s="42">
        <f>IF($H202="","",MAX(0,$H202-N($E202)))</f>
        <v/>
      </c>
      <c r="J202" s="42">
        <f>IF($H202="","",MAX(0,$H202-N($G202)))</f>
        <v/>
      </c>
    </row>
    <row r="203" ht="19.5" customHeight="1" s="72">
      <c r="A203" s="38" t="inlineStr">
        <is>
          <t>BM-32-P05-BEN</t>
        </is>
      </c>
      <c r="B203" s="38" t="inlineStr">
        <is>
          <t>Fase 32</t>
        </is>
      </c>
      <c r="C203" s="38" t="inlineStr">
        <is>
          <t>Benguela</t>
        </is>
      </c>
      <c r="D203" s="39" t="inlineStr">
        <is>
          <t>A_B_M_32_P5</t>
        </is>
      </c>
      <c r="E203" s="40" t="n"/>
      <c r="F203" s="39" t="inlineStr">
        <is>
          <t>B_B_M_32_P5</t>
        </is>
      </c>
      <c r="G203" s="40" t="n"/>
      <c r="H203" s="41" t="n"/>
      <c r="I203" s="42">
        <f>IF($H203="","",MAX(0,$H203-N($E203)))</f>
        <v/>
      </c>
      <c r="J203" s="42">
        <f>IF($H203="","",MAX(0,$H203-N($G203)))</f>
        <v/>
      </c>
    </row>
    <row r="204" ht="19.5" customHeight="1" s="72">
      <c r="A204" s="38" t="inlineStr">
        <is>
          <t>BM-32-P05-SBA</t>
        </is>
      </c>
      <c r="B204" s="38" t="inlineStr">
        <is>
          <t>Fase 32</t>
        </is>
      </c>
      <c r="C204" s="38" t="inlineStr">
        <is>
          <t>São Bento da Abadá</t>
        </is>
      </c>
      <c r="D204" s="39" t="inlineStr">
        <is>
          <t>A_B_M_32_P5</t>
        </is>
      </c>
      <c r="E204" s="40" t="n"/>
      <c r="F204" s="39" t="inlineStr">
        <is>
          <t>B_B_M_32_P5</t>
        </is>
      </c>
      <c r="G204" s="40" t="n"/>
      <c r="H204" s="41" t="n"/>
      <c r="I204" s="42">
        <f>IF($H204="","",MAX(0,$H204-N($E204)))</f>
        <v/>
      </c>
      <c r="J204" s="42">
        <f>IF($H204="","",MAX(0,$H204-N($G204)))</f>
        <v/>
      </c>
    </row>
    <row r="205" ht="19.5" customHeight="1" s="72">
      <c r="A205" s="38" t="inlineStr">
        <is>
          <t>BM-32-P05-SIR</t>
        </is>
      </c>
      <c r="B205" s="38" t="inlineStr">
        <is>
          <t>Fase 32</t>
        </is>
      </c>
      <c r="C205" s="38" t="inlineStr">
        <is>
          <t>Siriuna</t>
        </is>
      </c>
      <c r="D205" s="39" t="inlineStr">
        <is>
          <t>A_B_M_32_P5</t>
        </is>
      </c>
      <c r="E205" s="40" t="n"/>
      <c r="F205" s="39" t="inlineStr">
        <is>
          <t>B_B_M_32_P5</t>
        </is>
      </c>
      <c r="G205" s="40" t="n"/>
      <c r="H205" s="41" t="n"/>
      <c r="I205" s="42">
        <f>IF($H205="","",MAX(0,$H205-N($E205)))</f>
        <v/>
      </c>
      <c r="J205" s="42">
        <f>IF($H205="","",MAX(0,$H205-N($G205)))</f>
        <v/>
      </c>
    </row>
    <row r="206" ht="19.5" customHeight="1" s="72">
      <c r="A206" s="38" t="inlineStr">
        <is>
          <t>BM-32-P06-BEN</t>
        </is>
      </c>
      <c r="B206" s="38" t="inlineStr">
        <is>
          <t>Fase 32</t>
        </is>
      </c>
      <c r="C206" s="38" t="inlineStr">
        <is>
          <t>Benguela</t>
        </is>
      </c>
      <c r="D206" s="39" t="inlineStr">
        <is>
          <t>A_B_M_32_P6</t>
        </is>
      </c>
      <c r="E206" s="40" t="n"/>
      <c r="F206" s="39" t="inlineStr">
        <is>
          <t>B_B_M_32_P6</t>
        </is>
      </c>
      <c r="G206" s="40" t="n"/>
      <c r="H206" s="41" t="n"/>
      <c r="I206" s="42">
        <f>IF($H206="","",MAX(0,$H206-N($E206)))</f>
        <v/>
      </c>
      <c r="J206" s="42">
        <f>IF($H206="","",MAX(0,$H206-N($G206)))</f>
        <v/>
      </c>
    </row>
    <row r="207" ht="19.5" customHeight="1" s="72">
      <c r="A207" s="38" t="inlineStr">
        <is>
          <t>BM-32-P06-SBA</t>
        </is>
      </c>
      <c r="B207" s="38" t="inlineStr">
        <is>
          <t>Fase 32</t>
        </is>
      </c>
      <c r="C207" s="38" t="inlineStr">
        <is>
          <t>São Bento da Abadá</t>
        </is>
      </c>
      <c r="D207" s="39" t="inlineStr">
        <is>
          <t>A_B_M_32_P6</t>
        </is>
      </c>
      <c r="E207" s="40" t="n"/>
      <c r="F207" s="39" t="inlineStr">
        <is>
          <t>B_B_M_32_P6</t>
        </is>
      </c>
      <c r="G207" s="40" t="n"/>
      <c r="H207" s="41" t="n"/>
      <c r="I207" s="42">
        <f>IF($H207="","",MAX(0,$H207-N($E207)))</f>
        <v/>
      </c>
      <c r="J207" s="42">
        <f>IF($H207="","",MAX(0,$H207-N($G207)))</f>
        <v/>
      </c>
    </row>
    <row r="208" ht="19.5" customHeight="1" s="72">
      <c r="A208" s="38" t="inlineStr">
        <is>
          <t>BM-32-P06-SIR</t>
        </is>
      </c>
      <c r="B208" s="38" t="inlineStr">
        <is>
          <t>Fase 32</t>
        </is>
      </c>
      <c r="C208" s="38" t="inlineStr">
        <is>
          <t>Siriuna</t>
        </is>
      </c>
      <c r="D208" s="39" t="inlineStr">
        <is>
          <t>A_B_M_32_P6</t>
        </is>
      </c>
      <c r="E208" s="40" t="n"/>
      <c r="F208" s="39" t="inlineStr">
        <is>
          <t>B_B_M_32_P6</t>
        </is>
      </c>
      <c r="G208" s="40" t="n"/>
      <c r="H208" s="41" t="n"/>
      <c r="I208" s="42">
        <f>IF($H208="","",MAX(0,$H208-N($E208)))</f>
        <v/>
      </c>
      <c r="J208" s="42">
        <f>IF($H208="","",MAX(0,$H208-N($G208)))</f>
        <v/>
      </c>
    </row>
    <row r="209" ht="19.5" customHeight="1" s="72">
      <c r="A209" s="38" t="inlineStr">
        <is>
          <t>BM-32-P07-BEN</t>
        </is>
      </c>
      <c r="B209" s="38" t="inlineStr">
        <is>
          <t>Fase 32</t>
        </is>
      </c>
      <c r="C209" s="38" t="inlineStr">
        <is>
          <t>Benguela</t>
        </is>
      </c>
      <c r="D209" s="39" t="inlineStr">
        <is>
          <t>A_B_M_32_P7</t>
        </is>
      </c>
      <c r="E209" s="40" t="n"/>
      <c r="F209" s="39" t="inlineStr">
        <is>
          <t>B_B_M_32_P7</t>
        </is>
      </c>
      <c r="G209" s="40" t="n"/>
      <c r="H209" s="41" t="n"/>
      <c r="I209" s="42">
        <f>IF($H209="","",MAX(0,$H209-N($E209)))</f>
        <v/>
      </c>
      <c r="J209" s="42">
        <f>IF($H209="","",MAX(0,$H209-N($G209)))</f>
        <v/>
      </c>
    </row>
    <row r="210" ht="19.5" customHeight="1" s="72">
      <c r="A210" s="38" t="inlineStr">
        <is>
          <t>BM-32-P07-SBA</t>
        </is>
      </c>
      <c r="B210" s="38" t="inlineStr">
        <is>
          <t>Fase 32</t>
        </is>
      </c>
      <c r="C210" s="38" t="inlineStr">
        <is>
          <t>São Bento da Abadá</t>
        </is>
      </c>
      <c r="D210" s="39" t="inlineStr">
        <is>
          <t>A_B_M_32_P7</t>
        </is>
      </c>
      <c r="E210" s="40" t="n"/>
      <c r="F210" s="39" t="inlineStr">
        <is>
          <t>B_B_M_32_P7</t>
        </is>
      </c>
      <c r="G210" s="40" t="n"/>
      <c r="H210" s="41" t="n"/>
      <c r="I210" s="42">
        <f>IF($H210="","",MAX(0,$H210-N($E210)))</f>
        <v/>
      </c>
      <c r="J210" s="42">
        <f>IF($H210="","",MAX(0,$H210-N($G210)))</f>
        <v/>
      </c>
    </row>
    <row r="211" ht="19.5" customHeight="1" s="72">
      <c r="A211" s="38" t="inlineStr">
        <is>
          <t>BM-32-P07-SIR</t>
        </is>
      </c>
      <c r="B211" s="38" t="inlineStr">
        <is>
          <t>Fase 32</t>
        </is>
      </c>
      <c r="C211" s="38" t="inlineStr">
        <is>
          <t>Siriuna</t>
        </is>
      </c>
      <c r="D211" s="39" t="inlineStr">
        <is>
          <t>A_B_M_32_P7</t>
        </is>
      </c>
      <c r="E211" s="40" t="n"/>
      <c r="F211" s="39" t="inlineStr">
        <is>
          <t>B_B_M_32_P7</t>
        </is>
      </c>
      <c r="G211" s="40" t="n"/>
      <c r="H211" s="41" t="n"/>
      <c r="I211" s="42">
        <f>IF($H211="","",MAX(0,$H211-N($E211)))</f>
        <v/>
      </c>
      <c r="J211" s="42">
        <f>IF($H211="","",MAX(0,$H211-N($G211)))</f>
        <v/>
      </c>
    </row>
    <row r="212" ht="19.5" customHeight="1" s="72">
      <c r="A212" s="38" t="inlineStr">
        <is>
          <t>BM-32-P08-BEN</t>
        </is>
      </c>
      <c r="B212" s="38" t="inlineStr">
        <is>
          <t>Fase 32</t>
        </is>
      </c>
      <c r="C212" s="38" t="inlineStr">
        <is>
          <t>Benguela</t>
        </is>
      </c>
      <c r="D212" s="39" t="inlineStr">
        <is>
          <t>A_B_M_32_P8</t>
        </is>
      </c>
      <c r="E212" s="40" t="n"/>
      <c r="F212" s="39" t="inlineStr">
        <is>
          <t>B_B_M_32_P8</t>
        </is>
      </c>
      <c r="G212" s="40" t="n"/>
      <c r="H212" s="41" t="n"/>
      <c r="I212" s="42">
        <f>IF($H212="","",MAX(0,$H212-N($E212)))</f>
        <v/>
      </c>
      <c r="J212" s="42">
        <f>IF($H212="","",MAX(0,$H212-N($G212)))</f>
        <v/>
      </c>
    </row>
    <row r="213" ht="19.5" customHeight="1" s="72">
      <c r="A213" s="38" t="inlineStr">
        <is>
          <t>BM-32-P08-SBA</t>
        </is>
      </c>
      <c r="B213" s="38" t="inlineStr">
        <is>
          <t>Fase 32</t>
        </is>
      </c>
      <c r="C213" s="38" t="inlineStr">
        <is>
          <t>São Bento da Abadá</t>
        </is>
      </c>
      <c r="D213" s="39" t="inlineStr">
        <is>
          <t>A_B_M_32_P8</t>
        </is>
      </c>
      <c r="E213" s="40" t="n"/>
      <c r="F213" s="39" t="inlineStr">
        <is>
          <t>B_B_M_32_P8</t>
        </is>
      </c>
      <c r="G213" s="40" t="n"/>
      <c r="H213" s="41" t="n"/>
      <c r="I213" s="42">
        <f>IF($H213="","",MAX(0,$H213-N($E213)))</f>
        <v/>
      </c>
      <c r="J213" s="42">
        <f>IF($H213="","",MAX(0,$H213-N($G213)))</f>
        <v/>
      </c>
    </row>
    <row r="214" ht="19.5" customHeight="1" s="72">
      <c r="A214" s="38" t="inlineStr">
        <is>
          <t>BM-32-P08-SIR</t>
        </is>
      </c>
      <c r="B214" s="38" t="inlineStr">
        <is>
          <t>Fase 32</t>
        </is>
      </c>
      <c r="C214" s="38" t="inlineStr">
        <is>
          <t>Siriuna</t>
        </is>
      </c>
      <c r="D214" s="39" t="inlineStr">
        <is>
          <t>A_B_M_32_P8</t>
        </is>
      </c>
      <c r="E214" s="40" t="n"/>
      <c r="F214" s="39" t="inlineStr">
        <is>
          <t>B_B_M_32_P8</t>
        </is>
      </c>
      <c r="G214" s="40" t="n"/>
      <c r="H214" s="41" t="n"/>
      <c r="I214" s="42">
        <f>IF($H214="","",MAX(0,$H214-N($E214)))</f>
        <v/>
      </c>
      <c r="J214" s="42">
        <f>IF($H214="","",MAX(0,$H214-N($G214)))</f>
        <v/>
      </c>
    </row>
    <row r="215" ht="19.5" customHeight="1" s="72">
      <c r="A215" s="38" t="inlineStr">
        <is>
          <t>BM-32-P09-BEN</t>
        </is>
      </c>
      <c r="B215" s="38" t="inlineStr">
        <is>
          <t>Fase 32</t>
        </is>
      </c>
      <c r="C215" s="38" t="inlineStr">
        <is>
          <t>Benguela</t>
        </is>
      </c>
      <c r="D215" s="39" t="inlineStr">
        <is>
          <t>A_B_M_32_P9</t>
        </is>
      </c>
      <c r="E215" s="40" t="n"/>
      <c r="F215" s="39" t="inlineStr">
        <is>
          <t>B_B_M_32_P9</t>
        </is>
      </c>
      <c r="G215" s="40" t="n"/>
      <c r="H215" s="41" t="n"/>
      <c r="I215" s="42">
        <f>IF($H215="","",MAX(0,$H215-N($E215)))</f>
        <v/>
      </c>
      <c r="J215" s="42">
        <f>IF($H215="","",MAX(0,$H215-N($G215)))</f>
        <v/>
      </c>
    </row>
    <row r="216" ht="19.5" customHeight="1" s="72">
      <c r="A216" s="38" t="inlineStr">
        <is>
          <t>BM-32-P09-SBA</t>
        </is>
      </c>
      <c r="B216" s="38" t="inlineStr">
        <is>
          <t>Fase 32</t>
        </is>
      </c>
      <c r="C216" s="38" t="inlineStr">
        <is>
          <t>São Bento da Abadá</t>
        </is>
      </c>
      <c r="D216" s="39" t="inlineStr">
        <is>
          <t>A_B_M_32_P9</t>
        </is>
      </c>
      <c r="E216" s="40" t="n"/>
      <c r="F216" s="39" t="inlineStr">
        <is>
          <t>B_B_M_32_P9</t>
        </is>
      </c>
      <c r="G216" s="40" t="n"/>
      <c r="H216" s="41" t="n"/>
      <c r="I216" s="42">
        <f>IF($H216="","",MAX(0,$H216-N($E216)))</f>
        <v/>
      </c>
      <c r="J216" s="42">
        <f>IF($H216="","",MAX(0,$H216-N($G216)))</f>
        <v/>
      </c>
    </row>
    <row r="217" ht="19.5" customHeight="1" s="72">
      <c r="A217" s="38" t="inlineStr">
        <is>
          <t>BM-32-P09-SIR</t>
        </is>
      </c>
      <c r="B217" s="38" t="inlineStr">
        <is>
          <t>Fase 32</t>
        </is>
      </c>
      <c r="C217" s="38" t="inlineStr">
        <is>
          <t>Siriuna</t>
        </is>
      </c>
      <c r="D217" s="39" t="inlineStr">
        <is>
          <t>A_B_M_32_P9</t>
        </is>
      </c>
      <c r="E217" s="40" t="n"/>
      <c r="F217" s="39" t="inlineStr">
        <is>
          <t>B_B_M_32_P9</t>
        </is>
      </c>
      <c r="G217" s="40" t="n"/>
      <c r="H217" s="41" t="n"/>
      <c r="I217" s="42">
        <f>IF($H217="","",MAX(0,$H217-N($E217)))</f>
        <v/>
      </c>
      <c r="J217" s="42">
        <f>IF($H217="","",MAX(0,$H217-N($G217)))</f>
        <v/>
      </c>
    </row>
    <row r="218" ht="19.5" customHeight="1" s="72">
      <c r="A218" s="38" t="inlineStr">
        <is>
          <t>BM-32-P10-BEN</t>
        </is>
      </c>
      <c r="B218" s="38" t="inlineStr">
        <is>
          <t>Fase 32</t>
        </is>
      </c>
      <c r="C218" s="38" t="inlineStr">
        <is>
          <t>Benguela</t>
        </is>
      </c>
      <c r="D218" s="39" t="inlineStr">
        <is>
          <t>A_B_M_32_P10</t>
        </is>
      </c>
      <c r="E218" s="40" t="n"/>
      <c r="F218" s="39" t="inlineStr">
        <is>
          <t>B_B_M_32_P10</t>
        </is>
      </c>
      <c r="G218" s="40" t="n"/>
      <c r="H218" s="41" t="n"/>
      <c r="I218" s="42">
        <f>IF($H218="","",MAX(0,$H218-N($E218)))</f>
        <v/>
      </c>
      <c r="J218" s="42">
        <f>IF($H218="","",MAX(0,$H218-N($G218)))</f>
        <v/>
      </c>
    </row>
    <row r="219" ht="19.5" customHeight="1" s="72">
      <c r="A219" s="38" t="inlineStr">
        <is>
          <t>BM-32-P10-SBA</t>
        </is>
      </c>
      <c r="B219" s="38" t="inlineStr">
        <is>
          <t>Fase 32</t>
        </is>
      </c>
      <c r="C219" s="38" t="inlineStr">
        <is>
          <t>São Bento da Abadá</t>
        </is>
      </c>
      <c r="D219" s="39" t="inlineStr">
        <is>
          <t>A_B_M_32_P10</t>
        </is>
      </c>
      <c r="E219" s="40" t="n"/>
      <c r="F219" s="39" t="inlineStr">
        <is>
          <t>B_B_M_32_P10</t>
        </is>
      </c>
      <c r="G219" s="40" t="n"/>
      <c r="H219" s="41" t="n"/>
      <c r="I219" s="42">
        <f>IF($H219="","",MAX(0,$H219-N($E219)))</f>
        <v/>
      </c>
      <c r="J219" s="42">
        <f>IF($H219="","",MAX(0,$H219-N($G219)))</f>
        <v/>
      </c>
    </row>
    <row r="220" ht="19.5" customHeight="1" s="72">
      <c r="A220" s="38" t="inlineStr">
        <is>
          <t>BM-32-P10-SIR</t>
        </is>
      </c>
      <c r="B220" s="38" t="inlineStr">
        <is>
          <t>Fase 32</t>
        </is>
      </c>
      <c r="C220" s="38" t="inlineStr">
        <is>
          <t>Siriuna</t>
        </is>
      </c>
      <c r="D220" s="39" t="inlineStr">
        <is>
          <t>A_B_M_32_P10</t>
        </is>
      </c>
      <c r="E220" s="40" t="n"/>
      <c r="F220" s="39" t="inlineStr">
        <is>
          <t>B_B_M_32_P10</t>
        </is>
      </c>
      <c r="G220" s="40" t="n"/>
      <c r="H220" s="41" t="n"/>
      <c r="I220" s="42">
        <f>IF($H220="","",MAX(0,$H220-N($E220)))</f>
        <v/>
      </c>
      <c r="J220" s="42">
        <f>IF($H220="","",MAX(0,$H220-N($G220)))</f>
        <v/>
      </c>
    </row>
    <row r="221" ht="19.5" customHeight="1" s="72">
      <c r="A221" s="38" t="inlineStr">
        <is>
          <t>BM-32-P11-BEN</t>
        </is>
      </c>
      <c r="B221" s="38" t="inlineStr">
        <is>
          <t>Fase 32</t>
        </is>
      </c>
      <c r="C221" s="38" t="inlineStr">
        <is>
          <t>Benguela</t>
        </is>
      </c>
      <c r="D221" s="39" t="inlineStr">
        <is>
          <t>A_B_M_32_P11</t>
        </is>
      </c>
      <c r="E221" s="40" t="n"/>
      <c r="F221" s="39" t="inlineStr">
        <is>
          <t>B_B_M_32_P11</t>
        </is>
      </c>
      <c r="G221" s="40" t="n"/>
      <c r="H221" s="41" t="n"/>
      <c r="I221" s="42">
        <f>IF($H221="","",MAX(0,$H221-N($E221)))</f>
        <v/>
      </c>
      <c r="J221" s="42">
        <f>IF($H221="","",MAX(0,$H221-N($G221)))</f>
        <v/>
      </c>
    </row>
    <row r="222" ht="19.5" customHeight="1" s="72">
      <c r="A222" s="38" t="inlineStr">
        <is>
          <t>BM-32-P11-SBA</t>
        </is>
      </c>
      <c r="B222" s="38" t="inlineStr">
        <is>
          <t>Fase 32</t>
        </is>
      </c>
      <c r="C222" s="38" t="inlineStr">
        <is>
          <t>São Bento da Abadá</t>
        </is>
      </c>
      <c r="D222" s="39" t="inlineStr">
        <is>
          <t>A_B_M_32_P11</t>
        </is>
      </c>
      <c r="E222" s="40" t="n"/>
      <c r="F222" s="39" t="inlineStr">
        <is>
          <t>B_B_M_32_P11</t>
        </is>
      </c>
      <c r="G222" s="40" t="n"/>
      <c r="H222" s="41" t="n"/>
      <c r="I222" s="42">
        <f>IF($H222="","",MAX(0,$H222-N($E222)))</f>
        <v/>
      </c>
      <c r="J222" s="42">
        <f>IF($H222="","",MAX(0,$H222-N($G222)))</f>
        <v/>
      </c>
    </row>
    <row r="223" ht="19.5" customHeight="1" s="72">
      <c r="A223" s="38" t="inlineStr">
        <is>
          <t>BM-32-P11-SIR</t>
        </is>
      </c>
      <c r="B223" s="38" t="inlineStr">
        <is>
          <t>Fase 32</t>
        </is>
      </c>
      <c r="C223" s="38" t="inlineStr">
        <is>
          <t>Siriuna</t>
        </is>
      </c>
      <c r="D223" s="39" t="inlineStr">
        <is>
          <t>A_B_M_32_P11</t>
        </is>
      </c>
      <c r="E223" s="40" t="n"/>
      <c r="F223" s="39" t="inlineStr">
        <is>
          <t>B_B_M_32_P11</t>
        </is>
      </c>
      <c r="G223" s="40" t="n"/>
      <c r="H223" s="41" t="n"/>
      <c r="I223" s="42">
        <f>IF($H223="","",MAX(0,$H223-N($E223)))</f>
        <v/>
      </c>
      <c r="J223" s="42">
        <f>IF($H223="","",MAX(0,$H223-N($G223)))</f>
        <v/>
      </c>
    </row>
    <row r="224" ht="19.5" customHeight="1" s="72">
      <c r="A224" s="38" t="inlineStr">
        <is>
          <t>BM-32-P12-BEN</t>
        </is>
      </c>
      <c r="B224" s="38" t="inlineStr">
        <is>
          <t>Fase 32</t>
        </is>
      </c>
      <c r="C224" s="38" t="inlineStr">
        <is>
          <t>Benguela</t>
        </is>
      </c>
      <c r="D224" s="39" t="inlineStr">
        <is>
          <t>A_B_M_32_P12</t>
        </is>
      </c>
      <c r="E224" s="40" t="n"/>
      <c r="F224" s="39" t="inlineStr">
        <is>
          <t>B_B_M_32_P12</t>
        </is>
      </c>
      <c r="G224" s="40" t="n"/>
      <c r="H224" s="41" t="n"/>
      <c r="I224" s="42">
        <f>IF($H224="","",MAX(0,$H224-N($E224)))</f>
        <v/>
      </c>
      <c r="J224" s="42">
        <f>IF($H224="","",MAX(0,$H224-N($G224)))</f>
        <v/>
      </c>
    </row>
    <row r="225" ht="19.5" customHeight="1" s="72">
      <c r="A225" s="38" t="inlineStr">
        <is>
          <t>BM-32-P12-SBA</t>
        </is>
      </c>
      <c r="B225" s="38" t="inlineStr">
        <is>
          <t>Fase 32</t>
        </is>
      </c>
      <c r="C225" s="38" t="inlineStr">
        <is>
          <t>São Bento da Abadá</t>
        </is>
      </c>
      <c r="D225" s="39" t="inlineStr">
        <is>
          <t>A_B_M_32_P12</t>
        </is>
      </c>
      <c r="E225" s="40" t="n"/>
      <c r="F225" s="39" t="inlineStr">
        <is>
          <t>B_B_M_32_P12</t>
        </is>
      </c>
      <c r="G225" s="40" t="n"/>
      <c r="H225" s="41" t="n"/>
      <c r="I225" s="42">
        <f>IF($H225="","",MAX(0,$H225-N($E225)))</f>
        <v/>
      </c>
      <c r="J225" s="42">
        <f>IF($H225="","",MAX(0,$H225-N($G225)))</f>
        <v/>
      </c>
    </row>
    <row r="226" ht="19.5" customHeight="1" s="72">
      <c r="A226" s="38" t="inlineStr">
        <is>
          <t>BM-32-P12-SIR</t>
        </is>
      </c>
      <c r="B226" s="38" t="inlineStr">
        <is>
          <t>Fase 32</t>
        </is>
      </c>
      <c r="C226" s="38" t="inlineStr">
        <is>
          <t>Siriuna</t>
        </is>
      </c>
      <c r="D226" s="39" t="inlineStr">
        <is>
          <t>A_B_M_32_P12</t>
        </is>
      </c>
      <c r="E226" s="40" t="n"/>
      <c r="F226" s="39" t="inlineStr">
        <is>
          <t>B_B_M_32_P12</t>
        </is>
      </c>
      <c r="G226" s="40" t="n"/>
      <c r="H226" s="41" t="n"/>
      <c r="I226" s="42">
        <f>IF($H226="","",MAX(0,$H226-N($E226)))</f>
        <v/>
      </c>
      <c r="J226" s="42">
        <f>IF($H226="","",MAX(0,$H226-N($G226)))</f>
        <v/>
      </c>
    </row>
    <row r="227" ht="19.5" customHeight="1" s="72">
      <c r="A227" s="38" t="inlineStr">
        <is>
          <t>BM-32-P13-BEN</t>
        </is>
      </c>
      <c r="B227" s="38" t="inlineStr">
        <is>
          <t>Fase 32</t>
        </is>
      </c>
      <c r="C227" s="38" t="inlineStr">
        <is>
          <t>Benguela</t>
        </is>
      </c>
      <c r="D227" s="39" t="inlineStr">
        <is>
          <t>A_B_M_32_P13</t>
        </is>
      </c>
      <c r="E227" s="40" t="n"/>
      <c r="F227" s="39" t="inlineStr">
        <is>
          <t>B_B_M_32_P13</t>
        </is>
      </c>
      <c r="G227" s="40" t="n"/>
      <c r="H227" s="41" t="n"/>
      <c r="I227" s="42">
        <f>IF($H227="","",MAX(0,$H227-N($E227)))</f>
        <v/>
      </c>
      <c r="J227" s="42">
        <f>IF($H227="","",MAX(0,$H227-N($G227)))</f>
        <v/>
      </c>
    </row>
    <row r="228" ht="19.5" customHeight="1" s="72">
      <c r="A228" s="38" t="inlineStr">
        <is>
          <t>BM-32-P13-SBA</t>
        </is>
      </c>
      <c r="B228" s="38" t="inlineStr">
        <is>
          <t>Fase 32</t>
        </is>
      </c>
      <c r="C228" s="38" t="inlineStr">
        <is>
          <t>São Bento da Abadá</t>
        </is>
      </c>
      <c r="D228" s="39" t="inlineStr">
        <is>
          <t>A_B_M_32_P13</t>
        </is>
      </c>
      <c r="E228" s="40" t="n"/>
      <c r="F228" s="39" t="inlineStr">
        <is>
          <t>B_B_M_32_P13</t>
        </is>
      </c>
      <c r="G228" s="40" t="n"/>
      <c r="H228" s="41" t="n"/>
      <c r="I228" s="42">
        <f>IF($H228="","",MAX(0,$H228-N($E228)))</f>
        <v/>
      </c>
      <c r="J228" s="42">
        <f>IF($H228="","",MAX(0,$H228-N($G228)))</f>
        <v/>
      </c>
    </row>
    <row r="229" ht="19.5" customHeight="1" s="72">
      <c r="A229" s="38" t="inlineStr">
        <is>
          <t>BM-32-P13-SIR</t>
        </is>
      </c>
      <c r="B229" s="38" t="inlineStr">
        <is>
          <t>Fase 32</t>
        </is>
      </c>
      <c r="C229" s="38" t="inlineStr">
        <is>
          <t>Siriuna</t>
        </is>
      </c>
      <c r="D229" s="39" t="inlineStr">
        <is>
          <t>A_B_M_32_P13</t>
        </is>
      </c>
      <c r="E229" s="40" t="n"/>
      <c r="F229" s="39" t="inlineStr">
        <is>
          <t>B_B_M_32_P13</t>
        </is>
      </c>
      <c r="G229" s="40" t="n"/>
      <c r="H229" s="41" t="n"/>
      <c r="I229" s="42">
        <f>IF($H229="","",MAX(0,$H229-N($E229)))</f>
        <v/>
      </c>
      <c r="J229" s="42">
        <f>IF($H229="","",MAX(0,$H229-N($G229)))</f>
        <v/>
      </c>
    </row>
    <row r="230" ht="19.5" customHeight="1" s="72">
      <c r="A230" s="38" t="inlineStr">
        <is>
          <t>BM-32-P14-BEN</t>
        </is>
      </c>
      <c r="B230" s="38" t="inlineStr">
        <is>
          <t>Fase 32</t>
        </is>
      </c>
      <c r="C230" s="38" t="inlineStr">
        <is>
          <t>Benguela</t>
        </is>
      </c>
      <c r="D230" s="39" t="inlineStr">
        <is>
          <t>A_B_M_32_P14</t>
        </is>
      </c>
      <c r="E230" s="40" t="n"/>
      <c r="F230" s="39" t="inlineStr">
        <is>
          <t>B_B_M_32_P14</t>
        </is>
      </c>
      <c r="G230" s="40" t="n"/>
      <c r="H230" s="41" t="n"/>
      <c r="I230" s="42">
        <f>IF($H230="","",MAX(0,$H230-N($E230)))</f>
        <v/>
      </c>
      <c r="J230" s="42">
        <f>IF($H230="","",MAX(0,$H230-N($G230)))</f>
        <v/>
      </c>
    </row>
    <row r="231" ht="19.5" customHeight="1" s="72">
      <c r="A231" s="38" t="inlineStr">
        <is>
          <t>BM-32-P14-SBA</t>
        </is>
      </c>
      <c r="B231" s="38" t="inlineStr">
        <is>
          <t>Fase 32</t>
        </is>
      </c>
      <c r="C231" s="38" t="inlineStr">
        <is>
          <t>São Bento da Abadá</t>
        </is>
      </c>
      <c r="D231" s="39" t="inlineStr">
        <is>
          <t>A_B_M_32_P14</t>
        </is>
      </c>
      <c r="E231" s="40" t="n"/>
      <c r="F231" s="39" t="inlineStr">
        <is>
          <t>B_B_M_32_P14</t>
        </is>
      </c>
      <c r="G231" s="40" t="n"/>
      <c r="H231" s="41" t="n"/>
      <c r="I231" s="42">
        <f>IF($H231="","",MAX(0,$H231-N($E231)))</f>
        <v/>
      </c>
      <c r="J231" s="42">
        <f>IF($H231="","",MAX(0,$H231-N($G231)))</f>
        <v/>
      </c>
    </row>
    <row r="232" ht="19.5" customHeight="1" s="72">
      <c r="A232" s="38" t="inlineStr">
        <is>
          <t>BM-32-P14-SIR</t>
        </is>
      </c>
      <c r="B232" s="38" t="inlineStr">
        <is>
          <t>Fase 32</t>
        </is>
      </c>
      <c r="C232" s="38" t="inlineStr">
        <is>
          <t>Siriuna</t>
        </is>
      </c>
      <c r="D232" s="39" t="inlineStr">
        <is>
          <t>A_B_M_32_P14</t>
        </is>
      </c>
      <c r="E232" s="40" t="n"/>
      <c r="F232" s="39" t="inlineStr">
        <is>
          <t>B_B_M_32_P14</t>
        </is>
      </c>
      <c r="G232" s="40" t="n"/>
      <c r="H232" s="41" t="n"/>
      <c r="I232" s="42">
        <f>IF($H232="","",MAX(0,$H232-N($E232)))</f>
        <v/>
      </c>
      <c r="J232" s="42">
        <f>IF($H232="","",MAX(0,$H232-N($G232)))</f>
        <v/>
      </c>
    </row>
    <row r="233" ht="19.5" customHeight="1" s="72">
      <c r="A233" s="38" t="inlineStr">
        <is>
          <t>BM-32-P15-BEN</t>
        </is>
      </c>
      <c r="B233" s="38" t="inlineStr">
        <is>
          <t>Fase 32</t>
        </is>
      </c>
      <c r="C233" s="38" t="inlineStr">
        <is>
          <t>Benguela</t>
        </is>
      </c>
      <c r="D233" s="39" t="inlineStr">
        <is>
          <t>A_B_M_32_P15</t>
        </is>
      </c>
      <c r="E233" s="40" t="n"/>
      <c r="F233" s="39" t="inlineStr">
        <is>
          <t>B_B_M_32_P15</t>
        </is>
      </c>
      <c r="G233" s="40" t="n"/>
      <c r="H233" s="41" t="n"/>
      <c r="I233" s="42">
        <f>IF($H233="","",MAX(0,$H233-N($E233)))</f>
        <v/>
      </c>
      <c r="J233" s="42">
        <f>IF($H233="","",MAX(0,$H233-N($G233)))</f>
        <v/>
      </c>
    </row>
    <row r="234" ht="19.5" customHeight="1" s="72">
      <c r="A234" s="38" t="inlineStr">
        <is>
          <t>BM-32-P15-SBA</t>
        </is>
      </c>
      <c r="B234" s="38" t="inlineStr">
        <is>
          <t>Fase 32</t>
        </is>
      </c>
      <c r="C234" s="38" t="inlineStr">
        <is>
          <t>São Bento da Abadá</t>
        </is>
      </c>
      <c r="D234" s="39" t="inlineStr">
        <is>
          <t>A_B_M_32_P15</t>
        </is>
      </c>
      <c r="E234" s="40" t="n"/>
      <c r="F234" s="39" t="inlineStr">
        <is>
          <t>B_B_M_32_P15</t>
        </is>
      </c>
      <c r="G234" s="40" t="n"/>
      <c r="H234" s="41" t="n"/>
      <c r="I234" s="42">
        <f>IF($H234="","",MAX(0,$H234-N($E234)))</f>
        <v/>
      </c>
      <c r="J234" s="42">
        <f>IF($H234="","",MAX(0,$H234-N($G234)))</f>
        <v/>
      </c>
    </row>
    <row r="235" ht="19.5" customHeight="1" s="72">
      <c r="A235" s="38" t="inlineStr">
        <is>
          <t>BM-32-P15-SIR</t>
        </is>
      </c>
      <c r="B235" s="38" t="inlineStr">
        <is>
          <t>Fase 32</t>
        </is>
      </c>
      <c r="C235" s="38" t="inlineStr">
        <is>
          <t>Siriuna</t>
        </is>
      </c>
      <c r="D235" s="39" t="inlineStr">
        <is>
          <t>A_B_M_32_P15</t>
        </is>
      </c>
      <c r="E235" s="40" t="n"/>
      <c r="F235" s="39" t="inlineStr">
        <is>
          <t>B_B_M_32_P15</t>
        </is>
      </c>
      <c r="G235" s="40" t="n"/>
      <c r="H235" s="41" t="n"/>
      <c r="I235" s="42">
        <f>IF($H235="","",MAX(0,$H235-N($E235)))</f>
        <v/>
      </c>
      <c r="J235" s="42">
        <f>IF($H235="","",MAX(0,$H235-N($G235)))</f>
        <v/>
      </c>
    </row>
    <row r="236" ht="19.5" customHeight="1" s="72">
      <c r="A236" s="38" t="inlineStr">
        <is>
          <t>BM-32-P16-BEN</t>
        </is>
      </c>
      <c r="B236" s="38" t="inlineStr">
        <is>
          <t>Fase 32</t>
        </is>
      </c>
      <c r="C236" s="38" t="inlineStr">
        <is>
          <t>Benguela</t>
        </is>
      </c>
      <c r="D236" s="39" t="inlineStr">
        <is>
          <t>A_B_M_32_P16</t>
        </is>
      </c>
      <c r="E236" s="40" t="n"/>
      <c r="F236" s="39" t="inlineStr">
        <is>
          <t>B_B_M_32_P16</t>
        </is>
      </c>
      <c r="G236" s="40" t="n"/>
      <c r="H236" s="41" t="n"/>
      <c r="I236" s="42">
        <f>IF($H236="","",MAX(0,$H236-N($E236)))</f>
        <v/>
      </c>
      <c r="J236" s="42">
        <f>IF($H236="","",MAX(0,$H236-N($G236)))</f>
        <v/>
      </c>
    </row>
    <row r="237" ht="19.5" customHeight="1" s="72">
      <c r="A237" s="38" t="inlineStr">
        <is>
          <t>BM-32-P16-SBA</t>
        </is>
      </c>
      <c r="B237" s="38" t="inlineStr">
        <is>
          <t>Fase 32</t>
        </is>
      </c>
      <c r="C237" s="38" t="inlineStr">
        <is>
          <t>São Bento da Abadá</t>
        </is>
      </c>
      <c r="D237" s="39" t="inlineStr">
        <is>
          <t>A_B_M_32_P16</t>
        </is>
      </c>
      <c r="E237" s="40" t="n"/>
      <c r="F237" s="39" t="inlineStr">
        <is>
          <t>B_B_M_32_P16</t>
        </is>
      </c>
      <c r="G237" s="40" t="n"/>
      <c r="H237" s="41" t="n"/>
      <c r="I237" s="42">
        <f>IF($H237="","",MAX(0,$H237-N($E237)))</f>
        <v/>
      </c>
      <c r="J237" s="42">
        <f>IF($H237="","",MAX(0,$H237-N($G237)))</f>
        <v/>
      </c>
    </row>
    <row r="238" ht="19.5" customHeight="1" s="72">
      <c r="A238" s="38" t="inlineStr">
        <is>
          <t>BM-32-P16-SIR</t>
        </is>
      </c>
      <c r="B238" s="38" t="inlineStr">
        <is>
          <t>Fase 32</t>
        </is>
      </c>
      <c r="C238" s="38" t="inlineStr">
        <is>
          <t>Siriuna</t>
        </is>
      </c>
      <c r="D238" s="39" t="inlineStr">
        <is>
          <t>A_B_M_32_P16</t>
        </is>
      </c>
      <c r="E238" s="40" t="n"/>
      <c r="F238" s="39" t="inlineStr">
        <is>
          <t>B_B_M_32_P16</t>
        </is>
      </c>
      <c r="G238" s="40" t="n"/>
      <c r="H238" s="41" t="n"/>
      <c r="I238" s="42">
        <f>IF($H238="","",MAX(0,$H238-N($E238)))</f>
        <v/>
      </c>
      <c r="J238" s="42">
        <f>IF($H238="","",MAX(0,$H238-N($G238)))</f>
        <v/>
      </c>
    </row>
    <row r="239" ht="19.5" customHeight="1" s="72">
      <c r="A239" s="38" t="inlineStr">
        <is>
          <t>BM-OCT-P01-BEN</t>
        </is>
      </c>
      <c r="B239" s="38" t="inlineStr">
        <is>
          <t>Octavas</t>
        </is>
      </c>
      <c r="C239" s="38" t="inlineStr">
        <is>
          <t>Benguela</t>
        </is>
      </c>
      <c r="D239" s="39">
        <f>IFERROR(CLASIF_B_M!$F$5,"")</f>
        <v/>
      </c>
      <c r="E239" s="40" t="n"/>
      <c r="F239" s="39">
        <f>IFERROR(CLASIF_B_M!$F$20,"")</f>
        <v/>
      </c>
      <c r="G239" s="40" t="n"/>
      <c r="H239" s="41" t="n"/>
      <c r="I239" s="42">
        <f>IF($H239="","",MAX(0,$H239-N($E239)))</f>
        <v/>
      </c>
      <c r="J239" s="42">
        <f>IF($H239="","",MAX(0,$H239-N($G239)))</f>
        <v/>
      </c>
    </row>
    <row r="240" ht="19.5" customHeight="1" s="72">
      <c r="A240" s="38" t="inlineStr">
        <is>
          <t>BM-OCT-P01-SBA</t>
        </is>
      </c>
      <c r="B240" s="38" t="inlineStr">
        <is>
          <t>Octavas</t>
        </is>
      </c>
      <c r="C240" s="38" t="inlineStr">
        <is>
          <t>São Bento da Abadá</t>
        </is>
      </c>
      <c r="D240" s="39">
        <f>IFERROR(CLASIF_B_M!$F$5,"")</f>
        <v/>
      </c>
      <c r="E240" s="40" t="n"/>
      <c r="F240" s="39">
        <f>IFERROR(CLASIF_B_M!$F$20,"")</f>
        <v/>
      </c>
      <c r="G240" s="40" t="n"/>
      <c r="H240" s="41" t="n"/>
      <c r="I240" s="42">
        <f>IF($H240="","",MAX(0,$H240-N($E240)))</f>
        <v/>
      </c>
      <c r="J240" s="42">
        <f>IF($H240="","",MAX(0,$H240-N($G240)))</f>
        <v/>
      </c>
    </row>
    <row r="241" ht="19.5" customHeight="1" s="72">
      <c r="A241" s="38" t="inlineStr">
        <is>
          <t>BM-OCT-P01-SIR</t>
        </is>
      </c>
      <c r="B241" s="38" t="inlineStr">
        <is>
          <t>Octavas</t>
        </is>
      </c>
      <c r="C241" s="38" t="inlineStr">
        <is>
          <t>Siriuna</t>
        </is>
      </c>
      <c r="D241" s="39">
        <f>IFERROR(CLASIF_B_M!$F$5,"")</f>
        <v/>
      </c>
      <c r="E241" s="40" t="n"/>
      <c r="F241" s="39">
        <f>IFERROR(CLASIF_B_M!$F$20,"")</f>
        <v/>
      </c>
      <c r="G241" s="40" t="n"/>
      <c r="H241" s="41" t="n"/>
      <c r="I241" s="42">
        <f>IF($H241="","",MAX(0,$H241-N($E241)))</f>
        <v/>
      </c>
      <c r="J241" s="42">
        <f>IF($H241="","",MAX(0,$H241-N($G241)))</f>
        <v/>
      </c>
    </row>
    <row r="242" ht="19.5" customHeight="1" s="72">
      <c r="A242" s="38" t="inlineStr">
        <is>
          <t>BM-OCT-P02-BEN</t>
        </is>
      </c>
      <c r="B242" s="38" t="inlineStr">
        <is>
          <t>Octavas</t>
        </is>
      </c>
      <c r="C242" s="38" t="inlineStr">
        <is>
          <t>Benguela</t>
        </is>
      </c>
      <c r="D242" s="39">
        <f>IFERROR(CLASIF_B_M!$F$6,"")</f>
        <v/>
      </c>
      <c r="E242" s="40" t="n"/>
      <c r="F242" s="39">
        <f>IFERROR(CLASIF_B_M!$F$19,"")</f>
        <v/>
      </c>
      <c r="G242" s="40" t="n"/>
      <c r="H242" s="41" t="n"/>
      <c r="I242" s="42">
        <f>IF($H242="","",MAX(0,$H242-N($E242)))</f>
        <v/>
      </c>
      <c r="J242" s="42">
        <f>IF($H242="","",MAX(0,$H242-N($G242)))</f>
        <v/>
      </c>
    </row>
    <row r="243" ht="19.5" customHeight="1" s="72">
      <c r="A243" s="38" t="inlineStr">
        <is>
          <t>BM-OCT-P02-SBA</t>
        </is>
      </c>
      <c r="B243" s="38" t="inlineStr">
        <is>
          <t>Octavas</t>
        </is>
      </c>
      <c r="C243" s="38" t="inlineStr">
        <is>
          <t>São Bento da Abadá</t>
        </is>
      </c>
      <c r="D243" s="39">
        <f>IFERROR(CLASIF_B_M!$F$6,"")</f>
        <v/>
      </c>
      <c r="E243" s="40" t="n"/>
      <c r="F243" s="39">
        <f>IFERROR(CLASIF_B_M!$F$19,"")</f>
        <v/>
      </c>
      <c r="G243" s="40" t="n"/>
      <c r="H243" s="41" t="n"/>
      <c r="I243" s="42">
        <f>IF($H243="","",MAX(0,$H243-N($E243)))</f>
        <v/>
      </c>
      <c r="J243" s="42">
        <f>IF($H243="","",MAX(0,$H243-N($G243)))</f>
        <v/>
      </c>
    </row>
    <row r="244" ht="19.5" customHeight="1" s="72">
      <c r="A244" s="38" t="inlineStr">
        <is>
          <t>BM-OCT-P02-SIR</t>
        </is>
      </c>
      <c r="B244" s="38" t="inlineStr">
        <is>
          <t>Octavas</t>
        </is>
      </c>
      <c r="C244" s="38" t="inlineStr">
        <is>
          <t>Siriuna</t>
        </is>
      </c>
      <c r="D244" s="39">
        <f>IFERROR(CLASIF_B_M!$F$6,"")</f>
        <v/>
      </c>
      <c r="E244" s="40" t="n"/>
      <c r="F244" s="39">
        <f>IFERROR(CLASIF_B_M!$F$19,"")</f>
        <v/>
      </c>
      <c r="G244" s="40" t="n"/>
      <c r="H244" s="41" t="n"/>
      <c r="I244" s="42">
        <f>IF($H244="","",MAX(0,$H244-N($E244)))</f>
        <v/>
      </c>
      <c r="J244" s="42">
        <f>IF($H244="","",MAX(0,$H244-N($G244)))</f>
        <v/>
      </c>
    </row>
    <row r="245" ht="19.5" customHeight="1" s="72">
      <c r="A245" s="38" t="inlineStr">
        <is>
          <t>BM-OCT-P03-BEN</t>
        </is>
      </c>
      <c r="B245" s="38" t="inlineStr">
        <is>
          <t>Octavas</t>
        </is>
      </c>
      <c r="C245" s="38" t="inlineStr">
        <is>
          <t>Benguela</t>
        </is>
      </c>
      <c r="D245" s="39">
        <f>IFERROR(CLASIF_B_M!$F$7,"")</f>
        <v/>
      </c>
      <c r="E245" s="40" t="n"/>
      <c r="F245" s="39">
        <f>IFERROR(CLASIF_B_M!$F$18,"")</f>
        <v/>
      </c>
      <c r="G245" s="40" t="n"/>
      <c r="H245" s="41" t="n"/>
      <c r="I245" s="42">
        <f>IF($H245="","",MAX(0,$H245-N($E245)))</f>
        <v/>
      </c>
      <c r="J245" s="42">
        <f>IF($H245="","",MAX(0,$H245-N($G245)))</f>
        <v/>
      </c>
    </row>
    <row r="246" ht="19.5" customHeight="1" s="72">
      <c r="A246" s="38" t="inlineStr">
        <is>
          <t>BM-OCT-P03-SBA</t>
        </is>
      </c>
      <c r="B246" s="38" t="inlineStr">
        <is>
          <t>Octavas</t>
        </is>
      </c>
      <c r="C246" s="38" t="inlineStr">
        <is>
          <t>São Bento da Abadá</t>
        </is>
      </c>
      <c r="D246" s="39">
        <f>IFERROR(CLASIF_B_M!$F$7,"")</f>
        <v/>
      </c>
      <c r="E246" s="40" t="n"/>
      <c r="F246" s="39">
        <f>IFERROR(CLASIF_B_M!$F$18,"")</f>
        <v/>
      </c>
      <c r="G246" s="40" t="n"/>
      <c r="H246" s="41" t="n"/>
      <c r="I246" s="42">
        <f>IF($H246="","",MAX(0,$H246-N($E246)))</f>
        <v/>
      </c>
      <c r="J246" s="42">
        <f>IF($H246="","",MAX(0,$H246-N($G246)))</f>
        <v/>
      </c>
    </row>
    <row r="247" ht="19.5" customHeight="1" s="72">
      <c r="A247" s="38" t="inlineStr">
        <is>
          <t>BM-OCT-P03-SIR</t>
        </is>
      </c>
      <c r="B247" s="38" t="inlineStr">
        <is>
          <t>Octavas</t>
        </is>
      </c>
      <c r="C247" s="38" t="inlineStr">
        <is>
          <t>Siriuna</t>
        </is>
      </c>
      <c r="D247" s="39">
        <f>IFERROR(CLASIF_B_M!$F$7,"")</f>
        <v/>
      </c>
      <c r="E247" s="40" t="n"/>
      <c r="F247" s="39">
        <f>IFERROR(CLASIF_B_M!$F$18,"")</f>
        <v/>
      </c>
      <c r="G247" s="40" t="n"/>
      <c r="H247" s="41" t="n"/>
      <c r="I247" s="42">
        <f>IF($H247="","",MAX(0,$H247-N($E247)))</f>
        <v/>
      </c>
      <c r="J247" s="42">
        <f>IF($H247="","",MAX(0,$H247-N($G247)))</f>
        <v/>
      </c>
    </row>
    <row r="248" ht="19.5" customHeight="1" s="72">
      <c r="A248" s="38" t="inlineStr">
        <is>
          <t>BM-OCT-P04-BEN</t>
        </is>
      </c>
      <c r="B248" s="38" t="inlineStr">
        <is>
          <t>Octavas</t>
        </is>
      </c>
      <c r="C248" s="38" t="inlineStr">
        <is>
          <t>Benguela</t>
        </is>
      </c>
      <c r="D248" s="39">
        <f>IFERROR(CLASIF_B_M!$F$8,"")</f>
        <v/>
      </c>
      <c r="E248" s="40" t="n"/>
      <c r="F248" s="39">
        <f>IFERROR(CLASIF_B_M!$F$17,"")</f>
        <v/>
      </c>
      <c r="G248" s="40" t="n"/>
      <c r="H248" s="41" t="n"/>
      <c r="I248" s="42">
        <f>IF($H248="","",MAX(0,$H248-N($E248)))</f>
        <v/>
      </c>
      <c r="J248" s="42">
        <f>IF($H248="","",MAX(0,$H248-N($G248)))</f>
        <v/>
      </c>
    </row>
    <row r="249" ht="19.5" customHeight="1" s="72">
      <c r="A249" s="38" t="inlineStr">
        <is>
          <t>BM-OCT-P04-SBA</t>
        </is>
      </c>
      <c r="B249" s="38" t="inlineStr">
        <is>
          <t>Octavas</t>
        </is>
      </c>
      <c r="C249" s="38" t="inlineStr">
        <is>
          <t>São Bento da Abadá</t>
        </is>
      </c>
      <c r="D249" s="39">
        <f>IFERROR(CLASIF_B_M!$F$8,"")</f>
        <v/>
      </c>
      <c r="E249" s="40" t="n"/>
      <c r="F249" s="39">
        <f>IFERROR(CLASIF_B_M!$F$17,"")</f>
        <v/>
      </c>
      <c r="G249" s="40" t="n"/>
      <c r="H249" s="41" t="n"/>
      <c r="I249" s="42">
        <f>IF($H249="","",MAX(0,$H249-N($E249)))</f>
        <v/>
      </c>
      <c r="J249" s="42">
        <f>IF($H249="","",MAX(0,$H249-N($G249)))</f>
        <v/>
      </c>
    </row>
    <row r="250" ht="19.5" customHeight="1" s="72">
      <c r="A250" s="38" t="inlineStr">
        <is>
          <t>BM-OCT-P04-SIR</t>
        </is>
      </c>
      <c r="B250" s="38" t="inlineStr">
        <is>
          <t>Octavas</t>
        </is>
      </c>
      <c r="C250" s="38" t="inlineStr">
        <is>
          <t>Siriuna</t>
        </is>
      </c>
      <c r="D250" s="39">
        <f>IFERROR(CLASIF_B_M!$F$8,"")</f>
        <v/>
      </c>
      <c r="E250" s="40" t="n"/>
      <c r="F250" s="39">
        <f>IFERROR(CLASIF_B_M!$F$17,"")</f>
        <v/>
      </c>
      <c r="G250" s="40" t="n"/>
      <c r="H250" s="41" t="n"/>
      <c r="I250" s="42">
        <f>IF($H250="","",MAX(0,$H250-N($E250)))</f>
        <v/>
      </c>
      <c r="J250" s="42">
        <f>IF($H250="","",MAX(0,$H250-N($G250)))</f>
        <v/>
      </c>
    </row>
    <row r="251" ht="19.5" customHeight="1" s="72">
      <c r="A251" s="38" t="inlineStr">
        <is>
          <t>BM-OCT-P05-BEN</t>
        </is>
      </c>
      <c r="B251" s="38" t="inlineStr">
        <is>
          <t>Octavas</t>
        </is>
      </c>
      <c r="C251" s="38" t="inlineStr">
        <is>
          <t>Benguela</t>
        </is>
      </c>
      <c r="D251" s="39">
        <f>IFERROR(CLASIF_B_M!$F$9,"")</f>
        <v/>
      </c>
      <c r="E251" s="40" t="n"/>
      <c r="F251" s="39">
        <f>IFERROR(CLASIF_B_M!$F$16,"")</f>
        <v/>
      </c>
      <c r="G251" s="40" t="n"/>
      <c r="H251" s="41" t="n"/>
      <c r="I251" s="42">
        <f>IF($H251="","",MAX(0,$H251-N($E251)))</f>
        <v/>
      </c>
      <c r="J251" s="42">
        <f>IF($H251="","",MAX(0,$H251-N($G251)))</f>
        <v/>
      </c>
    </row>
    <row r="252" ht="19.5" customHeight="1" s="72">
      <c r="A252" s="38" t="inlineStr">
        <is>
          <t>BM-OCT-P05-SBA</t>
        </is>
      </c>
      <c r="B252" s="38" t="inlineStr">
        <is>
          <t>Octavas</t>
        </is>
      </c>
      <c r="C252" s="38" t="inlineStr">
        <is>
          <t>São Bento da Abadá</t>
        </is>
      </c>
      <c r="D252" s="39">
        <f>IFERROR(CLASIF_B_M!$F$9,"")</f>
        <v/>
      </c>
      <c r="E252" s="40" t="n"/>
      <c r="F252" s="39">
        <f>IFERROR(CLASIF_B_M!$F$16,"")</f>
        <v/>
      </c>
      <c r="G252" s="40" t="n"/>
      <c r="H252" s="41" t="n"/>
      <c r="I252" s="42">
        <f>IF($H252="","",MAX(0,$H252-N($E252)))</f>
        <v/>
      </c>
      <c r="J252" s="42">
        <f>IF($H252="","",MAX(0,$H252-N($G252)))</f>
        <v/>
      </c>
    </row>
    <row r="253" ht="19.5" customHeight="1" s="72">
      <c r="A253" s="38" t="inlineStr">
        <is>
          <t>BM-OCT-P05-SIR</t>
        </is>
      </c>
      <c r="B253" s="38" t="inlineStr">
        <is>
          <t>Octavas</t>
        </is>
      </c>
      <c r="C253" s="38" t="inlineStr">
        <is>
          <t>Siriuna</t>
        </is>
      </c>
      <c r="D253" s="39">
        <f>IFERROR(CLASIF_B_M!$F$9,"")</f>
        <v/>
      </c>
      <c r="E253" s="40" t="n"/>
      <c r="F253" s="39">
        <f>IFERROR(CLASIF_B_M!$F$16,"")</f>
        <v/>
      </c>
      <c r="G253" s="40" t="n"/>
      <c r="H253" s="41" t="n"/>
      <c r="I253" s="42">
        <f>IF($H253="","",MAX(0,$H253-N($E253)))</f>
        <v/>
      </c>
      <c r="J253" s="42">
        <f>IF($H253="","",MAX(0,$H253-N($G253)))</f>
        <v/>
      </c>
    </row>
    <row r="254" ht="19.5" customHeight="1" s="72">
      <c r="A254" s="38" t="inlineStr">
        <is>
          <t>BM-OCT-P06-BEN</t>
        </is>
      </c>
      <c r="B254" s="38" t="inlineStr">
        <is>
          <t>Octavas</t>
        </is>
      </c>
      <c r="C254" s="38" t="inlineStr">
        <is>
          <t>Benguela</t>
        </is>
      </c>
      <c r="D254" s="39">
        <f>IFERROR(CLASIF_B_M!$F$10,"")</f>
        <v/>
      </c>
      <c r="E254" s="40" t="n"/>
      <c r="F254" s="39">
        <f>IFERROR(CLASIF_B_M!$F$15,"")</f>
        <v/>
      </c>
      <c r="G254" s="40" t="n"/>
      <c r="H254" s="41" t="n"/>
      <c r="I254" s="42">
        <f>IF($H254="","",MAX(0,$H254-N($E254)))</f>
        <v/>
      </c>
      <c r="J254" s="42">
        <f>IF($H254="","",MAX(0,$H254-N($G254)))</f>
        <v/>
      </c>
    </row>
    <row r="255" ht="19.5" customHeight="1" s="72">
      <c r="A255" s="38" t="inlineStr">
        <is>
          <t>BM-OCT-P06-SBA</t>
        </is>
      </c>
      <c r="B255" s="38" t="inlineStr">
        <is>
          <t>Octavas</t>
        </is>
      </c>
      <c r="C255" s="38" t="inlineStr">
        <is>
          <t>São Bento da Abadá</t>
        </is>
      </c>
      <c r="D255" s="39">
        <f>IFERROR(CLASIF_B_M!$F$10,"")</f>
        <v/>
      </c>
      <c r="E255" s="40" t="n"/>
      <c r="F255" s="39">
        <f>IFERROR(CLASIF_B_M!$F$15,"")</f>
        <v/>
      </c>
      <c r="G255" s="40" t="n"/>
      <c r="H255" s="41" t="n"/>
      <c r="I255" s="42">
        <f>IF($H255="","",MAX(0,$H255-N($E255)))</f>
        <v/>
      </c>
      <c r="J255" s="42">
        <f>IF($H255="","",MAX(0,$H255-N($G255)))</f>
        <v/>
      </c>
    </row>
    <row r="256" ht="19.5" customHeight="1" s="72">
      <c r="A256" s="38" t="inlineStr">
        <is>
          <t>BM-OCT-P06-SIR</t>
        </is>
      </c>
      <c r="B256" s="38" t="inlineStr">
        <is>
          <t>Octavas</t>
        </is>
      </c>
      <c r="C256" s="38" t="inlineStr">
        <is>
          <t>Siriuna</t>
        </is>
      </c>
      <c r="D256" s="39">
        <f>IFERROR(CLASIF_B_M!$F$10,"")</f>
        <v/>
      </c>
      <c r="E256" s="40" t="n"/>
      <c r="F256" s="39">
        <f>IFERROR(CLASIF_B_M!$F$15,"")</f>
        <v/>
      </c>
      <c r="G256" s="40" t="n"/>
      <c r="H256" s="41" t="n"/>
      <c r="I256" s="42">
        <f>IF($H256="","",MAX(0,$H256-N($E256)))</f>
        <v/>
      </c>
      <c r="J256" s="42">
        <f>IF($H256="","",MAX(0,$H256-N($G256)))</f>
        <v/>
      </c>
    </row>
    <row r="257" ht="19.5" customHeight="1" s="72">
      <c r="A257" s="38" t="inlineStr">
        <is>
          <t>BM-OCT-P07-BEN</t>
        </is>
      </c>
      <c r="B257" s="38" t="inlineStr">
        <is>
          <t>Octavas</t>
        </is>
      </c>
      <c r="C257" s="38" t="inlineStr">
        <is>
          <t>Benguela</t>
        </is>
      </c>
      <c r="D257" s="39">
        <f>IFERROR(CLASIF_B_M!$F$11,"")</f>
        <v/>
      </c>
      <c r="E257" s="40" t="n"/>
      <c r="F257" s="39">
        <f>IFERROR(CLASIF_B_M!$F$14,"")</f>
        <v/>
      </c>
      <c r="G257" s="40" t="n"/>
      <c r="H257" s="41" t="n"/>
      <c r="I257" s="42">
        <f>IF($H257="","",MAX(0,$H257-N($E257)))</f>
        <v/>
      </c>
      <c r="J257" s="42">
        <f>IF($H257="","",MAX(0,$H257-N($G257)))</f>
        <v/>
      </c>
    </row>
    <row r="258" ht="19.5" customHeight="1" s="72">
      <c r="A258" s="38" t="inlineStr">
        <is>
          <t>BM-OCT-P07-SBA</t>
        </is>
      </c>
      <c r="B258" s="38" t="inlineStr">
        <is>
          <t>Octavas</t>
        </is>
      </c>
      <c r="C258" s="38" t="inlineStr">
        <is>
          <t>São Bento da Abadá</t>
        </is>
      </c>
      <c r="D258" s="39">
        <f>IFERROR(CLASIF_B_M!$F$11,"")</f>
        <v/>
      </c>
      <c r="E258" s="40" t="n"/>
      <c r="F258" s="39">
        <f>IFERROR(CLASIF_B_M!$F$14,"")</f>
        <v/>
      </c>
      <c r="G258" s="40" t="n"/>
      <c r="H258" s="41" t="n"/>
      <c r="I258" s="42">
        <f>IF($H258="","",MAX(0,$H258-N($E258)))</f>
        <v/>
      </c>
      <c r="J258" s="42">
        <f>IF($H258="","",MAX(0,$H258-N($G258)))</f>
        <v/>
      </c>
    </row>
    <row r="259" ht="19.5" customHeight="1" s="72">
      <c r="A259" s="38" t="inlineStr">
        <is>
          <t>BM-OCT-P07-SIR</t>
        </is>
      </c>
      <c r="B259" s="38" t="inlineStr">
        <is>
          <t>Octavas</t>
        </is>
      </c>
      <c r="C259" s="38" t="inlineStr">
        <is>
          <t>Siriuna</t>
        </is>
      </c>
      <c r="D259" s="39">
        <f>IFERROR(CLASIF_B_M!$F$11,"")</f>
        <v/>
      </c>
      <c r="E259" s="40" t="n"/>
      <c r="F259" s="39">
        <f>IFERROR(CLASIF_B_M!$F$14,"")</f>
        <v/>
      </c>
      <c r="G259" s="40" t="n"/>
      <c r="H259" s="41" t="n"/>
      <c r="I259" s="42">
        <f>IF($H259="","",MAX(0,$H259-N($E259)))</f>
        <v/>
      </c>
      <c r="J259" s="42">
        <f>IF($H259="","",MAX(0,$H259-N($G259)))</f>
        <v/>
      </c>
    </row>
    <row r="260" ht="19.5" customHeight="1" s="72">
      <c r="A260" s="38" t="inlineStr">
        <is>
          <t>BM-OCT-P08-BEN</t>
        </is>
      </c>
      <c r="B260" s="38" t="inlineStr">
        <is>
          <t>Octavas</t>
        </is>
      </c>
      <c r="C260" s="38" t="inlineStr">
        <is>
          <t>Benguela</t>
        </is>
      </c>
      <c r="D260" s="39">
        <f>IFERROR(CLASIF_B_M!$F$12,"")</f>
        <v/>
      </c>
      <c r="E260" s="40" t="n"/>
      <c r="F260" s="39">
        <f>IFERROR(CLASIF_B_M!$F$13,"")</f>
        <v/>
      </c>
      <c r="G260" s="40" t="n"/>
      <c r="H260" s="41" t="n"/>
      <c r="I260" s="42">
        <f>IF($H260="","",MAX(0,$H260-N($E260)))</f>
        <v/>
      </c>
      <c r="J260" s="42">
        <f>IF($H260="","",MAX(0,$H260-N($G260)))</f>
        <v/>
      </c>
    </row>
    <row r="261" ht="19.5" customHeight="1" s="72">
      <c r="A261" s="38" t="inlineStr">
        <is>
          <t>BM-OCT-P08-SBA</t>
        </is>
      </c>
      <c r="B261" s="38" t="inlineStr">
        <is>
          <t>Octavas</t>
        </is>
      </c>
      <c r="C261" s="38" t="inlineStr">
        <is>
          <t>São Bento da Abadá</t>
        </is>
      </c>
      <c r="D261" s="39">
        <f>IFERROR(CLASIF_B_M!$F$12,"")</f>
        <v/>
      </c>
      <c r="E261" s="40" t="n"/>
      <c r="F261" s="39">
        <f>IFERROR(CLASIF_B_M!$F$13,"")</f>
        <v/>
      </c>
      <c r="G261" s="40" t="n"/>
      <c r="H261" s="41" t="n"/>
      <c r="I261" s="42">
        <f>IF($H261="","",MAX(0,$H261-N($E261)))</f>
        <v/>
      </c>
      <c r="J261" s="42">
        <f>IF($H261="","",MAX(0,$H261-N($G261)))</f>
        <v/>
      </c>
    </row>
    <row r="262" ht="19.5" customHeight="1" s="72">
      <c r="A262" s="38" t="inlineStr">
        <is>
          <t>BM-OCT-P08-SIR</t>
        </is>
      </c>
      <c r="B262" s="38" t="inlineStr">
        <is>
          <t>Octavas</t>
        </is>
      </c>
      <c r="C262" s="38" t="inlineStr">
        <is>
          <t>Siriuna</t>
        </is>
      </c>
      <c r="D262" s="39">
        <f>IFERROR(CLASIF_B_M!$F$12,"")</f>
        <v/>
      </c>
      <c r="E262" s="40" t="n"/>
      <c r="F262" s="39">
        <f>IFERROR(CLASIF_B_M!$F$13,"")</f>
        <v/>
      </c>
      <c r="G262" s="40" t="n"/>
      <c r="H262" s="41" t="n"/>
      <c r="I262" s="42">
        <f>IF($H262="","",MAX(0,$H262-N($E262)))</f>
        <v/>
      </c>
      <c r="J262" s="42">
        <f>IF($H262="","",MAX(0,$H262-N($G262)))</f>
        <v/>
      </c>
    </row>
    <row r="263" ht="19.5" customHeight="1" s="72">
      <c r="A263" s="38" t="inlineStr">
        <is>
          <t>BM-SEM-P01-BEN</t>
        </is>
      </c>
      <c r="B263" s="38" t="inlineStr">
        <is>
          <t>Semifinal</t>
        </is>
      </c>
      <c r="C263" s="38" t="inlineStr">
        <is>
          <t>Benguela</t>
        </is>
      </c>
      <c r="D263" s="39">
        <f>IFERROR(CLASIF_B_M!$O$5,"")</f>
        <v/>
      </c>
      <c r="E263" s="40" t="n"/>
      <c r="F263" s="39">
        <f>IFERROR(CLASIF_B_M!$O$12,"")</f>
        <v/>
      </c>
      <c r="G263" s="40" t="n"/>
      <c r="H263" s="41" t="n"/>
      <c r="I263" s="42">
        <f>IF($H263="","",MAX(0,$H263-N($E263)))</f>
        <v/>
      </c>
      <c r="J263" s="42">
        <f>IF($H263="","",MAX(0,$H263-N($G263)))</f>
        <v/>
      </c>
    </row>
    <row r="264" ht="19.5" customHeight="1" s="72">
      <c r="A264" s="38" t="inlineStr">
        <is>
          <t>BM-SEM-P01-SBA</t>
        </is>
      </c>
      <c r="B264" s="38" t="inlineStr">
        <is>
          <t>Semifinal</t>
        </is>
      </c>
      <c r="C264" s="38" t="inlineStr">
        <is>
          <t>São Bento da Abadá</t>
        </is>
      </c>
      <c r="D264" s="39">
        <f>IFERROR(CLASIF_B_M!$O$5,"")</f>
        <v/>
      </c>
      <c r="E264" s="40" t="n"/>
      <c r="F264" s="39">
        <f>IFERROR(CLASIF_B_M!$O$12,"")</f>
        <v/>
      </c>
      <c r="G264" s="40" t="n"/>
      <c r="H264" s="41" t="n"/>
      <c r="I264" s="42">
        <f>IF($H264="","",MAX(0,$H264-N($E264)))</f>
        <v/>
      </c>
      <c r="J264" s="42">
        <f>IF($H264="","",MAX(0,$H264-N($G264)))</f>
        <v/>
      </c>
    </row>
    <row r="265" ht="19.5" customHeight="1" s="72">
      <c r="A265" s="38" t="inlineStr">
        <is>
          <t>BM-SEM-P01-SIR</t>
        </is>
      </c>
      <c r="B265" s="38" t="inlineStr">
        <is>
          <t>Semifinal</t>
        </is>
      </c>
      <c r="C265" s="38" t="inlineStr">
        <is>
          <t>Siriuna</t>
        </is>
      </c>
      <c r="D265" s="39">
        <f>IFERROR(CLASIF_B_M!$O$5,"")</f>
        <v/>
      </c>
      <c r="E265" s="40" t="n"/>
      <c r="F265" s="39">
        <f>IFERROR(CLASIF_B_M!$O$12,"")</f>
        <v/>
      </c>
      <c r="G265" s="40" t="n"/>
      <c r="H265" s="41" t="n"/>
      <c r="I265" s="42">
        <f>IF($H265="","",MAX(0,$H265-N($E265)))</f>
        <v/>
      </c>
      <c r="J265" s="42">
        <f>IF($H265="","",MAX(0,$H265-N($G265)))</f>
        <v/>
      </c>
    </row>
    <row r="266" ht="19.5" customHeight="1" s="72">
      <c r="A266" s="38" t="inlineStr">
        <is>
          <t>BM-SEM-P02-BEN</t>
        </is>
      </c>
      <c r="B266" s="38" t="inlineStr">
        <is>
          <t>Semifinal</t>
        </is>
      </c>
      <c r="C266" s="38" t="inlineStr">
        <is>
          <t>Benguela</t>
        </is>
      </c>
      <c r="D266" s="39">
        <f>IFERROR(CLASIF_B_M!$O$6,"")</f>
        <v/>
      </c>
      <c r="E266" s="40" t="n"/>
      <c r="F266" s="39">
        <f>IFERROR(CLASIF_B_M!$O$11,"")</f>
        <v/>
      </c>
      <c r="G266" s="40" t="n"/>
      <c r="H266" s="41" t="n"/>
      <c r="I266" s="42">
        <f>IF($H266="","",MAX(0,$H266-N($E266)))</f>
        <v/>
      </c>
      <c r="J266" s="42">
        <f>IF($H266="","",MAX(0,$H266-N($G266)))</f>
        <v/>
      </c>
    </row>
    <row r="267" ht="19.5" customHeight="1" s="72">
      <c r="A267" s="38" t="inlineStr">
        <is>
          <t>BM-SEM-P02-SBA</t>
        </is>
      </c>
      <c r="B267" s="38" t="inlineStr">
        <is>
          <t>Semifinal</t>
        </is>
      </c>
      <c r="C267" s="38" t="inlineStr">
        <is>
          <t>São Bento da Abadá</t>
        </is>
      </c>
      <c r="D267" s="39">
        <f>IFERROR(CLASIF_B_M!$O$6,"")</f>
        <v/>
      </c>
      <c r="E267" s="40" t="n"/>
      <c r="F267" s="39">
        <f>IFERROR(CLASIF_B_M!$O$11,"")</f>
        <v/>
      </c>
      <c r="G267" s="40" t="n"/>
      <c r="H267" s="41" t="n"/>
      <c r="I267" s="42">
        <f>IF($H267="","",MAX(0,$H267-N($E267)))</f>
        <v/>
      </c>
      <c r="J267" s="42">
        <f>IF($H267="","",MAX(0,$H267-N($G267)))</f>
        <v/>
      </c>
    </row>
    <row r="268" ht="19.5" customHeight="1" s="72">
      <c r="A268" s="38" t="inlineStr">
        <is>
          <t>BM-SEM-P02-SIR</t>
        </is>
      </c>
      <c r="B268" s="38" t="inlineStr">
        <is>
          <t>Semifinal</t>
        </is>
      </c>
      <c r="C268" s="38" t="inlineStr">
        <is>
          <t>Siriuna</t>
        </is>
      </c>
      <c r="D268" s="39">
        <f>IFERROR(CLASIF_B_M!$O$6,"")</f>
        <v/>
      </c>
      <c r="E268" s="40" t="n"/>
      <c r="F268" s="39">
        <f>IFERROR(CLASIF_B_M!$O$11,"")</f>
        <v/>
      </c>
      <c r="G268" s="40" t="n"/>
      <c r="H268" s="41" t="n"/>
      <c r="I268" s="42">
        <f>IF($H268="","",MAX(0,$H268-N($E268)))</f>
        <v/>
      </c>
      <c r="J268" s="42">
        <f>IF($H268="","",MAX(0,$H268-N($G268)))</f>
        <v/>
      </c>
    </row>
    <row r="269" ht="19.5" customHeight="1" s="72">
      <c r="A269" s="38" t="inlineStr">
        <is>
          <t>BM-SEM-P03-BEN</t>
        </is>
      </c>
      <c r="B269" s="38" t="inlineStr">
        <is>
          <t>Semifinal</t>
        </is>
      </c>
      <c r="C269" s="38" t="inlineStr">
        <is>
          <t>Benguela</t>
        </is>
      </c>
      <c r="D269" s="39">
        <f>IFERROR(CLASIF_B_M!$O$7,"")</f>
        <v/>
      </c>
      <c r="E269" s="40" t="n"/>
      <c r="F269" s="39">
        <f>IFERROR(CLASIF_B_M!$O$10,"")</f>
        <v/>
      </c>
      <c r="G269" s="40" t="n"/>
      <c r="H269" s="41" t="n"/>
      <c r="I269" s="42">
        <f>IF($H269="","",MAX(0,$H269-N($E269)))</f>
        <v/>
      </c>
      <c r="J269" s="42">
        <f>IF($H269="","",MAX(0,$H269-N($G269)))</f>
        <v/>
      </c>
    </row>
    <row r="270" ht="19.5" customHeight="1" s="72">
      <c r="A270" s="38" t="inlineStr">
        <is>
          <t>BM-SEM-P03-SBA</t>
        </is>
      </c>
      <c r="B270" s="38" t="inlineStr">
        <is>
          <t>Semifinal</t>
        </is>
      </c>
      <c r="C270" s="38" t="inlineStr">
        <is>
          <t>São Bento da Abadá</t>
        </is>
      </c>
      <c r="D270" s="39">
        <f>IFERROR(CLASIF_B_M!$O$7,"")</f>
        <v/>
      </c>
      <c r="E270" s="40" t="n"/>
      <c r="F270" s="39">
        <f>IFERROR(CLASIF_B_M!$O$10,"")</f>
        <v/>
      </c>
      <c r="G270" s="40" t="n"/>
      <c r="H270" s="41" t="n"/>
      <c r="I270" s="42">
        <f>IF($H270="","",MAX(0,$H270-N($E270)))</f>
        <v/>
      </c>
      <c r="J270" s="42">
        <f>IF($H270="","",MAX(0,$H270-N($G270)))</f>
        <v/>
      </c>
    </row>
    <row r="271" ht="19.5" customHeight="1" s="72">
      <c r="A271" s="38" t="inlineStr">
        <is>
          <t>BM-SEM-P03-SIR</t>
        </is>
      </c>
      <c r="B271" s="38" t="inlineStr">
        <is>
          <t>Semifinal</t>
        </is>
      </c>
      <c r="C271" s="38" t="inlineStr">
        <is>
          <t>Siriuna</t>
        </is>
      </c>
      <c r="D271" s="39">
        <f>IFERROR(CLASIF_B_M!$O$7,"")</f>
        <v/>
      </c>
      <c r="E271" s="40" t="n"/>
      <c r="F271" s="39">
        <f>IFERROR(CLASIF_B_M!$O$10,"")</f>
        <v/>
      </c>
      <c r="G271" s="40" t="n"/>
      <c r="H271" s="41" t="n"/>
      <c r="I271" s="42">
        <f>IF($H271="","",MAX(0,$H271-N($E271)))</f>
        <v/>
      </c>
      <c r="J271" s="42">
        <f>IF($H271="","",MAX(0,$H271-N($G271)))</f>
        <v/>
      </c>
    </row>
    <row r="272" ht="19.5" customHeight="1" s="72">
      <c r="A272" s="38" t="inlineStr">
        <is>
          <t>BM-SEM-P04-BEN</t>
        </is>
      </c>
      <c r="B272" s="38" t="inlineStr">
        <is>
          <t>Semifinal</t>
        </is>
      </c>
      <c r="C272" s="38" t="inlineStr">
        <is>
          <t>Benguela</t>
        </is>
      </c>
      <c r="D272" s="39">
        <f>IFERROR(CLASIF_B_M!$O$8,"")</f>
        <v/>
      </c>
      <c r="E272" s="40" t="n"/>
      <c r="F272" s="39">
        <f>IFERROR(CLASIF_B_M!$O$9,"")</f>
        <v/>
      </c>
      <c r="G272" s="40" t="n"/>
      <c r="H272" s="41" t="n"/>
      <c r="I272" s="42">
        <f>IF($H272="","",MAX(0,$H272-N($E272)))</f>
        <v/>
      </c>
      <c r="J272" s="42">
        <f>IF($H272="","",MAX(0,$H272-N($G272)))</f>
        <v/>
      </c>
    </row>
    <row r="273" ht="19.5" customHeight="1" s="72">
      <c r="A273" s="38" t="inlineStr">
        <is>
          <t>BM-SEM-P04-SBA</t>
        </is>
      </c>
      <c r="B273" s="38" t="inlineStr">
        <is>
          <t>Semifinal</t>
        </is>
      </c>
      <c r="C273" s="38" t="inlineStr">
        <is>
          <t>São Bento da Abadá</t>
        </is>
      </c>
      <c r="D273" s="39">
        <f>IFERROR(CLASIF_B_M!$O$8,"")</f>
        <v/>
      </c>
      <c r="E273" s="40" t="n"/>
      <c r="F273" s="39">
        <f>IFERROR(CLASIF_B_M!$O$9,"")</f>
        <v/>
      </c>
      <c r="G273" s="40" t="n"/>
      <c r="H273" s="41" t="n"/>
      <c r="I273" s="42">
        <f>IF($H273="","",MAX(0,$H273-N($E273)))</f>
        <v/>
      </c>
      <c r="J273" s="42">
        <f>IF($H273="","",MAX(0,$H273-N($G273)))</f>
        <v/>
      </c>
    </row>
    <row r="274" ht="19.5" customHeight="1" s="72">
      <c r="A274" s="38" t="inlineStr">
        <is>
          <t>BM-SEM-P04-SIR</t>
        </is>
      </c>
      <c r="B274" s="38" t="inlineStr">
        <is>
          <t>Semifinal</t>
        </is>
      </c>
      <c r="C274" s="38" t="inlineStr">
        <is>
          <t>Siriuna</t>
        </is>
      </c>
      <c r="D274" s="39">
        <f>IFERROR(CLASIF_B_M!$O$8,"")</f>
        <v/>
      </c>
      <c r="E274" s="40" t="n"/>
      <c r="F274" s="39">
        <f>IFERROR(CLASIF_B_M!$O$9,"")</f>
        <v/>
      </c>
      <c r="G274" s="40" t="n"/>
      <c r="H274" s="41" t="n"/>
      <c r="I274" s="42">
        <f>IF($H274="","",MAX(0,$H274-N($E274)))</f>
        <v/>
      </c>
      <c r="J274" s="42">
        <f>IF($H274="","",MAX(0,$H274-N($G274)))</f>
        <v/>
      </c>
    </row>
    <row r="275" ht="19.5" customHeight="1" s="72">
      <c r="A275" s="38" t="inlineStr">
        <is>
          <t>BM-FIN-P01-BEN</t>
        </is>
      </c>
      <c r="B275" s="38" t="inlineStr">
        <is>
          <t>Final</t>
        </is>
      </c>
      <c r="C275" s="38" t="inlineStr">
        <is>
          <t>Benguela</t>
        </is>
      </c>
      <c r="D275" s="39">
        <f>IFERROR(CLASIF_B_M!$X$5,"")</f>
        <v/>
      </c>
      <c r="E275" s="40" t="n"/>
      <c r="F275" s="39">
        <f>IFERROR(CLASIF_B_M!$X$8,"")</f>
        <v/>
      </c>
      <c r="G275" s="40" t="n"/>
      <c r="H275" s="41" t="n"/>
      <c r="I275" s="42">
        <f>IF($H275="","",MAX(0,$H275-N($E275)))</f>
        <v/>
      </c>
      <c r="J275" s="42">
        <f>IF($H275="","",MAX(0,$H275-N($G275)))</f>
        <v/>
      </c>
    </row>
    <row r="276" ht="19.5" customHeight="1" s="72">
      <c r="A276" s="38" t="inlineStr">
        <is>
          <t>BM-FIN-P01-SBA</t>
        </is>
      </c>
      <c r="B276" s="38" t="inlineStr">
        <is>
          <t>Final</t>
        </is>
      </c>
      <c r="C276" s="38" t="inlineStr">
        <is>
          <t>São Bento da Abadá</t>
        </is>
      </c>
      <c r="D276" s="39">
        <f>IFERROR(CLASIF_B_M!$X$5,"")</f>
        <v/>
      </c>
      <c r="E276" s="40" t="n"/>
      <c r="F276" s="39">
        <f>IFERROR(CLASIF_B_M!$X$8,"")</f>
        <v/>
      </c>
      <c r="G276" s="40" t="n"/>
      <c r="H276" s="41" t="n"/>
      <c r="I276" s="42">
        <f>IF($H276="","",MAX(0,$H276-N($E276)))</f>
        <v/>
      </c>
      <c r="J276" s="42">
        <f>IF($H276="","",MAX(0,$H276-N($G276)))</f>
        <v/>
      </c>
    </row>
    <row r="277" ht="19.5" customHeight="1" s="72">
      <c r="A277" s="38" t="inlineStr">
        <is>
          <t>BM-FIN-P01-SIR</t>
        </is>
      </c>
      <c r="B277" s="38" t="inlineStr">
        <is>
          <t>Final</t>
        </is>
      </c>
      <c r="C277" s="38" t="inlineStr">
        <is>
          <t>Siriuna</t>
        </is>
      </c>
      <c r="D277" s="39">
        <f>IFERROR(CLASIF_B_M!$X$5,"")</f>
        <v/>
      </c>
      <c r="E277" s="40" t="n"/>
      <c r="F277" s="39">
        <f>IFERROR(CLASIF_B_M!$X$8,"")</f>
        <v/>
      </c>
      <c r="G277" s="40" t="n"/>
      <c r="H277" s="41" t="n"/>
      <c r="I277" s="42">
        <f>IF($H277="","",MAX(0,$H277-N($E277)))</f>
        <v/>
      </c>
      <c r="J277" s="42">
        <f>IF($H277="","",MAX(0,$H277-N($G277)))</f>
        <v/>
      </c>
    </row>
    <row r="278" ht="19.5" customHeight="1" s="72">
      <c r="A278" s="38" t="inlineStr">
        <is>
          <t>BM-FIN-P02-BEN</t>
        </is>
      </c>
      <c r="B278" s="38" t="inlineStr">
        <is>
          <t>Final</t>
        </is>
      </c>
      <c r="C278" s="38" t="inlineStr">
        <is>
          <t>Benguela</t>
        </is>
      </c>
      <c r="D278" s="39">
        <f>IFERROR(CLASIF_B_M!$X$6,"")</f>
        <v/>
      </c>
      <c r="E278" s="40" t="n"/>
      <c r="F278" s="39">
        <f>IFERROR(CLASIF_B_M!$X$7,"")</f>
        <v/>
      </c>
      <c r="G278" s="40" t="n"/>
      <c r="H278" s="41" t="n"/>
      <c r="I278" s="42">
        <f>IF($H278="","",MAX(0,$H278-N($E278)))</f>
        <v/>
      </c>
      <c r="J278" s="42">
        <f>IF($H278="","",MAX(0,$H278-N($G278)))</f>
        <v/>
      </c>
    </row>
    <row r="279" ht="19.5" customHeight="1" s="72">
      <c r="A279" s="38" t="inlineStr">
        <is>
          <t>BM-FIN-P02-SBA</t>
        </is>
      </c>
      <c r="B279" s="38" t="inlineStr">
        <is>
          <t>Final</t>
        </is>
      </c>
      <c r="C279" s="38" t="inlineStr">
        <is>
          <t>São Bento da Abadá</t>
        </is>
      </c>
      <c r="D279" s="39">
        <f>IFERROR(CLASIF_B_M!$X$6,"")</f>
        <v/>
      </c>
      <c r="E279" s="40" t="n"/>
      <c r="F279" s="39">
        <f>IFERROR(CLASIF_B_M!$X$7,"")</f>
        <v/>
      </c>
      <c r="G279" s="40" t="n"/>
      <c r="H279" s="41" t="n"/>
      <c r="I279" s="42">
        <f>IF($H279="","",MAX(0,$H279-N($E279)))</f>
        <v/>
      </c>
      <c r="J279" s="42">
        <f>IF($H279="","",MAX(0,$H279-N($G279)))</f>
        <v/>
      </c>
    </row>
    <row r="280" ht="19.5" customHeight="1" s="72">
      <c r="A280" s="38" t="inlineStr">
        <is>
          <t>BM-FIN-P02-SIR</t>
        </is>
      </c>
      <c r="B280" s="38" t="inlineStr">
        <is>
          <t>Final</t>
        </is>
      </c>
      <c r="C280" s="38" t="inlineStr">
        <is>
          <t>Siriuna</t>
        </is>
      </c>
      <c r="D280" s="39">
        <f>IFERROR(CLASIF_B_M!$X$6,"")</f>
        <v/>
      </c>
      <c r="E280" s="40" t="n"/>
      <c r="F280" s="39">
        <f>IFERROR(CLASIF_B_M!$X$7,"")</f>
        <v/>
      </c>
      <c r="G280" s="40" t="n"/>
      <c r="H280" s="41" t="n"/>
      <c r="I280" s="42">
        <f>IF($H280="","",MAX(0,$H280-N($E280)))</f>
        <v/>
      </c>
      <c r="J280" s="42">
        <f>IF($H280="","",MAX(0,$H280-N($G280)))</f>
        <v/>
      </c>
    </row>
    <row r="281" ht="19.5" customHeight="1" s="72">
      <c r="A281" s="43" t="n"/>
      <c r="B281" s="43" t="n"/>
      <c r="C281" s="43" t="n"/>
      <c r="D281" s="43" t="n"/>
      <c r="E281" s="43" t="n"/>
      <c r="F281" s="43" t="n"/>
      <c r="G281" s="43" t="n"/>
      <c r="H281" s="44" t="n"/>
      <c r="I281" s="43">
        <f>IF($H281="","",MAX(0,$H281-N($E281)))</f>
        <v/>
      </c>
      <c r="J281" s="43">
        <f>IF($H281="","",MAX(0,$H281-N($G281)))</f>
        <v/>
      </c>
    </row>
    <row r="282" ht="19.5" customHeight="1" s="72">
      <c r="A282" s="81" t="inlineStr">
        <is>
          <t>═══ CATEGORÍA B · Femenino · Morada (Instructores) · Toques: Benguela, São Bento da Abadá, Siriuna ═══</t>
        </is>
      </c>
    </row>
    <row r="283" ht="19.5" customHeight="1" s="72">
      <c r="A283" s="45" t="inlineStr">
        <is>
          <t>Jogo</t>
        </is>
      </c>
      <c r="B283" s="45" t="inlineStr">
        <is>
          <t>Fase</t>
        </is>
      </c>
      <c r="C283" s="45" t="inlineStr">
        <is>
          <t>Toque</t>
        </is>
      </c>
      <c r="D283" s="45" t="inlineStr">
        <is>
          <t>Jugador A</t>
        </is>
      </c>
      <c r="E283" s="45" t="inlineStr">
        <is>
          <t>Quita A</t>
        </is>
      </c>
      <c r="F283" s="45" t="inlineStr">
        <is>
          <t>Jugador B</t>
        </is>
      </c>
      <c r="G283" s="45" t="inlineStr">
        <is>
          <t>Quita B</t>
        </is>
      </c>
      <c r="H283" s="45" t="inlineStr">
        <is>
          <t>NOTA (0-5)</t>
        </is>
      </c>
      <c r="I283" s="45">
        <f>IF($H283="","",MAX(0,$H283-N($E283)))</f>
        <v/>
      </c>
      <c r="J283" s="45">
        <f>IF($H283="","",MAX(0,$H283-N($G283)))</f>
        <v/>
      </c>
    </row>
    <row r="284" ht="19.5" customHeight="1" s="72">
      <c r="A284" s="38" t="inlineStr">
        <is>
          <t>BF-32-P01-BEN</t>
        </is>
      </c>
      <c r="B284" s="38" t="inlineStr">
        <is>
          <t>Fase 32</t>
        </is>
      </c>
      <c r="C284" s="38" t="inlineStr">
        <is>
          <t>Benguela</t>
        </is>
      </c>
      <c r="D284" s="39" t="inlineStr">
        <is>
          <t>A_B_F_32_P1</t>
        </is>
      </c>
      <c r="E284" s="40" t="n"/>
      <c r="F284" s="39" t="inlineStr">
        <is>
          <t>B_B_F_32_P1</t>
        </is>
      </c>
      <c r="G284" s="40" t="n"/>
      <c r="H284" s="41" t="n"/>
      <c r="I284" s="42">
        <f>IF($H284="","",MAX(0,$H284-N($E284)))</f>
        <v/>
      </c>
      <c r="J284" s="42">
        <f>IF($H284="","",MAX(0,$H284-N($G284)))</f>
        <v/>
      </c>
    </row>
    <row r="285" ht="19.5" customHeight="1" s="72">
      <c r="A285" s="38" t="inlineStr">
        <is>
          <t>BF-32-P01-SBA</t>
        </is>
      </c>
      <c r="B285" s="38" t="inlineStr">
        <is>
          <t>Fase 32</t>
        </is>
      </c>
      <c r="C285" s="38" t="inlineStr">
        <is>
          <t>São Bento da Abadá</t>
        </is>
      </c>
      <c r="D285" s="39" t="inlineStr">
        <is>
          <t>A_B_F_32_P1</t>
        </is>
      </c>
      <c r="E285" s="40" t="n"/>
      <c r="F285" s="39" t="inlineStr">
        <is>
          <t>B_B_F_32_P1</t>
        </is>
      </c>
      <c r="G285" s="40" t="n"/>
      <c r="H285" s="41" t="n"/>
      <c r="I285" s="42">
        <f>IF($H285="","",MAX(0,$H285-N($E285)))</f>
        <v/>
      </c>
      <c r="J285" s="42">
        <f>IF($H285="","",MAX(0,$H285-N($G285)))</f>
        <v/>
      </c>
    </row>
    <row r="286" ht="19.5" customHeight="1" s="72">
      <c r="A286" s="38" t="inlineStr">
        <is>
          <t>BF-32-P01-SIR</t>
        </is>
      </c>
      <c r="B286" s="38" t="inlineStr">
        <is>
          <t>Fase 32</t>
        </is>
      </c>
      <c r="C286" s="38" t="inlineStr">
        <is>
          <t>Siriuna</t>
        </is>
      </c>
      <c r="D286" s="39" t="inlineStr">
        <is>
          <t>A_B_F_32_P1</t>
        </is>
      </c>
      <c r="E286" s="40" t="n"/>
      <c r="F286" s="39" t="inlineStr">
        <is>
          <t>B_B_F_32_P1</t>
        </is>
      </c>
      <c r="G286" s="40" t="n"/>
      <c r="H286" s="41" t="n"/>
      <c r="I286" s="42">
        <f>IF($H286="","",MAX(0,$H286-N($E286)))</f>
        <v/>
      </c>
      <c r="J286" s="42">
        <f>IF($H286="","",MAX(0,$H286-N($G286)))</f>
        <v/>
      </c>
    </row>
    <row r="287" ht="19.5" customHeight="1" s="72">
      <c r="A287" s="38" t="inlineStr">
        <is>
          <t>BF-32-P02-BEN</t>
        </is>
      </c>
      <c r="B287" s="38" t="inlineStr">
        <is>
          <t>Fase 32</t>
        </is>
      </c>
      <c r="C287" s="38" t="inlineStr">
        <is>
          <t>Benguela</t>
        </is>
      </c>
      <c r="D287" s="39" t="inlineStr">
        <is>
          <t>A_B_F_32_P2</t>
        </is>
      </c>
      <c r="E287" s="40" t="n"/>
      <c r="F287" s="39" t="inlineStr">
        <is>
          <t>B_B_F_32_P2</t>
        </is>
      </c>
      <c r="G287" s="40" t="n"/>
      <c r="H287" s="41" t="n"/>
      <c r="I287" s="42">
        <f>IF($H287="","",MAX(0,$H287-N($E287)))</f>
        <v/>
      </c>
      <c r="J287" s="42">
        <f>IF($H287="","",MAX(0,$H287-N($G287)))</f>
        <v/>
      </c>
    </row>
    <row r="288" ht="19.5" customHeight="1" s="72">
      <c r="A288" s="38" t="inlineStr">
        <is>
          <t>BF-32-P02-SBA</t>
        </is>
      </c>
      <c r="B288" s="38" t="inlineStr">
        <is>
          <t>Fase 32</t>
        </is>
      </c>
      <c r="C288" s="38" t="inlineStr">
        <is>
          <t>São Bento da Abadá</t>
        </is>
      </c>
      <c r="D288" s="39" t="inlineStr">
        <is>
          <t>A_B_F_32_P2</t>
        </is>
      </c>
      <c r="E288" s="40" t="n"/>
      <c r="F288" s="39" t="inlineStr">
        <is>
          <t>B_B_F_32_P2</t>
        </is>
      </c>
      <c r="G288" s="40" t="n"/>
      <c r="H288" s="41" t="n"/>
      <c r="I288" s="42">
        <f>IF($H288="","",MAX(0,$H288-N($E288)))</f>
        <v/>
      </c>
      <c r="J288" s="42">
        <f>IF($H288="","",MAX(0,$H288-N($G288)))</f>
        <v/>
      </c>
    </row>
    <row r="289" ht="19.5" customHeight="1" s="72">
      <c r="A289" s="38" t="inlineStr">
        <is>
          <t>BF-32-P02-SIR</t>
        </is>
      </c>
      <c r="B289" s="38" t="inlineStr">
        <is>
          <t>Fase 32</t>
        </is>
      </c>
      <c r="C289" s="38" t="inlineStr">
        <is>
          <t>Siriuna</t>
        </is>
      </c>
      <c r="D289" s="39" t="inlineStr">
        <is>
          <t>A_B_F_32_P2</t>
        </is>
      </c>
      <c r="E289" s="40" t="n"/>
      <c r="F289" s="39" t="inlineStr">
        <is>
          <t>B_B_F_32_P2</t>
        </is>
      </c>
      <c r="G289" s="40" t="n"/>
      <c r="H289" s="41" t="n"/>
      <c r="I289" s="42">
        <f>IF($H289="","",MAX(0,$H289-N($E289)))</f>
        <v/>
      </c>
      <c r="J289" s="42">
        <f>IF($H289="","",MAX(0,$H289-N($G289)))</f>
        <v/>
      </c>
    </row>
    <row r="290" ht="19.5" customHeight="1" s="72">
      <c r="A290" s="38" t="inlineStr">
        <is>
          <t>BF-32-P03-BEN</t>
        </is>
      </c>
      <c r="B290" s="38" t="inlineStr">
        <is>
          <t>Fase 32</t>
        </is>
      </c>
      <c r="C290" s="38" t="inlineStr">
        <is>
          <t>Benguela</t>
        </is>
      </c>
      <c r="D290" s="39" t="inlineStr">
        <is>
          <t>A_B_F_32_P3</t>
        </is>
      </c>
      <c r="E290" s="40" t="n"/>
      <c r="F290" s="39" t="inlineStr">
        <is>
          <t>B_B_F_32_P3</t>
        </is>
      </c>
      <c r="G290" s="40" t="n"/>
      <c r="H290" s="41" t="n"/>
      <c r="I290" s="42">
        <f>IF($H290="","",MAX(0,$H290-N($E290)))</f>
        <v/>
      </c>
      <c r="J290" s="42">
        <f>IF($H290="","",MAX(0,$H290-N($G290)))</f>
        <v/>
      </c>
    </row>
    <row r="291" ht="19.5" customHeight="1" s="72">
      <c r="A291" s="38" t="inlineStr">
        <is>
          <t>BF-32-P03-SBA</t>
        </is>
      </c>
      <c r="B291" s="38" t="inlineStr">
        <is>
          <t>Fase 32</t>
        </is>
      </c>
      <c r="C291" s="38" t="inlineStr">
        <is>
          <t>São Bento da Abadá</t>
        </is>
      </c>
      <c r="D291" s="39" t="inlineStr">
        <is>
          <t>A_B_F_32_P3</t>
        </is>
      </c>
      <c r="E291" s="40" t="n"/>
      <c r="F291" s="39" t="inlineStr">
        <is>
          <t>B_B_F_32_P3</t>
        </is>
      </c>
      <c r="G291" s="40" t="n"/>
      <c r="H291" s="41" t="n"/>
      <c r="I291" s="42">
        <f>IF($H291="","",MAX(0,$H291-N($E291)))</f>
        <v/>
      </c>
      <c r="J291" s="42">
        <f>IF($H291="","",MAX(0,$H291-N($G291)))</f>
        <v/>
      </c>
    </row>
    <row r="292" ht="19.5" customHeight="1" s="72">
      <c r="A292" s="38" t="inlineStr">
        <is>
          <t>BF-32-P03-SIR</t>
        </is>
      </c>
      <c r="B292" s="38" t="inlineStr">
        <is>
          <t>Fase 32</t>
        </is>
      </c>
      <c r="C292" s="38" t="inlineStr">
        <is>
          <t>Siriuna</t>
        </is>
      </c>
      <c r="D292" s="39" t="inlineStr">
        <is>
          <t>A_B_F_32_P3</t>
        </is>
      </c>
      <c r="E292" s="40" t="n"/>
      <c r="F292" s="39" t="inlineStr">
        <is>
          <t>B_B_F_32_P3</t>
        </is>
      </c>
      <c r="G292" s="40" t="n"/>
      <c r="H292" s="41" t="n"/>
      <c r="I292" s="42">
        <f>IF($H292="","",MAX(0,$H292-N($E292)))</f>
        <v/>
      </c>
      <c r="J292" s="42">
        <f>IF($H292="","",MAX(0,$H292-N($G292)))</f>
        <v/>
      </c>
    </row>
    <row r="293" ht="19.5" customHeight="1" s="72">
      <c r="A293" s="38" t="inlineStr">
        <is>
          <t>BF-32-P04-BEN</t>
        </is>
      </c>
      <c r="B293" s="38" t="inlineStr">
        <is>
          <t>Fase 32</t>
        </is>
      </c>
      <c r="C293" s="38" t="inlineStr">
        <is>
          <t>Benguela</t>
        </is>
      </c>
      <c r="D293" s="39" t="inlineStr">
        <is>
          <t>A_B_F_32_P4</t>
        </is>
      </c>
      <c r="E293" s="40" t="n"/>
      <c r="F293" s="39" t="inlineStr">
        <is>
          <t>B_B_F_32_P4</t>
        </is>
      </c>
      <c r="G293" s="40" t="n"/>
      <c r="H293" s="41" t="n"/>
      <c r="I293" s="42">
        <f>IF($H293="","",MAX(0,$H293-N($E293)))</f>
        <v/>
      </c>
      <c r="J293" s="42">
        <f>IF($H293="","",MAX(0,$H293-N($G293)))</f>
        <v/>
      </c>
    </row>
    <row r="294" ht="19.5" customHeight="1" s="72">
      <c r="A294" s="38" t="inlineStr">
        <is>
          <t>BF-32-P04-SBA</t>
        </is>
      </c>
      <c r="B294" s="38" t="inlineStr">
        <is>
          <t>Fase 32</t>
        </is>
      </c>
      <c r="C294" s="38" t="inlineStr">
        <is>
          <t>São Bento da Abadá</t>
        </is>
      </c>
      <c r="D294" s="39" t="inlineStr">
        <is>
          <t>A_B_F_32_P4</t>
        </is>
      </c>
      <c r="E294" s="40" t="n"/>
      <c r="F294" s="39" t="inlineStr">
        <is>
          <t>B_B_F_32_P4</t>
        </is>
      </c>
      <c r="G294" s="40" t="n"/>
      <c r="H294" s="41" t="n"/>
      <c r="I294" s="42">
        <f>IF($H294="","",MAX(0,$H294-N($E294)))</f>
        <v/>
      </c>
      <c r="J294" s="42">
        <f>IF($H294="","",MAX(0,$H294-N($G294)))</f>
        <v/>
      </c>
    </row>
    <row r="295" ht="19.5" customHeight="1" s="72">
      <c r="A295" s="38" t="inlineStr">
        <is>
          <t>BF-32-P04-SIR</t>
        </is>
      </c>
      <c r="B295" s="38" t="inlineStr">
        <is>
          <t>Fase 32</t>
        </is>
      </c>
      <c r="C295" s="38" t="inlineStr">
        <is>
          <t>Siriuna</t>
        </is>
      </c>
      <c r="D295" s="39" t="inlineStr">
        <is>
          <t>A_B_F_32_P4</t>
        </is>
      </c>
      <c r="E295" s="40" t="n"/>
      <c r="F295" s="39" t="inlineStr">
        <is>
          <t>B_B_F_32_P4</t>
        </is>
      </c>
      <c r="G295" s="40" t="n"/>
      <c r="H295" s="41" t="n"/>
      <c r="I295" s="42">
        <f>IF($H295="","",MAX(0,$H295-N($E295)))</f>
        <v/>
      </c>
      <c r="J295" s="42">
        <f>IF($H295="","",MAX(0,$H295-N($G295)))</f>
        <v/>
      </c>
    </row>
    <row r="296" ht="19.5" customHeight="1" s="72">
      <c r="A296" s="38" t="inlineStr">
        <is>
          <t>BF-32-P05-BEN</t>
        </is>
      </c>
      <c r="B296" s="38" t="inlineStr">
        <is>
          <t>Fase 32</t>
        </is>
      </c>
      <c r="C296" s="38" t="inlineStr">
        <is>
          <t>Benguela</t>
        </is>
      </c>
      <c r="D296" s="39" t="inlineStr">
        <is>
          <t>A_B_F_32_P5</t>
        </is>
      </c>
      <c r="E296" s="40" t="n"/>
      <c r="F296" s="39" t="inlineStr">
        <is>
          <t>B_B_F_32_P5</t>
        </is>
      </c>
      <c r="G296" s="40" t="n"/>
      <c r="H296" s="41" t="n"/>
      <c r="I296" s="42">
        <f>IF($H296="","",MAX(0,$H296-N($E296)))</f>
        <v/>
      </c>
      <c r="J296" s="42">
        <f>IF($H296="","",MAX(0,$H296-N($G296)))</f>
        <v/>
      </c>
    </row>
    <row r="297" ht="19.5" customHeight="1" s="72">
      <c r="A297" s="38" t="inlineStr">
        <is>
          <t>BF-32-P05-SBA</t>
        </is>
      </c>
      <c r="B297" s="38" t="inlineStr">
        <is>
          <t>Fase 32</t>
        </is>
      </c>
      <c r="C297" s="38" t="inlineStr">
        <is>
          <t>São Bento da Abadá</t>
        </is>
      </c>
      <c r="D297" s="39" t="inlineStr">
        <is>
          <t>A_B_F_32_P5</t>
        </is>
      </c>
      <c r="E297" s="40" t="n"/>
      <c r="F297" s="39" t="inlineStr">
        <is>
          <t>B_B_F_32_P5</t>
        </is>
      </c>
      <c r="G297" s="40" t="n"/>
      <c r="H297" s="41" t="n"/>
      <c r="I297" s="42">
        <f>IF($H297="","",MAX(0,$H297-N($E297)))</f>
        <v/>
      </c>
      <c r="J297" s="42">
        <f>IF($H297="","",MAX(0,$H297-N($G297)))</f>
        <v/>
      </c>
    </row>
    <row r="298" ht="19.5" customHeight="1" s="72">
      <c r="A298" s="38" t="inlineStr">
        <is>
          <t>BF-32-P05-SIR</t>
        </is>
      </c>
      <c r="B298" s="38" t="inlineStr">
        <is>
          <t>Fase 32</t>
        </is>
      </c>
      <c r="C298" s="38" t="inlineStr">
        <is>
          <t>Siriuna</t>
        </is>
      </c>
      <c r="D298" s="39" t="inlineStr">
        <is>
          <t>A_B_F_32_P5</t>
        </is>
      </c>
      <c r="E298" s="40" t="n"/>
      <c r="F298" s="39" t="inlineStr">
        <is>
          <t>B_B_F_32_P5</t>
        </is>
      </c>
      <c r="G298" s="40" t="n"/>
      <c r="H298" s="41" t="n"/>
      <c r="I298" s="42">
        <f>IF($H298="","",MAX(0,$H298-N($E298)))</f>
        <v/>
      </c>
      <c r="J298" s="42">
        <f>IF($H298="","",MAX(0,$H298-N($G298)))</f>
        <v/>
      </c>
    </row>
    <row r="299" ht="19.5" customHeight="1" s="72">
      <c r="A299" s="38" t="inlineStr">
        <is>
          <t>BF-32-P06-BEN</t>
        </is>
      </c>
      <c r="B299" s="38" t="inlineStr">
        <is>
          <t>Fase 32</t>
        </is>
      </c>
      <c r="C299" s="38" t="inlineStr">
        <is>
          <t>Benguela</t>
        </is>
      </c>
      <c r="D299" s="39" t="inlineStr">
        <is>
          <t>A_B_F_32_P6</t>
        </is>
      </c>
      <c r="E299" s="40" t="n"/>
      <c r="F299" s="39" t="inlineStr">
        <is>
          <t>B_B_F_32_P6</t>
        </is>
      </c>
      <c r="G299" s="40" t="n"/>
      <c r="H299" s="41" t="n"/>
      <c r="I299" s="42">
        <f>IF($H299="","",MAX(0,$H299-N($E299)))</f>
        <v/>
      </c>
      <c r="J299" s="42">
        <f>IF($H299="","",MAX(0,$H299-N($G299)))</f>
        <v/>
      </c>
    </row>
    <row r="300" ht="19.5" customHeight="1" s="72">
      <c r="A300" s="38" t="inlineStr">
        <is>
          <t>BF-32-P06-SBA</t>
        </is>
      </c>
      <c r="B300" s="38" t="inlineStr">
        <is>
          <t>Fase 32</t>
        </is>
      </c>
      <c r="C300" s="38" t="inlineStr">
        <is>
          <t>São Bento da Abadá</t>
        </is>
      </c>
      <c r="D300" s="39" t="inlineStr">
        <is>
          <t>A_B_F_32_P6</t>
        </is>
      </c>
      <c r="E300" s="40" t="n"/>
      <c r="F300" s="39" t="inlineStr">
        <is>
          <t>B_B_F_32_P6</t>
        </is>
      </c>
      <c r="G300" s="40" t="n"/>
      <c r="H300" s="41" t="n"/>
      <c r="I300" s="42">
        <f>IF($H300="","",MAX(0,$H300-N($E300)))</f>
        <v/>
      </c>
      <c r="J300" s="42">
        <f>IF($H300="","",MAX(0,$H300-N($G300)))</f>
        <v/>
      </c>
    </row>
    <row r="301" ht="19.5" customHeight="1" s="72">
      <c r="A301" s="38" t="inlineStr">
        <is>
          <t>BF-32-P06-SIR</t>
        </is>
      </c>
      <c r="B301" s="38" t="inlineStr">
        <is>
          <t>Fase 32</t>
        </is>
      </c>
      <c r="C301" s="38" t="inlineStr">
        <is>
          <t>Siriuna</t>
        </is>
      </c>
      <c r="D301" s="39" t="inlineStr">
        <is>
          <t>A_B_F_32_P6</t>
        </is>
      </c>
      <c r="E301" s="40" t="n"/>
      <c r="F301" s="39" t="inlineStr">
        <is>
          <t>B_B_F_32_P6</t>
        </is>
      </c>
      <c r="G301" s="40" t="n"/>
      <c r="H301" s="41" t="n"/>
      <c r="I301" s="42">
        <f>IF($H301="","",MAX(0,$H301-N($E301)))</f>
        <v/>
      </c>
      <c r="J301" s="42">
        <f>IF($H301="","",MAX(0,$H301-N($G301)))</f>
        <v/>
      </c>
    </row>
    <row r="302" ht="19.5" customHeight="1" s="72">
      <c r="A302" s="38" t="inlineStr">
        <is>
          <t>BF-32-P07-BEN</t>
        </is>
      </c>
      <c r="B302" s="38" t="inlineStr">
        <is>
          <t>Fase 32</t>
        </is>
      </c>
      <c r="C302" s="38" t="inlineStr">
        <is>
          <t>Benguela</t>
        </is>
      </c>
      <c r="D302" s="39" t="inlineStr">
        <is>
          <t>A_B_F_32_P7</t>
        </is>
      </c>
      <c r="E302" s="40" t="n"/>
      <c r="F302" s="39" t="inlineStr">
        <is>
          <t>B_B_F_32_P7</t>
        </is>
      </c>
      <c r="G302" s="40" t="n"/>
      <c r="H302" s="41" t="n"/>
      <c r="I302" s="42">
        <f>IF($H302="","",MAX(0,$H302-N($E302)))</f>
        <v/>
      </c>
      <c r="J302" s="42">
        <f>IF($H302="","",MAX(0,$H302-N($G302)))</f>
        <v/>
      </c>
    </row>
    <row r="303" ht="19.5" customHeight="1" s="72">
      <c r="A303" s="38" t="inlineStr">
        <is>
          <t>BF-32-P07-SBA</t>
        </is>
      </c>
      <c r="B303" s="38" t="inlineStr">
        <is>
          <t>Fase 32</t>
        </is>
      </c>
      <c r="C303" s="38" t="inlineStr">
        <is>
          <t>São Bento da Abadá</t>
        </is>
      </c>
      <c r="D303" s="39" t="inlineStr">
        <is>
          <t>A_B_F_32_P7</t>
        </is>
      </c>
      <c r="E303" s="40" t="n"/>
      <c r="F303" s="39" t="inlineStr">
        <is>
          <t>B_B_F_32_P7</t>
        </is>
      </c>
      <c r="G303" s="40" t="n"/>
      <c r="H303" s="41" t="n"/>
      <c r="I303" s="42">
        <f>IF($H303="","",MAX(0,$H303-N($E303)))</f>
        <v/>
      </c>
      <c r="J303" s="42">
        <f>IF($H303="","",MAX(0,$H303-N($G303)))</f>
        <v/>
      </c>
    </row>
    <row r="304" ht="19.5" customHeight="1" s="72">
      <c r="A304" s="38" t="inlineStr">
        <is>
          <t>BF-32-P07-SIR</t>
        </is>
      </c>
      <c r="B304" s="38" t="inlineStr">
        <is>
          <t>Fase 32</t>
        </is>
      </c>
      <c r="C304" s="38" t="inlineStr">
        <is>
          <t>Siriuna</t>
        </is>
      </c>
      <c r="D304" s="39" t="inlineStr">
        <is>
          <t>A_B_F_32_P7</t>
        </is>
      </c>
      <c r="E304" s="40" t="n"/>
      <c r="F304" s="39" t="inlineStr">
        <is>
          <t>B_B_F_32_P7</t>
        </is>
      </c>
      <c r="G304" s="40" t="n"/>
      <c r="H304" s="41" t="n"/>
      <c r="I304" s="42">
        <f>IF($H304="","",MAX(0,$H304-N($E304)))</f>
        <v/>
      </c>
      <c r="J304" s="42">
        <f>IF($H304="","",MAX(0,$H304-N($G304)))</f>
        <v/>
      </c>
    </row>
    <row r="305" ht="19.5" customHeight="1" s="72">
      <c r="A305" s="38" t="inlineStr">
        <is>
          <t>BF-32-P08-BEN</t>
        </is>
      </c>
      <c r="B305" s="38" t="inlineStr">
        <is>
          <t>Fase 32</t>
        </is>
      </c>
      <c r="C305" s="38" t="inlineStr">
        <is>
          <t>Benguela</t>
        </is>
      </c>
      <c r="D305" s="39" t="inlineStr">
        <is>
          <t>A_B_F_32_P8</t>
        </is>
      </c>
      <c r="E305" s="40" t="n"/>
      <c r="F305" s="39" t="inlineStr">
        <is>
          <t>B_B_F_32_P8</t>
        </is>
      </c>
      <c r="G305" s="40" t="n"/>
      <c r="H305" s="41" t="n"/>
      <c r="I305" s="42">
        <f>IF($H305="","",MAX(0,$H305-N($E305)))</f>
        <v/>
      </c>
      <c r="J305" s="42">
        <f>IF($H305="","",MAX(0,$H305-N($G305)))</f>
        <v/>
      </c>
    </row>
    <row r="306" ht="19.5" customHeight="1" s="72">
      <c r="A306" s="38" t="inlineStr">
        <is>
          <t>BF-32-P08-SBA</t>
        </is>
      </c>
      <c r="B306" s="38" t="inlineStr">
        <is>
          <t>Fase 32</t>
        </is>
      </c>
      <c r="C306" s="38" t="inlineStr">
        <is>
          <t>São Bento da Abadá</t>
        </is>
      </c>
      <c r="D306" s="39" t="inlineStr">
        <is>
          <t>A_B_F_32_P8</t>
        </is>
      </c>
      <c r="E306" s="40" t="n"/>
      <c r="F306" s="39" t="inlineStr">
        <is>
          <t>B_B_F_32_P8</t>
        </is>
      </c>
      <c r="G306" s="40" t="n"/>
      <c r="H306" s="41" t="n"/>
      <c r="I306" s="42">
        <f>IF($H306="","",MAX(0,$H306-N($E306)))</f>
        <v/>
      </c>
      <c r="J306" s="42">
        <f>IF($H306="","",MAX(0,$H306-N($G306)))</f>
        <v/>
      </c>
    </row>
    <row r="307" ht="19.5" customHeight="1" s="72">
      <c r="A307" s="38" t="inlineStr">
        <is>
          <t>BF-32-P08-SIR</t>
        </is>
      </c>
      <c r="B307" s="38" t="inlineStr">
        <is>
          <t>Fase 32</t>
        </is>
      </c>
      <c r="C307" s="38" t="inlineStr">
        <is>
          <t>Siriuna</t>
        </is>
      </c>
      <c r="D307" s="39" t="inlineStr">
        <is>
          <t>A_B_F_32_P8</t>
        </is>
      </c>
      <c r="E307" s="40" t="n"/>
      <c r="F307" s="39" t="inlineStr">
        <is>
          <t>B_B_F_32_P8</t>
        </is>
      </c>
      <c r="G307" s="40" t="n"/>
      <c r="H307" s="41" t="n"/>
      <c r="I307" s="42">
        <f>IF($H307="","",MAX(0,$H307-N($E307)))</f>
        <v/>
      </c>
      <c r="J307" s="42">
        <f>IF($H307="","",MAX(0,$H307-N($G307)))</f>
        <v/>
      </c>
    </row>
    <row r="308" ht="19.5" customHeight="1" s="72">
      <c r="A308" s="38" t="inlineStr">
        <is>
          <t>BF-32-P09-BEN</t>
        </is>
      </c>
      <c r="B308" s="38" t="inlineStr">
        <is>
          <t>Fase 32</t>
        </is>
      </c>
      <c r="C308" s="38" t="inlineStr">
        <is>
          <t>Benguela</t>
        </is>
      </c>
      <c r="D308" s="39" t="inlineStr">
        <is>
          <t>A_B_F_32_P9</t>
        </is>
      </c>
      <c r="E308" s="40" t="n"/>
      <c r="F308" s="39" t="inlineStr">
        <is>
          <t>B_B_F_32_P9</t>
        </is>
      </c>
      <c r="G308" s="40" t="n"/>
      <c r="H308" s="41" t="n"/>
      <c r="I308" s="42">
        <f>IF($H308="","",MAX(0,$H308-N($E308)))</f>
        <v/>
      </c>
      <c r="J308" s="42">
        <f>IF($H308="","",MAX(0,$H308-N($G308)))</f>
        <v/>
      </c>
    </row>
    <row r="309" ht="19.5" customHeight="1" s="72">
      <c r="A309" s="38" t="inlineStr">
        <is>
          <t>BF-32-P09-SBA</t>
        </is>
      </c>
      <c r="B309" s="38" t="inlineStr">
        <is>
          <t>Fase 32</t>
        </is>
      </c>
      <c r="C309" s="38" t="inlineStr">
        <is>
          <t>São Bento da Abadá</t>
        </is>
      </c>
      <c r="D309" s="39" t="inlineStr">
        <is>
          <t>A_B_F_32_P9</t>
        </is>
      </c>
      <c r="E309" s="40" t="n"/>
      <c r="F309" s="39" t="inlineStr">
        <is>
          <t>B_B_F_32_P9</t>
        </is>
      </c>
      <c r="G309" s="40" t="n"/>
      <c r="H309" s="41" t="n"/>
      <c r="I309" s="42">
        <f>IF($H309="","",MAX(0,$H309-N($E309)))</f>
        <v/>
      </c>
      <c r="J309" s="42">
        <f>IF($H309="","",MAX(0,$H309-N($G309)))</f>
        <v/>
      </c>
    </row>
    <row r="310" ht="19.5" customHeight="1" s="72">
      <c r="A310" s="38" t="inlineStr">
        <is>
          <t>BF-32-P09-SIR</t>
        </is>
      </c>
      <c r="B310" s="38" t="inlineStr">
        <is>
          <t>Fase 32</t>
        </is>
      </c>
      <c r="C310" s="38" t="inlineStr">
        <is>
          <t>Siriuna</t>
        </is>
      </c>
      <c r="D310" s="39" t="inlineStr">
        <is>
          <t>A_B_F_32_P9</t>
        </is>
      </c>
      <c r="E310" s="40" t="n"/>
      <c r="F310" s="39" t="inlineStr">
        <is>
          <t>B_B_F_32_P9</t>
        </is>
      </c>
      <c r="G310" s="40" t="n"/>
      <c r="H310" s="41" t="n"/>
      <c r="I310" s="42">
        <f>IF($H310="","",MAX(0,$H310-N($E310)))</f>
        <v/>
      </c>
      <c r="J310" s="42">
        <f>IF($H310="","",MAX(0,$H310-N($G310)))</f>
        <v/>
      </c>
    </row>
    <row r="311" ht="19.5" customHeight="1" s="72">
      <c r="A311" s="38" t="inlineStr">
        <is>
          <t>BF-32-P10-BEN</t>
        </is>
      </c>
      <c r="B311" s="38" t="inlineStr">
        <is>
          <t>Fase 32</t>
        </is>
      </c>
      <c r="C311" s="38" t="inlineStr">
        <is>
          <t>Benguela</t>
        </is>
      </c>
      <c r="D311" s="39" t="inlineStr">
        <is>
          <t>A_B_F_32_P10</t>
        </is>
      </c>
      <c r="E311" s="40" t="n"/>
      <c r="F311" s="39" t="inlineStr">
        <is>
          <t>B_B_F_32_P10</t>
        </is>
      </c>
      <c r="G311" s="40" t="n"/>
      <c r="H311" s="41" t="n"/>
      <c r="I311" s="42">
        <f>IF($H311="","",MAX(0,$H311-N($E311)))</f>
        <v/>
      </c>
      <c r="J311" s="42">
        <f>IF($H311="","",MAX(0,$H311-N($G311)))</f>
        <v/>
      </c>
    </row>
    <row r="312" ht="19.5" customHeight="1" s="72">
      <c r="A312" s="38" t="inlineStr">
        <is>
          <t>BF-32-P10-SBA</t>
        </is>
      </c>
      <c r="B312" s="38" t="inlineStr">
        <is>
          <t>Fase 32</t>
        </is>
      </c>
      <c r="C312" s="38" t="inlineStr">
        <is>
          <t>São Bento da Abadá</t>
        </is>
      </c>
      <c r="D312" s="39" t="inlineStr">
        <is>
          <t>A_B_F_32_P10</t>
        </is>
      </c>
      <c r="E312" s="40" t="n"/>
      <c r="F312" s="39" t="inlineStr">
        <is>
          <t>B_B_F_32_P10</t>
        </is>
      </c>
      <c r="G312" s="40" t="n"/>
      <c r="H312" s="41" t="n"/>
      <c r="I312" s="42">
        <f>IF($H312="","",MAX(0,$H312-N($E312)))</f>
        <v/>
      </c>
      <c r="J312" s="42">
        <f>IF($H312="","",MAX(0,$H312-N($G312)))</f>
        <v/>
      </c>
    </row>
    <row r="313" ht="19.5" customHeight="1" s="72">
      <c r="A313" s="38" t="inlineStr">
        <is>
          <t>BF-32-P10-SIR</t>
        </is>
      </c>
      <c r="B313" s="38" t="inlineStr">
        <is>
          <t>Fase 32</t>
        </is>
      </c>
      <c r="C313" s="38" t="inlineStr">
        <is>
          <t>Siriuna</t>
        </is>
      </c>
      <c r="D313" s="39" t="inlineStr">
        <is>
          <t>A_B_F_32_P10</t>
        </is>
      </c>
      <c r="E313" s="40" t="n"/>
      <c r="F313" s="39" t="inlineStr">
        <is>
          <t>B_B_F_32_P10</t>
        </is>
      </c>
      <c r="G313" s="40" t="n"/>
      <c r="H313" s="41" t="n"/>
      <c r="I313" s="42">
        <f>IF($H313="","",MAX(0,$H313-N($E313)))</f>
        <v/>
      </c>
      <c r="J313" s="42">
        <f>IF($H313="","",MAX(0,$H313-N($G313)))</f>
        <v/>
      </c>
    </row>
    <row r="314" ht="19.5" customHeight="1" s="72">
      <c r="A314" s="38" t="inlineStr">
        <is>
          <t>BF-32-P11-BEN</t>
        </is>
      </c>
      <c r="B314" s="38" t="inlineStr">
        <is>
          <t>Fase 32</t>
        </is>
      </c>
      <c r="C314" s="38" t="inlineStr">
        <is>
          <t>Benguela</t>
        </is>
      </c>
      <c r="D314" s="39" t="inlineStr">
        <is>
          <t>A_B_F_32_P11</t>
        </is>
      </c>
      <c r="E314" s="40" t="n"/>
      <c r="F314" s="39" t="inlineStr">
        <is>
          <t>B_B_F_32_P11</t>
        </is>
      </c>
      <c r="G314" s="40" t="n"/>
      <c r="H314" s="41" t="n"/>
      <c r="I314" s="42">
        <f>IF($H314="","",MAX(0,$H314-N($E314)))</f>
        <v/>
      </c>
      <c r="J314" s="42">
        <f>IF($H314="","",MAX(0,$H314-N($G314)))</f>
        <v/>
      </c>
    </row>
    <row r="315" ht="19.5" customHeight="1" s="72">
      <c r="A315" s="38" t="inlineStr">
        <is>
          <t>BF-32-P11-SBA</t>
        </is>
      </c>
      <c r="B315" s="38" t="inlineStr">
        <is>
          <t>Fase 32</t>
        </is>
      </c>
      <c r="C315" s="38" t="inlineStr">
        <is>
          <t>São Bento da Abadá</t>
        </is>
      </c>
      <c r="D315" s="39" t="inlineStr">
        <is>
          <t>A_B_F_32_P11</t>
        </is>
      </c>
      <c r="E315" s="40" t="n"/>
      <c r="F315" s="39" t="inlineStr">
        <is>
          <t>B_B_F_32_P11</t>
        </is>
      </c>
      <c r="G315" s="40" t="n"/>
      <c r="H315" s="41" t="n"/>
      <c r="I315" s="42">
        <f>IF($H315="","",MAX(0,$H315-N($E315)))</f>
        <v/>
      </c>
      <c r="J315" s="42">
        <f>IF($H315="","",MAX(0,$H315-N($G315)))</f>
        <v/>
      </c>
    </row>
    <row r="316" ht="19.5" customHeight="1" s="72">
      <c r="A316" s="38" t="inlineStr">
        <is>
          <t>BF-32-P11-SIR</t>
        </is>
      </c>
      <c r="B316" s="38" t="inlineStr">
        <is>
          <t>Fase 32</t>
        </is>
      </c>
      <c r="C316" s="38" t="inlineStr">
        <is>
          <t>Siriuna</t>
        </is>
      </c>
      <c r="D316" s="39" t="inlineStr">
        <is>
          <t>A_B_F_32_P11</t>
        </is>
      </c>
      <c r="E316" s="40" t="n"/>
      <c r="F316" s="39" t="inlineStr">
        <is>
          <t>B_B_F_32_P11</t>
        </is>
      </c>
      <c r="G316" s="40" t="n"/>
      <c r="H316" s="41" t="n"/>
      <c r="I316" s="42">
        <f>IF($H316="","",MAX(0,$H316-N($E316)))</f>
        <v/>
      </c>
      <c r="J316" s="42">
        <f>IF($H316="","",MAX(0,$H316-N($G316)))</f>
        <v/>
      </c>
    </row>
    <row r="317" ht="19.5" customHeight="1" s="72">
      <c r="A317" s="38" t="inlineStr">
        <is>
          <t>BF-32-P12-BEN</t>
        </is>
      </c>
      <c r="B317" s="38" t="inlineStr">
        <is>
          <t>Fase 32</t>
        </is>
      </c>
      <c r="C317" s="38" t="inlineStr">
        <is>
          <t>Benguela</t>
        </is>
      </c>
      <c r="D317" s="39" t="inlineStr">
        <is>
          <t>A_B_F_32_P12</t>
        </is>
      </c>
      <c r="E317" s="40" t="n"/>
      <c r="F317" s="39" t="inlineStr">
        <is>
          <t>B_B_F_32_P12</t>
        </is>
      </c>
      <c r="G317" s="40" t="n"/>
      <c r="H317" s="41" t="n"/>
      <c r="I317" s="42">
        <f>IF($H317="","",MAX(0,$H317-N($E317)))</f>
        <v/>
      </c>
      <c r="J317" s="42">
        <f>IF($H317="","",MAX(0,$H317-N($G317)))</f>
        <v/>
      </c>
    </row>
    <row r="318" ht="19.5" customHeight="1" s="72">
      <c r="A318" s="38" t="inlineStr">
        <is>
          <t>BF-32-P12-SBA</t>
        </is>
      </c>
      <c r="B318" s="38" t="inlineStr">
        <is>
          <t>Fase 32</t>
        </is>
      </c>
      <c r="C318" s="38" t="inlineStr">
        <is>
          <t>São Bento da Abadá</t>
        </is>
      </c>
      <c r="D318" s="39" t="inlineStr">
        <is>
          <t>A_B_F_32_P12</t>
        </is>
      </c>
      <c r="E318" s="40" t="n"/>
      <c r="F318" s="39" t="inlineStr">
        <is>
          <t>B_B_F_32_P12</t>
        </is>
      </c>
      <c r="G318" s="40" t="n"/>
      <c r="H318" s="41" t="n"/>
      <c r="I318" s="42">
        <f>IF($H318="","",MAX(0,$H318-N($E318)))</f>
        <v/>
      </c>
      <c r="J318" s="42">
        <f>IF($H318="","",MAX(0,$H318-N($G318)))</f>
        <v/>
      </c>
    </row>
    <row r="319" ht="19.5" customHeight="1" s="72">
      <c r="A319" s="38" t="inlineStr">
        <is>
          <t>BF-32-P12-SIR</t>
        </is>
      </c>
      <c r="B319" s="38" t="inlineStr">
        <is>
          <t>Fase 32</t>
        </is>
      </c>
      <c r="C319" s="38" t="inlineStr">
        <is>
          <t>Siriuna</t>
        </is>
      </c>
      <c r="D319" s="39" t="inlineStr">
        <is>
          <t>A_B_F_32_P12</t>
        </is>
      </c>
      <c r="E319" s="40" t="n"/>
      <c r="F319" s="39" t="inlineStr">
        <is>
          <t>B_B_F_32_P12</t>
        </is>
      </c>
      <c r="G319" s="40" t="n"/>
      <c r="H319" s="41" t="n"/>
      <c r="I319" s="42">
        <f>IF($H319="","",MAX(0,$H319-N($E319)))</f>
        <v/>
      </c>
      <c r="J319" s="42">
        <f>IF($H319="","",MAX(0,$H319-N($G319)))</f>
        <v/>
      </c>
    </row>
    <row r="320" ht="19.5" customHeight="1" s="72">
      <c r="A320" s="38" t="inlineStr">
        <is>
          <t>BF-32-P13-BEN</t>
        </is>
      </c>
      <c r="B320" s="38" t="inlineStr">
        <is>
          <t>Fase 32</t>
        </is>
      </c>
      <c r="C320" s="38" t="inlineStr">
        <is>
          <t>Benguela</t>
        </is>
      </c>
      <c r="D320" s="39" t="inlineStr">
        <is>
          <t>A_B_F_32_P13</t>
        </is>
      </c>
      <c r="E320" s="40" t="n"/>
      <c r="F320" s="39" t="inlineStr">
        <is>
          <t>B_B_F_32_P13</t>
        </is>
      </c>
      <c r="G320" s="40" t="n"/>
      <c r="H320" s="41" t="n"/>
      <c r="I320" s="42">
        <f>IF($H320="","",MAX(0,$H320-N($E320)))</f>
        <v/>
      </c>
      <c r="J320" s="42">
        <f>IF($H320="","",MAX(0,$H320-N($G320)))</f>
        <v/>
      </c>
    </row>
    <row r="321" ht="19.5" customHeight="1" s="72">
      <c r="A321" s="38" t="inlineStr">
        <is>
          <t>BF-32-P13-SBA</t>
        </is>
      </c>
      <c r="B321" s="38" t="inlineStr">
        <is>
          <t>Fase 32</t>
        </is>
      </c>
      <c r="C321" s="38" t="inlineStr">
        <is>
          <t>São Bento da Abadá</t>
        </is>
      </c>
      <c r="D321" s="39" t="inlineStr">
        <is>
          <t>A_B_F_32_P13</t>
        </is>
      </c>
      <c r="E321" s="40" t="n"/>
      <c r="F321" s="39" t="inlineStr">
        <is>
          <t>B_B_F_32_P13</t>
        </is>
      </c>
      <c r="G321" s="40" t="n"/>
      <c r="H321" s="41" t="n"/>
      <c r="I321" s="42">
        <f>IF($H321="","",MAX(0,$H321-N($E321)))</f>
        <v/>
      </c>
      <c r="J321" s="42">
        <f>IF($H321="","",MAX(0,$H321-N($G321)))</f>
        <v/>
      </c>
    </row>
    <row r="322" ht="19.5" customHeight="1" s="72">
      <c r="A322" s="38" t="inlineStr">
        <is>
          <t>BF-32-P13-SIR</t>
        </is>
      </c>
      <c r="B322" s="38" t="inlineStr">
        <is>
          <t>Fase 32</t>
        </is>
      </c>
      <c r="C322" s="38" t="inlineStr">
        <is>
          <t>Siriuna</t>
        </is>
      </c>
      <c r="D322" s="39" t="inlineStr">
        <is>
          <t>A_B_F_32_P13</t>
        </is>
      </c>
      <c r="E322" s="40" t="n"/>
      <c r="F322" s="39" t="inlineStr">
        <is>
          <t>B_B_F_32_P13</t>
        </is>
      </c>
      <c r="G322" s="40" t="n"/>
      <c r="H322" s="41" t="n"/>
      <c r="I322" s="42">
        <f>IF($H322="","",MAX(0,$H322-N($E322)))</f>
        <v/>
      </c>
      <c r="J322" s="42">
        <f>IF($H322="","",MAX(0,$H322-N($G322)))</f>
        <v/>
      </c>
    </row>
    <row r="323" ht="19.5" customHeight="1" s="72">
      <c r="A323" s="38" t="inlineStr">
        <is>
          <t>BF-32-P14-BEN</t>
        </is>
      </c>
      <c r="B323" s="38" t="inlineStr">
        <is>
          <t>Fase 32</t>
        </is>
      </c>
      <c r="C323" s="38" t="inlineStr">
        <is>
          <t>Benguela</t>
        </is>
      </c>
      <c r="D323" s="39" t="inlineStr">
        <is>
          <t>A_B_F_32_P14</t>
        </is>
      </c>
      <c r="E323" s="40" t="n"/>
      <c r="F323" s="39" t="inlineStr">
        <is>
          <t>B_B_F_32_P14</t>
        </is>
      </c>
      <c r="G323" s="40" t="n"/>
      <c r="H323" s="41" t="n"/>
      <c r="I323" s="42">
        <f>IF($H323="","",MAX(0,$H323-N($E323)))</f>
        <v/>
      </c>
      <c r="J323" s="42">
        <f>IF($H323="","",MAX(0,$H323-N($G323)))</f>
        <v/>
      </c>
    </row>
    <row r="324" ht="19.5" customHeight="1" s="72">
      <c r="A324" s="38" t="inlineStr">
        <is>
          <t>BF-32-P14-SBA</t>
        </is>
      </c>
      <c r="B324" s="38" t="inlineStr">
        <is>
          <t>Fase 32</t>
        </is>
      </c>
      <c r="C324" s="38" t="inlineStr">
        <is>
          <t>São Bento da Abadá</t>
        </is>
      </c>
      <c r="D324" s="39" t="inlineStr">
        <is>
          <t>A_B_F_32_P14</t>
        </is>
      </c>
      <c r="E324" s="40" t="n"/>
      <c r="F324" s="39" t="inlineStr">
        <is>
          <t>B_B_F_32_P14</t>
        </is>
      </c>
      <c r="G324" s="40" t="n"/>
      <c r="H324" s="41" t="n"/>
      <c r="I324" s="42">
        <f>IF($H324="","",MAX(0,$H324-N($E324)))</f>
        <v/>
      </c>
      <c r="J324" s="42">
        <f>IF($H324="","",MAX(0,$H324-N($G324)))</f>
        <v/>
      </c>
    </row>
    <row r="325" ht="19.5" customHeight="1" s="72">
      <c r="A325" s="38" t="inlineStr">
        <is>
          <t>BF-32-P14-SIR</t>
        </is>
      </c>
      <c r="B325" s="38" t="inlineStr">
        <is>
          <t>Fase 32</t>
        </is>
      </c>
      <c r="C325" s="38" t="inlineStr">
        <is>
          <t>Siriuna</t>
        </is>
      </c>
      <c r="D325" s="39" t="inlineStr">
        <is>
          <t>A_B_F_32_P14</t>
        </is>
      </c>
      <c r="E325" s="40" t="n"/>
      <c r="F325" s="39" t="inlineStr">
        <is>
          <t>B_B_F_32_P14</t>
        </is>
      </c>
      <c r="G325" s="40" t="n"/>
      <c r="H325" s="41" t="n"/>
      <c r="I325" s="42">
        <f>IF($H325="","",MAX(0,$H325-N($E325)))</f>
        <v/>
      </c>
      <c r="J325" s="42">
        <f>IF($H325="","",MAX(0,$H325-N($G325)))</f>
        <v/>
      </c>
    </row>
    <row r="326" ht="19.5" customHeight="1" s="72">
      <c r="A326" s="38" t="inlineStr">
        <is>
          <t>BF-32-P15-BEN</t>
        </is>
      </c>
      <c r="B326" s="38" t="inlineStr">
        <is>
          <t>Fase 32</t>
        </is>
      </c>
      <c r="C326" s="38" t="inlineStr">
        <is>
          <t>Benguela</t>
        </is>
      </c>
      <c r="D326" s="39" t="inlineStr">
        <is>
          <t>A_B_F_32_P15</t>
        </is>
      </c>
      <c r="E326" s="40" t="n"/>
      <c r="F326" s="39" t="inlineStr">
        <is>
          <t>B_B_F_32_P15</t>
        </is>
      </c>
      <c r="G326" s="40" t="n"/>
      <c r="H326" s="41" t="n"/>
      <c r="I326" s="42">
        <f>IF($H326="","",MAX(0,$H326-N($E326)))</f>
        <v/>
      </c>
      <c r="J326" s="42">
        <f>IF($H326="","",MAX(0,$H326-N($G326)))</f>
        <v/>
      </c>
    </row>
    <row r="327" ht="19.5" customHeight="1" s="72">
      <c r="A327" s="38" t="inlineStr">
        <is>
          <t>BF-32-P15-SBA</t>
        </is>
      </c>
      <c r="B327" s="38" t="inlineStr">
        <is>
          <t>Fase 32</t>
        </is>
      </c>
      <c r="C327" s="38" t="inlineStr">
        <is>
          <t>São Bento da Abadá</t>
        </is>
      </c>
      <c r="D327" s="39" t="inlineStr">
        <is>
          <t>A_B_F_32_P15</t>
        </is>
      </c>
      <c r="E327" s="40" t="n"/>
      <c r="F327" s="39" t="inlineStr">
        <is>
          <t>B_B_F_32_P15</t>
        </is>
      </c>
      <c r="G327" s="40" t="n"/>
      <c r="H327" s="41" t="n"/>
      <c r="I327" s="42">
        <f>IF($H327="","",MAX(0,$H327-N($E327)))</f>
        <v/>
      </c>
      <c r="J327" s="42">
        <f>IF($H327="","",MAX(0,$H327-N($G327)))</f>
        <v/>
      </c>
    </row>
    <row r="328" ht="19.5" customHeight="1" s="72">
      <c r="A328" s="38" t="inlineStr">
        <is>
          <t>BF-32-P15-SIR</t>
        </is>
      </c>
      <c r="B328" s="38" t="inlineStr">
        <is>
          <t>Fase 32</t>
        </is>
      </c>
      <c r="C328" s="38" t="inlineStr">
        <is>
          <t>Siriuna</t>
        </is>
      </c>
      <c r="D328" s="39" t="inlineStr">
        <is>
          <t>A_B_F_32_P15</t>
        </is>
      </c>
      <c r="E328" s="40" t="n"/>
      <c r="F328" s="39" t="inlineStr">
        <is>
          <t>B_B_F_32_P15</t>
        </is>
      </c>
      <c r="G328" s="40" t="n"/>
      <c r="H328" s="41" t="n"/>
      <c r="I328" s="42">
        <f>IF($H328="","",MAX(0,$H328-N($E328)))</f>
        <v/>
      </c>
      <c r="J328" s="42">
        <f>IF($H328="","",MAX(0,$H328-N($G328)))</f>
        <v/>
      </c>
    </row>
    <row r="329" ht="19.5" customHeight="1" s="72">
      <c r="A329" s="38" t="inlineStr">
        <is>
          <t>BF-32-P16-BEN</t>
        </is>
      </c>
      <c r="B329" s="38" t="inlineStr">
        <is>
          <t>Fase 32</t>
        </is>
      </c>
      <c r="C329" s="38" t="inlineStr">
        <is>
          <t>Benguela</t>
        </is>
      </c>
      <c r="D329" s="39" t="inlineStr">
        <is>
          <t>A_B_F_32_P16</t>
        </is>
      </c>
      <c r="E329" s="40" t="n"/>
      <c r="F329" s="39" t="inlineStr">
        <is>
          <t>B_B_F_32_P16</t>
        </is>
      </c>
      <c r="G329" s="40" t="n"/>
      <c r="H329" s="41" t="n"/>
      <c r="I329" s="42">
        <f>IF($H329="","",MAX(0,$H329-N($E329)))</f>
        <v/>
      </c>
      <c r="J329" s="42">
        <f>IF($H329="","",MAX(0,$H329-N($G329)))</f>
        <v/>
      </c>
    </row>
    <row r="330" ht="19.5" customHeight="1" s="72">
      <c r="A330" s="38" t="inlineStr">
        <is>
          <t>BF-32-P16-SBA</t>
        </is>
      </c>
      <c r="B330" s="38" t="inlineStr">
        <is>
          <t>Fase 32</t>
        </is>
      </c>
      <c r="C330" s="38" t="inlineStr">
        <is>
          <t>São Bento da Abadá</t>
        </is>
      </c>
      <c r="D330" s="39" t="inlineStr">
        <is>
          <t>A_B_F_32_P16</t>
        </is>
      </c>
      <c r="E330" s="40" t="n"/>
      <c r="F330" s="39" t="inlineStr">
        <is>
          <t>B_B_F_32_P16</t>
        </is>
      </c>
      <c r="G330" s="40" t="n"/>
      <c r="H330" s="41" t="n"/>
      <c r="I330" s="42">
        <f>IF($H330="","",MAX(0,$H330-N($E330)))</f>
        <v/>
      </c>
      <c r="J330" s="42">
        <f>IF($H330="","",MAX(0,$H330-N($G330)))</f>
        <v/>
      </c>
    </row>
    <row r="331" ht="19.5" customHeight="1" s="72">
      <c r="A331" s="38" t="inlineStr">
        <is>
          <t>BF-32-P16-SIR</t>
        </is>
      </c>
      <c r="B331" s="38" t="inlineStr">
        <is>
          <t>Fase 32</t>
        </is>
      </c>
      <c r="C331" s="38" t="inlineStr">
        <is>
          <t>Siriuna</t>
        </is>
      </c>
      <c r="D331" s="39" t="inlineStr">
        <is>
          <t>A_B_F_32_P16</t>
        </is>
      </c>
      <c r="E331" s="40" t="n"/>
      <c r="F331" s="39" t="inlineStr">
        <is>
          <t>B_B_F_32_P16</t>
        </is>
      </c>
      <c r="G331" s="40" t="n"/>
      <c r="H331" s="41" t="n"/>
      <c r="I331" s="42">
        <f>IF($H331="","",MAX(0,$H331-N($E331)))</f>
        <v/>
      </c>
      <c r="J331" s="42">
        <f>IF($H331="","",MAX(0,$H331-N($G331)))</f>
        <v/>
      </c>
    </row>
    <row r="332" ht="19.5" customHeight="1" s="72">
      <c r="A332" s="38" t="inlineStr">
        <is>
          <t>BF-OCT-P01-BEN</t>
        </is>
      </c>
      <c r="B332" s="38" t="inlineStr">
        <is>
          <t>Octavas</t>
        </is>
      </c>
      <c r="C332" s="38" t="inlineStr">
        <is>
          <t>Benguela</t>
        </is>
      </c>
      <c r="D332" s="39">
        <f>IFERROR(CLASIF_B_F!$F$5,"")</f>
        <v/>
      </c>
      <c r="E332" s="40" t="n"/>
      <c r="F332" s="39">
        <f>IFERROR(CLASIF_B_F!$F$20,"")</f>
        <v/>
      </c>
      <c r="G332" s="40" t="n"/>
      <c r="H332" s="41" t="n"/>
      <c r="I332" s="42">
        <f>IF($H332="","",MAX(0,$H332-N($E332)))</f>
        <v/>
      </c>
      <c r="J332" s="42">
        <f>IF($H332="","",MAX(0,$H332-N($G332)))</f>
        <v/>
      </c>
    </row>
    <row r="333" ht="19.5" customHeight="1" s="72">
      <c r="A333" s="38" t="inlineStr">
        <is>
          <t>BF-OCT-P01-SBA</t>
        </is>
      </c>
      <c r="B333" s="38" t="inlineStr">
        <is>
          <t>Octavas</t>
        </is>
      </c>
      <c r="C333" s="38" t="inlineStr">
        <is>
          <t>São Bento da Abadá</t>
        </is>
      </c>
      <c r="D333" s="39">
        <f>IFERROR(CLASIF_B_F!$F$5,"")</f>
        <v/>
      </c>
      <c r="E333" s="40" t="n"/>
      <c r="F333" s="39">
        <f>IFERROR(CLASIF_B_F!$F$20,"")</f>
        <v/>
      </c>
      <c r="G333" s="40" t="n"/>
      <c r="H333" s="41" t="n"/>
      <c r="I333" s="42">
        <f>IF($H333="","",MAX(0,$H333-N($E333)))</f>
        <v/>
      </c>
      <c r="J333" s="42">
        <f>IF($H333="","",MAX(0,$H333-N($G333)))</f>
        <v/>
      </c>
    </row>
    <row r="334" ht="19.5" customHeight="1" s="72">
      <c r="A334" s="38" t="inlineStr">
        <is>
          <t>BF-OCT-P01-SIR</t>
        </is>
      </c>
      <c r="B334" s="38" t="inlineStr">
        <is>
          <t>Octavas</t>
        </is>
      </c>
      <c r="C334" s="38" t="inlineStr">
        <is>
          <t>Siriuna</t>
        </is>
      </c>
      <c r="D334" s="39">
        <f>IFERROR(CLASIF_B_F!$F$5,"")</f>
        <v/>
      </c>
      <c r="E334" s="40" t="n"/>
      <c r="F334" s="39">
        <f>IFERROR(CLASIF_B_F!$F$20,"")</f>
        <v/>
      </c>
      <c r="G334" s="40" t="n"/>
      <c r="H334" s="41" t="n"/>
      <c r="I334" s="42">
        <f>IF($H334="","",MAX(0,$H334-N($E334)))</f>
        <v/>
      </c>
      <c r="J334" s="42">
        <f>IF($H334="","",MAX(0,$H334-N($G334)))</f>
        <v/>
      </c>
    </row>
    <row r="335" ht="19.5" customHeight="1" s="72">
      <c r="A335" s="38" t="inlineStr">
        <is>
          <t>BF-OCT-P02-BEN</t>
        </is>
      </c>
      <c r="B335" s="38" t="inlineStr">
        <is>
          <t>Octavas</t>
        </is>
      </c>
      <c r="C335" s="38" t="inlineStr">
        <is>
          <t>Benguela</t>
        </is>
      </c>
      <c r="D335" s="39">
        <f>IFERROR(CLASIF_B_F!$F$6,"")</f>
        <v/>
      </c>
      <c r="E335" s="40" t="n"/>
      <c r="F335" s="39">
        <f>IFERROR(CLASIF_B_F!$F$19,"")</f>
        <v/>
      </c>
      <c r="G335" s="40" t="n"/>
      <c r="H335" s="41" t="n"/>
      <c r="I335" s="42">
        <f>IF($H335="","",MAX(0,$H335-N($E335)))</f>
        <v/>
      </c>
      <c r="J335" s="42">
        <f>IF($H335="","",MAX(0,$H335-N($G335)))</f>
        <v/>
      </c>
    </row>
    <row r="336" ht="19.5" customHeight="1" s="72">
      <c r="A336" s="38" t="inlineStr">
        <is>
          <t>BF-OCT-P02-SBA</t>
        </is>
      </c>
      <c r="B336" s="38" t="inlineStr">
        <is>
          <t>Octavas</t>
        </is>
      </c>
      <c r="C336" s="38" t="inlineStr">
        <is>
          <t>São Bento da Abadá</t>
        </is>
      </c>
      <c r="D336" s="39">
        <f>IFERROR(CLASIF_B_F!$F$6,"")</f>
        <v/>
      </c>
      <c r="E336" s="40" t="n"/>
      <c r="F336" s="39">
        <f>IFERROR(CLASIF_B_F!$F$19,"")</f>
        <v/>
      </c>
      <c r="G336" s="40" t="n"/>
      <c r="H336" s="41" t="n"/>
      <c r="I336" s="42">
        <f>IF($H336="","",MAX(0,$H336-N($E336)))</f>
        <v/>
      </c>
      <c r="J336" s="42">
        <f>IF($H336="","",MAX(0,$H336-N($G336)))</f>
        <v/>
      </c>
    </row>
    <row r="337" ht="19.5" customHeight="1" s="72">
      <c r="A337" s="38" t="inlineStr">
        <is>
          <t>BF-OCT-P02-SIR</t>
        </is>
      </c>
      <c r="B337" s="38" t="inlineStr">
        <is>
          <t>Octavas</t>
        </is>
      </c>
      <c r="C337" s="38" t="inlineStr">
        <is>
          <t>Siriuna</t>
        </is>
      </c>
      <c r="D337" s="39">
        <f>IFERROR(CLASIF_B_F!$F$6,"")</f>
        <v/>
      </c>
      <c r="E337" s="40" t="n"/>
      <c r="F337" s="39">
        <f>IFERROR(CLASIF_B_F!$F$19,"")</f>
        <v/>
      </c>
      <c r="G337" s="40" t="n"/>
      <c r="H337" s="41" t="n"/>
      <c r="I337" s="42">
        <f>IF($H337="","",MAX(0,$H337-N($E337)))</f>
        <v/>
      </c>
      <c r="J337" s="42">
        <f>IF($H337="","",MAX(0,$H337-N($G337)))</f>
        <v/>
      </c>
    </row>
    <row r="338" ht="19.5" customHeight="1" s="72">
      <c r="A338" s="38" t="inlineStr">
        <is>
          <t>BF-OCT-P03-BEN</t>
        </is>
      </c>
      <c r="B338" s="38" t="inlineStr">
        <is>
          <t>Octavas</t>
        </is>
      </c>
      <c r="C338" s="38" t="inlineStr">
        <is>
          <t>Benguela</t>
        </is>
      </c>
      <c r="D338" s="39">
        <f>IFERROR(CLASIF_B_F!$F$7,"")</f>
        <v/>
      </c>
      <c r="E338" s="40" t="n"/>
      <c r="F338" s="39">
        <f>IFERROR(CLASIF_B_F!$F$18,"")</f>
        <v/>
      </c>
      <c r="G338" s="40" t="n"/>
      <c r="H338" s="41" t="n"/>
      <c r="I338" s="42">
        <f>IF($H338="","",MAX(0,$H338-N($E338)))</f>
        <v/>
      </c>
      <c r="J338" s="42">
        <f>IF($H338="","",MAX(0,$H338-N($G338)))</f>
        <v/>
      </c>
    </row>
    <row r="339" ht="19.5" customHeight="1" s="72">
      <c r="A339" s="38" t="inlineStr">
        <is>
          <t>BF-OCT-P03-SBA</t>
        </is>
      </c>
      <c r="B339" s="38" t="inlineStr">
        <is>
          <t>Octavas</t>
        </is>
      </c>
      <c r="C339" s="38" t="inlineStr">
        <is>
          <t>São Bento da Abadá</t>
        </is>
      </c>
      <c r="D339" s="39">
        <f>IFERROR(CLASIF_B_F!$F$7,"")</f>
        <v/>
      </c>
      <c r="E339" s="40" t="n"/>
      <c r="F339" s="39">
        <f>IFERROR(CLASIF_B_F!$F$18,"")</f>
        <v/>
      </c>
      <c r="G339" s="40" t="n"/>
      <c r="H339" s="41" t="n"/>
      <c r="I339" s="42">
        <f>IF($H339="","",MAX(0,$H339-N($E339)))</f>
        <v/>
      </c>
      <c r="J339" s="42">
        <f>IF($H339="","",MAX(0,$H339-N($G339)))</f>
        <v/>
      </c>
    </row>
    <row r="340" ht="19.5" customHeight="1" s="72">
      <c r="A340" s="38" t="inlineStr">
        <is>
          <t>BF-OCT-P03-SIR</t>
        </is>
      </c>
      <c r="B340" s="38" t="inlineStr">
        <is>
          <t>Octavas</t>
        </is>
      </c>
      <c r="C340" s="38" t="inlineStr">
        <is>
          <t>Siriuna</t>
        </is>
      </c>
      <c r="D340" s="39">
        <f>IFERROR(CLASIF_B_F!$F$7,"")</f>
        <v/>
      </c>
      <c r="E340" s="40" t="n"/>
      <c r="F340" s="39">
        <f>IFERROR(CLASIF_B_F!$F$18,"")</f>
        <v/>
      </c>
      <c r="G340" s="40" t="n"/>
      <c r="H340" s="41" t="n"/>
      <c r="I340" s="42">
        <f>IF($H340="","",MAX(0,$H340-N($E340)))</f>
        <v/>
      </c>
      <c r="J340" s="42">
        <f>IF($H340="","",MAX(0,$H340-N($G340)))</f>
        <v/>
      </c>
    </row>
    <row r="341" ht="19.5" customHeight="1" s="72">
      <c r="A341" s="38" t="inlineStr">
        <is>
          <t>BF-OCT-P04-BEN</t>
        </is>
      </c>
      <c r="B341" s="38" t="inlineStr">
        <is>
          <t>Octavas</t>
        </is>
      </c>
      <c r="C341" s="38" t="inlineStr">
        <is>
          <t>Benguela</t>
        </is>
      </c>
      <c r="D341" s="39">
        <f>IFERROR(CLASIF_B_F!$F$8,"")</f>
        <v/>
      </c>
      <c r="E341" s="40" t="n"/>
      <c r="F341" s="39">
        <f>IFERROR(CLASIF_B_F!$F$17,"")</f>
        <v/>
      </c>
      <c r="G341" s="40" t="n"/>
      <c r="H341" s="41" t="n"/>
      <c r="I341" s="42">
        <f>IF($H341="","",MAX(0,$H341-N($E341)))</f>
        <v/>
      </c>
      <c r="J341" s="42">
        <f>IF($H341="","",MAX(0,$H341-N($G341)))</f>
        <v/>
      </c>
    </row>
    <row r="342" ht="19.5" customHeight="1" s="72">
      <c r="A342" s="38" t="inlineStr">
        <is>
          <t>BF-OCT-P04-SBA</t>
        </is>
      </c>
      <c r="B342" s="38" t="inlineStr">
        <is>
          <t>Octavas</t>
        </is>
      </c>
      <c r="C342" s="38" t="inlineStr">
        <is>
          <t>São Bento da Abadá</t>
        </is>
      </c>
      <c r="D342" s="39">
        <f>IFERROR(CLASIF_B_F!$F$8,"")</f>
        <v/>
      </c>
      <c r="E342" s="40" t="n"/>
      <c r="F342" s="39">
        <f>IFERROR(CLASIF_B_F!$F$17,"")</f>
        <v/>
      </c>
      <c r="G342" s="40" t="n"/>
      <c r="H342" s="41" t="n"/>
      <c r="I342" s="42">
        <f>IF($H342="","",MAX(0,$H342-N($E342)))</f>
        <v/>
      </c>
      <c r="J342" s="42">
        <f>IF($H342="","",MAX(0,$H342-N($G342)))</f>
        <v/>
      </c>
    </row>
    <row r="343" ht="19.5" customHeight="1" s="72">
      <c r="A343" s="38" t="inlineStr">
        <is>
          <t>BF-OCT-P04-SIR</t>
        </is>
      </c>
      <c r="B343" s="38" t="inlineStr">
        <is>
          <t>Octavas</t>
        </is>
      </c>
      <c r="C343" s="38" t="inlineStr">
        <is>
          <t>Siriuna</t>
        </is>
      </c>
      <c r="D343" s="39">
        <f>IFERROR(CLASIF_B_F!$F$8,"")</f>
        <v/>
      </c>
      <c r="E343" s="40" t="n"/>
      <c r="F343" s="39">
        <f>IFERROR(CLASIF_B_F!$F$17,"")</f>
        <v/>
      </c>
      <c r="G343" s="40" t="n"/>
      <c r="H343" s="41" t="n"/>
      <c r="I343" s="42">
        <f>IF($H343="","",MAX(0,$H343-N($E343)))</f>
        <v/>
      </c>
      <c r="J343" s="42">
        <f>IF($H343="","",MAX(0,$H343-N($G343)))</f>
        <v/>
      </c>
    </row>
    <row r="344" ht="19.5" customHeight="1" s="72">
      <c r="A344" s="38" t="inlineStr">
        <is>
          <t>BF-OCT-P05-BEN</t>
        </is>
      </c>
      <c r="B344" s="38" t="inlineStr">
        <is>
          <t>Octavas</t>
        </is>
      </c>
      <c r="C344" s="38" t="inlineStr">
        <is>
          <t>Benguela</t>
        </is>
      </c>
      <c r="D344" s="39">
        <f>IFERROR(CLASIF_B_F!$F$9,"")</f>
        <v/>
      </c>
      <c r="E344" s="40" t="n"/>
      <c r="F344" s="39">
        <f>IFERROR(CLASIF_B_F!$F$16,"")</f>
        <v/>
      </c>
      <c r="G344" s="40" t="n"/>
      <c r="H344" s="41" t="n"/>
      <c r="I344" s="42">
        <f>IF($H344="","",MAX(0,$H344-N($E344)))</f>
        <v/>
      </c>
      <c r="J344" s="42">
        <f>IF($H344="","",MAX(0,$H344-N($G344)))</f>
        <v/>
      </c>
    </row>
    <row r="345" ht="19.5" customHeight="1" s="72">
      <c r="A345" s="38" t="inlineStr">
        <is>
          <t>BF-OCT-P05-SBA</t>
        </is>
      </c>
      <c r="B345" s="38" t="inlineStr">
        <is>
          <t>Octavas</t>
        </is>
      </c>
      <c r="C345" s="38" t="inlineStr">
        <is>
          <t>São Bento da Abadá</t>
        </is>
      </c>
      <c r="D345" s="39">
        <f>IFERROR(CLASIF_B_F!$F$9,"")</f>
        <v/>
      </c>
      <c r="E345" s="40" t="n"/>
      <c r="F345" s="39">
        <f>IFERROR(CLASIF_B_F!$F$16,"")</f>
        <v/>
      </c>
      <c r="G345" s="40" t="n"/>
      <c r="H345" s="41" t="n"/>
      <c r="I345" s="42">
        <f>IF($H345="","",MAX(0,$H345-N($E345)))</f>
        <v/>
      </c>
      <c r="J345" s="42">
        <f>IF($H345="","",MAX(0,$H345-N($G345)))</f>
        <v/>
      </c>
    </row>
    <row r="346" ht="19.5" customHeight="1" s="72">
      <c r="A346" s="38" t="inlineStr">
        <is>
          <t>BF-OCT-P05-SIR</t>
        </is>
      </c>
      <c r="B346" s="38" t="inlineStr">
        <is>
          <t>Octavas</t>
        </is>
      </c>
      <c r="C346" s="38" t="inlineStr">
        <is>
          <t>Siriuna</t>
        </is>
      </c>
      <c r="D346" s="39">
        <f>IFERROR(CLASIF_B_F!$F$9,"")</f>
        <v/>
      </c>
      <c r="E346" s="40" t="n"/>
      <c r="F346" s="39">
        <f>IFERROR(CLASIF_B_F!$F$16,"")</f>
        <v/>
      </c>
      <c r="G346" s="40" t="n"/>
      <c r="H346" s="41" t="n"/>
      <c r="I346" s="42">
        <f>IF($H346="","",MAX(0,$H346-N($E346)))</f>
        <v/>
      </c>
      <c r="J346" s="42">
        <f>IF($H346="","",MAX(0,$H346-N($G346)))</f>
        <v/>
      </c>
    </row>
    <row r="347" ht="19.5" customHeight="1" s="72">
      <c r="A347" s="38" t="inlineStr">
        <is>
          <t>BF-OCT-P06-BEN</t>
        </is>
      </c>
      <c r="B347" s="38" t="inlineStr">
        <is>
          <t>Octavas</t>
        </is>
      </c>
      <c r="C347" s="38" t="inlineStr">
        <is>
          <t>Benguela</t>
        </is>
      </c>
      <c r="D347" s="39">
        <f>IFERROR(CLASIF_B_F!$F$10,"")</f>
        <v/>
      </c>
      <c r="E347" s="40" t="n"/>
      <c r="F347" s="39">
        <f>IFERROR(CLASIF_B_F!$F$15,"")</f>
        <v/>
      </c>
      <c r="G347" s="40" t="n"/>
      <c r="H347" s="41" t="n"/>
      <c r="I347" s="42">
        <f>IF($H347="","",MAX(0,$H347-N($E347)))</f>
        <v/>
      </c>
      <c r="J347" s="42">
        <f>IF($H347="","",MAX(0,$H347-N($G347)))</f>
        <v/>
      </c>
    </row>
    <row r="348" ht="19.5" customHeight="1" s="72">
      <c r="A348" s="38" t="inlineStr">
        <is>
          <t>BF-OCT-P06-SBA</t>
        </is>
      </c>
      <c r="B348" s="38" t="inlineStr">
        <is>
          <t>Octavas</t>
        </is>
      </c>
      <c r="C348" s="38" t="inlineStr">
        <is>
          <t>São Bento da Abadá</t>
        </is>
      </c>
      <c r="D348" s="39">
        <f>IFERROR(CLASIF_B_F!$F$10,"")</f>
        <v/>
      </c>
      <c r="E348" s="40" t="n"/>
      <c r="F348" s="39">
        <f>IFERROR(CLASIF_B_F!$F$15,"")</f>
        <v/>
      </c>
      <c r="G348" s="40" t="n"/>
      <c r="H348" s="41" t="n"/>
      <c r="I348" s="42">
        <f>IF($H348="","",MAX(0,$H348-N($E348)))</f>
        <v/>
      </c>
      <c r="J348" s="42">
        <f>IF($H348="","",MAX(0,$H348-N($G348)))</f>
        <v/>
      </c>
    </row>
    <row r="349" ht="19.5" customHeight="1" s="72">
      <c r="A349" s="38" t="inlineStr">
        <is>
          <t>BF-OCT-P06-SIR</t>
        </is>
      </c>
      <c r="B349" s="38" t="inlineStr">
        <is>
          <t>Octavas</t>
        </is>
      </c>
      <c r="C349" s="38" t="inlineStr">
        <is>
          <t>Siriuna</t>
        </is>
      </c>
      <c r="D349" s="39">
        <f>IFERROR(CLASIF_B_F!$F$10,"")</f>
        <v/>
      </c>
      <c r="E349" s="40" t="n"/>
      <c r="F349" s="39">
        <f>IFERROR(CLASIF_B_F!$F$15,"")</f>
        <v/>
      </c>
      <c r="G349" s="40" t="n"/>
      <c r="H349" s="41" t="n"/>
      <c r="I349" s="42">
        <f>IF($H349="","",MAX(0,$H349-N($E349)))</f>
        <v/>
      </c>
      <c r="J349" s="42">
        <f>IF($H349="","",MAX(0,$H349-N($G349)))</f>
        <v/>
      </c>
    </row>
    <row r="350" ht="19.5" customHeight="1" s="72">
      <c r="A350" s="38" t="inlineStr">
        <is>
          <t>BF-OCT-P07-BEN</t>
        </is>
      </c>
      <c r="B350" s="38" t="inlineStr">
        <is>
          <t>Octavas</t>
        </is>
      </c>
      <c r="C350" s="38" t="inlineStr">
        <is>
          <t>Benguela</t>
        </is>
      </c>
      <c r="D350" s="39">
        <f>IFERROR(CLASIF_B_F!$F$11,"")</f>
        <v/>
      </c>
      <c r="E350" s="40" t="n"/>
      <c r="F350" s="39">
        <f>IFERROR(CLASIF_B_F!$F$14,"")</f>
        <v/>
      </c>
      <c r="G350" s="40" t="n"/>
      <c r="H350" s="41" t="n"/>
      <c r="I350" s="42">
        <f>IF($H350="","",MAX(0,$H350-N($E350)))</f>
        <v/>
      </c>
      <c r="J350" s="42">
        <f>IF($H350="","",MAX(0,$H350-N($G350)))</f>
        <v/>
      </c>
    </row>
    <row r="351" ht="19.5" customHeight="1" s="72">
      <c r="A351" s="38" t="inlineStr">
        <is>
          <t>BF-OCT-P07-SBA</t>
        </is>
      </c>
      <c r="B351" s="38" t="inlineStr">
        <is>
          <t>Octavas</t>
        </is>
      </c>
      <c r="C351" s="38" t="inlineStr">
        <is>
          <t>São Bento da Abadá</t>
        </is>
      </c>
      <c r="D351" s="39">
        <f>IFERROR(CLASIF_B_F!$F$11,"")</f>
        <v/>
      </c>
      <c r="E351" s="40" t="n"/>
      <c r="F351" s="39">
        <f>IFERROR(CLASIF_B_F!$F$14,"")</f>
        <v/>
      </c>
      <c r="G351" s="40" t="n"/>
      <c r="H351" s="41" t="n"/>
      <c r="I351" s="42">
        <f>IF($H351="","",MAX(0,$H351-N($E351)))</f>
        <v/>
      </c>
      <c r="J351" s="42">
        <f>IF($H351="","",MAX(0,$H351-N($G351)))</f>
        <v/>
      </c>
    </row>
    <row r="352" ht="19.5" customHeight="1" s="72">
      <c r="A352" s="38" t="inlineStr">
        <is>
          <t>BF-OCT-P07-SIR</t>
        </is>
      </c>
      <c r="B352" s="38" t="inlineStr">
        <is>
          <t>Octavas</t>
        </is>
      </c>
      <c r="C352" s="38" t="inlineStr">
        <is>
          <t>Siriuna</t>
        </is>
      </c>
      <c r="D352" s="39">
        <f>IFERROR(CLASIF_B_F!$F$11,"")</f>
        <v/>
      </c>
      <c r="E352" s="40" t="n"/>
      <c r="F352" s="39">
        <f>IFERROR(CLASIF_B_F!$F$14,"")</f>
        <v/>
      </c>
      <c r="G352" s="40" t="n"/>
      <c r="H352" s="41" t="n"/>
      <c r="I352" s="42">
        <f>IF($H352="","",MAX(0,$H352-N($E352)))</f>
        <v/>
      </c>
      <c r="J352" s="42">
        <f>IF($H352="","",MAX(0,$H352-N($G352)))</f>
        <v/>
      </c>
    </row>
    <row r="353" ht="19.5" customHeight="1" s="72">
      <c r="A353" s="38" t="inlineStr">
        <is>
          <t>BF-OCT-P08-BEN</t>
        </is>
      </c>
      <c r="B353" s="38" t="inlineStr">
        <is>
          <t>Octavas</t>
        </is>
      </c>
      <c r="C353" s="38" t="inlineStr">
        <is>
          <t>Benguela</t>
        </is>
      </c>
      <c r="D353" s="39">
        <f>IFERROR(CLASIF_B_F!$F$12,"")</f>
        <v/>
      </c>
      <c r="E353" s="40" t="n"/>
      <c r="F353" s="39">
        <f>IFERROR(CLASIF_B_F!$F$13,"")</f>
        <v/>
      </c>
      <c r="G353" s="40" t="n"/>
      <c r="H353" s="41" t="n"/>
      <c r="I353" s="42">
        <f>IF($H353="","",MAX(0,$H353-N($E353)))</f>
        <v/>
      </c>
      <c r="J353" s="42">
        <f>IF($H353="","",MAX(0,$H353-N($G353)))</f>
        <v/>
      </c>
    </row>
    <row r="354" ht="19.5" customHeight="1" s="72">
      <c r="A354" s="38" t="inlineStr">
        <is>
          <t>BF-OCT-P08-SBA</t>
        </is>
      </c>
      <c r="B354" s="38" t="inlineStr">
        <is>
          <t>Octavas</t>
        </is>
      </c>
      <c r="C354" s="38" t="inlineStr">
        <is>
          <t>São Bento da Abadá</t>
        </is>
      </c>
      <c r="D354" s="39">
        <f>IFERROR(CLASIF_B_F!$F$12,"")</f>
        <v/>
      </c>
      <c r="E354" s="40" t="n"/>
      <c r="F354" s="39">
        <f>IFERROR(CLASIF_B_F!$F$13,"")</f>
        <v/>
      </c>
      <c r="G354" s="40" t="n"/>
      <c r="H354" s="41" t="n"/>
      <c r="I354" s="42">
        <f>IF($H354="","",MAX(0,$H354-N($E354)))</f>
        <v/>
      </c>
      <c r="J354" s="42">
        <f>IF($H354="","",MAX(0,$H354-N($G354)))</f>
        <v/>
      </c>
    </row>
    <row r="355" ht="19.5" customHeight="1" s="72">
      <c r="A355" s="38" t="inlineStr">
        <is>
          <t>BF-OCT-P08-SIR</t>
        </is>
      </c>
      <c r="B355" s="38" t="inlineStr">
        <is>
          <t>Octavas</t>
        </is>
      </c>
      <c r="C355" s="38" t="inlineStr">
        <is>
          <t>Siriuna</t>
        </is>
      </c>
      <c r="D355" s="39">
        <f>IFERROR(CLASIF_B_F!$F$12,"")</f>
        <v/>
      </c>
      <c r="E355" s="40" t="n"/>
      <c r="F355" s="39">
        <f>IFERROR(CLASIF_B_F!$F$13,"")</f>
        <v/>
      </c>
      <c r="G355" s="40" t="n"/>
      <c r="H355" s="41" t="n"/>
      <c r="I355" s="42">
        <f>IF($H355="","",MAX(0,$H355-N($E355)))</f>
        <v/>
      </c>
      <c r="J355" s="42">
        <f>IF($H355="","",MAX(0,$H355-N($G355)))</f>
        <v/>
      </c>
    </row>
    <row r="356" ht="19.5" customHeight="1" s="72">
      <c r="A356" s="38" t="inlineStr">
        <is>
          <t>BF-SEM-P01-BEN</t>
        </is>
      </c>
      <c r="B356" s="38" t="inlineStr">
        <is>
          <t>Semifinal</t>
        </is>
      </c>
      <c r="C356" s="38" t="inlineStr">
        <is>
          <t>Benguela</t>
        </is>
      </c>
      <c r="D356" s="39">
        <f>IFERROR(CLASIF_B_F!$O$5,"")</f>
        <v/>
      </c>
      <c r="E356" s="40" t="n"/>
      <c r="F356" s="39">
        <f>IFERROR(CLASIF_B_F!$O$12,"")</f>
        <v/>
      </c>
      <c r="G356" s="40" t="n"/>
      <c r="H356" s="41" t="n"/>
      <c r="I356" s="42">
        <f>IF($H356="","",MAX(0,$H356-N($E356)))</f>
        <v/>
      </c>
      <c r="J356" s="42">
        <f>IF($H356="","",MAX(0,$H356-N($G356)))</f>
        <v/>
      </c>
    </row>
    <row r="357" ht="19.5" customHeight="1" s="72">
      <c r="A357" s="38" t="inlineStr">
        <is>
          <t>BF-SEM-P01-SBA</t>
        </is>
      </c>
      <c r="B357" s="38" t="inlineStr">
        <is>
          <t>Semifinal</t>
        </is>
      </c>
      <c r="C357" s="38" t="inlineStr">
        <is>
          <t>São Bento da Abadá</t>
        </is>
      </c>
      <c r="D357" s="39">
        <f>IFERROR(CLASIF_B_F!$O$5,"")</f>
        <v/>
      </c>
      <c r="E357" s="40" t="n"/>
      <c r="F357" s="39">
        <f>IFERROR(CLASIF_B_F!$O$12,"")</f>
        <v/>
      </c>
      <c r="G357" s="40" t="n"/>
      <c r="H357" s="41" t="n"/>
      <c r="I357" s="42">
        <f>IF($H357="","",MAX(0,$H357-N($E357)))</f>
        <v/>
      </c>
      <c r="J357" s="42">
        <f>IF($H357="","",MAX(0,$H357-N($G357)))</f>
        <v/>
      </c>
    </row>
    <row r="358" ht="19.5" customHeight="1" s="72">
      <c r="A358" s="38" t="inlineStr">
        <is>
          <t>BF-SEM-P01-SIR</t>
        </is>
      </c>
      <c r="B358" s="38" t="inlineStr">
        <is>
          <t>Semifinal</t>
        </is>
      </c>
      <c r="C358" s="38" t="inlineStr">
        <is>
          <t>Siriuna</t>
        </is>
      </c>
      <c r="D358" s="39">
        <f>IFERROR(CLASIF_B_F!$O$5,"")</f>
        <v/>
      </c>
      <c r="E358" s="40" t="n"/>
      <c r="F358" s="39">
        <f>IFERROR(CLASIF_B_F!$O$12,"")</f>
        <v/>
      </c>
      <c r="G358" s="40" t="n"/>
      <c r="H358" s="41" t="n"/>
      <c r="I358" s="42">
        <f>IF($H358="","",MAX(0,$H358-N($E358)))</f>
        <v/>
      </c>
      <c r="J358" s="42">
        <f>IF($H358="","",MAX(0,$H358-N($G358)))</f>
        <v/>
      </c>
    </row>
    <row r="359" ht="19.5" customHeight="1" s="72">
      <c r="A359" s="38" t="inlineStr">
        <is>
          <t>BF-SEM-P02-BEN</t>
        </is>
      </c>
      <c r="B359" s="38" t="inlineStr">
        <is>
          <t>Semifinal</t>
        </is>
      </c>
      <c r="C359" s="38" t="inlineStr">
        <is>
          <t>Benguela</t>
        </is>
      </c>
      <c r="D359" s="39">
        <f>IFERROR(CLASIF_B_F!$O$6,"")</f>
        <v/>
      </c>
      <c r="E359" s="40" t="n"/>
      <c r="F359" s="39">
        <f>IFERROR(CLASIF_B_F!$O$11,"")</f>
        <v/>
      </c>
      <c r="G359" s="40" t="n"/>
      <c r="H359" s="41" t="n"/>
      <c r="I359" s="42">
        <f>IF($H359="","",MAX(0,$H359-N($E359)))</f>
        <v/>
      </c>
      <c r="J359" s="42">
        <f>IF($H359="","",MAX(0,$H359-N($G359)))</f>
        <v/>
      </c>
    </row>
    <row r="360" ht="19.5" customHeight="1" s="72">
      <c r="A360" s="38" t="inlineStr">
        <is>
          <t>BF-SEM-P02-SBA</t>
        </is>
      </c>
      <c r="B360" s="38" t="inlineStr">
        <is>
          <t>Semifinal</t>
        </is>
      </c>
      <c r="C360" s="38" t="inlineStr">
        <is>
          <t>São Bento da Abadá</t>
        </is>
      </c>
      <c r="D360" s="39">
        <f>IFERROR(CLASIF_B_F!$O$6,"")</f>
        <v/>
      </c>
      <c r="E360" s="40" t="n"/>
      <c r="F360" s="39">
        <f>IFERROR(CLASIF_B_F!$O$11,"")</f>
        <v/>
      </c>
      <c r="G360" s="40" t="n"/>
      <c r="H360" s="41" t="n"/>
      <c r="I360" s="42">
        <f>IF($H360="","",MAX(0,$H360-N($E360)))</f>
        <v/>
      </c>
      <c r="J360" s="42">
        <f>IF($H360="","",MAX(0,$H360-N($G360)))</f>
        <v/>
      </c>
    </row>
    <row r="361" ht="19.5" customHeight="1" s="72">
      <c r="A361" s="38" t="inlineStr">
        <is>
          <t>BF-SEM-P02-SIR</t>
        </is>
      </c>
      <c r="B361" s="38" t="inlineStr">
        <is>
          <t>Semifinal</t>
        </is>
      </c>
      <c r="C361" s="38" t="inlineStr">
        <is>
          <t>Siriuna</t>
        </is>
      </c>
      <c r="D361" s="39">
        <f>IFERROR(CLASIF_B_F!$O$6,"")</f>
        <v/>
      </c>
      <c r="E361" s="40" t="n"/>
      <c r="F361" s="39">
        <f>IFERROR(CLASIF_B_F!$O$11,"")</f>
        <v/>
      </c>
      <c r="G361" s="40" t="n"/>
      <c r="H361" s="41" t="n"/>
      <c r="I361" s="42">
        <f>IF($H361="","",MAX(0,$H361-N($E361)))</f>
        <v/>
      </c>
      <c r="J361" s="42">
        <f>IF($H361="","",MAX(0,$H361-N($G361)))</f>
        <v/>
      </c>
    </row>
    <row r="362" ht="19.5" customHeight="1" s="72">
      <c r="A362" s="38" t="inlineStr">
        <is>
          <t>BF-SEM-P03-BEN</t>
        </is>
      </c>
      <c r="B362" s="38" t="inlineStr">
        <is>
          <t>Semifinal</t>
        </is>
      </c>
      <c r="C362" s="38" t="inlineStr">
        <is>
          <t>Benguela</t>
        </is>
      </c>
      <c r="D362" s="39">
        <f>IFERROR(CLASIF_B_F!$O$7,"")</f>
        <v/>
      </c>
      <c r="E362" s="40" t="n"/>
      <c r="F362" s="39">
        <f>IFERROR(CLASIF_B_F!$O$10,"")</f>
        <v/>
      </c>
      <c r="G362" s="40" t="n"/>
      <c r="H362" s="41" t="n"/>
      <c r="I362" s="42">
        <f>IF($H362="","",MAX(0,$H362-N($E362)))</f>
        <v/>
      </c>
      <c r="J362" s="42">
        <f>IF($H362="","",MAX(0,$H362-N($G362)))</f>
        <v/>
      </c>
    </row>
    <row r="363" ht="19.5" customHeight="1" s="72">
      <c r="A363" s="38" t="inlineStr">
        <is>
          <t>BF-SEM-P03-SBA</t>
        </is>
      </c>
      <c r="B363" s="38" t="inlineStr">
        <is>
          <t>Semifinal</t>
        </is>
      </c>
      <c r="C363" s="38" t="inlineStr">
        <is>
          <t>São Bento da Abadá</t>
        </is>
      </c>
      <c r="D363" s="39">
        <f>IFERROR(CLASIF_B_F!$O$7,"")</f>
        <v/>
      </c>
      <c r="E363" s="40" t="n"/>
      <c r="F363" s="39">
        <f>IFERROR(CLASIF_B_F!$O$10,"")</f>
        <v/>
      </c>
      <c r="G363" s="40" t="n"/>
      <c r="H363" s="41" t="n"/>
      <c r="I363" s="42">
        <f>IF($H363="","",MAX(0,$H363-N($E363)))</f>
        <v/>
      </c>
      <c r="J363" s="42">
        <f>IF($H363="","",MAX(0,$H363-N($G363)))</f>
        <v/>
      </c>
    </row>
    <row r="364" ht="19.5" customHeight="1" s="72">
      <c r="A364" s="38" t="inlineStr">
        <is>
          <t>BF-SEM-P03-SIR</t>
        </is>
      </c>
      <c r="B364" s="38" t="inlineStr">
        <is>
          <t>Semifinal</t>
        </is>
      </c>
      <c r="C364" s="38" t="inlineStr">
        <is>
          <t>Siriuna</t>
        </is>
      </c>
      <c r="D364" s="39">
        <f>IFERROR(CLASIF_B_F!$O$7,"")</f>
        <v/>
      </c>
      <c r="E364" s="40" t="n"/>
      <c r="F364" s="39">
        <f>IFERROR(CLASIF_B_F!$O$10,"")</f>
        <v/>
      </c>
      <c r="G364" s="40" t="n"/>
      <c r="H364" s="41" t="n"/>
      <c r="I364" s="42">
        <f>IF($H364="","",MAX(0,$H364-N($E364)))</f>
        <v/>
      </c>
      <c r="J364" s="42">
        <f>IF($H364="","",MAX(0,$H364-N($G364)))</f>
        <v/>
      </c>
    </row>
    <row r="365" ht="19.5" customHeight="1" s="72">
      <c r="A365" s="38" t="inlineStr">
        <is>
          <t>BF-SEM-P04-BEN</t>
        </is>
      </c>
      <c r="B365" s="38" t="inlineStr">
        <is>
          <t>Semifinal</t>
        </is>
      </c>
      <c r="C365" s="38" t="inlineStr">
        <is>
          <t>Benguela</t>
        </is>
      </c>
      <c r="D365" s="39">
        <f>IFERROR(CLASIF_B_F!$O$8,"")</f>
        <v/>
      </c>
      <c r="E365" s="40" t="n"/>
      <c r="F365" s="39">
        <f>IFERROR(CLASIF_B_F!$O$9,"")</f>
        <v/>
      </c>
      <c r="G365" s="40" t="n"/>
      <c r="H365" s="41" t="n"/>
      <c r="I365" s="42">
        <f>IF($H365="","",MAX(0,$H365-N($E365)))</f>
        <v/>
      </c>
      <c r="J365" s="42">
        <f>IF($H365="","",MAX(0,$H365-N($G365)))</f>
        <v/>
      </c>
    </row>
    <row r="366" ht="19.5" customHeight="1" s="72">
      <c r="A366" s="38" t="inlineStr">
        <is>
          <t>BF-SEM-P04-SBA</t>
        </is>
      </c>
      <c r="B366" s="38" t="inlineStr">
        <is>
          <t>Semifinal</t>
        </is>
      </c>
      <c r="C366" s="38" t="inlineStr">
        <is>
          <t>São Bento da Abadá</t>
        </is>
      </c>
      <c r="D366" s="39">
        <f>IFERROR(CLASIF_B_F!$O$8,"")</f>
        <v/>
      </c>
      <c r="E366" s="40" t="n"/>
      <c r="F366" s="39">
        <f>IFERROR(CLASIF_B_F!$O$9,"")</f>
        <v/>
      </c>
      <c r="G366" s="40" t="n"/>
      <c r="H366" s="41" t="n"/>
      <c r="I366" s="42">
        <f>IF($H366="","",MAX(0,$H366-N($E366)))</f>
        <v/>
      </c>
      <c r="J366" s="42">
        <f>IF($H366="","",MAX(0,$H366-N($G366)))</f>
        <v/>
      </c>
    </row>
    <row r="367" ht="19.5" customHeight="1" s="72">
      <c r="A367" s="38" t="inlineStr">
        <is>
          <t>BF-SEM-P04-SIR</t>
        </is>
      </c>
      <c r="B367" s="38" t="inlineStr">
        <is>
          <t>Semifinal</t>
        </is>
      </c>
      <c r="C367" s="38" t="inlineStr">
        <is>
          <t>Siriuna</t>
        </is>
      </c>
      <c r="D367" s="39">
        <f>IFERROR(CLASIF_B_F!$O$8,"")</f>
        <v/>
      </c>
      <c r="E367" s="40" t="n"/>
      <c r="F367" s="39">
        <f>IFERROR(CLASIF_B_F!$O$9,"")</f>
        <v/>
      </c>
      <c r="G367" s="40" t="n"/>
      <c r="H367" s="41" t="n"/>
      <c r="I367" s="42">
        <f>IF($H367="","",MAX(0,$H367-N($E367)))</f>
        <v/>
      </c>
      <c r="J367" s="42">
        <f>IF($H367="","",MAX(0,$H367-N($G367)))</f>
        <v/>
      </c>
    </row>
    <row r="368" ht="19.5" customHeight="1" s="72">
      <c r="A368" s="38" t="inlineStr">
        <is>
          <t>BF-FIN-P01-BEN</t>
        </is>
      </c>
      <c r="B368" s="38" t="inlineStr">
        <is>
          <t>Final</t>
        </is>
      </c>
      <c r="C368" s="38" t="inlineStr">
        <is>
          <t>Benguela</t>
        </is>
      </c>
      <c r="D368" s="39">
        <f>IFERROR(CLASIF_B_F!$X$5,"")</f>
        <v/>
      </c>
      <c r="E368" s="40" t="n"/>
      <c r="F368" s="39">
        <f>IFERROR(CLASIF_B_F!$X$8,"")</f>
        <v/>
      </c>
      <c r="G368" s="40" t="n"/>
      <c r="H368" s="41" t="n"/>
      <c r="I368" s="42">
        <f>IF($H368="","",MAX(0,$H368-N($E368)))</f>
        <v/>
      </c>
      <c r="J368" s="42">
        <f>IF($H368="","",MAX(0,$H368-N($G368)))</f>
        <v/>
      </c>
    </row>
    <row r="369" ht="19.5" customHeight="1" s="72">
      <c r="A369" s="38" t="inlineStr">
        <is>
          <t>BF-FIN-P01-SBA</t>
        </is>
      </c>
      <c r="B369" s="38" t="inlineStr">
        <is>
          <t>Final</t>
        </is>
      </c>
      <c r="C369" s="38" t="inlineStr">
        <is>
          <t>São Bento da Abadá</t>
        </is>
      </c>
      <c r="D369" s="39">
        <f>IFERROR(CLASIF_B_F!$X$5,"")</f>
        <v/>
      </c>
      <c r="E369" s="40" t="n"/>
      <c r="F369" s="39">
        <f>IFERROR(CLASIF_B_F!$X$8,"")</f>
        <v/>
      </c>
      <c r="G369" s="40" t="n"/>
      <c r="H369" s="41" t="n"/>
      <c r="I369" s="42">
        <f>IF($H369="","",MAX(0,$H369-N($E369)))</f>
        <v/>
      </c>
      <c r="J369" s="42">
        <f>IF($H369="","",MAX(0,$H369-N($G369)))</f>
        <v/>
      </c>
    </row>
    <row r="370" ht="19.5" customHeight="1" s="72">
      <c r="A370" s="38" t="inlineStr">
        <is>
          <t>BF-FIN-P01-SIR</t>
        </is>
      </c>
      <c r="B370" s="38" t="inlineStr">
        <is>
          <t>Final</t>
        </is>
      </c>
      <c r="C370" s="38" t="inlineStr">
        <is>
          <t>Siriuna</t>
        </is>
      </c>
      <c r="D370" s="39">
        <f>IFERROR(CLASIF_B_F!$X$5,"")</f>
        <v/>
      </c>
      <c r="E370" s="40" t="n"/>
      <c r="F370" s="39">
        <f>IFERROR(CLASIF_B_F!$X$8,"")</f>
        <v/>
      </c>
      <c r="G370" s="40" t="n"/>
      <c r="H370" s="41" t="n"/>
      <c r="I370" s="42">
        <f>IF($H370="","",MAX(0,$H370-N($E370)))</f>
        <v/>
      </c>
      <c r="J370" s="42">
        <f>IF($H370="","",MAX(0,$H370-N($G370)))</f>
        <v/>
      </c>
    </row>
    <row r="371" ht="19.5" customHeight="1" s="72">
      <c r="A371" s="38" t="inlineStr">
        <is>
          <t>BF-FIN-P02-BEN</t>
        </is>
      </c>
      <c r="B371" s="38" t="inlineStr">
        <is>
          <t>Final</t>
        </is>
      </c>
      <c r="C371" s="38" t="inlineStr">
        <is>
          <t>Benguela</t>
        </is>
      </c>
      <c r="D371" s="39">
        <f>IFERROR(CLASIF_B_F!$X$6,"")</f>
        <v/>
      </c>
      <c r="E371" s="40" t="n"/>
      <c r="F371" s="39">
        <f>IFERROR(CLASIF_B_F!$X$7,"")</f>
        <v/>
      </c>
      <c r="G371" s="40" t="n"/>
      <c r="H371" s="41" t="n"/>
      <c r="I371" s="42">
        <f>IF($H371="","",MAX(0,$H371-N($E371)))</f>
        <v/>
      </c>
      <c r="J371" s="42">
        <f>IF($H371="","",MAX(0,$H371-N($G371)))</f>
        <v/>
      </c>
    </row>
    <row r="372" ht="19.5" customHeight="1" s="72">
      <c r="A372" s="38" t="inlineStr">
        <is>
          <t>BF-FIN-P02-SBA</t>
        </is>
      </c>
      <c r="B372" s="38" t="inlineStr">
        <is>
          <t>Final</t>
        </is>
      </c>
      <c r="C372" s="38" t="inlineStr">
        <is>
          <t>São Bento da Abadá</t>
        </is>
      </c>
      <c r="D372" s="39">
        <f>IFERROR(CLASIF_B_F!$X$6,"")</f>
        <v/>
      </c>
      <c r="E372" s="40" t="n"/>
      <c r="F372" s="39">
        <f>IFERROR(CLASIF_B_F!$X$7,"")</f>
        <v/>
      </c>
      <c r="G372" s="40" t="n"/>
      <c r="H372" s="41" t="n"/>
      <c r="I372" s="42">
        <f>IF($H372="","",MAX(0,$H372-N($E372)))</f>
        <v/>
      </c>
      <c r="J372" s="42">
        <f>IF($H372="","",MAX(0,$H372-N($G372)))</f>
        <v/>
      </c>
    </row>
    <row r="373" ht="19.5" customHeight="1" s="72">
      <c r="A373" s="38" t="inlineStr">
        <is>
          <t>BF-FIN-P02-SIR</t>
        </is>
      </c>
      <c r="B373" s="38" t="inlineStr">
        <is>
          <t>Final</t>
        </is>
      </c>
      <c r="C373" s="38" t="inlineStr">
        <is>
          <t>Siriuna</t>
        </is>
      </c>
      <c r="D373" s="39">
        <f>IFERROR(CLASIF_B_F!$X$6,"")</f>
        <v/>
      </c>
      <c r="E373" s="40" t="n"/>
      <c r="F373" s="39">
        <f>IFERROR(CLASIF_B_F!$X$7,"")</f>
        <v/>
      </c>
      <c r="G373" s="40" t="n"/>
      <c r="H373" s="41" t="n"/>
      <c r="I373" s="42">
        <f>IF($H373="","",MAX(0,$H373-N($E373)))</f>
        <v/>
      </c>
      <c r="J373" s="42">
        <f>IF($H373="","",MAX(0,$H373-N($G373)))</f>
        <v/>
      </c>
    </row>
    <row r="374" ht="19.5" customHeight="1" s="72">
      <c r="A374" s="43" t="n"/>
      <c r="B374" s="43" t="n"/>
      <c r="C374" s="43" t="n"/>
      <c r="D374" s="43" t="n"/>
      <c r="E374" s="43" t="n"/>
      <c r="F374" s="43" t="n"/>
      <c r="G374" s="43" t="n"/>
      <c r="H374" s="44" t="n"/>
      <c r="I374" s="43">
        <f>IF($H374="","",MAX(0,$H374-N($E374)))</f>
        <v/>
      </c>
      <c r="J374" s="43">
        <f>IF($H374="","",MAX(0,$H374-N($G374)))</f>
        <v/>
      </c>
    </row>
    <row r="375" ht="19.5" customHeight="1" s="72">
      <c r="A375" s="82" t="inlineStr">
        <is>
          <t>═══ CATEGORÍA C · Masculino · Verde (Graduados) · Toques: Benguela, São Bento da Abadá, Siriuna ═══</t>
        </is>
      </c>
    </row>
    <row r="376" ht="19.5" customHeight="1" s="72">
      <c r="A376" s="8" t="inlineStr">
        <is>
          <t>Jogo</t>
        </is>
      </c>
      <c r="B376" s="8" t="inlineStr">
        <is>
          <t>Fase</t>
        </is>
      </c>
      <c r="C376" s="8" t="inlineStr">
        <is>
          <t>Toque</t>
        </is>
      </c>
      <c r="D376" s="8" t="inlineStr">
        <is>
          <t>Jugador A</t>
        </is>
      </c>
      <c r="E376" s="8" t="inlineStr">
        <is>
          <t>Quita A</t>
        </is>
      </c>
      <c r="F376" s="8" t="inlineStr">
        <is>
          <t>Jugador B</t>
        </is>
      </c>
      <c r="G376" s="8" t="inlineStr">
        <is>
          <t>Quita B</t>
        </is>
      </c>
      <c r="H376" s="8" t="inlineStr">
        <is>
          <t>NOTA (0-5)</t>
        </is>
      </c>
      <c r="I376" s="8">
        <f>IF($H376="","",MAX(0,$H376-N($E376)))</f>
        <v/>
      </c>
      <c r="J376" s="8">
        <f>IF($H376="","",MAX(0,$H376-N($G376)))</f>
        <v/>
      </c>
    </row>
    <row r="377" ht="19.5" customHeight="1" s="72">
      <c r="A377" s="38" t="inlineStr">
        <is>
          <t>CM-32-P01-BEN</t>
        </is>
      </c>
      <c r="B377" s="38" t="inlineStr">
        <is>
          <t>Fase 32</t>
        </is>
      </c>
      <c r="C377" s="38" t="inlineStr">
        <is>
          <t>Benguela</t>
        </is>
      </c>
      <c r="D377" s="39" t="inlineStr">
        <is>
          <t>A_C_M_32_P1</t>
        </is>
      </c>
      <c r="E377" s="40" t="n"/>
      <c r="F377" s="39" t="inlineStr">
        <is>
          <t>B_C_M_32_P1</t>
        </is>
      </c>
      <c r="G377" s="40" t="n"/>
      <c r="H377" s="41" t="n"/>
      <c r="I377" s="42">
        <f>IF($H377="","",MAX(0,$H377-N($E377)))</f>
        <v/>
      </c>
      <c r="J377" s="42">
        <f>IF($H377="","",MAX(0,$H377-N($G377)))</f>
        <v/>
      </c>
    </row>
    <row r="378" ht="19.5" customHeight="1" s="72">
      <c r="A378" s="38" t="inlineStr">
        <is>
          <t>CM-32-P01-SBA</t>
        </is>
      </c>
      <c r="B378" s="38" t="inlineStr">
        <is>
          <t>Fase 32</t>
        </is>
      </c>
      <c r="C378" s="38" t="inlineStr">
        <is>
          <t>São Bento da Abadá</t>
        </is>
      </c>
      <c r="D378" s="39" t="inlineStr">
        <is>
          <t>A_C_M_32_P1</t>
        </is>
      </c>
      <c r="E378" s="40" t="n"/>
      <c r="F378" s="39" t="inlineStr">
        <is>
          <t>B_C_M_32_P1</t>
        </is>
      </c>
      <c r="G378" s="40" t="n"/>
      <c r="H378" s="41" t="n"/>
      <c r="I378" s="42">
        <f>IF($H378="","",MAX(0,$H378-N($E378)))</f>
        <v/>
      </c>
      <c r="J378" s="42">
        <f>IF($H378="","",MAX(0,$H378-N($G378)))</f>
        <v/>
      </c>
    </row>
    <row r="379" ht="19.5" customHeight="1" s="72">
      <c r="A379" s="38" t="inlineStr">
        <is>
          <t>CM-32-P01-SIR</t>
        </is>
      </c>
      <c r="B379" s="38" t="inlineStr">
        <is>
          <t>Fase 32</t>
        </is>
      </c>
      <c r="C379" s="38" t="inlineStr">
        <is>
          <t>Siriuna</t>
        </is>
      </c>
      <c r="D379" s="39" t="inlineStr">
        <is>
          <t>A_C_M_32_P1</t>
        </is>
      </c>
      <c r="E379" s="40" t="n"/>
      <c r="F379" s="39" t="inlineStr">
        <is>
          <t>B_C_M_32_P1</t>
        </is>
      </c>
      <c r="G379" s="40" t="n"/>
      <c r="H379" s="41" t="n"/>
      <c r="I379" s="42">
        <f>IF($H379="","",MAX(0,$H379-N($E379)))</f>
        <v/>
      </c>
      <c r="J379" s="42">
        <f>IF($H379="","",MAX(0,$H379-N($G379)))</f>
        <v/>
      </c>
    </row>
    <row r="380" ht="19.5" customHeight="1" s="72">
      <c r="A380" s="38" t="inlineStr">
        <is>
          <t>CM-32-P02-BEN</t>
        </is>
      </c>
      <c r="B380" s="38" t="inlineStr">
        <is>
          <t>Fase 32</t>
        </is>
      </c>
      <c r="C380" s="38" t="inlineStr">
        <is>
          <t>Benguela</t>
        </is>
      </c>
      <c r="D380" s="39" t="inlineStr">
        <is>
          <t>A_C_M_32_P2</t>
        </is>
      </c>
      <c r="E380" s="40" t="n"/>
      <c r="F380" s="39" t="inlineStr">
        <is>
          <t>B_C_M_32_P2</t>
        </is>
      </c>
      <c r="G380" s="40" t="n"/>
      <c r="H380" s="41" t="n"/>
      <c r="I380" s="42">
        <f>IF($H380="","",MAX(0,$H380-N($E380)))</f>
        <v/>
      </c>
      <c r="J380" s="42">
        <f>IF($H380="","",MAX(0,$H380-N($G380)))</f>
        <v/>
      </c>
    </row>
    <row r="381" ht="19.5" customHeight="1" s="72">
      <c r="A381" s="38" t="inlineStr">
        <is>
          <t>CM-32-P02-SBA</t>
        </is>
      </c>
      <c r="B381" s="38" t="inlineStr">
        <is>
          <t>Fase 32</t>
        </is>
      </c>
      <c r="C381" s="38" t="inlineStr">
        <is>
          <t>São Bento da Abadá</t>
        </is>
      </c>
      <c r="D381" s="39" t="inlineStr">
        <is>
          <t>A_C_M_32_P2</t>
        </is>
      </c>
      <c r="E381" s="40" t="n"/>
      <c r="F381" s="39" t="inlineStr">
        <is>
          <t>B_C_M_32_P2</t>
        </is>
      </c>
      <c r="G381" s="40" t="n"/>
      <c r="H381" s="41" t="n"/>
      <c r="I381" s="42">
        <f>IF($H381="","",MAX(0,$H381-N($E381)))</f>
        <v/>
      </c>
      <c r="J381" s="42">
        <f>IF($H381="","",MAX(0,$H381-N($G381)))</f>
        <v/>
      </c>
    </row>
    <row r="382" ht="19.5" customHeight="1" s="72">
      <c r="A382" s="38" t="inlineStr">
        <is>
          <t>CM-32-P02-SIR</t>
        </is>
      </c>
      <c r="B382" s="38" t="inlineStr">
        <is>
          <t>Fase 32</t>
        </is>
      </c>
      <c r="C382" s="38" t="inlineStr">
        <is>
          <t>Siriuna</t>
        </is>
      </c>
      <c r="D382" s="39" t="inlineStr">
        <is>
          <t>A_C_M_32_P2</t>
        </is>
      </c>
      <c r="E382" s="40" t="n"/>
      <c r="F382" s="39" t="inlineStr">
        <is>
          <t>B_C_M_32_P2</t>
        </is>
      </c>
      <c r="G382" s="40" t="n"/>
      <c r="H382" s="41" t="n"/>
      <c r="I382" s="42">
        <f>IF($H382="","",MAX(0,$H382-N($E382)))</f>
        <v/>
      </c>
      <c r="J382" s="42">
        <f>IF($H382="","",MAX(0,$H382-N($G382)))</f>
        <v/>
      </c>
    </row>
    <row r="383" ht="19.5" customHeight="1" s="72">
      <c r="A383" s="38" t="inlineStr">
        <is>
          <t>CM-32-P03-BEN</t>
        </is>
      </c>
      <c r="B383" s="38" t="inlineStr">
        <is>
          <t>Fase 32</t>
        </is>
      </c>
      <c r="C383" s="38" t="inlineStr">
        <is>
          <t>Benguela</t>
        </is>
      </c>
      <c r="D383" s="39" t="inlineStr">
        <is>
          <t>A_C_M_32_P3</t>
        </is>
      </c>
      <c r="E383" s="40" t="n"/>
      <c r="F383" s="39" t="inlineStr">
        <is>
          <t>B_C_M_32_P3</t>
        </is>
      </c>
      <c r="G383" s="40" t="n"/>
      <c r="H383" s="41" t="n"/>
      <c r="I383" s="42">
        <f>IF($H383="","",MAX(0,$H383-N($E383)))</f>
        <v/>
      </c>
      <c r="J383" s="42">
        <f>IF($H383="","",MAX(0,$H383-N($G383)))</f>
        <v/>
      </c>
    </row>
    <row r="384" ht="19.5" customHeight="1" s="72">
      <c r="A384" s="38" t="inlineStr">
        <is>
          <t>CM-32-P03-SBA</t>
        </is>
      </c>
      <c r="B384" s="38" t="inlineStr">
        <is>
          <t>Fase 32</t>
        </is>
      </c>
      <c r="C384" s="38" t="inlineStr">
        <is>
          <t>São Bento da Abadá</t>
        </is>
      </c>
      <c r="D384" s="39" t="inlineStr">
        <is>
          <t>A_C_M_32_P3</t>
        </is>
      </c>
      <c r="E384" s="40" t="n"/>
      <c r="F384" s="39" t="inlineStr">
        <is>
          <t>B_C_M_32_P3</t>
        </is>
      </c>
      <c r="G384" s="40" t="n"/>
      <c r="H384" s="41" t="n"/>
      <c r="I384" s="42">
        <f>IF($H384="","",MAX(0,$H384-N($E384)))</f>
        <v/>
      </c>
      <c r="J384" s="42">
        <f>IF($H384="","",MAX(0,$H384-N($G384)))</f>
        <v/>
      </c>
    </row>
    <row r="385" ht="19.5" customHeight="1" s="72">
      <c r="A385" s="38" t="inlineStr">
        <is>
          <t>CM-32-P03-SIR</t>
        </is>
      </c>
      <c r="B385" s="38" t="inlineStr">
        <is>
          <t>Fase 32</t>
        </is>
      </c>
      <c r="C385" s="38" t="inlineStr">
        <is>
          <t>Siriuna</t>
        </is>
      </c>
      <c r="D385" s="39" t="inlineStr">
        <is>
          <t>A_C_M_32_P3</t>
        </is>
      </c>
      <c r="E385" s="40" t="n"/>
      <c r="F385" s="39" t="inlineStr">
        <is>
          <t>B_C_M_32_P3</t>
        </is>
      </c>
      <c r="G385" s="40" t="n"/>
      <c r="H385" s="41" t="n"/>
      <c r="I385" s="42">
        <f>IF($H385="","",MAX(0,$H385-N($E385)))</f>
        <v/>
      </c>
      <c r="J385" s="42">
        <f>IF($H385="","",MAX(0,$H385-N($G385)))</f>
        <v/>
      </c>
    </row>
    <row r="386" ht="19.5" customHeight="1" s="72">
      <c r="A386" s="38" t="inlineStr">
        <is>
          <t>CM-32-P04-BEN</t>
        </is>
      </c>
      <c r="B386" s="38" t="inlineStr">
        <is>
          <t>Fase 32</t>
        </is>
      </c>
      <c r="C386" s="38" t="inlineStr">
        <is>
          <t>Benguela</t>
        </is>
      </c>
      <c r="D386" s="39" t="inlineStr">
        <is>
          <t>A_C_M_32_P4</t>
        </is>
      </c>
      <c r="E386" s="40" t="n"/>
      <c r="F386" s="39" t="inlineStr">
        <is>
          <t>B_C_M_32_P4</t>
        </is>
      </c>
      <c r="G386" s="40" t="n"/>
      <c r="H386" s="41" t="n"/>
      <c r="I386" s="42">
        <f>IF($H386="","",MAX(0,$H386-N($E386)))</f>
        <v/>
      </c>
      <c r="J386" s="42">
        <f>IF($H386="","",MAX(0,$H386-N($G386)))</f>
        <v/>
      </c>
    </row>
    <row r="387" ht="19.5" customHeight="1" s="72">
      <c r="A387" s="38" t="inlineStr">
        <is>
          <t>CM-32-P04-SBA</t>
        </is>
      </c>
      <c r="B387" s="38" t="inlineStr">
        <is>
          <t>Fase 32</t>
        </is>
      </c>
      <c r="C387" s="38" t="inlineStr">
        <is>
          <t>São Bento da Abadá</t>
        </is>
      </c>
      <c r="D387" s="39" t="inlineStr">
        <is>
          <t>A_C_M_32_P4</t>
        </is>
      </c>
      <c r="E387" s="40" t="n"/>
      <c r="F387" s="39" t="inlineStr">
        <is>
          <t>B_C_M_32_P4</t>
        </is>
      </c>
      <c r="G387" s="40" t="n"/>
      <c r="H387" s="41" t="n"/>
      <c r="I387" s="42">
        <f>IF($H387="","",MAX(0,$H387-N($E387)))</f>
        <v/>
      </c>
      <c r="J387" s="42">
        <f>IF($H387="","",MAX(0,$H387-N($G387)))</f>
        <v/>
      </c>
    </row>
    <row r="388" ht="19.5" customHeight="1" s="72">
      <c r="A388" s="38" t="inlineStr">
        <is>
          <t>CM-32-P04-SIR</t>
        </is>
      </c>
      <c r="B388" s="38" t="inlineStr">
        <is>
          <t>Fase 32</t>
        </is>
      </c>
      <c r="C388" s="38" t="inlineStr">
        <is>
          <t>Siriuna</t>
        </is>
      </c>
      <c r="D388" s="39" t="inlineStr">
        <is>
          <t>A_C_M_32_P4</t>
        </is>
      </c>
      <c r="E388" s="40" t="n"/>
      <c r="F388" s="39" t="inlineStr">
        <is>
          <t>B_C_M_32_P4</t>
        </is>
      </c>
      <c r="G388" s="40" t="n"/>
      <c r="H388" s="41" t="n"/>
      <c r="I388" s="42">
        <f>IF($H388="","",MAX(0,$H388-N($E388)))</f>
        <v/>
      </c>
      <c r="J388" s="42">
        <f>IF($H388="","",MAX(0,$H388-N($G388)))</f>
        <v/>
      </c>
    </row>
    <row r="389" ht="19.5" customHeight="1" s="72">
      <c r="A389" s="38" t="inlineStr">
        <is>
          <t>CM-32-P05-BEN</t>
        </is>
      </c>
      <c r="B389" s="38" t="inlineStr">
        <is>
          <t>Fase 32</t>
        </is>
      </c>
      <c r="C389" s="38" t="inlineStr">
        <is>
          <t>Benguela</t>
        </is>
      </c>
      <c r="D389" s="39" t="inlineStr">
        <is>
          <t>A_C_M_32_P5</t>
        </is>
      </c>
      <c r="E389" s="40" t="n"/>
      <c r="F389" s="39" t="inlineStr">
        <is>
          <t>B_C_M_32_P5</t>
        </is>
      </c>
      <c r="G389" s="40" t="n"/>
      <c r="H389" s="41" t="n"/>
      <c r="I389" s="42">
        <f>IF($H389="","",MAX(0,$H389-N($E389)))</f>
        <v/>
      </c>
      <c r="J389" s="42">
        <f>IF($H389="","",MAX(0,$H389-N($G389)))</f>
        <v/>
      </c>
    </row>
    <row r="390" ht="19.5" customHeight="1" s="72">
      <c r="A390" s="38" t="inlineStr">
        <is>
          <t>CM-32-P05-SBA</t>
        </is>
      </c>
      <c r="B390" s="38" t="inlineStr">
        <is>
          <t>Fase 32</t>
        </is>
      </c>
      <c r="C390" s="38" t="inlineStr">
        <is>
          <t>São Bento da Abadá</t>
        </is>
      </c>
      <c r="D390" s="39" t="inlineStr">
        <is>
          <t>A_C_M_32_P5</t>
        </is>
      </c>
      <c r="E390" s="40" t="n"/>
      <c r="F390" s="39" t="inlineStr">
        <is>
          <t>B_C_M_32_P5</t>
        </is>
      </c>
      <c r="G390" s="40" t="n"/>
      <c r="H390" s="41" t="n"/>
      <c r="I390" s="42">
        <f>IF($H390="","",MAX(0,$H390-N($E390)))</f>
        <v/>
      </c>
      <c r="J390" s="42">
        <f>IF($H390="","",MAX(0,$H390-N($G390)))</f>
        <v/>
      </c>
    </row>
    <row r="391" ht="19.5" customHeight="1" s="72">
      <c r="A391" s="38" t="inlineStr">
        <is>
          <t>CM-32-P05-SIR</t>
        </is>
      </c>
      <c r="B391" s="38" t="inlineStr">
        <is>
          <t>Fase 32</t>
        </is>
      </c>
      <c r="C391" s="38" t="inlineStr">
        <is>
          <t>Siriuna</t>
        </is>
      </c>
      <c r="D391" s="39" t="inlineStr">
        <is>
          <t>A_C_M_32_P5</t>
        </is>
      </c>
      <c r="E391" s="40" t="n"/>
      <c r="F391" s="39" t="inlineStr">
        <is>
          <t>B_C_M_32_P5</t>
        </is>
      </c>
      <c r="G391" s="40" t="n"/>
      <c r="H391" s="41" t="n"/>
      <c r="I391" s="42">
        <f>IF($H391="","",MAX(0,$H391-N($E391)))</f>
        <v/>
      </c>
      <c r="J391" s="42">
        <f>IF($H391="","",MAX(0,$H391-N($G391)))</f>
        <v/>
      </c>
    </row>
    <row r="392" ht="19.5" customHeight="1" s="72">
      <c r="A392" s="38" t="inlineStr">
        <is>
          <t>CM-32-P06-BEN</t>
        </is>
      </c>
      <c r="B392" s="38" t="inlineStr">
        <is>
          <t>Fase 32</t>
        </is>
      </c>
      <c r="C392" s="38" t="inlineStr">
        <is>
          <t>Benguela</t>
        </is>
      </c>
      <c r="D392" s="39" t="inlineStr">
        <is>
          <t>A_C_M_32_P6</t>
        </is>
      </c>
      <c r="E392" s="40" t="n"/>
      <c r="F392" s="39" t="inlineStr">
        <is>
          <t>B_C_M_32_P6</t>
        </is>
      </c>
      <c r="G392" s="40" t="n"/>
      <c r="H392" s="41" t="n"/>
      <c r="I392" s="42">
        <f>IF($H392="","",MAX(0,$H392-N($E392)))</f>
        <v/>
      </c>
      <c r="J392" s="42">
        <f>IF($H392="","",MAX(0,$H392-N($G392)))</f>
        <v/>
      </c>
    </row>
    <row r="393" ht="19.5" customHeight="1" s="72">
      <c r="A393" s="38" t="inlineStr">
        <is>
          <t>CM-32-P06-SBA</t>
        </is>
      </c>
      <c r="B393" s="38" t="inlineStr">
        <is>
          <t>Fase 32</t>
        </is>
      </c>
      <c r="C393" s="38" t="inlineStr">
        <is>
          <t>São Bento da Abadá</t>
        </is>
      </c>
      <c r="D393" s="39" t="inlineStr">
        <is>
          <t>A_C_M_32_P6</t>
        </is>
      </c>
      <c r="E393" s="40" t="n"/>
      <c r="F393" s="39" t="inlineStr">
        <is>
          <t>B_C_M_32_P6</t>
        </is>
      </c>
      <c r="G393" s="40" t="n"/>
      <c r="H393" s="41" t="n"/>
      <c r="I393" s="42">
        <f>IF($H393="","",MAX(0,$H393-N($E393)))</f>
        <v/>
      </c>
      <c r="J393" s="42">
        <f>IF($H393="","",MAX(0,$H393-N($G393)))</f>
        <v/>
      </c>
    </row>
    <row r="394" ht="19.5" customHeight="1" s="72">
      <c r="A394" s="38" t="inlineStr">
        <is>
          <t>CM-32-P06-SIR</t>
        </is>
      </c>
      <c r="B394" s="38" t="inlineStr">
        <is>
          <t>Fase 32</t>
        </is>
      </c>
      <c r="C394" s="38" t="inlineStr">
        <is>
          <t>Siriuna</t>
        </is>
      </c>
      <c r="D394" s="39" t="inlineStr">
        <is>
          <t>A_C_M_32_P6</t>
        </is>
      </c>
      <c r="E394" s="40" t="n"/>
      <c r="F394" s="39" t="inlineStr">
        <is>
          <t>B_C_M_32_P6</t>
        </is>
      </c>
      <c r="G394" s="40" t="n"/>
      <c r="H394" s="41" t="n"/>
      <c r="I394" s="42">
        <f>IF($H394="","",MAX(0,$H394-N($E394)))</f>
        <v/>
      </c>
      <c r="J394" s="42">
        <f>IF($H394="","",MAX(0,$H394-N($G394)))</f>
        <v/>
      </c>
    </row>
    <row r="395" ht="19.5" customHeight="1" s="72">
      <c r="A395" s="38" t="inlineStr">
        <is>
          <t>CM-32-P07-BEN</t>
        </is>
      </c>
      <c r="B395" s="38" t="inlineStr">
        <is>
          <t>Fase 32</t>
        </is>
      </c>
      <c r="C395" s="38" t="inlineStr">
        <is>
          <t>Benguela</t>
        </is>
      </c>
      <c r="D395" s="39" t="inlineStr">
        <is>
          <t>A_C_M_32_P7</t>
        </is>
      </c>
      <c r="E395" s="40" t="n"/>
      <c r="F395" s="39" t="inlineStr">
        <is>
          <t>B_C_M_32_P7</t>
        </is>
      </c>
      <c r="G395" s="40" t="n"/>
      <c r="H395" s="41" t="n"/>
      <c r="I395" s="42">
        <f>IF($H395="","",MAX(0,$H395-N($E395)))</f>
        <v/>
      </c>
      <c r="J395" s="42">
        <f>IF($H395="","",MAX(0,$H395-N($G395)))</f>
        <v/>
      </c>
    </row>
    <row r="396" ht="19.5" customHeight="1" s="72">
      <c r="A396" s="38" t="inlineStr">
        <is>
          <t>CM-32-P07-SBA</t>
        </is>
      </c>
      <c r="B396" s="38" t="inlineStr">
        <is>
          <t>Fase 32</t>
        </is>
      </c>
      <c r="C396" s="38" t="inlineStr">
        <is>
          <t>São Bento da Abadá</t>
        </is>
      </c>
      <c r="D396" s="39" t="inlineStr">
        <is>
          <t>A_C_M_32_P7</t>
        </is>
      </c>
      <c r="E396" s="40" t="n"/>
      <c r="F396" s="39" t="inlineStr">
        <is>
          <t>B_C_M_32_P7</t>
        </is>
      </c>
      <c r="G396" s="40" t="n"/>
      <c r="H396" s="41" t="n"/>
      <c r="I396" s="42">
        <f>IF($H396="","",MAX(0,$H396-N($E396)))</f>
        <v/>
      </c>
      <c r="J396" s="42">
        <f>IF($H396="","",MAX(0,$H396-N($G396)))</f>
        <v/>
      </c>
    </row>
    <row r="397" ht="19.5" customHeight="1" s="72">
      <c r="A397" s="38" t="inlineStr">
        <is>
          <t>CM-32-P07-SIR</t>
        </is>
      </c>
      <c r="B397" s="38" t="inlineStr">
        <is>
          <t>Fase 32</t>
        </is>
      </c>
      <c r="C397" s="38" t="inlineStr">
        <is>
          <t>Siriuna</t>
        </is>
      </c>
      <c r="D397" s="39" t="inlineStr">
        <is>
          <t>A_C_M_32_P7</t>
        </is>
      </c>
      <c r="E397" s="40" t="n"/>
      <c r="F397" s="39" t="inlineStr">
        <is>
          <t>B_C_M_32_P7</t>
        </is>
      </c>
      <c r="G397" s="40" t="n"/>
      <c r="H397" s="41" t="n"/>
      <c r="I397" s="42">
        <f>IF($H397="","",MAX(0,$H397-N($E397)))</f>
        <v/>
      </c>
      <c r="J397" s="42">
        <f>IF($H397="","",MAX(0,$H397-N($G397)))</f>
        <v/>
      </c>
    </row>
    <row r="398" ht="19.5" customHeight="1" s="72">
      <c r="A398" s="38" t="inlineStr">
        <is>
          <t>CM-32-P08-BEN</t>
        </is>
      </c>
      <c r="B398" s="38" t="inlineStr">
        <is>
          <t>Fase 32</t>
        </is>
      </c>
      <c r="C398" s="38" t="inlineStr">
        <is>
          <t>Benguela</t>
        </is>
      </c>
      <c r="D398" s="39" t="inlineStr">
        <is>
          <t>A_C_M_32_P8</t>
        </is>
      </c>
      <c r="E398" s="40" t="n"/>
      <c r="F398" s="39" t="inlineStr">
        <is>
          <t>B_C_M_32_P8</t>
        </is>
      </c>
      <c r="G398" s="40" t="n"/>
      <c r="H398" s="41" t="n"/>
      <c r="I398" s="42">
        <f>IF($H398="","",MAX(0,$H398-N($E398)))</f>
        <v/>
      </c>
      <c r="J398" s="42">
        <f>IF($H398="","",MAX(0,$H398-N($G398)))</f>
        <v/>
      </c>
    </row>
    <row r="399" ht="19.5" customHeight="1" s="72">
      <c r="A399" s="38" t="inlineStr">
        <is>
          <t>CM-32-P08-SBA</t>
        </is>
      </c>
      <c r="B399" s="38" t="inlineStr">
        <is>
          <t>Fase 32</t>
        </is>
      </c>
      <c r="C399" s="38" t="inlineStr">
        <is>
          <t>São Bento da Abadá</t>
        </is>
      </c>
      <c r="D399" s="39" t="inlineStr">
        <is>
          <t>A_C_M_32_P8</t>
        </is>
      </c>
      <c r="E399" s="40" t="n"/>
      <c r="F399" s="39" t="inlineStr">
        <is>
          <t>B_C_M_32_P8</t>
        </is>
      </c>
      <c r="G399" s="40" t="n"/>
      <c r="H399" s="41" t="n"/>
      <c r="I399" s="42">
        <f>IF($H399="","",MAX(0,$H399-N($E399)))</f>
        <v/>
      </c>
      <c r="J399" s="42">
        <f>IF($H399="","",MAX(0,$H399-N($G399)))</f>
        <v/>
      </c>
    </row>
    <row r="400" ht="19.5" customHeight="1" s="72">
      <c r="A400" s="38" t="inlineStr">
        <is>
          <t>CM-32-P08-SIR</t>
        </is>
      </c>
      <c r="B400" s="38" t="inlineStr">
        <is>
          <t>Fase 32</t>
        </is>
      </c>
      <c r="C400" s="38" t="inlineStr">
        <is>
          <t>Siriuna</t>
        </is>
      </c>
      <c r="D400" s="39" t="inlineStr">
        <is>
          <t>A_C_M_32_P8</t>
        </is>
      </c>
      <c r="E400" s="40" t="n"/>
      <c r="F400" s="39" t="inlineStr">
        <is>
          <t>B_C_M_32_P8</t>
        </is>
      </c>
      <c r="G400" s="40" t="n"/>
      <c r="H400" s="41" t="n"/>
      <c r="I400" s="42">
        <f>IF($H400="","",MAX(0,$H400-N($E400)))</f>
        <v/>
      </c>
      <c r="J400" s="42">
        <f>IF($H400="","",MAX(0,$H400-N($G400)))</f>
        <v/>
      </c>
    </row>
    <row r="401" ht="19.5" customHeight="1" s="72">
      <c r="A401" s="38" t="inlineStr">
        <is>
          <t>CM-32-P09-BEN</t>
        </is>
      </c>
      <c r="B401" s="38" t="inlineStr">
        <is>
          <t>Fase 32</t>
        </is>
      </c>
      <c r="C401" s="38" t="inlineStr">
        <is>
          <t>Benguela</t>
        </is>
      </c>
      <c r="D401" s="39" t="inlineStr">
        <is>
          <t>A_C_M_32_P9</t>
        </is>
      </c>
      <c r="E401" s="40" t="n"/>
      <c r="F401" s="39" t="inlineStr">
        <is>
          <t>B_C_M_32_P9</t>
        </is>
      </c>
      <c r="G401" s="40" t="n"/>
      <c r="H401" s="41" t="n"/>
      <c r="I401" s="42">
        <f>IF($H401="","",MAX(0,$H401-N($E401)))</f>
        <v/>
      </c>
      <c r="J401" s="42">
        <f>IF($H401="","",MAX(0,$H401-N($G401)))</f>
        <v/>
      </c>
    </row>
    <row r="402" ht="19.5" customHeight="1" s="72">
      <c r="A402" s="38" t="inlineStr">
        <is>
          <t>CM-32-P09-SBA</t>
        </is>
      </c>
      <c r="B402" s="38" t="inlineStr">
        <is>
          <t>Fase 32</t>
        </is>
      </c>
      <c r="C402" s="38" t="inlineStr">
        <is>
          <t>São Bento da Abadá</t>
        </is>
      </c>
      <c r="D402" s="39" t="inlineStr">
        <is>
          <t>A_C_M_32_P9</t>
        </is>
      </c>
      <c r="E402" s="40" t="n"/>
      <c r="F402" s="39" t="inlineStr">
        <is>
          <t>B_C_M_32_P9</t>
        </is>
      </c>
      <c r="G402" s="40" t="n"/>
      <c r="H402" s="41" t="n"/>
      <c r="I402" s="42">
        <f>IF($H402="","",MAX(0,$H402-N($E402)))</f>
        <v/>
      </c>
      <c r="J402" s="42">
        <f>IF($H402="","",MAX(0,$H402-N($G402)))</f>
        <v/>
      </c>
    </row>
    <row r="403" ht="19.5" customHeight="1" s="72">
      <c r="A403" s="38" t="inlineStr">
        <is>
          <t>CM-32-P09-SIR</t>
        </is>
      </c>
      <c r="B403" s="38" t="inlineStr">
        <is>
          <t>Fase 32</t>
        </is>
      </c>
      <c r="C403" s="38" t="inlineStr">
        <is>
          <t>Siriuna</t>
        </is>
      </c>
      <c r="D403" s="39" t="inlineStr">
        <is>
          <t>A_C_M_32_P9</t>
        </is>
      </c>
      <c r="E403" s="40" t="n"/>
      <c r="F403" s="39" t="inlineStr">
        <is>
          <t>B_C_M_32_P9</t>
        </is>
      </c>
      <c r="G403" s="40" t="n"/>
      <c r="H403" s="41" t="n"/>
      <c r="I403" s="42">
        <f>IF($H403="","",MAX(0,$H403-N($E403)))</f>
        <v/>
      </c>
      <c r="J403" s="42">
        <f>IF($H403="","",MAX(0,$H403-N($G403)))</f>
        <v/>
      </c>
    </row>
    <row r="404" ht="19.5" customHeight="1" s="72">
      <c r="A404" s="38" t="inlineStr">
        <is>
          <t>CM-32-P10-BEN</t>
        </is>
      </c>
      <c r="B404" s="38" t="inlineStr">
        <is>
          <t>Fase 32</t>
        </is>
      </c>
      <c r="C404" s="38" t="inlineStr">
        <is>
          <t>Benguela</t>
        </is>
      </c>
      <c r="D404" s="39" t="inlineStr">
        <is>
          <t>A_C_M_32_P10</t>
        </is>
      </c>
      <c r="E404" s="40" t="n"/>
      <c r="F404" s="39" t="inlineStr">
        <is>
          <t>B_C_M_32_P10</t>
        </is>
      </c>
      <c r="G404" s="40" t="n"/>
      <c r="H404" s="41" t="n"/>
      <c r="I404" s="42">
        <f>IF($H404="","",MAX(0,$H404-N($E404)))</f>
        <v/>
      </c>
      <c r="J404" s="42">
        <f>IF($H404="","",MAX(0,$H404-N($G404)))</f>
        <v/>
      </c>
    </row>
    <row r="405" ht="19.5" customHeight="1" s="72">
      <c r="A405" s="38" t="inlineStr">
        <is>
          <t>CM-32-P10-SBA</t>
        </is>
      </c>
      <c r="B405" s="38" t="inlineStr">
        <is>
          <t>Fase 32</t>
        </is>
      </c>
      <c r="C405" s="38" t="inlineStr">
        <is>
          <t>São Bento da Abadá</t>
        </is>
      </c>
      <c r="D405" s="39" t="inlineStr">
        <is>
          <t>A_C_M_32_P10</t>
        </is>
      </c>
      <c r="E405" s="40" t="n"/>
      <c r="F405" s="39" t="inlineStr">
        <is>
          <t>B_C_M_32_P10</t>
        </is>
      </c>
      <c r="G405" s="40" t="n"/>
      <c r="H405" s="41" t="n"/>
      <c r="I405" s="42">
        <f>IF($H405="","",MAX(0,$H405-N($E405)))</f>
        <v/>
      </c>
      <c r="J405" s="42">
        <f>IF($H405="","",MAX(0,$H405-N($G405)))</f>
        <v/>
      </c>
    </row>
    <row r="406" ht="19.5" customHeight="1" s="72">
      <c r="A406" s="38" t="inlineStr">
        <is>
          <t>CM-32-P10-SIR</t>
        </is>
      </c>
      <c r="B406" s="38" t="inlineStr">
        <is>
          <t>Fase 32</t>
        </is>
      </c>
      <c r="C406" s="38" t="inlineStr">
        <is>
          <t>Siriuna</t>
        </is>
      </c>
      <c r="D406" s="39" t="inlineStr">
        <is>
          <t>A_C_M_32_P10</t>
        </is>
      </c>
      <c r="E406" s="40" t="n"/>
      <c r="F406" s="39" t="inlineStr">
        <is>
          <t>B_C_M_32_P10</t>
        </is>
      </c>
      <c r="G406" s="40" t="n"/>
      <c r="H406" s="41" t="n"/>
      <c r="I406" s="42">
        <f>IF($H406="","",MAX(0,$H406-N($E406)))</f>
        <v/>
      </c>
      <c r="J406" s="42">
        <f>IF($H406="","",MAX(0,$H406-N($G406)))</f>
        <v/>
      </c>
    </row>
    <row r="407" ht="19.5" customHeight="1" s="72">
      <c r="A407" s="38" t="inlineStr">
        <is>
          <t>CM-32-P11-BEN</t>
        </is>
      </c>
      <c r="B407" s="38" t="inlineStr">
        <is>
          <t>Fase 32</t>
        </is>
      </c>
      <c r="C407" s="38" t="inlineStr">
        <is>
          <t>Benguela</t>
        </is>
      </c>
      <c r="D407" s="39" t="inlineStr">
        <is>
          <t>A_C_M_32_P11</t>
        </is>
      </c>
      <c r="E407" s="40" t="n"/>
      <c r="F407" s="39" t="inlineStr">
        <is>
          <t>B_C_M_32_P11</t>
        </is>
      </c>
      <c r="G407" s="40" t="n"/>
      <c r="H407" s="41" t="n"/>
      <c r="I407" s="42">
        <f>IF($H407="","",MAX(0,$H407-N($E407)))</f>
        <v/>
      </c>
      <c r="J407" s="42">
        <f>IF($H407="","",MAX(0,$H407-N($G407)))</f>
        <v/>
      </c>
    </row>
    <row r="408" ht="19.5" customHeight="1" s="72">
      <c r="A408" s="38" t="inlineStr">
        <is>
          <t>CM-32-P11-SBA</t>
        </is>
      </c>
      <c r="B408" s="38" t="inlineStr">
        <is>
          <t>Fase 32</t>
        </is>
      </c>
      <c r="C408" s="38" t="inlineStr">
        <is>
          <t>São Bento da Abadá</t>
        </is>
      </c>
      <c r="D408" s="39" t="inlineStr">
        <is>
          <t>A_C_M_32_P11</t>
        </is>
      </c>
      <c r="E408" s="40" t="n"/>
      <c r="F408" s="39" t="inlineStr">
        <is>
          <t>B_C_M_32_P11</t>
        </is>
      </c>
      <c r="G408" s="40" t="n"/>
      <c r="H408" s="41" t="n"/>
      <c r="I408" s="42">
        <f>IF($H408="","",MAX(0,$H408-N($E408)))</f>
        <v/>
      </c>
      <c r="J408" s="42">
        <f>IF($H408="","",MAX(0,$H408-N($G408)))</f>
        <v/>
      </c>
    </row>
    <row r="409" ht="19.5" customHeight="1" s="72">
      <c r="A409" s="38" t="inlineStr">
        <is>
          <t>CM-32-P11-SIR</t>
        </is>
      </c>
      <c r="B409" s="38" t="inlineStr">
        <is>
          <t>Fase 32</t>
        </is>
      </c>
      <c r="C409" s="38" t="inlineStr">
        <is>
          <t>Siriuna</t>
        </is>
      </c>
      <c r="D409" s="39" t="inlineStr">
        <is>
          <t>A_C_M_32_P11</t>
        </is>
      </c>
      <c r="E409" s="40" t="n"/>
      <c r="F409" s="39" t="inlineStr">
        <is>
          <t>B_C_M_32_P11</t>
        </is>
      </c>
      <c r="G409" s="40" t="n"/>
      <c r="H409" s="41" t="n"/>
      <c r="I409" s="42">
        <f>IF($H409="","",MAX(0,$H409-N($E409)))</f>
        <v/>
      </c>
      <c r="J409" s="42">
        <f>IF($H409="","",MAX(0,$H409-N($G409)))</f>
        <v/>
      </c>
    </row>
    <row r="410" ht="19.5" customHeight="1" s="72">
      <c r="A410" s="38" t="inlineStr">
        <is>
          <t>CM-32-P12-BEN</t>
        </is>
      </c>
      <c r="B410" s="38" t="inlineStr">
        <is>
          <t>Fase 32</t>
        </is>
      </c>
      <c r="C410" s="38" t="inlineStr">
        <is>
          <t>Benguela</t>
        </is>
      </c>
      <c r="D410" s="39" t="inlineStr">
        <is>
          <t>A_C_M_32_P12</t>
        </is>
      </c>
      <c r="E410" s="40" t="n"/>
      <c r="F410" s="39" t="inlineStr">
        <is>
          <t>B_C_M_32_P12</t>
        </is>
      </c>
      <c r="G410" s="40" t="n"/>
      <c r="H410" s="41" t="n"/>
      <c r="I410" s="42">
        <f>IF($H410="","",MAX(0,$H410-N($E410)))</f>
        <v/>
      </c>
      <c r="J410" s="42">
        <f>IF($H410="","",MAX(0,$H410-N($G410)))</f>
        <v/>
      </c>
    </row>
    <row r="411" ht="19.5" customHeight="1" s="72">
      <c r="A411" s="38" t="inlineStr">
        <is>
          <t>CM-32-P12-SBA</t>
        </is>
      </c>
      <c r="B411" s="38" t="inlineStr">
        <is>
          <t>Fase 32</t>
        </is>
      </c>
      <c r="C411" s="38" t="inlineStr">
        <is>
          <t>São Bento da Abadá</t>
        </is>
      </c>
      <c r="D411" s="39" t="inlineStr">
        <is>
          <t>A_C_M_32_P12</t>
        </is>
      </c>
      <c r="E411" s="40" t="n"/>
      <c r="F411" s="39" t="inlineStr">
        <is>
          <t>B_C_M_32_P12</t>
        </is>
      </c>
      <c r="G411" s="40" t="n"/>
      <c r="H411" s="41" t="n"/>
      <c r="I411" s="42">
        <f>IF($H411="","",MAX(0,$H411-N($E411)))</f>
        <v/>
      </c>
      <c r="J411" s="42">
        <f>IF($H411="","",MAX(0,$H411-N($G411)))</f>
        <v/>
      </c>
    </row>
    <row r="412" ht="19.5" customHeight="1" s="72">
      <c r="A412" s="38" t="inlineStr">
        <is>
          <t>CM-32-P12-SIR</t>
        </is>
      </c>
      <c r="B412" s="38" t="inlineStr">
        <is>
          <t>Fase 32</t>
        </is>
      </c>
      <c r="C412" s="38" t="inlineStr">
        <is>
          <t>Siriuna</t>
        </is>
      </c>
      <c r="D412" s="39" t="inlineStr">
        <is>
          <t>A_C_M_32_P12</t>
        </is>
      </c>
      <c r="E412" s="40" t="n"/>
      <c r="F412" s="39" t="inlineStr">
        <is>
          <t>B_C_M_32_P12</t>
        </is>
      </c>
      <c r="G412" s="40" t="n"/>
      <c r="H412" s="41" t="n"/>
      <c r="I412" s="42">
        <f>IF($H412="","",MAX(0,$H412-N($E412)))</f>
        <v/>
      </c>
      <c r="J412" s="42">
        <f>IF($H412="","",MAX(0,$H412-N($G412)))</f>
        <v/>
      </c>
    </row>
    <row r="413" ht="19.5" customHeight="1" s="72">
      <c r="A413" s="38" t="inlineStr">
        <is>
          <t>CM-32-P13-BEN</t>
        </is>
      </c>
      <c r="B413" s="38" t="inlineStr">
        <is>
          <t>Fase 32</t>
        </is>
      </c>
      <c r="C413" s="38" t="inlineStr">
        <is>
          <t>Benguela</t>
        </is>
      </c>
      <c r="D413" s="39" t="inlineStr">
        <is>
          <t>A_C_M_32_P13</t>
        </is>
      </c>
      <c r="E413" s="40" t="n"/>
      <c r="F413" s="39" t="inlineStr">
        <is>
          <t>B_C_M_32_P13</t>
        </is>
      </c>
      <c r="G413" s="40" t="n"/>
      <c r="H413" s="41" t="n"/>
      <c r="I413" s="42">
        <f>IF($H413="","",MAX(0,$H413-N($E413)))</f>
        <v/>
      </c>
      <c r="J413" s="42">
        <f>IF($H413="","",MAX(0,$H413-N($G413)))</f>
        <v/>
      </c>
    </row>
    <row r="414" ht="19.5" customHeight="1" s="72">
      <c r="A414" s="38" t="inlineStr">
        <is>
          <t>CM-32-P13-SBA</t>
        </is>
      </c>
      <c r="B414" s="38" t="inlineStr">
        <is>
          <t>Fase 32</t>
        </is>
      </c>
      <c r="C414" s="38" t="inlineStr">
        <is>
          <t>São Bento da Abadá</t>
        </is>
      </c>
      <c r="D414" s="39" t="inlineStr">
        <is>
          <t>A_C_M_32_P13</t>
        </is>
      </c>
      <c r="E414" s="40" t="n"/>
      <c r="F414" s="39" t="inlineStr">
        <is>
          <t>B_C_M_32_P13</t>
        </is>
      </c>
      <c r="G414" s="40" t="n"/>
      <c r="H414" s="41" t="n"/>
      <c r="I414" s="42">
        <f>IF($H414="","",MAX(0,$H414-N($E414)))</f>
        <v/>
      </c>
      <c r="J414" s="42">
        <f>IF($H414="","",MAX(0,$H414-N($G414)))</f>
        <v/>
      </c>
    </row>
    <row r="415" ht="19.5" customHeight="1" s="72">
      <c r="A415" s="38" t="inlineStr">
        <is>
          <t>CM-32-P13-SIR</t>
        </is>
      </c>
      <c r="B415" s="38" t="inlineStr">
        <is>
          <t>Fase 32</t>
        </is>
      </c>
      <c r="C415" s="38" t="inlineStr">
        <is>
          <t>Siriuna</t>
        </is>
      </c>
      <c r="D415" s="39" t="inlineStr">
        <is>
          <t>A_C_M_32_P13</t>
        </is>
      </c>
      <c r="E415" s="40" t="n"/>
      <c r="F415" s="39" t="inlineStr">
        <is>
          <t>B_C_M_32_P13</t>
        </is>
      </c>
      <c r="G415" s="40" t="n"/>
      <c r="H415" s="41" t="n"/>
      <c r="I415" s="42">
        <f>IF($H415="","",MAX(0,$H415-N($E415)))</f>
        <v/>
      </c>
      <c r="J415" s="42">
        <f>IF($H415="","",MAX(0,$H415-N($G415)))</f>
        <v/>
      </c>
    </row>
    <row r="416" ht="19.5" customHeight="1" s="72">
      <c r="A416" s="38" t="inlineStr">
        <is>
          <t>CM-32-P14-BEN</t>
        </is>
      </c>
      <c r="B416" s="38" t="inlineStr">
        <is>
          <t>Fase 32</t>
        </is>
      </c>
      <c r="C416" s="38" t="inlineStr">
        <is>
          <t>Benguela</t>
        </is>
      </c>
      <c r="D416" s="39" t="inlineStr">
        <is>
          <t>A_C_M_32_P14</t>
        </is>
      </c>
      <c r="E416" s="40" t="n"/>
      <c r="F416" s="39" t="inlineStr">
        <is>
          <t>B_C_M_32_P14</t>
        </is>
      </c>
      <c r="G416" s="40" t="n"/>
      <c r="H416" s="41" t="n"/>
      <c r="I416" s="42">
        <f>IF($H416="","",MAX(0,$H416-N($E416)))</f>
        <v/>
      </c>
      <c r="J416" s="42">
        <f>IF($H416="","",MAX(0,$H416-N($G416)))</f>
        <v/>
      </c>
    </row>
    <row r="417" ht="19.5" customHeight="1" s="72">
      <c r="A417" s="38" t="inlineStr">
        <is>
          <t>CM-32-P14-SBA</t>
        </is>
      </c>
      <c r="B417" s="38" t="inlineStr">
        <is>
          <t>Fase 32</t>
        </is>
      </c>
      <c r="C417" s="38" t="inlineStr">
        <is>
          <t>São Bento da Abadá</t>
        </is>
      </c>
      <c r="D417" s="39" t="inlineStr">
        <is>
          <t>A_C_M_32_P14</t>
        </is>
      </c>
      <c r="E417" s="40" t="n"/>
      <c r="F417" s="39" t="inlineStr">
        <is>
          <t>B_C_M_32_P14</t>
        </is>
      </c>
      <c r="G417" s="40" t="n"/>
      <c r="H417" s="41" t="n"/>
      <c r="I417" s="42">
        <f>IF($H417="","",MAX(0,$H417-N($E417)))</f>
        <v/>
      </c>
      <c r="J417" s="42">
        <f>IF($H417="","",MAX(0,$H417-N($G417)))</f>
        <v/>
      </c>
    </row>
    <row r="418" ht="19.5" customHeight="1" s="72">
      <c r="A418" s="38" t="inlineStr">
        <is>
          <t>CM-32-P14-SIR</t>
        </is>
      </c>
      <c r="B418" s="38" t="inlineStr">
        <is>
          <t>Fase 32</t>
        </is>
      </c>
      <c r="C418" s="38" t="inlineStr">
        <is>
          <t>Siriuna</t>
        </is>
      </c>
      <c r="D418" s="39" t="inlineStr">
        <is>
          <t>A_C_M_32_P14</t>
        </is>
      </c>
      <c r="E418" s="40" t="n"/>
      <c r="F418" s="39" t="inlineStr">
        <is>
          <t>B_C_M_32_P14</t>
        </is>
      </c>
      <c r="G418" s="40" t="n"/>
      <c r="H418" s="41" t="n"/>
      <c r="I418" s="42">
        <f>IF($H418="","",MAX(0,$H418-N($E418)))</f>
        <v/>
      </c>
      <c r="J418" s="42">
        <f>IF($H418="","",MAX(0,$H418-N($G418)))</f>
        <v/>
      </c>
    </row>
    <row r="419" ht="19.5" customHeight="1" s="72">
      <c r="A419" s="38" t="inlineStr">
        <is>
          <t>CM-32-P15-BEN</t>
        </is>
      </c>
      <c r="B419" s="38" t="inlineStr">
        <is>
          <t>Fase 32</t>
        </is>
      </c>
      <c r="C419" s="38" t="inlineStr">
        <is>
          <t>Benguela</t>
        </is>
      </c>
      <c r="D419" s="39" t="inlineStr">
        <is>
          <t>A_C_M_32_P15</t>
        </is>
      </c>
      <c r="E419" s="40" t="n"/>
      <c r="F419" s="39" t="inlineStr">
        <is>
          <t>B_C_M_32_P15</t>
        </is>
      </c>
      <c r="G419" s="40" t="n"/>
      <c r="H419" s="41" t="n"/>
      <c r="I419" s="42">
        <f>IF($H419="","",MAX(0,$H419-N($E419)))</f>
        <v/>
      </c>
      <c r="J419" s="42">
        <f>IF($H419="","",MAX(0,$H419-N($G419)))</f>
        <v/>
      </c>
    </row>
    <row r="420" ht="19.5" customHeight="1" s="72">
      <c r="A420" s="38" t="inlineStr">
        <is>
          <t>CM-32-P15-SBA</t>
        </is>
      </c>
      <c r="B420" s="38" t="inlineStr">
        <is>
          <t>Fase 32</t>
        </is>
      </c>
      <c r="C420" s="38" t="inlineStr">
        <is>
          <t>São Bento da Abadá</t>
        </is>
      </c>
      <c r="D420" s="39" t="inlineStr">
        <is>
          <t>A_C_M_32_P15</t>
        </is>
      </c>
      <c r="E420" s="40" t="n"/>
      <c r="F420" s="39" t="inlineStr">
        <is>
          <t>B_C_M_32_P15</t>
        </is>
      </c>
      <c r="G420" s="40" t="n"/>
      <c r="H420" s="41" t="n"/>
      <c r="I420" s="42">
        <f>IF($H420="","",MAX(0,$H420-N($E420)))</f>
        <v/>
      </c>
      <c r="J420" s="42">
        <f>IF($H420="","",MAX(0,$H420-N($G420)))</f>
        <v/>
      </c>
    </row>
    <row r="421" ht="19.5" customHeight="1" s="72">
      <c r="A421" s="38" t="inlineStr">
        <is>
          <t>CM-32-P15-SIR</t>
        </is>
      </c>
      <c r="B421" s="38" t="inlineStr">
        <is>
          <t>Fase 32</t>
        </is>
      </c>
      <c r="C421" s="38" t="inlineStr">
        <is>
          <t>Siriuna</t>
        </is>
      </c>
      <c r="D421" s="39" t="inlineStr">
        <is>
          <t>A_C_M_32_P15</t>
        </is>
      </c>
      <c r="E421" s="40" t="n"/>
      <c r="F421" s="39" t="inlineStr">
        <is>
          <t>B_C_M_32_P15</t>
        </is>
      </c>
      <c r="G421" s="40" t="n"/>
      <c r="H421" s="41" t="n"/>
      <c r="I421" s="42">
        <f>IF($H421="","",MAX(0,$H421-N($E421)))</f>
        <v/>
      </c>
      <c r="J421" s="42">
        <f>IF($H421="","",MAX(0,$H421-N($G421)))</f>
        <v/>
      </c>
    </row>
    <row r="422" ht="19.5" customHeight="1" s="72">
      <c r="A422" s="38" t="inlineStr">
        <is>
          <t>CM-32-P16-BEN</t>
        </is>
      </c>
      <c r="B422" s="38" t="inlineStr">
        <is>
          <t>Fase 32</t>
        </is>
      </c>
      <c r="C422" s="38" t="inlineStr">
        <is>
          <t>Benguela</t>
        </is>
      </c>
      <c r="D422" s="39" t="inlineStr">
        <is>
          <t>A_C_M_32_P16</t>
        </is>
      </c>
      <c r="E422" s="40" t="n"/>
      <c r="F422" s="39" t="inlineStr">
        <is>
          <t>B_C_M_32_P16</t>
        </is>
      </c>
      <c r="G422" s="40" t="n"/>
      <c r="H422" s="41" t="n"/>
      <c r="I422" s="42">
        <f>IF($H422="","",MAX(0,$H422-N($E422)))</f>
        <v/>
      </c>
      <c r="J422" s="42">
        <f>IF($H422="","",MAX(0,$H422-N($G422)))</f>
        <v/>
      </c>
    </row>
    <row r="423" ht="19.5" customHeight="1" s="72">
      <c r="A423" s="38" t="inlineStr">
        <is>
          <t>CM-32-P16-SBA</t>
        </is>
      </c>
      <c r="B423" s="38" t="inlineStr">
        <is>
          <t>Fase 32</t>
        </is>
      </c>
      <c r="C423" s="38" t="inlineStr">
        <is>
          <t>São Bento da Abadá</t>
        </is>
      </c>
      <c r="D423" s="39" t="inlineStr">
        <is>
          <t>A_C_M_32_P16</t>
        </is>
      </c>
      <c r="E423" s="40" t="n"/>
      <c r="F423" s="39" t="inlineStr">
        <is>
          <t>B_C_M_32_P16</t>
        </is>
      </c>
      <c r="G423" s="40" t="n"/>
      <c r="H423" s="41" t="n"/>
      <c r="I423" s="42">
        <f>IF($H423="","",MAX(0,$H423-N($E423)))</f>
        <v/>
      </c>
      <c r="J423" s="42">
        <f>IF($H423="","",MAX(0,$H423-N($G423)))</f>
        <v/>
      </c>
    </row>
    <row r="424" ht="19.5" customHeight="1" s="72">
      <c r="A424" s="38" t="inlineStr">
        <is>
          <t>CM-32-P16-SIR</t>
        </is>
      </c>
      <c r="B424" s="38" t="inlineStr">
        <is>
          <t>Fase 32</t>
        </is>
      </c>
      <c r="C424" s="38" t="inlineStr">
        <is>
          <t>Siriuna</t>
        </is>
      </c>
      <c r="D424" s="39" t="inlineStr">
        <is>
          <t>A_C_M_32_P16</t>
        </is>
      </c>
      <c r="E424" s="40" t="n"/>
      <c r="F424" s="39" t="inlineStr">
        <is>
          <t>B_C_M_32_P16</t>
        </is>
      </c>
      <c r="G424" s="40" t="n"/>
      <c r="H424" s="41" t="n"/>
      <c r="I424" s="42">
        <f>IF($H424="","",MAX(0,$H424-N($E424)))</f>
        <v/>
      </c>
      <c r="J424" s="42">
        <f>IF($H424="","",MAX(0,$H424-N($G424)))</f>
        <v/>
      </c>
    </row>
    <row r="425" ht="19.5" customHeight="1" s="72">
      <c r="A425" s="38" t="inlineStr">
        <is>
          <t>CM-OCT-P01-BEN</t>
        </is>
      </c>
      <c r="B425" s="38" t="inlineStr">
        <is>
          <t>Octavas</t>
        </is>
      </c>
      <c r="C425" s="38" t="inlineStr">
        <is>
          <t>Benguela</t>
        </is>
      </c>
      <c r="D425" s="39">
        <f>IFERROR(CLASIF_C_M!$F$5,"")</f>
        <v/>
      </c>
      <c r="E425" s="40" t="n"/>
      <c r="F425" s="39">
        <f>IFERROR(CLASIF_C_M!$F$20,"")</f>
        <v/>
      </c>
      <c r="G425" s="40" t="n"/>
      <c r="H425" s="41" t="n"/>
      <c r="I425" s="42">
        <f>IF($H425="","",MAX(0,$H425-N($E425)))</f>
        <v/>
      </c>
      <c r="J425" s="42">
        <f>IF($H425="","",MAX(0,$H425-N($G425)))</f>
        <v/>
      </c>
    </row>
    <row r="426" ht="19.5" customHeight="1" s="72">
      <c r="A426" s="38" t="inlineStr">
        <is>
          <t>CM-OCT-P01-SBA</t>
        </is>
      </c>
      <c r="B426" s="38" t="inlineStr">
        <is>
          <t>Octavas</t>
        </is>
      </c>
      <c r="C426" s="38" t="inlineStr">
        <is>
          <t>São Bento da Abadá</t>
        </is>
      </c>
      <c r="D426" s="39">
        <f>IFERROR(CLASIF_C_M!$F$5,"")</f>
        <v/>
      </c>
      <c r="E426" s="40" t="n"/>
      <c r="F426" s="39">
        <f>IFERROR(CLASIF_C_M!$F$20,"")</f>
        <v/>
      </c>
      <c r="G426" s="40" t="n"/>
      <c r="H426" s="41" t="n"/>
      <c r="I426" s="42">
        <f>IF($H426="","",MAX(0,$H426-N($E426)))</f>
        <v/>
      </c>
      <c r="J426" s="42">
        <f>IF($H426="","",MAX(0,$H426-N($G426)))</f>
        <v/>
      </c>
    </row>
    <row r="427" ht="19.5" customHeight="1" s="72">
      <c r="A427" s="38" t="inlineStr">
        <is>
          <t>CM-OCT-P01-SIR</t>
        </is>
      </c>
      <c r="B427" s="38" t="inlineStr">
        <is>
          <t>Octavas</t>
        </is>
      </c>
      <c r="C427" s="38" t="inlineStr">
        <is>
          <t>Siriuna</t>
        </is>
      </c>
      <c r="D427" s="39">
        <f>IFERROR(CLASIF_C_M!$F$5,"")</f>
        <v/>
      </c>
      <c r="E427" s="40" t="n"/>
      <c r="F427" s="39">
        <f>IFERROR(CLASIF_C_M!$F$20,"")</f>
        <v/>
      </c>
      <c r="G427" s="40" t="n"/>
      <c r="H427" s="41" t="n"/>
      <c r="I427" s="42">
        <f>IF($H427="","",MAX(0,$H427-N($E427)))</f>
        <v/>
      </c>
      <c r="J427" s="42">
        <f>IF($H427="","",MAX(0,$H427-N($G427)))</f>
        <v/>
      </c>
    </row>
    <row r="428" ht="19.5" customHeight="1" s="72">
      <c r="A428" s="38" t="inlineStr">
        <is>
          <t>CM-OCT-P02-BEN</t>
        </is>
      </c>
      <c r="B428" s="38" t="inlineStr">
        <is>
          <t>Octavas</t>
        </is>
      </c>
      <c r="C428" s="38" t="inlineStr">
        <is>
          <t>Benguela</t>
        </is>
      </c>
      <c r="D428" s="39">
        <f>IFERROR(CLASIF_C_M!$F$6,"")</f>
        <v/>
      </c>
      <c r="E428" s="40" t="n"/>
      <c r="F428" s="39">
        <f>IFERROR(CLASIF_C_M!$F$19,"")</f>
        <v/>
      </c>
      <c r="G428" s="40" t="n"/>
      <c r="H428" s="41" t="n"/>
      <c r="I428" s="42">
        <f>IF($H428="","",MAX(0,$H428-N($E428)))</f>
        <v/>
      </c>
      <c r="J428" s="42">
        <f>IF($H428="","",MAX(0,$H428-N($G428)))</f>
        <v/>
      </c>
    </row>
    <row r="429" ht="19.5" customHeight="1" s="72">
      <c r="A429" s="38" t="inlineStr">
        <is>
          <t>CM-OCT-P02-SBA</t>
        </is>
      </c>
      <c r="B429" s="38" t="inlineStr">
        <is>
          <t>Octavas</t>
        </is>
      </c>
      <c r="C429" s="38" t="inlineStr">
        <is>
          <t>São Bento da Abadá</t>
        </is>
      </c>
      <c r="D429" s="39">
        <f>IFERROR(CLASIF_C_M!$F$6,"")</f>
        <v/>
      </c>
      <c r="E429" s="40" t="n"/>
      <c r="F429" s="39">
        <f>IFERROR(CLASIF_C_M!$F$19,"")</f>
        <v/>
      </c>
      <c r="G429" s="40" t="n"/>
      <c r="H429" s="41" t="n"/>
      <c r="I429" s="42">
        <f>IF($H429="","",MAX(0,$H429-N($E429)))</f>
        <v/>
      </c>
      <c r="J429" s="42">
        <f>IF($H429="","",MAX(0,$H429-N($G429)))</f>
        <v/>
      </c>
    </row>
    <row r="430" ht="19.5" customHeight="1" s="72">
      <c r="A430" s="38" t="inlineStr">
        <is>
          <t>CM-OCT-P02-SIR</t>
        </is>
      </c>
      <c r="B430" s="38" t="inlineStr">
        <is>
          <t>Octavas</t>
        </is>
      </c>
      <c r="C430" s="38" t="inlineStr">
        <is>
          <t>Siriuna</t>
        </is>
      </c>
      <c r="D430" s="39">
        <f>IFERROR(CLASIF_C_M!$F$6,"")</f>
        <v/>
      </c>
      <c r="E430" s="40" t="n"/>
      <c r="F430" s="39">
        <f>IFERROR(CLASIF_C_M!$F$19,"")</f>
        <v/>
      </c>
      <c r="G430" s="40" t="n"/>
      <c r="H430" s="41" t="n"/>
      <c r="I430" s="42">
        <f>IF($H430="","",MAX(0,$H430-N($E430)))</f>
        <v/>
      </c>
      <c r="J430" s="42">
        <f>IF($H430="","",MAX(0,$H430-N($G430)))</f>
        <v/>
      </c>
    </row>
    <row r="431" ht="19.5" customHeight="1" s="72">
      <c r="A431" s="38" t="inlineStr">
        <is>
          <t>CM-OCT-P03-BEN</t>
        </is>
      </c>
      <c r="B431" s="38" t="inlineStr">
        <is>
          <t>Octavas</t>
        </is>
      </c>
      <c r="C431" s="38" t="inlineStr">
        <is>
          <t>Benguela</t>
        </is>
      </c>
      <c r="D431" s="39">
        <f>IFERROR(CLASIF_C_M!$F$7,"")</f>
        <v/>
      </c>
      <c r="E431" s="40" t="n"/>
      <c r="F431" s="39">
        <f>IFERROR(CLASIF_C_M!$F$18,"")</f>
        <v/>
      </c>
      <c r="G431" s="40" t="n"/>
      <c r="H431" s="41" t="n"/>
      <c r="I431" s="42">
        <f>IF($H431="","",MAX(0,$H431-N($E431)))</f>
        <v/>
      </c>
      <c r="J431" s="42">
        <f>IF($H431="","",MAX(0,$H431-N($G431)))</f>
        <v/>
      </c>
    </row>
    <row r="432" ht="19.5" customHeight="1" s="72">
      <c r="A432" s="38" t="inlineStr">
        <is>
          <t>CM-OCT-P03-SBA</t>
        </is>
      </c>
      <c r="B432" s="38" t="inlineStr">
        <is>
          <t>Octavas</t>
        </is>
      </c>
      <c r="C432" s="38" t="inlineStr">
        <is>
          <t>São Bento da Abadá</t>
        </is>
      </c>
      <c r="D432" s="39">
        <f>IFERROR(CLASIF_C_M!$F$7,"")</f>
        <v/>
      </c>
      <c r="E432" s="40" t="n"/>
      <c r="F432" s="39">
        <f>IFERROR(CLASIF_C_M!$F$18,"")</f>
        <v/>
      </c>
      <c r="G432" s="40" t="n"/>
      <c r="H432" s="41" t="n"/>
      <c r="I432" s="42">
        <f>IF($H432="","",MAX(0,$H432-N($E432)))</f>
        <v/>
      </c>
      <c r="J432" s="42">
        <f>IF($H432="","",MAX(0,$H432-N($G432)))</f>
        <v/>
      </c>
    </row>
    <row r="433" ht="19.5" customHeight="1" s="72">
      <c r="A433" s="38" t="inlineStr">
        <is>
          <t>CM-OCT-P03-SIR</t>
        </is>
      </c>
      <c r="B433" s="38" t="inlineStr">
        <is>
          <t>Octavas</t>
        </is>
      </c>
      <c r="C433" s="38" t="inlineStr">
        <is>
          <t>Siriuna</t>
        </is>
      </c>
      <c r="D433" s="39">
        <f>IFERROR(CLASIF_C_M!$F$7,"")</f>
        <v/>
      </c>
      <c r="E433" s="40" t="n"/>
      <c r="F433" s="39">
        <f>IFERROR(CLASIF_C_M!$F$18,"")</f>
        <v/>
      </c>
      <c r="G433" s="40" t="n"/>
      <c r="H433" s="41" t="n"/>
      <c r="I433" s="42">
        <f>IF($H433="","",MAX(0,$H433-N($E433)))</f>
        <v/>
      </c>
      <c r="J433" s="42">
        <f>IF($H433="","",MAX(0,$H433-N($G433)))</f>
        <v/>
      </c>
    </row>
    <row r="434" ht="19.5" customHeight="1" s="72">
      <c r="A434" s="38" t="inlineStr">
        <is>
          <t>CM-OCT-P04-BEN</t>
        </is>
      </c>
      <c r="B434" s="38" t="inlineStr">
        <is>
          <t>Octavas</t>
        </is>
      </c>
      <c r="C434" s="38" t="inlineStr">
        <is>
          <t>Benguela</t>
        </is>
      </c>
      <c r="D434" s="39">
        <f>IFERROR(CLASIF_C_M!$F$8,"")</f>
        <v/>
      </c>
      <c r="E434" s="40" t="n"/>
      <c r="F434" s="39">
        <f>IFERROR(CLASIF_C_M!$F$17,"")</f>
        <v/>
      </c>
      <c r="G434" s="40" t="n"/>
      <c r="H434" s="41" t="n"/>
      <c r="I434" s="42">
        <f>IF($H434="","",MAX(0,$H434-N($E434)))</f>
        <v/>
      </c>
      <c r="J434" s="42">
        <f>IF($H434="","",MAX(0,$H434-N($G434)))</f>
        <v/>
      </c>
    </row>
    <row r="435" ht="19.5" customHeight="1" s="72">
      <c r="A435" s="38" t="inlineStr">
        <is>
          <t>CM-OCT-P04-SBA</t>
        </is>
      </c>
      <c r="B435" s="38" t="inlineStr">
        <is>
          <t>Octavas</t>
        </is>
      </c>
      <c r="C435" s="38" t="inlineStr">
        <is>
          <t>São Bento da Abadá</t>
        </is>
      </c>
      <c r="D435" s="39">
        <f>IFERROR(CLASIF_C_M!$F$8,"")</f>
        <v/>
      </c>
      <c r="E435" s="40" t="n"/>
      <c r="F435" s="39">
        <f>IFERROR(CLASIF_C_M!$F$17,"")</f>
        <v/>
      </c>
      <c r="G435" s="40" t="n"/>
      <c r="H435" s="41" t="n"/>
      <c r="I435" s="42">
        <f>IF($H435="","",MAX(0,$H435-N($E435)))</f>
        <v/>
      </c>
      <c r="J435" s="42">
        <f>IF($H435="","",MAX(0,$H435-N($G435)))</f>
        <v/>
      </c>
    </row>
    <row r="436" ht="19.5" customHeight="1" s="72">
      <c r="A436" s="38" t="inlineStr">
        <is>
          <t>CM-OCT-P04-SIR</t>
        </is>
      </c>
      <c r="B436" s="38" t="inlineStr">
        <is>
          <t>Octavas</t>
        </is>
      </c>
      <c r="C436" s="38" t="inlineStr">
        <is>
          <t>Siriuna</t>
        </is>
      </c>
      <c r="D436" s="39">
        <f>IFERROR(CLASIF_C_M!$F$8,"")</f>
        <v/>
      </c>
      <c r="E436" s="40" t="n"/>
      <c r="F436" s="39">
        <f>IFERROR(CLASIF_C_M!$F$17,"")</f>
        <v/>
      </c>
      <c r="G436" s="40" t="n"/>
      <c r="H436" s="41" t="n"/>
      <c r="I436" s="42">
        <f>IF($H436="","",MAX(0,$H436-N($E436)))</f>
        <v/>
      </c>
      <c r="J436" s="42">
        <f>IF($H436="","",MAX(0,$H436-N($G436)))</f>
        <v/>
      </c>
    </row>
    <row r="437" ht="19.5" customHeight="1" s="72">
      <c r="A437" s="38" t="inlineStr">
        <is>
          <t>CM-OCT-P05-BEN</t>
        </is>
      </c>
      <c r="B437" s="38" t="inlineStr">
        <is>
          <t>Octavas</t>
        </is>
      </c>
      <c r="C437" s="38" t="inlineStr">
        <is>
          <t>Benguela</t>
        </is>
      </c>
      <c r="D437" s="39">
        <f>IFERROR(CLASIF_C_M!$F$9,"")</f>
        <v/>
      </c>
      <c r="E437" s="40" t="n"/>
      <c r="F437" s="39">
        <f>IFERROR(CLASIF_C_M!$F$16,"")</f>
        <v/>
      </c>
      <c r="G437" s="40" t="n"/>
      <c r="H437" s="41" t="n"/>
      <c r="I437" s="42">
        <f>IF($H437="","",MAX(0,$H437-N($E437)))</f>
        <v/>
      </c>
      <c r="J437" s="42">
        <f>IF($H437="","",MAX(0,$H437-N($G437)))</f>
        <v/>
      </c>
    </row>
    <row r="438" ht="19.5" customHeight="1" s="72">
      <c r="A438" s="38" t="inlineStr">
        <is>
          <t>CM-OCT-P05-SBA</t>
        </is>
      </c>
      <c r="B438" s="38" t="inlineStr">
        <is>
          <t>Octavas</t>
        </is>
      </c>
      <c r="C438" s="38" t="inlineStr">
        <is>
          <t>São Bento da Abadá</t>
        </is>
      </c>
      <c r="D438" s="39">
        <f>IFERROR(CLASIF_C_M!$F$9,"")</f>
        <v/>
      </c>
      <c r="E438" s="40" t="n"/>
      <c r="F438" s="39">
        <f>IFERROR(CLASIF_C_M!$F$16,"")</f>
        <v/>
      </c>
      <c r="G438" s="40" t="n"/>
      <c r="H438" s="41" t="n"/>
      <c r="I438" s="42">
        <f>IF($H438="","",MAX(0,$H438-N($E438)))</f>
        <v/>
      </c>
      <c r="J438" s="42">
        <f>IF($H438="","",MAX(0,$H438-N($G438)))</f>
        <v/>
      </c>
    </row>
    <row r="439" ht="19.5" customHeight="1" s="72">
      <c r="A439" s="38" t="inlineStr">
        <is>
          <t>CM-OCT-P05-SIR</t>
        </is>
      </c>
      <c r="B439" s="38" t="inlineStr">
        <is>
          <t>Octavas</t>
        </is>
      </c>
      <c r="C439" s="38" t="inlineStr">
        <is>
          <t>Siriuna</t>
        </is>
      </c>
      <c r="D439" s="39">
        <f>IFERROR(CLASIF_C_M!$F$9,"")</f>
        <v/>
      </c>
      <c r="E439" s="40" t="n"/>
      <c r="F439" s="39">
        <f>IFERROR(CLASIF_C_M!$F$16,"")</f>
        <v/>
      </c>
      <c r="G439" s="40" t="n"/>
      <c r="H439" s="41" t="n"/>
      <c r="I439" s="42">
        <f>IF($H439="","",MAX(0,$H439-N($E439)))</f>
        <v/>
      </c>
      <c r="J439" s="42">
        <f>IF($H439="","",MAX(0,$H439-N($G439)))</f>
        <v/>
      </c>
    </row>
    <row r="440" ht="19.5" customHeight="1" s="72">
      <c r="A440" s="38" t="inlineStr">
        <is>
          <t>CM-OCT-P06-BEN</t>
        </is>
      </c>
      <c r="B440" s="38" t="inlineStr">
        <is>
          <t>Octavas</t>
        </is>
      </c>
      <c r="C440" s="38" t="inlineStr">
        <is>
          <t>Benguela</t>
        </is>
      </c>
      <c r="D440" s="39">
        <f>IFERROR(CLASIF_C_M!$F$10,"")</f>
        <v/>
      </c>
      <c r="E440" s="40" t="n"/>
      <c r="F440" s="39">
        <f>IFERROR(CLASIF_C_M!$F$15,"")</f>
        <v/>
      </c>
      <c r="G440" s="40" t="n"/>
      <c r="H440" s="41" t="n"/>
      <c r="I440" s="42">
        <f>IF($H440="","",MAX(0,$H440-N($E440)))</f>
        <v/>
      </c>
      <c r="J440" s="42">
        <f>IF($H440="","",MAX(0,$H440-N($G440)))</f>
        <v/>
      </c>
    </row>
    <row r="441" ht="19.5" customHeight="1" s="72">
      <c r="A441" s="38" t="inlineStr">
        <is>
          <t>CM-OCT-P06-SBA</t>
        </is>
      </c>
      <c r="B441" s="38" t="inlineStr">
        <is>
          <t>Octavas</t>
        </is>
      </c>
      <c r="C441" s="38" t="inlineStr">
        <is>
          <t>São Bento da Abadá</t>
        </is>
      </c>
      <c r="D441" s="39">
        <f>IFERROR(CLASIF_C_M!$F$10,"")</f>
        <v/>
      </c>
      <c r="E441" s="40" t="n"/>
      <c r="F441" s="39">
        <f>IFERROR(CLASIF_C_M!$F$15,"")</f>
        <v/>
      </c>
      <c r="G441" s="40" t="n"/>
      <c r="H441" s="41" t="n"/>
      <c r="I441" s="42">
        <f>IF($H441="","",MAX(0,$H441-N($E441)))</f>
        <v/>
      </c>
      <c r="J441" s="42">
        <f>IF($H441="","",MAX(0,$H441-N($G441)))</f>
        <v/>
      </c>
    </row>
    <row r="442" ht="19.5" customHeight="1" s="72">
      <c r="A442" s="38" t="inlineStr">
        <is>
          <t>CM-OCT-P06-SIR</t>
        </is>
      </c>
      <c r="B442" s="38" t="inlineStr">
        <is>
          <t>Octavas</t>
        </is>
      </c>
      <c r="C442" s="38" t="inlineStr">
        <is>
          <t>Siriuna</t>
        </is>
      </c>
      <c r="D442" s="39">
        <f>IFERROR(CLASIF_C_M!$F$10,"")</f>
        <v/>
      </c>
      <c r="E442" s="40" t="n"/>
      <c r="F442" s="39">
        <f>IFERROR(CLASIF_C_M!$F$15,"")</f>
        <v/>
      </c>
      <c r="G442" s="40" t="n"/>
      <c r="H442" s="41" t="n"/>
      <c r="I442" s="42">
        <f>IF($H442="","",MAX(0,$H442-N($E442)))</f>
        <v/>
      </c>
      <c r="J442" s="42">
        <f>IF($H442="","",MAX(0,$H442-N($G442)))</f>
        <v/>
      </c>
    </row>
    <row r="443" ht="19.5" customHeight="1" s="72">
      <c r="A443" s="38" t="inlineStr">
        <is>
          <t>CM-OCT-P07-BEN</t>
        </is>
      </c>
      <c r="B443" s="38" t="inlineStr">
        <is>
          <t>Octavas</t>
        </is>
      </c>
      <c r="C443" s="38" t="inlineStr">
        <is>
          <t>Benguela</t>
        </is>
      </c>
      <c r="D443" s="39">
        <f>IFERROR(CLASIF_C_M!$F$11,"")</f>
        <v/>
      </c>
      <c r="E443" s="40" t="n"/>
      <c r="F443" s="39">
        <f>IFERROR(CLASIF_C_M!$F$14,"")</f>
        <v/>
      </c>
      <c r="G443" s="40" t="n"/>
      <c r="H443" s="41" t="n"/>
      <c r="I443" s="42">
        <f>IF($H443="","",MAX(0,$H443-N($E443)))</f>
        <v/>
      </c>
      <c r="J443" s="42">
        <f>IF($H443="","",MAX(0,$H443-N($G443)))</f>
        <v/>
      </c>
    </row>
    <row r="444" ht="19.5" customHeight="1" s="72">
      <c r="A444" s="38" t="inlineStr">
        <is>
          <t>CM-OCT-P07-SBA</t>
        </is>
      </c>
      <c r="B444" s="38" t="inlineStr">
        <is>
          <t>Octavas</t>
        </is>
      </c>
      <c r="C444" s="38" t="inlineStr">
        <is>
          <t>São Bento da Abadá</t>
        </is>
      </c>
      <c r="D444" s="39">
        <f>IFERROR(CLASIF_C_M!$F$11,"")</f>
        <v/>
      </c>
      <c r="E444" s="40" t="n"/>
      <c r="F444" s="39">
        <f>IFERROR(CLASIF_C_M!$F$14,"")</f>
        <v/>
      </c>
      <c r="G444" s="40" t="n"/>
      <c r="H444" s="41" t="n"/>
      <c r="I444" s="42">
        <f>IF($H444="","",MAX(0,$H444-N($E444)))</f>
        <v/>
      </c>
      <c r="J444" s="42">
        <f>IF($H444="","",MAX(0,$H444-N($G444)))</f>
        <v/>
      </c>
    </row>
    <row r="445" ht="19.5" customHeight="1" s="72">
      <c r="A445" s="38" t="inlineStr">
        <is>
          <t>CM-OCT-P07-SIR</t>
        </is>
      </c>
      <c r="B445" s="38" t="inlineStr">
        <is>
          <t>Octavas</t>
        </is>
      </c>
      <c r="C445" s="38" t="inlineStr">
        <is>
          <t>Siriuna</t>
        </is>
      </c>
      <c r="D445" s="39">
        <f>IFERROR(CLASIF_C_M!$F$11,"")</f>
        <v/>
      </c>
      <c r="E445" s="40" t="n"/>
      <c r="F445" s="39">
        <f>IFERROR(CLASIF_C_M!$F$14,"")</f>
        <v/>
      </c>
      <c r="G445" s="40" t="n"/>
      <c r="H445" s="41" t="n"/>
      <c r="I445" s="42">
        <f>IF($H445="","",MAX(0,$H445-N($E445)))</f>
        <v/>
      </c>
      <c r="J445" s="42">
        <f>IF($H445="","",MAX(0,$H445-N($G445)))</f>
        <v/>
      </c>
    </row>
    <row r="446" ht="19.5" customHeight="1" s="72">
      <c r="A446" s="38" t="inlineStr">
        <is>
          <t>CM-OCT-P08-BEN</t>
        </is>
      </c>
      <c r="B446" s="38" t="inlineStr">
        <is>
          <t>Octavas</t>
        </is>
      </c>
      <c r="C446" s="38" t="inlineStr">
        <is>
          <t>Benguela</t>
        </is>
      </c>
      <c r="D446" s="39">
        <f>IFERROR(CLASIF_C_M!$F$12,"")</f>
        <v/>
      </c>
      <c r="E446" s="40" t="n"/>
      <c r="F446" s="39">
        <f>IFERROR(CLASIF_C_M!$F$13,"")</f>
        <v/>
      </c>
      <c r="G446" s="40" t="n"/>
      <c r="H446" s="41" t="n"/>
      <c r="I446" s="42">
        <f>IF($H446="","",MAX(0,$H446-N($E446)))</f>
        <v/>
      </c>
      <c r="J446" s="42">
        <f>IF($H446="","",MAX(0,$H446-N($G446)))</f>
        <v/>
      </c>
    </row>
    <row r="447" ht="19.5" customHeight="1" s="72">
      <c r="A447" s="38" t="inlineStr">
        <is>
          <t>CM-OCT-P08-SBA</t>
        </is>
      </c>
      <c r="B447" s="38" t="inlineStr">
        <is>
          <t>Octavas</t>
        </is>
      </c>
      <c r="C447" s="38" t="inlineStr">
        <is>
          <t>São Bento da Abadá</t>
        </is>
      </c>
      <c r="D447" s="39">
        <f>IFERROR(CLASIF_C_M!$F$12,"")</f>
        <v/>
      </c>
      <c r="E447" s="40" t="n"/>
      <c r="F447" s="39">
        <f>IFERROR(CLASIF_C_M!$F$13,"")</f>
        <v/>
      </c>
      <c r="G447" s="40" t="n"/>
      <c r="H447" s="41" t="n"/>
      <c r="I447" s="42">
        <f>IF($H447="","",MAX(0,$H447-N($E447)))</f>
        <v/>
      </c>
      <c r="J447" s="42">
        <f>IF($H447="","",MAX(0,$H447-N($G447)))</f>
        <v/>
      </c>
    </row>
    <row r="448" ht="19.5" customHeight="1" s="72">
      <c r="A448" s="38" t="inlineStr">
        <is>
          <t>CM-OCT-P08-SIR</t>
        </is>
      </c>
      <c r="B448" s="38" t="inlineStr">
        <is>
          <t>Octavas</t>
        </is>
      </c>
      <c r="C448" s="38" t="inlineStr">
        <is>
          <t>Siriuna</t>
        </is>
      </c>
      <c r="D448" s="39">
        <f>IFERROR(CLASIF_C_M!$F$12,"")</f>
        <v/>
      </c>
      <c r="E448" s="40" t="n"/>
      <c r="F448" s="39">
        <f>IFERROR(CLASIF_C_M!$F$13,"")</f>
        <v/>
      </c>
      <c r="G448" s="40" t="n"/>
      <c r="H448" s="41" t="n"/>
      <c r="I448" s="42">
        <f>IF($H448="","",MAX(0,$H448-N($E448)))</f>
        <v/>
      </c>
      <c r="J448" s="42">
        <f>IF($H448="","",MAX(0,$H448-N($G448)))</f>
        <v/>
      </c>
    </row>
    <row r="449" ht="19.5" customHeight="1" s="72">
      <c r="A449" s="38" t="inlineStr">
        <is>
          <t>CM-SEM-P01-BEN</t>
        </is>
      </c>
      <c r="B449" s="38" t="inlineStr">
        <is>
          <t>Semifinal</t>
        </is>
      </c>
      <c r="C449" s="38" t="inlineStr">
        <is>
          <t>Benguela</t>
        </is>
      </c>
      <c r="D449" s="39">
        <f>IFERROR(CLASIF_C_M!$O$5,"")</f>
        <v/>
      </c>
      <c r="E449" s="40" t="n"/>
      <c r="F449" s="39">
        <f>IFERROR(CLASIF_C_M!$O$12,"")</f>
        <v/>
      </c>
      <c r="G449" s="40" t="n"/>
      <c r="H449" s="41" t="n"/>
      <c r="I449" s="42">
        <f>IF($H449="","",MAX(0,$H449-N($E449)))</f>
        <v/>
      </c>
      <c r="J449" s="42">
        <f>IF($H449="","",MAX(0,$H449-N($G449)))</f>
        <v/>
      </c>
    </row>
    <row r="450" ht="19.5" customHeight="1" s="72">
      <c r="A450" s="38" t="inlineStr">
        <is>
          <t>CM-SEM-P01-SBA</t>
        </is>
      </c>
      <c r="B450" s="38" t="inlineStr">
        <is>
          <t>Semifinal</t>
        </is>
      </c>
      <c r="C450" s="38" t="inlineStr">
        <is>
          <t>São Bento da Abadá</t>
        </is>
      </c>
      <c r="D450" s="39">
        <f>IFERROR(CLASIF_C_M!$O$5,"")</f>
        <v/>
      </c>
      <c r="E450" s="40" t="n"/>
      <c r="F450" s="39">
        <f>IFERROR(CLASIF_C_M!$O$12,"")</f>
        <v/>
      </c>
      <c r="G450" s="40" t="n"/>
      <c r="H450" s="41" t="n"/>
      <c r="I450" s="42">
        <f>IF($H450="","",MAX(0,$H450-N($E450)))</f>
        <v/>
      </c>
      <c r="J450" s="42">
        <f>IF($H450="","",MAX(0,$H450-N($G450)))</f>
        <v/>
      </c>
    </row>
    <row r="451" ht="19.5" customHeight="1" s="72">
      <c r="A451" s="38" t="inlineStr">
        <is>
          <t>CM-SEM-P01-SIR</t>
        </is>
      </c>
      <c r="B451" s="38" t="inlineStr">
        <is>
          <t>Semifinal</t>
        </is>
      </c>
      <c r="C451" s="38" t="inlineStr">
        <is>
          <t>Siriuna</t>
        </is>
      </c>
      <c r="D451" s="39">
        <f>IFERROR(CLASIF_C_M!$O$5,"")</f>
        <v/>
      </c>
      <c r="E451" s="40" t="n"/>
      <c r="F451" s="39">
        <f>IFERROR(CLASIF_C_M!$O$12,"")</f>
        <v/>
      </c>
      <c r="G451" s="40" t="n"/>
      <c r="H451" s="41" t="n"/>
      <c r="I451" s="42">
        <f>IF($H451="","",MAX(0,$H451-N($E451)))</f>
        <v/>
      </c>
      <c r="J451" s="42">
        <f>IF($H451="","",MAX(0,$H451-N($G451)))</f>
        <v/>
      </c>
    </row>
    <row r="452" ht="19.5" customHeight="1" s="72">
      <c r="A452" s="38" t="inlineStr">
        <is>
          <t>CM-SEM-P02-BEN</t>
        </is>
      </c>
      <c r="B452" s="38" t="inlineStr">
        <is>
          <t>Semifinal</t>
        </is>
      </c>
      <c r="C452" s="38" t="inlineStr">
        <is>
          <t>Benguela</t>
        </is>
      </c>
      <c r="D452" s="39">
        <f>IFERROR(CLASIF_C_M!$O$6,"")</f>
        <v/>
      </c>
      <c r="E452" s="40" t="n"/>
      <c r="F452" s="39">
        <f>IFERROR(CLASIF_C_M!$O$11,"")</f>
        <v/>
      </c>
      <c r="G452" s="40" t="n"/>
      <c r="H452" s="41" t="n"/>
      <c r="I452" s="42">
        <f>IF($H452="","",MAX(0,$H452-N($E452)))</f>
        <v/>
      </c>
      <c r="J452" s="42">
        <f>IF($H452="","",MAX(0,$H452-N($G452)))</f>
        <v/>
      </c>
    </row>
    <row r="453" ht="19.5" customHeight="1" s="72">
      <c r="A453" s="38" t="inlineStr">
        <is>
          <t>CM-SEM-P02-SBA</t>
        </is>
      </c>
      <c r="B453" s="38" t="inlineStr">
        <is>
          <t>Semifinal</t>
        </is>
      </c>
      <c r="C453" s="38" t="inlineStr">
        <is>
          <t>São Bento da Abadá</t>
        </is>
      </c>
      <c r="D453" s="39">
        <f>IFERROR(CLASIF_C_M!$O$6,"")</f>
        <v/>
      </c>
      <c r="E453" s="40" t="n"/>
      <c r="F453" s="39">
        <f>IFERROR(CLASIF_C_M!$O$11,"")</f>
        <v/>
      </c>
      <c r="G453" s="40" t="n"/>
      <c r="H453" s="41" t="n"/>
      <c r="I453" s="42">
        <f>IF($H453="","",MAX(0,$H453-N($E453)))</f>
        <v/>
      </c>
      <c r="J453" s="42">
        <f>IF($H453="","",MAX(0,$H453-N($G453)))</f>
        <v/>
      </c>
    </row>
    <row r="454" ht="19.5" customHeight="1" s="72">
      <c r="A454" s="38" t="inlineStr">
        <is>
          <t>CM-SEM-P02-SIR</t>
        </is>
      </c>
      <c r="B454" s="38" t="inlineStr">
        <is>
          <t>Semifinal</t>
        </is>
      </c>
      <c r="C454" s="38" t="inlineStr">
        <is>
          <t>Siriuna</t>
        </is>
      </c>
      <c r="D454" s="39">
        <f>IFERROR(CLASIF_C_M!$O$6,"")</f>
        <v/>
      </c>
      <c r="E454" s="40" t="n"/>
      <c r="F454" s="39">
        <f>IFERROR(CLASIF_C_M!$O$11,"")</f>
        <v/>
      </c>
      <c r="G454" s="40" t="n"/>
      <c r="H454" s="41" t="n"/>
      <c r="I454" s="42">
        <f>IF($H454="","",MAX(0,$H454-N($E454)))</f>
        <v/>
      </c>
      <c r="J454" s="42">
        <f>IF($H454="","",MAX(0,$H454-N($G454)))</f>
        <v/>
      </c>
    </row>
    <row r="455" ht="19.5" customHeight="1" s="72">
      <c r="A455" s="38" t="inlineStr">
        <is>
          <t>CM-SEM-P03-BEN</t>
        </is>
      </c>
      <c r="B455" s="38" t="inlineStr">
        <is>
          <t>Semifinal</t>
        </is>
      </c>
      <c r="C455" s="38" t="inlineStr">
        <is>
          <t>Benguela</t>
        </is>
      </c>
      <c r="D455" s="39">
        <f>IFERROR(CLASIF_C_M!$O$7,"")</f>
        <v/>
      </c>
      <c r="E455" s="40" t="n"/>
      <c r="F455" s="39">
        <f>IFERROR(CLASIF_C_M!$O$10,"")</f>
        <v/>
      </c>
      <c r="G455" s="40" t="n"/>
      <c r="H455" s="41" t="n"/>
      <c r="I455" s="42">
        <f>IF($H455="","",MAX(0,$H455-N($E455)))</f>
        <v/>
      </c>
      <c r="J455" s="42">
        <f>IF($H455="","",MAX(0,$H455-N($G455)))</f>
        <v/>
      </c>
    </row>
    <row r="456" ht="19.5" customHeight="1" s="72">
      <c r="A456" s="38" t="inlineStr">
        <is>
          <t>CM-SEM-P03-SBA</t>
        </is>
      </c>
      <c r="B456" s="38" t="inlineStr">
        <is>
          <t>Semifinal</t>
        </is>
      </c>
      <c r="C456" s="38" t="inlineStr">
        <is>
          <t>São Bento da Abadá</t>
        </is>
      </c>
      <c r="D456" s="39">
        <f>IFERROR(CLASIF_C_M!$O$7,"")</f>
        <v/>
      </c>
      <c r="E456" s="40" t="n"/>
      <c r="F456" s="39">
        <f>IFERROR(CLASIF_C_M!$O$10,"")</f>
        <v/>
      </c>
      <c r="G456" s="40" t="n"/>
      <c r="H456" s="41" t="n"/>
      <c r="I456" s="42">
        <f>IF($H456="","",MAX(0,$H456-N($E456)))</f>
        <v/>
      </c>
      <c r="J456" s="42">
        <f>IF($H456="","",MAX(0,$H456-N($G456)))</f>
        <v/>
      </c>
    </row>
    <row r="457" ht="19.5" customHeight="1" s="72">
      <c r="A457" s="38" t="inlineStr">
        <is>
          <t>CM-SEM-P03-SIR</t>
        </is>
      </c>
      <c r="B457" s="38" t="inlineStr">
        <is>
          <t>Semifinal</t>
        </is>
      </c>
      <c r="C457" s="38" t="inlineStr">
        <is>
          <t>Siriuna</t>
        </is>
      </c>
      <c r="D457" s="39">
        <f>IFERROR(CLASIF_C_M!$O$7,"")</f>
        <v/>
      </c>
      <c r="E457" s="40" t="n"/>
      <c r="F457" s="39">
        <f>IFERROR(CLASIF_C_M!$O$10,"")</f>
        <v/>
      </c>
      <c r="G457" s="40" t="n"/>
      <c r="H457" s="41" t="n"/>
      <c r="I457" s="42">
        <f>IF($H457="","",MAX(0,$H457-N($E457)))</f>
        <v/>
      </c>
      <c r="J457" s="42">
        <f>IF($H457="","",MAX(0,$H457-N($G457)))</f>
        <v/>
      </c>
    </row>
    <row r="458" ht="19.5" customHeight="1" s="72">
      <c r="A458" s="38" t="inlineStr">
        <is>
          <t>CM-SEM-P04-BEN</t>
        </is>
      </c>
      <c r="B458" s="38" t="inlineStr">
        <is>
          <t>Semifinal</t>
        </is>
      </c>
      <c r="C458" s="38" t="inlineStr">
        <is>
          <t>Benguela</t>
        </is>
      </c>
      <c r="D458" s="39">
        <f>IFERROR(CLASIF_C_M!$O$8,"")</f>
        <v/>
      </c>
      <c r="E458" s="40" t="n"/>
      <c r="F458" s="39">
        <f>IFERROR(CLASIF_C_M!$O$9,"")</f>
        <v/>
      </c>
      <c r="G458" s="40" t="n"/>
      <c r="H458" s="41" t="n"/>
      <c r="I458" s="42">
        <f>IF($H458="","",MAX(0,$H458-N($E458)))</f>
        <v/>
      </c>
      <c r="J458" s="42">
        <f>IF($H458="","",MAX(0,$H458-N($G458)))</f>
        <v/>
      </c>
    </row>
    <row r="459" ht="19.5" customHeight="1" s="72">
      <c r="A459" s="38" t="inlineStr">
        <is>
          <t>CM-SEM-P04-SBA</t>
        </is>
      </c>
      <c r="B459" s="38" t="inlineStr">
        <is>
          <t>Semifinal</t>
        </is>
      </c>
      <c r="C459" s="38" t="inlineStr">
        <is>
          <t>São Bento da Abadá</t>
        </is>
      </c>
      <c r="D459" s="39">
        <f>IFERROR(CLASIF_C_M!$O$8,"")</f>
        <v/>
      </c>
      <c r="E459" s="40" t="n"/>
      <c r="F459" s="39">
        <f>IFERROR(CLASIF_C_M!$O$9,"")</f>
        <v/>
      </c>
      <c r="G459" s="40" t="n"/>
      <c r="H459" s="41" t="n"/>
      <c r="I459" s="42">
        <f>IF($H459="","",MAX(0,$H459-N($E459)))</f>
        <v/>
      </c>
      <c r="J459" s="42">
        <f>IF($H459="","",MAX(0,$H459-N($G459)))</f>
        <v/>
      </c>
    </row>
    <row r="460" ht="19.5" customHeight="1" s="72">
      <c r="A460" s="38" t="inlineStr">
        <is>
          <t>CM-SEM-P04-SIR</t>
        </is>
      </c>
      <c r="B460" s="38" t="inlineStr">
        <is>
          <t>Semifinal</t>
        </is>
      </c>
      <c r="C460" s="38" t="inlineStr">
        <is>
          <t>Siriuna</t>
        </is>
      </c>
      <c r="D460" s="39">
        <f>IFERROR(CLASIF_C_M!$O$8,"")</f>
        <v/>
      </c>
      <c r="E460" s="40" t="n"/>
      <c r="F460" s="39">
        <f>IFERROR(CLASIF_C_M!$O$9,"")</f>
        <v/>
      </c>
      <c r="G460" s="40" t="n"/>
      <c r="H460" s="41" t="n"/>
      <c r="I460" s="42">
        <f>IF($H460="","",MAX(0,$H460-N($E460)))</f>
        <v/>
      </c>
      <c r="J460" s="42">
        <f>IF($H460="","",MAX(0,$H460-N($G460)))</f>
        <v/>
      </c>
    </row>
    <row r="461" ht="19.5" customHeight="1" s="72">
      <c r="A461" s="38" t="inlineStr">
        <is>
          <t>CM-FIN-P01-BEN</t>
        </is>
      </c>
      <c r="B461" s="38" t="inlineStr">
        <is>
          <t>Final</t>
        </is>
      </c>
      <c r="C461" s="38" t="inlineStr">
        <is>
          <t>Benguela</t>
        </is>
      </c>
      <c r="D461" s="39">
        <f>IFERROR(CLASIF_C_M!$X$5,"")</f>
        <v/>
      </c>
      <c r="E461" s="40" t="n"/>
      <c r="F461" s="39">
        <f>IFERROR(CLASIF_C_M!$X$8,"")</f>
        <v/>
      </c>
      <c r="G461" s="40" t="n"/>
      <c r="H461" s="41" t="n"/>
      <c r="I461" s="42">
        <f>IF($H461="","",MAX(0,$H461-N($E461)))</f>
        <v/>
      </c>
      <c r="J461" s="42">
        <f>IF($H461="","",MAX(0,$H461-N($G461)))</f>
        <v/>
      </c>
    </row>
    <row r="462" ht="19.5" customHeight="1" s="72">
      <c r="A462" s="38" t="inlineStr">
        <is>
          <t>CM-FIN-P01-SBA</t>
        </is>
      </c>
      <c r="B462" s="38" t="inlineStr">
        <is>
          <t>Final</t>
        </is>
      </c>
      <c r="C462" s="38" t="inlineStr">
        <is>
          <t>São Bento da Abadá</t>
        </is>
      </c>
      <c r="D462" s="39">
        <f>IFERROR(CLASIF_C_M!$X$5,"")</f>
        <v/>
      </c>
      <c r="E462" s="40" t="n"/>
      <c r="F462" s="39">
        <f>IFERROR(CLASIF_C_M!$X$8,"")</f>
        <v/>
      </c>
      <c r="G462" s="40" t="n"/>
      <c r="H462" s="41" t="n"/>
      <c r="I462" s="42">
        <f>IF($H462="","",MAX(0,$H462-N($E462)))</f>
        <v/>
      </c>
      <c r="J462" s="42">
        <f>IF($H462="","",MAX(0,$H462-N($G462)))</f>
        <v/>
      </c>
    </row>
    <row r="463" ht="19.5" customHeight="1" s="72">
      <c r="A463" s="38" t="inlineStr">
        <is>
          <t>CM-FIN-P01-SIR</t>
        </is>
      </c>
      <c r="B463" s="38" t="inlineStr">
        <is>
          <t>Final</t>
        </is>
      </c>
      <c r="C463" s="38" t="inlineStr">
        <is>
          <t>Siriuna</t>
        </is>
      </c>
      <c r="D463" s="39">
        <f>IFERROR(CLASIF_C_M!$X$5,"")</f>
        <v/>
      </c>
      <c r="E463" s="40" t="n"/>
      <c r="F463" s="39">
        <f>IFERROR(CLASIF_C_M!$X$8,"")</f>
        <v/>
      </c>
      <c r="G463" s="40" t="n"/>
      <c r="H463" s="41" t="n"/>
      <c r="I463" s="42">
        <f>IF($H463="","",MAX(0,$H463-N($E463)))</f>
        <v/>
      </c>
      <c r="J463" s="42">
        <f>IF($H463="","",MAX(0,$H463-N($G463)))</f>
        <v/>
      </c>
    </row>
    <row r="464" ht="19.5" customHeight="1" s="72">
      <c r="A464" s="38" t="inlineStr">
        <is>
          <t>CM-FIN-P02-BEN</t>
        </is>
      </c>
      <c r="B464" s="38" t="inlineStr">
        <is>
          <t>Final</t>
        </is>
      </c>
      <c r="C464" s="38" t="inlineStr">
        <is>
          <t>Benguela</t>
        </is>
      </c>
      <c r="D464" s="39">
        <f>IFERROR(CLASIF_C_M!$X$6,"")</f>
        <v/>
      </c>
      <c r="E464" s="40" t="n"/>
      <c r="F464" s="39">
        <f>IFERROR(CLASIF_C_M!$X$7,"")</f>
        <v/>
      </c>
      <c r="G464" s="40" t="n"/>
      <c r="H464" s="41" t="n"/>
      <c r="I464" s="42">
        <f>IF($H464="","",MAX(0,$H464-N($E464)))</f>
        <v/>
      </c>
      <c r="J464" s="42">
        <f>IF($H464="","",MAX(0,$H464-N($G464)))</f>
        <v/>
      </c>
    </row>
    <row r="465" ht="19.5" customHeight="1" s="72">
      <c r="A465" s="38" t="inlineStr">
        <is>
          <t>CM-FIN-P02-SBA</t>
        </is>
      </c>
      <c r="B465" s="38" t="inlineStr">
        <is>
          <t>Final</t>
        </is>
      </c>
      <c r="C465" s="38" t="inlineStr">
        <is>
          <t>São Bento da Abadá</t>
        </is>
      </c>
      <c r="D465" s="39">
        <f>IFERROR(CLASIF_C_M!$X$6,"")</f>
        <v/>
      </c>
      <c r="E465" s="40" t="n"/>
      <c r="F465" s="39">
        <f>IFERROR(CLASIF_C_M!$X$7,"")</f>
        <v/>
      </c>
      <c r="G465" s="40" t="n"/>
      <c r="H465" s="41" t="n"/>
      <c r="I465" s="42">
        <f>IF($H465="","",MAX(0,$H465-N($E465)))</f>
        <v/>
      </c>
      <c r="J465" s="42">
        <f>IF($H465="","",MAX(0,$H465-N($G465)))</f>
        <v/>
      </c>
    </row>
    <row r="466" ht="19.5" customHeight="1" s="72">
      <c r="A466" s="38" t="inlineStr">
        <is>
          <t>CM-FIN-P02-SIR</t>
        </is>
      </c>
      <c r="B466" s="38" t="inlineStr">
        <is>
          <t>Final</t>
        </is>
      </c>
      <c r="C466" s="38" t="inlineStr">
        <is>
          <t>Siriuna</t>
        </is>
      </c>
      <c r="D466" s="39">
        <f>IFERROR(CLASIF_C_M!$X$6,"")</f>
        <v/>
      </c>
      <c r="E466" s="40" t="n"/>
      <c r="F466" s="39">
        <f>IFERROR(CLASIF_C_M!$X$7,"")</f>
        <v/>
      </c>
      <c r="G466" s="40" t="n"/>
      <c r="H466" s="41" t="n"/>
      <c r="I466" s="42">
        <f>IF($H466="","",MAX(0,$H466-N($E466)))</f>
        <v/>
      </c>
      <c r="J466" s="42">
        <f>IF($H466="","",MAX(0,$H466-N($G466)))</f>
        <v/>
      </c>
    </row>
    <row r="467" ht="19.5" customHeight="1" s="72">
      <c r="A467" s="43" t="n"/>
      <c r="B467" s="43" t="n"/>
      <c r="C467" s="43" t="n"/>
      <c r="D467" s="43" t="n"/>
      <c r="E467" s="43" t="n"/>
      <c r="F467" s="43" t="n"/>
      <c r="G467" s="43" t="n"/>
      <c r="H467" s="44" t="n"/>
      <c r="I467" s="43">
        <f>IF($H467="","",MAX(0,$H467-N($E467)))</f>
        <v/>
      </c>
      <c r="J467" s="43">
        <f>IF($H467="","",MAX(0,$H467-N($G467)))</f>
        <v/>
      </c>
    </row>
    <row r="468" ht="19.5" customHeight="1" s="72">
      <c r="A468" s="82" t="inlineStr">
        <is>
          <t>═══ CATEGORÍA C · Femenino · Verde (Graduados) · Toques: Benguela, São Bento da Abadá, Siriuna ═══</t>
        </is>
      </c>
    </row>
    <row r="469" ht="19.5" customHeight="1" s="72">
      <c r="A469" s="45" t="inlineStr">
        <is>
          <t>Jogo</t>
        </is>
      </c>
      <c r="B469" s="45" t="inlineStr">
        <is>
          <t>Fase</t>
        </is>
      </c>
      <c r="C469" s="45" t="inlineStr">
        <is>
          <t>Toque</t>
        </is>
      </c>
      <c r="D469" s="45" t="inlineStr">
        <is>
          <t>Jugador A</t>
        </is>
      </c>
      <c r="E469" s="45" t="inlineStr">
        <is>
          <t>Quita A</t>
        </is>
      </c>
      <c r="F469" s="45" t="inlineStr">
        <is>
          <t>Jugador B</t>
        </is>
      </c>
      <c r="G469" s="45" t="inlineStr">
        <is>
          <t>Quita B</t>
        </is>
      </c>
      <c r="H469" s="45" t="inlineStr">
        <is>
          <t>NOTA (0-5)</t>
        </is>
      </c>
      <c r="I469" s="45">
        <f>IF($H469="","",MAX(0,$H469-N($E469)))</f>
        <v/>
      </c>
      <c r="J469" s="45">
        <f>IF($H469="","",MAX(0,$H469-N($G469)))</f>
        <v/>
      </c>
    </row>
    <row r="470" ht="19.5" customHeight="1" s="72">
      <c r="A470" s="38" t="inlineStr">
        <is>
          <t>CF-32-P01-BEN</t>
        </is>
      </c>
      <c r="B470" s="38" t="inlineStr">
        <is>
          <t>Fase 32</t>
        </is>
      </c>
      <c r="C470" s="38" t="inlineStr">
        <is>
          <t>Benguela</t>
        </is>
      </c>
      <c r="D470" s="39" t="inlineStr">
        <is>
          <t>A_C_F_32_P1</t>
        </is>
      </c>
      <c r="E470" s="40" t="n"/>
      <c r="F470" s="39" t="inlineStr">
        <is>
          <t>B_C_F_32_P1</t>
        </is>
      </c>
      <c r="G470" s="40" t="n"/>
      <c r="H470" s="41" t="n"/>
      <c r="I470" s="42">
        <f>IF($H470="","",MAX(0,$H470-N($E470)))</f>
        <v/>
      </c>
      <c r="J470" s="42">
        <f>IF($H470="","",MAX(0,$H470-N($G470)))</f>
        <v/>
      </c>
    </row>
    <row r="471" ht="19.5" customHeight="1" s="72">
      <c r="A471" s="38" t="inlineStr">
        <is>
          <t>CF-32-P01-SBA</t>
        </is>
      </c>
      <c r="B471" s="38" t="inlineStr">
        <is>
          <t>Fase 32</t>
        </is>
      </c>
      <c r="C471" s="38" t="inlineStr">
        <is>
          <t>São Bento da Abadá</t>
        </is>
      </c>
      <c r="D471" s="39" t="inlineStr">
        <is>
          <t>A_C_F_32_P1</t>
        </is>
      </c>
      <c r="E471" s="40" t="n"/>
      <c r="F471" s="39" t="inlineStr">
        <is>
          <t>B_C_F_32_P1</t>
        </is>
      </c>
      <c r="G471" s="40" t="n"/>
      <c r="H471" s="41" t="n"/>
      <c r="I471" s="42">
        <f>IF($H471="","",MAX(0,$H471-N($E471)))</f>
        <v/>
      </c>
      <c r="J471" s="42">
        <f>IF($H471="","",MAX(0,$H471-N($G471)))</f>
        <v/>
      </c>
    </row>
    <row r="472" ht="19.5" customHeight="1" s="72">
      <c r="A472" s="38" t="inlineStr">
        <is>
          <t>CF-32-P01-SIR</t>
        </is>
      </c>
      <c r="B472" s="38" t="inlineStr">
        <is>
          <t>Fase 32</t>
        </is>
      </c>
      <c r="C472" s="38" t="inlineStr">
        <is>
          <t>Siriuna</t>
        </is>
      </c>
      <c r="D472" s="39" t="inlineStr">
        <is>
          <t>A_C_F_32_P1</t>
        </is>
      </c>
      <c r="E472" s="40" t="n"/>
      <c r="F472" s="39" t="inlineStr">
        <is>
          <t>B_C_F_32_P1</t>
        </is>
      </c>
      <c r="G472" s="40" t="n"/>
      <c r="H472" s="41" t="n"/>
      <c r="I472" s="42">
        <f>IF($H472="","",MAX(0,$H472-N($E472)))</f>
        <v/>
      </c>
      <c r="J472" s="42">
        <f>IF($H472="","",MAX(0,$H472-N($G472)))</f>
        <v/>
      </c>
    </row>
    <row r="473" ht="19.5" customHeight="1" s="72">
      <c r="A473" s="38" t="inlineStr">
        <is>
          <t>CF-32-P02-BEN</t>
        </is>
      </c>
      <c r="B473" s="38" t="inlineStr">
        <is>
          <t>Fase 32</t>
        </is>
      </c>
      <c r="C473" s="38" t="inlineStr">
        <is>
          <t>Benguela</t>
        </is>
      </c>
      <c r="D473" s="39" t="inlineStr">
        <is>
          <t>A_C_F_32_P2</t>
        </is>
      </c>
      <c r="E473" s="40" t="n"/>
      <c r="F473" s="39" t="inlineStr">
        <is>
          <t>B_C_F_32_P2</t>
        </is>
      </c>
      <c r="G473" s="40" t="n"/>
      <c r="H473" s="41" t="n"/>
      <c r="I473" s="42">
        <f>IF($H473="","",MAX(0,$H473-N($E473)))</f>
        <v/>
      </c>
      <c r="J473" s="42">
        <f>IF($H473="","",MAX(0,$H473-N($G473)))</f>
        <v/>
      </c>
    </row>
    <row r="474" ht="19.5" customHeight="1" s="72">
      <c r="A474" s="38" t="inlineStr">
        <is>
          <t>CF-32-P02-SBA</t>
        </is>
      </c>
      <c r="B474" s="38" t="inlineStr">
        <is>
          <t>Fase 32</t>
        </is>
      </c>
      <c r="C474" s="38" t="inlineStr">
        <is>
          <t>São Bento da Abadá</t>
        </is>
      </c>
      <c r="D474" s="39" t="inlineStr">
        <is>
          <t>A_C_F_32_P2</t>
        </is>
      </c>
      <c r="E474" s="40" t="n"/>
      <c r="F474" s="39" t="inlineStr">
        <is>
          <t>B_C_F_32_P2</t>
        </is>
      </c>
      <c r="G474" s="40" t="n"/>
      <c r="H474" s="41" t="n"/>
      <c r="I474" s="42">
        <f>IF($H474="","",MAX(0,$H474-N($E474)))</f>
        <v/>
      </c>
      <c r="J474" s="42">
        <f>IF($H474="","",MAX(0,$H474-N($G474)))</f>
        <v/>
      </c>
    </row>
    <row r="475" ht="19.5" customHeight="1" s="72">
      <c r="A475" s="38" t="inlineStr">
        <is>
          <t>CF-32-P02-SIR</t>
        </is>
      </c>
      <c r="B475" s="38" t="inlineStr">
        <is>
          <t>Fase 32</t>
        </is>
      </c>
      <c r="C475" s="38" t="inlineStr">
        <is>
          <t>Siriuna</t>
        </is>
      </c>
      <c r="D475" s="39" t="inlineStr">
        <is>
          <t>A_C_F_32_P2</t>
        </is>
      </c>
      <c r="E475" s="40" t="n"/>
      <c r="F475" s="39" t="inlineStr">
        <is>
          <t>B_C_F_32_P2</t>
        </is>
      </c>
      <c r="G475" s="40" t="n"/>
      <c r="H475" s="41" t="n"/>
      <c r="I475" s="42">
        <f>IF($H475="","",MAX(0,$H475-N($E475)))</f>
        <v/>
      </c>
      <c r="J475" s="42">
        <f>IF($H475="","",MAX(0,$H475-N($G475)))</f>
        <v/>
      </c>
    </row>
    <row r="476" ht="19.5" customHeight="1" s="72">
      <c r="A476" s="38" t="inlineStr">
        <is>
          <t>CF-32-P03-BEN</t>
        </is>
      </c>
      <c r="B476" s="38" t="inlineStr">
        <is>
          <t>Fase 32</t>
        </is>
      </c>
      <c r="C476" s="38" t="inlineStr">
        <is>
          <t>Benguela</t>
        </is>
      </c>
      <c r="D476" s="39" t="inlineStr">
        <is>
          <t>A_C_F_32_P3</t>
        </is>
      </c>
      <c r="E476" s="40" t="n"/>
      <c r="F476" s="39" t="inlineStr">
        <is>
          <t>B_C_F_32_P3</t>
        </is>
      </c>
      <c r="G476" s="40" t="n"/>
      <c r="H476" s="41" t="n"/>
      <c r="I476" s="42">
        <f>IF($H476="","",MAX(0,$H476-N($E476)))</f>
        <v/>
      </c>
      <c r="J476" s="42">
        <f>IF($H476="","",MAX(0,$H476-N($G476)))</f>
        <v/>
      </c>
    </row>
    <row r="477" ht="19.5" customHeight="1" s="72">
      <c r="A477" s="38" t="inlineStr">
        <is>
          <t>CF-32-P03-SBA</t>
        </is>
      </c>
      <c r="B477" s="38" t="inlineStr">
        <is>
          <t>Fase 32</t>
        </is>
      </c>
      <c r="C477" s="38" t="inlineStr">
        <is>
          <t>São Bento da Abadá</t>
        </is>
      </c>
      <c r="D477" s="39" t="inlineStr">
        <is>
          <t>A_C_F_32_P3</t>
        </is>
      </c>
      <c r="E477" s="40" t="n"/>
      <c r="F477" s="39" t="inlineStr">
        <is>
          <t>B_C_F_32_P3</t>
        </is>
      </c>
      <c r="G477" s="40" t="n"/>
      <c r="H477" s="41" t="n"/>
      <c r="I477" s="42">
        <f>IF($H477="","",MAX(0,$H477-N($E477)))</f>
        <v/>
      </c>
      <c r="J477" s="42">
        <f>IF($H477="","",MAX(0,$H477-N($G477)))</f>
        <v/>
      </c>
    </row>
    <row r="478" ht="19.5" customHeight="1" s="72">
      <c r="A478" s="38" t="inlineStr">
        <is>
          <t>CF-32-P03-SIR</t>
        </is>
      </c>
      <c r="B478" s="38" t="inlineStr">
        <is>
          <t>Fase 32</t>
        </is>
      </c>
      <c r="C478" s="38" t="inlineStr">
        <is>
          <t>Siriuna</t>
        </is>
      </c>
      <c r="D478" s="39" t="inlineStr">
        <is>
          <t>A_C_F_32_P3</t>
        </is>
      </c>
      <c r="E478" s="40" t="n"/>
      <c r="F478" s="39" t="inlineStr">
        <is>
          <t>B_C_F_32_P3</t>
        </is>
      </c>
      <c r="G478" s="40" t="n"/>
      <c r="H478" s="41" t="n"/>
      <c r="I478" s="42">
        <f>IF($H478="","",MAX(0,$H478-N($E478)))</f>
        <v/>
      </c>
      <c r="J478" s="42">
        <f>IF($H478="","",MAX(0,$H478-N($G478)))</f>
        <v/>
      </c>
    </row>
    <row r="479" ht="19.5" customHeight="1" s="72">
      <c r="A479" s="38" t="inlineStr">
        <is>
          <t>CF-32-P04-BEN</t>
        </is>
      </c>
      <c r="B479" s="38" t="inlineStr">
        <is>
          <t>Fase 32</t>
        </is>
      </c>
      <c r="C479" s="38" t="inlineStr">
        <is>
          <t>Benguela</t>
        </is>
      </c>
      <c r="D479" s="39" t="inlineStr">
        <is>
          <t>A_C_F_32_P4</t>
        </is>
      </c>
      <c r="E479" s="40" t="n"/>
      <c r="F479" s="39" t="inlineStr">
        <is>
          <t>B_C_F_32_P4</t>
        </is>
      </c>
      <c r="G479" s="40" t="n"/>
      <c r="H479" s="41" t="n"/>
      <c r="I479" s="42">
        <f>IF($H479="","",MAX(0,$H479-N($E479)))</f>
        <v/>
      </c>
      <c r="J479" s="42">
        <f>IF($H479="","",MAX(0,$H479-N($G479)))</f>
        <v/>
      </c>
    </row>
    <row r="480" ht="19.5" customHeight="1" s="72">
      <c r="A480" s="38" t="inlineStr">
        <is>
          <t>CF-32-P04-SBA</t>
        </is>
      </c>
      <c r="B480" s="38" t="inlineStr">
        <is>
          <t>Fase 32</t>
        </is>
      </c>
      <c r="C480" s="38" t="inlineStr">
        <is>
          <t>São Bento da Abadá</t>
        </is>
      </c>
      <c r="D480" s="39" t="inlineStr">
        <is>
          <t>A_C_F_32_P4</t>
        </is>
      </c>
      <c r="E480" s="40" t="n"/>
      <c r="F480" s="39" t="inlineStr">
        <is>
          <t>B_C_F_32_P4</t>
        </is>
      </c>
      <c r="G480" s="40" t="n"/>
      <c r="H480" s="41" t="n"/>
      <c r="I480" s="42">
        <f>IF($H480="","",MAX(0,$H480-N($E480)))</f>
        <v/>
      </c>
      <c r="J480" s="42">
        <f>IF($H480="","",MAX(0,$H480-N($G480)))</f>
        <v/>
      </c>
    </row>
    <row r="481" ht="19.5" customHeight="1" s="72">
      <c r="A481" s="38" t="inlineStr">
        <is>
          <t>CF-32-P04-SIR</t>
        </is>
      </c>
      <c r="B481" s="38" t="inlineStr">
        <is>
          <t>Fase 32</t>
        </is>
      </c>
      <c r="C481" s="38" t="inlineStr">
        <is>
          <t>Siriuna</t>
        </is>
      </c>
      <c r="D481" s="39" t="inlineStr">
        <is>
          <t>A_C_F_32_P4</t>
        </is>
      </c>
      <c r="E481" s="40" t="n"/>
      <c r="F481" s="39" t="inlineStr">
        <is>
          <t>B_C_F_32_P4</t>
        </is>
      </c>
      <c r="G481" s="40" t="n"/>
      <c r="H481" s="41" t="n"/>
      <c r="I481" s="42">
        <f>IF($H481="","",MAX(0,$H481-N($E481)))</f>
        <v/>
      </c>
      <c r="J481" s="42">
        <f>IF($H481="","",MAX(0,$H481-N($G481)))</f>
        <v/>
      </c>
    </row>
    <row r="482" ht="19.5" customHeight="1" s="72">
      <c r="A482" s="38" t="inlineStr">
        <is>
          <t>CF-32-P05-BEN</t>
        </is>
      </c>
      <c r="B482" s="38" t="inlineStr">
        <is>
          <t>Fase 32</t>
        </is>
      </c>
      <c r="C482" s="38" t="inlineStr">
        <is>
          <t>Benguela</t>
        </is>
      </c>
      <c r="D482" s="39" t="inlineStr">
        <is>
          <t>A_C_F_32_P5</t>
        </is>
      </c>
      <c r="E482" s="40" t="n"/>
      <c r="F482" s="39" t="inlineStr">
        <is>
          <t>B_C_F_32_P5</t>
        </is>
      </c>
      <c r="G482" s="40" t="n"/>
      <c r="H482" s="41" t="n"/>
      <c r="I482" s="42">
        <f>IF($H482="","",MAX(0,$H482-N($E482)))</f>
        <v/>
      </c>
      <c r="J482" s="42">
        <f>IF($H482="","",MAX(0,$H482-N($G482)))</f>
        <v/>
      </c>
    </row>
    <row r="483" ht="19.5" customHeight="1" s="72">
      <c r="A483" s="38" t="inlineStr">
        <is>
          <t>CF-32-P05-SBA</t>
        </is>
      </c>
      <c r="B483" s="38" t="inlineStr">
        <is>
          <t>Fase 32</t>
        </is>
      </c>
      <c r="C483" s="38" t="inlineStr">
        <is>
          <t>São Bento da Abadá</t>
        </is>
      </c>
      <c r="D483" s="39" t="inlineStr">
        <is>
          <t>A_C_F_32_P5</t>
        </is>
      </c>
      <c r="E483" s="40" t="n"/>
      <c r="F483" s="39" t="inlineStr">
        <is>
          <t>B_C_F_32_P5</t>
        </is>
      </c>
      <c r="G483" s="40" t="n"/>
      <c r="H483" s="41" t="n"/>
      <c r="I483" s="42">
        <f>IF($H483="","",MAX(0,$H483-N($E483)))</f>
        <v/>
      </c>
      <c r="J483" s="42">
        <f>IF($H483="","",MAX(0,$H483-N($G483)))</f>
        <v/>
      </c>
    </row>
    <row r="484" ht="19.5" customHeight="1" s="72">
      <c r="A484" s="38" t="inlineStr">
        <is>
          <t>CF-32-P05-SIR</t>
        </is>
      </c>
      <c r="B484" s="38" t="inlineStr">
        <is>
          <t>Fase 32</t>
        </is>
      </c>
      <c r="C484" s="38" t="inlineStr">
        <is>
          <t>Siriuna</t>
        </is>
      </c>
      <c r="D484" s="39" t="inlineStr">
        <is>
          <t>A_C_F_32_P5</t>
        </is>
      </c>
      <c r="E484" s="40" t="n"/>
      <c r="F484" s="39" t="inlineStr">
        <is>
          <t>B_C_F_32_P5</t>
        </is>
      </c>
      <c r="G484" s="40" t="n"/>
      <c r="H484" s="41" t="n"/>
      <c r="I484" s="42">
        <f>IF($H484="","",MAX(0,$H484-N($E484)))</f>
        <v/>
      </c>
      <c r="J484" s="42">
        <f>IF($H484="","",MAX(0,$H484-N($G484)))</f>
        <v/>
      </c>
    </row>
    <row r="485" ht="19.5" customHeight="1" s="72">
      <c r="A485" s="38" t="inlineStr">
        <is>
          <t>CF-32-P06-BEN</t>
        </is>
      </c>
      <c r="B485" s="38" t="inlineStr">
        <is>
          <t>Fase 32</t>
        </is>
      </c>
      <c r="C485" s="38" t="inlineStr">
        <is>
          <t>Benguela</t>
        </is>
      </c>
      <c r="D485" s="39" t="inlineStr">
        <is>
          <t>A_C_F_32_P6</t>
        </is>
      </c>
      <c r="E485" s="40" t="n"/>
      <c r="F485" s="39" t="inlineStr">
        <is>
          <t>B_C_F_32_P6</t>
        </is>
      </c>
      <c r="G485" s="40" t="n"/>
      <c r="H485" s="41" t="n"/>
      <c r="I485" s="42">
        <f>IF($H485="","",MAX(0,$H485-N($E485)))</f>
        <v/>
      </c>
      <c r="J485" s="42">
        <f>IF($H485="","",MAX(0,$H485-N($G485)))</f>
        <v/>
      </c>
    </row>
    <row r="486" ht="19.5" customHeight="1" s="72">
      <c r="A486" s="38" t="inlineStr">
        <is>
          <t>CF-32-P06-SBA</t>
        </is>
      </c>
      <c r="B486" s="38" t="inlineStr">
        <is>
          <t>Fase 32</t>
        </is>
      </c>
      <c r="C486" s="38" t="inlineStr">
        <is>
          <t>São Bento da Abadá</t>
        </is>
      </c>
      <c r="D486" s="39" t="inlineStr">
        <is>
          <t>A_C_F_32_P6</t>
        </is>
      </c>
      <c r="E486" s="40" t="n"/>
      <c r="F486" s="39" t="inlineStr">
        <is>
          <t>B_C_F_32_P6</t>
        </is>
      </c>
      <c r="G486" s="40" t="n"/>
      <c r="H486" s="41" t="n"/>
      <c r="I486" s="42">
        <f>IF($H486="","",MAX(0,$H486-N($E486)))</f>
        <v/>
      </c>
      <c r="J486" s="42">
        <f>IF($H486="","",MAX(0,$H486-N($G486)))</f>
        <v/>
      </c>
    </row>
    <row r="487" ht="19.5" customHeight="1" s="72">
      <c r="A487" s="38" t="inlineStr">
        <is>
          <t>CF-32-P06-SIR</t>
        </is>
      </c>
      <c r="B487" s="38" t="inlineStr">
        <is>
          <t>Fase 32</t>
        </is>
      </c>
      <c r="C487" s="38" t="inlineStr">
        <is>
          <t>Siriuna</t>
        </is>
      </c>
      <c r="D487" s="39" t="inlineStr">
        <is>
          <t>A_C_F_32_P6</t>
        </is>
      </c>
      <c r="E487" s="40" t="n"/>
      <c r="F487" s="39" t="inlineStr">
        <is>
          <t>B_C_F_32_P6</t>
        </is>
      </c>
      <c r="G487" s="40" t="n"/>
      <c r="H487" s="41" t="n"/>
      <c r="I487" s="42">
        <f>IF($H487="","",MAX(0,$H487-N($E487)))</f>
        <v/>
      </c>
      <c r="J487" s="42">
        <f>IF($H487="","",MAX(0,$H487-N($G487)))</f>
        <v/>
      </c>
    </row>
    <row r="488" ht="19.5" customHeight="1" s="72">
      <c r="A488" s="38" t="inlineStr">
        <is>
          <t>CF-32-P07-BEN</t>
        </is>
      </c>
      <c r="B488" s="38" t="inlineStr">
        <is>
          <t>Fase 32</t>
        </is>
      </c>
      <c r="C488" s="38" t="inlineStr">
        <is>
          <t>Benguela</t>
        </is>
      </c>
      <c r="D488" s="39" t="inlineStr">
        <is>
          <t>A_C_F_32_P7</t>
        </is>
      </c>
      <c r="E488" s="40" t="n"/>
      <c r="F488" s="39" t="inlineStr">
        <is>
          <t>B_C_F_32_P7</t>
        </is>
      </c>
      <c r="G488" s="40" t="n"/>
      <c r="H488" s="41" t="n"/>
      <c r="I488" s="42">
        <f>IF($H488="","",MAX(0,$H488-N($E488)))</f>
        <v/>
      </c>
      <c r="J488" s="42">
        <f>IF($H488="","",MAX(0,$H488-N($G488)))</f>
        <v/>
      </c>
    </row>
    <row r="489" ht="19.5" customHeight="1" s="72">
      <c r="A489" s="38" t="inlineStr">
        <is>
          <t>CF-32-P07-SBA</t>
        </is>
      </c>
      <c r="B489" s="38" t="inlineStr">
        <is>
          <t>Fase 32</t>
        </is>
      </c>
      <c r="C489" s="38" t="inlineStr">
        <is>
          <t>São Bento da Abadá</t>
        </is>
      </c>
      <c r="D489" s="39" t="inlineStr">
        <is>
          <t>A_C_F_32_P7</t>
        </is>
      </c>
      <c r="E489" s="40" t="n"/>
      <c r="F489" s="39" t="inlineStr">
        <is>
          <t>B_C_F_32_P7</t>
        </is>
      </c>
      <c r="G489" s="40" t="n"/>
      <c r="H489" s="41" t="n"/>
      <c r="I489" s="42">
        <f>IF($H489="","",MAX(0,$H489-N($E489)))</f>
        <v/>
      </c>
      <c r="J489" s="42">
        <f>IF($H489="","",MAX(0,$H489-N($G489)))</f>
        <v/>
      </c>
    </row>
    <row r="490" ht="19.5" customHeight="1" s="72">
      <c r="A490" s="38" t="inlineStr">
        <is>
          <t>CF-32-P07-SIR</t>
        </is>
      </c>
      <c r="B490" s="38" t="inlineStr">
        <is>
          <t>Fase 32</t>
        </is>
      </c>
      <c r="C490" s="38" t="inlineStr">
        <is>
          <t>Siriuna</t>
        </is>
      </c>
      <c r="D490" s="39" t="inlineStr">
        <is>
          <t>A_C_F_32_P7</t>
        </is>
      </c>
      <c r="E490" s="40" t="n"/>
      <c r="F490" s="39" t="inlineStr">
        <is>
          <t>B_C_F_32_P7</t>
        </is>
      </c>
      <c r="G490" s="40" t="n"/>
      <c r="H490" s="41" t="n"/>
      <c r="I490" s="42">
        <f>IF($H490="","",MAX(0,$H490-N($E490)))</f>
        <v/>
      </c>
      <c r="J490" s="42">
        <f>IF($H490="","",MAX(0,$H490-N($G490)))</f>
        <v/>
      </c>
    </row>
    <row r="491" ht="19.5" customHeight="1" s="72">
      <c r="A491" s="38" t="inlineStr">
        <is>
          <t>CF-32-P08-BEN</t>
        </is>
      </c>
      <c r="B491" s="38" t="inlineStr">
        <is>
          <t>Fase 32</t>
        </is>
      </c>
      <c r="C491" s="38" t="inlineStr">
        <is>
          <t>Benguela</t>
        </is>
      </c>
      <c r="D491" s="39" t="inlineStr">
        <is>
          <t>A_C_F_32_P8</t>
        </is>
      </c>
      <c r="E491" s="40" t="n"/>
      <c r="F491" s="39" t="inlineStr">
        <is>
          <t>B_C_F_32_P8</t>
        </is>
      </c>
      <c r="G491" s="40" t="n"/>
      <c r="H491" s="41" t="n"/>
      <c r="I491" s="42">
        <f>IF($H491="","",MAX(0,$H491-N($E491)))</f>
        <v/>
      </c>
      <c r="J491" s="42">
        <f>IF($H491="","",MAX(0,$H491-N($G491)))</f>
        <v/>
      </c>
    </row>
    <row r="492" ht="19.5" customHeight="1" s="72">
      <c r="A492" s="38" t="inlineStr">
        <is>
          <t>CF-32-P08-SBA</t>
        </is>
      </c>
      <c r="B492" s="38" t="inlineStr">
        <is>
          <t>Fase 32</t>
        </is>
      </c>
      <c r="C492" s="38" t="inlineStr">
        <is>
          <t>São Bento da Abadá</t>
        </is>
      </c>
      <c r="D492" s="39" t="inlineStr">
        <is>
          <t>A_C_F_32_P8</t>
        </is>
      </c>
      <c r="E492" s="40" t="n"/>
      <c r="F492" s="39" t="inlineStr">
        <is>
          <t>B_C_F_32_P8</t>
        </is>
      </c>
      <c r="G492" s="40" t="n"/>
      <c r="H492" s="41" t="n"/>
      <c r="I492" s="42">
        <f>IF($H492="","",MAX(0,$H492-N($E492)))</f>
        <v/>
      </c>
      <c r="J492" s="42">
        <f>IF($H492="","",MAX(0,$H492-N($G492)))</f>
        <v/>
      </c>
    </row>
    <row r="493" ht="19.5" customHeight="1" s="72">
      <c r="A493" s="38" t="inlineStr">
        <is>
          <t>CF-32-P08-SIR</t>
        </is>
      </c>
      <c r="B493" s="38" t="inlineStr">
        <is>
          <t>Fase 32</t>
        </is>
      </c>
      <c r="C493" s="38" t="inlineStr">
        <is>
          <t>Siriuna</t>
        </is>
      </c>
      <c r="D493" s="39" t="inlineStr">
        <is>
          <t>A_C_F_32_P8</t>
        </is>
      </c>
      <c r="E493" s="40" t="n"/>
      <c r="F493" s="39" t="inlineStr">
        <is>
          <t>B_C_F_32_P8</t>
        </is>
      </c>
      <c r="G493" s="40" t="n"/>
      <c r="H493" s="41" t="n"/>
      <c r="I493" s="42">
        <f>IF($H493="","",MAX(0,$H493-N($E493)))</f>
        <v/>
      </c>
      <c r="J493" s="42">
        <f>IF($H493="","",MAX(0,$H493-N($G493)))</f>
        <v/>
      </c>
    </row>
    <row r="494" ht="19.5" customHeight="1" s="72">
      <c r="A494" s="38" t="inlineStr">
        <is>
          <t>CF-32-P09-BEN</t>
        </is>
      </c>
      <c r="B494" s="38" t="inlineStr">
        <is>
          <t>Fase 32</t>
        </is>
      </c>
      <c r="C494" s="38" t="inlineStr">
        <is>
          <t>Benguela</t>
        </is>
      </c>
      <c r="D494" s="39" t="inlineStr">
        <is>
          <t>A_C_F_32_P9</t>
        </is>
      </c>
      <c r="E494" s="40" t="n"/>
      <c r="F494" s="39" t="inlineStr">
        <is>
          <t>B_C_F_32_P9</t>
        </is>
      </c>
      <c r="G494" s="40" t="n"/>
      <c r="H494" s="41" t="n"/>
      <c r="I494" s="42">
        <f>IF($H494="","",MAX(0,$H494-N($E494)))</f>
        <v/>
      </c>
      <c r="J494" s="42">
        <f>IF($H494="","",MAX(0,$H494-N($G494)))</f>
        <v/>
      </c>
    </row>
    <row r="495" ht="19.5" customHeight="1" s="72">
      <c r="A495" s="38" t="inlineStr">
        <is>
          <t>CF-32-P09-SBA</t>
        </is>
      </c>
      <c r="B495" s="38" t="inlineStr">
        <is>
          <t>Fase 32</t>
        </is>
      </c>
      <c r="C495" s="38" t="inlineStr">
        <is>
          <t>São Bento da Abadá</t>
        </is>
      </c>
      <c r="D495" s="39" t="inlineStr">
        <is>
          <t>A_C_F_32_P9</t>
        </is>
      </c>
      <c r="E495" s="40" t="n"/>
      <c r="F495" s="39" t="inlineStr">
        <is>
          <t>B_C_F_32_P9</t>
        </is>
      </c>
      <c r="G495" s="40" t="n"/>
      <c r="H495" s="41" t="n"/>
      <c r="I495" s="42">
        <f>IF($H495="","",MAX(0,$H495-N($E495)))</f>
        <v/>
      </c>
      <c r="J495" s="42">
        <f>IF($H495="","",MAX(0,$H495-N($G495)))</f>
        <v/>
      </c>
    </row>
    <row r="496" ht="19.5" customHeight="1" s="72">
      <c r="A496" s="38" t="inlineStr">
        <is>
          <t>CF-32-P09-SIR</t>
        </is>
      </c>
      <c r="B496" s="38" t="inlineStr">
        <is>
          <t>Fase 32</t>
        </is>
      </c>
      <c r="C496" s="38" t="inlineStr">
        <is>
          <t>Siriuna</t>
        </is>
      </c>
      <c r="D496" s="39" t="inlineStr">
        <is>
          <t>A_C_F_32_P9</t>
        </is>
      </c>
      <c r="E496" s="40" t="n"/>
      <c r="F496" s="39" t="inlineStr">
        <is>
          <t>B_C_F_32_P9</t>
        </is>
      </c>
      <c r="G496" s="40" t="n"/>
      <c r="H496" s="41" t="n"/>
      <c r="I496" s="42">
        <f>IF($H496="","",MAX(0,$H496-N($E496)))</f>
        <v/>
      </c>
      <c r="J496" s="42">
        <f>IF($H496="","",MAX(0,$H496-N($G496)))</f>
        <v/>
      </c>
    </row>
    <row r="497" ht="19.5" customHeight="1" s="72">
      <c r="A497" s="38" t="inlineStr">
        <is>
          <t>CF-32-P10-BEN</t>
        </is>
      </c>
      <c r="B497" s="38" t="inlineStr">
        <is>
          <t>Fase 32</t>
        </is>
      </c>
      <c r="C497" s="38" t="inlineStr">
        <is>
          <t>Benguela</t>
        </is>
      </c>
      <c r="D497" s="39" t="inlineStr">
        <is>
          <t>A_C_F_32_P10</t>
        </is>
      </c>
      <c r="E497" s="40" t="n"/>
      <c r="F497" s="39" t="inlineStr">
        <is>
          <t>B_C_F_32_P10</t>
        </is>
      </c>
      <c r="G497" s="40" t="n"/>
      <c r="H497" s="41" t="n"/>
      <c r="I497" s="42">
        <f>IF($H497="","",MAX(0,$H497-N($E497)))</f>
        <v/>
      </c>
      <c r="J497" s="42">
        <f>IF($H497="","",MAX(0,$H497-N($G497)))</f>
        <v/>
      </c>
    </row>
    <row r="498" ht="19.5" customHeight="1" s="72">
      <c r="A498" s="38" t="inlineStr">
        <is>
          <t>CF-32-P10-SBA</t>
        </is>
      </c>
      <c r="B498" s="38" t="inlineStr">
        <is>
          <t>Fase 32</t>
        </is>
      </c>
      <c r="C498" s="38" t="inlineStr">
        <is>
          <t>São Bento da Abadá</t>
        </is>
      </c>
      <c r="D498" s="39" t="inlineStr">
        <is>
          <t>A_C_F_32_P10</t>
        </is>
      </c>
      <c r="E498" s="40" t="n"/>
      <c r="F498" s="39" t="inlineStr">
        <is>
          <t>B_C_F_32_P10</t>
        </is>
      </c>
      <c r="G498" s="40" t="n"/>
      <c r="H498" s="41" t="n"/>
      <c r="I498" s="42">
        <f>IF($H498="","",MAX(0,$H498-N($E498)))</f>
        <v/>
      </c>
      <c r="J498" s="42">
        <f>IF($H498="","",MAX(0,$H498-N($G498)))</f>
        <v/>
      </c>
    </row>
    <row r="499" ht="19.5" customHeight="1" s="72">
      <c r="A499" s="38" t="inlineStr">
        <is>
          <t>CF-32-P10-SIR</t>
        </is>
      </c>
      <c r="B499" s="38" t="inlineStr">
        <is>
          <t>Fase 32</t>
        </is>
      </c>
      <c r="C499" s="38" t="inlineStr">
        <is>
          <t>Siriuna</t>
        </is>
      </c>
      <c r="D499" s="39" t="inlineStr">
        <is>
          <t>A_C_F_32_P10</t>
        </is>
      </c>
      <c r="E499" s="40" t="n"/>
      <c r="F499" s="39" t="inlineStr">
        <is>
          <t>B_C_F_32_P10</t>
        </is>
      </c>
      <c r="G499" s="40" t="n"/>
      <c r="H499" s="41" t="n"/>
      <c r="I499" s="42">
        <f>IF($H499="","",MAX(0,$H499-N($E499)))</f>
        <v/>
      </c>
      <c r="J499" s="42">
        <f>IF($H499="","",MAX(0,$H499-N($G499)))</f>
        <v/>
      </c>
    </row>
    <row r="500" ht="19.5" customHeight="1" s="72">
      <c r="A500" s="38" t="inlineStr">
        <is>
          <t>CF-32-P11-BEN</t>
        </is>
      </c>
      <c r="B500" s="38" t="inlineStr">
        <is>
          <t>Fase 32</t>
        </is>
      </c>
      <c r="C500" s="38" t="inlineStr">
        <is>
          <t>Benguela</t>
        </is>
      </c>
      <c r="D500" s="39" t="inlineStr">
        <is>
          <t>A_C_F_32_P11</t>
        </is>
      </c>
      <c r="E500" s="40" t="n"/>
      <c r="F500" s="39" t="inlineStr">
        <is>
          <t>B_C_F_32_P11</t>
        </is>
      </c>
      <c r="G500" s="40" t="n"/>
      <c r="H500" s="41" t="n"/>
      <c r="I500" s="42">
        <f>IF($H500="","",MAX(0,$H500-N($E500)))</f>
        <v/>
      </c>
      <c r="J500" s="42">
        <f>IF($H500="","",MAX(0,$H500-N($G500)))</f>
        <v/>
      </c>
    </row>
    <row r="501" ht="19.5" customHeight="1" s="72">
      <c r="A501" s="38" t="inlineStr">
        <is>
          <t>CF-32-P11-SBA</t>
        </is>
      </c>
      <c r="B501" s="38" t="inlineStr">
        <is>
          <t>Fase 32</t>
        </is>
      </c>
      <c r="C501" s="38" t="inlineStr">
        <is>
          <t>São Bento da Abadá</t>
        </is>
      </c>
      <c r="D501" s="39" t="inlineStr">
        <is>
          <t>A_C_F_32_P11</t>
        </is>
      </c>
      <c r="E501" s="40" t="n"/>
      <c r="F501" s="39" t="inlineStr">
        <is>
          <t>B_C_F_32_P11</t>
        </is>
      </c>
      <c r="G501" s="40" t="n"/>
      <c r="H501" s="41" t="n"/>
      <c r="I501" s="42">
        <f>IF($H501="","",MAX(0,$H501-N($E501)))</f>
        <v/>
      </c>
      <c r="J501" s="42">
        <f>IF($H501="","",MAX(0,$H501-N($G501)))</f>
        <v/>
      </c>
    </row>
    <row r="502" ht="19.5" customHeight="1" s="72">
      <c r="A502" s="38" t="inlineStr">
        <is>
          <t>CF-32-P11-SIR</t>
        </is>
      </c>
      <c r="B502" s="38" t="inlineStr">
        <is>
          <t>Fase 32</t>
        </is>
      </c>
      <c r="C502" s="38" t="inlineStr">
        <is>
          <t>Siriuna</t>
        </is>
      </c>
      <c r="D502" s="39" t="inlineStr">
        <is>
          <t>A_C_F_32_P11</t>
        </is>
      </c>
      <c r="E502" s="40" t="n"/>
      <c r="F502" s="39" t="inlineStr">
        <is>
          <t>B_C_F_32_P11</t>
        </is>
      </c>
      <c r="G502" s="40" t="n"/>
      <c r="H502" s="41" t="n"/>
      <c r="I502" s="42">
        <f>IF($H502="","",MAX(0,$H502-N($E502)))</f>
        <v/>
      </c>
      <c r="J502" s="42">
        <f>IF($H502="","",MAX(0,$H502-N($G502)))</f>
        <v/>
      </c>
    </row>
    <row r="503" ht="19.5" customHeight="1" s="72">
      <c r="A503" s="38" t="inlineStr">
        <is>
          <t>CF-32-P12-BEN</t>
        </is>
      </c>
      <c r="B503" s="38" t="inlineStr">
        <is>
          <t>Fase 32</t>
        </is>
      </c>
      <c r="C503" s="38" t="inlineStr">
        <is>
          <t>Benguela</t>
        </is>
      </c>
      <c r="D503" s="39" t="inlineStr">
        <is>
          <t>A_C_F_32_P12</t>
        </is>
      </c>
      <c r="E503" s="40" t="n"/>
      <c r="F503" s="39" t="inlineStr">
        <is>
          <t>B_C_F_32_P12</t>
        </is>
      </c>
      <c r="G503" s="40" t="n"/>
      <c r="H503" s="41" t="n"/>
      <c r="I503" s="42">
        <f>IF($H503="","",MAX(0,$H503-N($E503)))</f>
        <v/>
      </c>
      <c r="J503" s="42">
        <f>IF($H503="","",MAX(0,$H503-N($G503)))</f>
        <v/>
      </c>
    </row>
    <row r="504" ht="19.5" customHeight="1" s="72">
      <c r="A504" s="38" t="inlineStr">
        <is>
          <t>CF-32-P12-SBA</t>
        </is>
      </c>
      <c r="B504" s="38" t="inlineStr">
        <is>
          <t>Fase 32</t>
        </is>
      </c>
      <c r="C504" s="38" t="inlineStr">
        <is>
          <t>São Bento da Abadá</t>
        </is>
      </c>
      <c r="D504" s="39" t="inlineStr">
        <is>
          <t>A_C_F_32_P12</t>
        </is>
      </c>
      <c r="E504" s="40" t="n"/>
      <c r="F504" s="39" t="inlineStr">
        <is>
          <t>B_C_F_32_P12</t>
        </is>
      </c>
      <c r="G504" s="40" t="n"/>
      <c r="H504" s="41" t="n"/>
      <c r="I504" s="42">
        <f>IF($H504="","",MAX(0,$H504-N($E504)))</f>
        <v/>
      </c>
      <c r="J504" s="42">
        <f>IF($H504="","",MAX(0,$H504-N($G504)))</f>
        <v/>
      </c>
    </row>
    <row r="505" ht="19.5" customHeight="1" s="72">
      <c r="A505" s="38" t="inlineStr">
        <is>
          <t>CF-32-P12-SIR</t>
        </is>
      </c>
      <c r="B505" s="38" t="inlineStr">
        <is>
          <t>Fase 32</t>
        </is>
      </c>
      <c r="C505" s="38" t="inlineStr">
        <is>
          <t>Siriuna</t>
        </is>
      </c>
      <c r="D505" s="39" t="inlineStr">
        <is>
          <t>A_C_F_32_P12</t>
        </is>
      </c>
      <c r="E505" s="40" t="n"/>
      <c r="F505" s="39" t="inlineStr">
        <is>
          <t>B_C_F_32_P12</t>
        </is>
      </c>
      <c r="G505" s="40" t="n"/>
      <c r="H505" s="41" t="n"/>
      <c r="I505" s="42">
        <f>IF($H505="","",MAX(0,$H505-N($E505)))</f>
        <v/>
      </c>
      <c r="J505" s="42">
        <f>IF($H505="","",MAX(0,$H505-N($G505)))</f>
        <v/>
      </c>
    </row>
    <row r="506" ht="19.5" customHeight="1" s="72">
      <c r="A506" s="38" t="inlineStr">
        <is>
          <t>CF-32-P13-BEN</t>
        </is>
      </c>
      <c r="B506" s="38" t="inlineStr">
        <is>
          <t>Fase 32</t>
        </is>
      </c>
      <c r="C506" s="38" t="inlineStr">
        <is>
          <t>Benguela</t>
        </is>
      </c>
      <c r="D506" s="39" t="inlineStr">
        <is>
          <t>A_C_F_32_P13</t>
        </is>
      </c>
      <c r="E506" s="40" t="n"/>
      <c r="F506" s="39" t="inlineStr">
        <is>
          <t>B_C_F_32_P13</t>
        </is>
      </c>
      <c r="G506" s="40" t="n"/>
      <c r="H506" s="41" t="n"/>
      <c r="I506" s="42">
        <f>IF($H506="","",MAX(0,$H506-N($E506)))</f>
        <v/>
      </c>
      <c r="J506" s="42">
        <f>IF($H506="","",MAX(0,$H506-N($G506)))</f>
        <v/>
      </c>
    </row>
    <row r="507" ht="19.5" customHeight="1" s="72">
      <c r="A507" s="38" t="inlineStr">
        <is>
          <t>CF-32-P13-SBA</t>
        </is>
      </c>
      <c r="B507" s="38" t="inlineStr">
        <is>
          <t>Fase 32</t>
        </is>
      </c>
      <c r="C507" s="38" t="inlineStr">
        <is>
          <t>São Bento da Abadá</t>
        </is>
      </c>
      <c r="D507" s="39" t="inlineStr">
        <is>
          <t>A_C_F_32_P13</t>
        </is>
      </c>
      <c r="E507" s="40" t="n"/>
      <c r="F507" s="39" t="inlineStr">
        <is>
          <t>B_C_F_32_P13</t>
        </is>
      </c>
      <c r="G507" s="40" t="n"/>
      <c r="H507" s="41" t="n"/>
      <c r="I507" s="42">
        <f>IF($H507="","",MAX(0,$H507-N($E507)))</f>
        <v/>
      </c>
      <c r="J507" s="42">
        <f>IF($H507="","",MAX(0,$H507-N($G507)))</f>
        <v/>
      </c>
    </row>
    <row r="508" ht="19.5" customHeight="1" s="72">
      <c r="A508" s="38" t="inlineStr">
        <is>
          <t>CF-32-P13-SIR</t>
        </is>
      </c>
      <c r="B508" s="38" t="inlineStr">
        <is>
          <t>Fase 32</t>
        </is>
      </c>
      <c r="C508" s="38" t="inlineStr">
        <is>
          <t>Siriuna</t>
        </is>
      </c>
      <c r="D508" s="39" t="inlineStr">
        <is>
          <t>A_C_F_32_P13</t>
        </is>
      </c>
      <c r="E508" s="40" t="n"/>
      <c r="F508" s="39" t="inlineStr">
        <is>
          <t>B_C_F_32_P13</t>
        </is>
      </c>
      <c r="G508" s="40" t="n"/>
      <c r="H508" s="41" t="n"/>
      <c r="I508" s="42">
        <f>IF($H508="","",MAX(0,$H508-N($E508)))</f>
        <v/>
      </c>
      <c r="J508" s="42">
        <f>IF($H508="","",MAX(0,$H508-N($G508)))</f>
        <v/>
      </c>
    </row>
    <row r="509" ht="19.5" customHeight="1" s="72">
      <c r="A509" s="38" t="inlineStr">
        <is>
          <t>CF-32-P14-BEN</t>
        </is>
      </c>
      <c r="B509" s="38" t="inlineStr">
        <is>
          <t>Fase 32</t>
        </is>
      </c>
      <c r="C509" s="38" t="inlineStr">
        <is>
          <t>Benguela</t>
        </is>
      </c>
      <c r="D509" s="39" t="inlineStr">
        <is>
          <t>A_C_F_32_P14</t>
        </is>
      </c>
      <c r="E509" s="40" t="n"/>
      <c r="F509" s="39" t="inlineStr">
        <is>
          <t>B_C_F_32_P14</t>
        </is>
      </c>
      <c r="G509" s="40" t="n"/>
      <c r="H509" s="41" t="n"/>
      <c r="I509" s="42">
        <f>IF($H509="","",MAX(0,$H509-N($E509)))</f>
        <v/>
      </c>
      <c r="J509" s="42">
        <f>IF($H509="","",MAX(0,$H509-N($G509)))</f>
        <v/>
      </c>
    </row>
    <row r="510" ht="19.5" customHeight="1" s="72">
      <c r="A510" s="38" t="inlineStr">
        <is>
          <t>CF-32-P14-SBA</t>
        </is>
      </c>
      <c r="B510" s="38" t="inlineStr">
        <is>
          <t>Fase 32</t>
        </is>
      </c>
      <c r="C510" s="38" t="inlineStr">
        <is>
          <t>São Bento da Abadá</t>
        </is>
      </c>
      <c r="D510" s="39" t="inlineStr">
        <is>
          <t>A_C_F_32_P14</t>
        </is>
      </c>
      <c r="E510" s="40" t="n"/>
      <c r="F510" s="39" t="inlineStr">
        <is>
          <t>B_C_F_32_P14</t>
        </is>
      </c>
      <c r="G510" s="40" t="n"/>
      <c r="H510" s="41" t="n"/>
      <c r="I510" s="42">
        <f>IF($H510="","",MAX(0,$H510-N($E510)))</f>
        <v/>
      </c>
      <c r="J510" s="42">
        <f>IF($H510="","",MAX(0,$H510-N($G510)))</f>
        <v/>
      </c>
    </row>
    <row r="511" ht="19.5" customHeight="1" s="72">
      <c r="A511" s="38" t="inlineStr">
        <is>
          <t>CF-32-P14-SIR</t>
        </is>
      </c>
      <c r="B511" s="38" t="inlineStr">
        <is>
          <t>Fase 32</t>
        </is>
      </c>
      <c r="C511" s="38" t="inlineStr">
        <is>
          <t>Siriuna</t>
        </is>
      </c>
      <c r="D511" s="39" t="inlineStr">
        <is>
          <t>A_C_F_32_P14</t>
        </is>
      </c>
      <c r="E511" s="40" t="n"/>
      <c r="F511" s="39" t="inlineStr">
        <is>
          <t>B_C_F_32_P14</t>
        </is>
      </c>
      <c r="G511" s="40" t="n"/>
      <c r="H511" s="41" t="n"/>
      <c r="I511" s="42">
        <f>IF($H511="","",MAX(0,$H511-N($E511)))</f>
        <v/>
      </c>
      <c r="J511" s="42">
        <f>IF($H511="","",MAX(0,$H511-N($G511)))</f>
        <v/>
      </c>
    </row>
    <row r="512" ht="19.5" customHeight="1" s="72">
      <c r="A512" s="38" t="inlineStr">
        <is>
          <t>CF-32-P15-BEN</t>
        </is>
      </c>
      <c r="B512" s="38" t="inlineStr">
        <is>
          <t>Fase 32</t>
        </is>
      </c>
      <c r="C512" s="38" t="inlineStr">
        <is>
          <t>Benguela</t>
        </is>
      </c>
      <c r="D512" s="39" t="inlineStr">
        <is>
          <t>A_C_F_32_P15</t>
        </is>
      </c>
      <c r="E512" s="40" t="n"/>
      <c r="F512" s="39" t="inlineStr">
        <is>
          <t>B_C_F_32_P15</t>
        </is>
      </c>
      <c r="G512" s="40" t="n"/>
      <c r="H512" s="41" t="n"/>
      <c r="I512" s="42">
        <f>IF($H512="","",MAX(0,$H512-N($E512)))</f>
        <v/>
      </c>
      <c r="J512" s="42">
        <f>IF($H512="","",MAX(0,$H512-N($G512)))</f>
        <v/>
      </c>
    </row>
    <row r="513" ht="19.5" customHeight="1" s="72">
      <c r="A513" s="38" t="inlineStr">
        <is>
          <t>CF-32-P15-SBA</t>
        </is>
      </c>
      <c r="B513" s="38" t="inlineStr">
        <is>
          <t>Fase 32</t>
        </is>
      </c>
      <c r="C513" s="38" t="inlineStr">
        <is>
          <t>São Bento da Abadá</t>
        </is>
      </c>
      <c r="D513" s="39" t="inlineStr">
        <is>
          <t>A_C_F_32_P15</t>
        </is>
      </c>
      <c r="E513" s="40" t="n"/>
      <c r="F513" s="39" t="inlineStr">
        <is>
          <t>B_C_F_32_P15</t>
        </is>
      </c>
      <c r="G513" s="40" t="n"/>
      <c r="H513" s="41" t="n"/>
      <c r="I513" s="42">
        <f>IF($H513="","",MAX(0,$H513-N($E513)))</f>
        <v/>
      </c>
      <c r="J513" s="42">
        <f>IF($H513="","",MAX(0,$H513-N($G513)))</f>
        <v/>
      </c>
    </row>
    <row r="514" ht="19.5" customHeight="1" s="72">
      <c r="A514" s="38" t="inlineStr">
        <is>
          <t>CF-32-P15-SIR</t>
        </is>
      </c>
      <c r="B514" s="38" t="inlineStr">
        <is>
          <t>Fase 32</t>
        </is>
      </c>
      <c r="C514" s="38" t="inlineStr">
        <is>
          <t>Siriuna</t>
        </is>
      </c>
      <c r="D514" s="39" t="inlineStr">
        <is>
          <t>A_C_F_32_P15</t>
        </is>
      </c>
      <c r="E514" s="40" t="n"/>
      <c r="F514" s="39" t="inlineStr">
        <is>
          <t>B_C_F_32_P15</t>
        </is>
      </c>
      <c r="G514" s="40" t="n"/>
      <c r="H514" s="41" t="n"/>
      <c r="I514" s="42">
        <f>IF($H514="","",MAX(0,$H514-N($E514)))</f>
        <v/>
      </c>
      <c r="J514" s="42">
        <f>IF($H514="","",MAX(0,$H514-N($G514)))</f>
        <v/>
      </c>
    </row>
    <row r="515" ht="19.5" customHeight="1" s="72">
      <c r="A515" s="38" t="inlineStr">
        <is>
          <t>CF-32-P16-BEN</t>
        </is>
      </c>
      <c r="B515" s="38" t="inlineStr">
        <is>
          <t>Fase 32</t>
        </is>
      </c>
      <c r="C515" s="38" t="inlineStr">
        <is>
          <t>Benguela</t>
        </is>
      </c>
      <c r="D515" s="39" t="inlineStr">
        <is>
          <t>A_C_F_32_P16</t>
        </is>
      </c>
      <c r="E515" s="40" t="n"/>
      <c r="F515" s="39" t="inlineStr">
        <is>
          <t>B_C_F_32_P16</t>
        </is>
      </c>
      <c r="G515" s="40" t="n"/>
      <c r="H515" s="41" t="n"/>
      <c r="I515" s="42">
        <f>IF($H515="","",MAX(0,$H515-N($E515)))</f>
        <v/>
      </c>
      <c r="J515" s="42">
        <f>IF($H515="","",MAX(0,$H515-N($G515)))</f>
        <v/>
      </c>
    </row>
    <row r="516" ht="19.5" customHeight="1" s="72">
      <c r="A516" s="38" t="inlineStr">
        <is>
          <t>CF-32-P16-SBA</t>
        </is>
      </c>
      <c r="B516" s="38" t="inlineStr">
        <is>
          <t>Fase 32</t>
        </is>
      </c>
      <c r="C516" s="38" t="inlineStr">
        <is>
          <t>São Bento da Abadá</t>
        </is>
      </c>
      <c r="D516" s="39" t="inlineStr">
        <is>
          <t>A_C_F_32_P16</t>
        </is>
      </c>
      <c r="E516" s="40" t="n"/>
      <c r="F516" s="39" t="inlineStr">
        <is>
          <t>B_C_F_32_P16</t>
        </is>
      </c>
      <c r="G516" s="40" t="n"/>
      <c r="H516" s="41" t="n"/>
      <c r="I516" s="42">
        <f>IF($H516="","",MAX(0,$H516-N($E516)))</f>
        <v/>
      </c>
      <c r="J516" s="42">
        <f>IF($H516="","",MAX(0,$H516-N($G516)))</f>
        <v/>
      </c>
    </row>
    <row r="517" ht="19.5" customHeight="1" s="72">
      <c r="A517" s="38" t="inlineStr">
        <is>
          <t>CF-32-P16-SIR</t>
        </is>
      </c>
      <c r="B517" s="38" t="inlineStr">
        <is>
          <t>Fase 32</t>
        </is>
      </c>
      <c r="C517" s="38" t="inlineStr">
        <is>
          <t>Siriuna</t>
        </is>
      </c>
      <c r="D517" s="39" t="inlineStr">
        <is>
          <t>A_C_F_32_P16</t>
        </is>
      </c>
      <c r="E517" s="40" t="n"/>
      <c r="F517" s="39" t="inlineStr">
        <is>
          <t>B_C_F_32_P16</t>
        </is>
      </c>
      <c r="G517" s="40" t="n"/>
      <c r="H517" s="41" t="n"/>
      <c r="I517" s="42">
        <f>IF($H517="","",MAX(0,$H517-N($E517)))</f>
        <v/>
      </c>
      <c r="J517" s="42">
        <f>IF($H517="","",MAX(0,$H517-N($G517)))</f>
        <v/>
      </c>
    </row>
    <row r="518" ht="19.5" customHeight="1" s="72">
      <c r="A518" s="38" t="inlineStr">
        <is>
          <t>CF-OCT-P01-BEN</t>
        </is>
      </c>
      <c r="B518" s="38" t="inlineStr">
        <is>
          <t>Octavas</t>
        </is>
      </c>
      <c r="C518" s="38" t="inlineStr">
        <is>
          <t>Benguela</t>
        </is>
      </c>
      <c r="D518" s="39">
        <f>IFERROR(CLASIF_C_F!$F$5,"")</f>
        <v/>
      </c>
      <c r="E518" s="40" t="n"/>
      <c r="F518" s="39">
        <f>IFERROR(CLASIF_C_F!$F$20,"")</f>
        <v/>
      </c>
      <c r="G518" s="40" t="n"/>
      <c r="H518" s="41" t="n"/>
      <c r="I518" s="42">
        <f>IF($H518="","",MAX(0,$H518-N($E518)))</f>
        <v/>
      </c>
      <c r="J518" s="42">
        <f>IF($H518="","",MAX(0,$H518-N($G518)))</f>
        <v/>
      </c>
    </row>
    <row r="519" ht="19.5" customHeight="1" s="72">
      <c r="A519" s="38" t="inlineStr">
        <is>
          <t>CF-OCT-P01-SBA</t>
        </is>
      </c>
      <c r="B519" s="38" t="inlineStr">
        <is>
          <t>Octavas</t>
        </is>
      </c>
      <c r="C519" s="38" t="inlineStr">
        <is>
          <t>São Bento da Abadá</t>
        </is>
      </c>
      <c r="D519" s="39">
        <f>IFERROR(CLASIF_C_F!$F$5,"")</f>
        <v/>
      </c>
      <c r="E519" s="40" t="n"/>
      <c r="F519" s="39">
        <f>IFERROR(CLASIF_C_F!$F$20,"")</f>
        <v/>
      </c>
      <c r="G519" s="40" t="n"/>
      <c r="H519" s="41" t="n"/>
      <c r="I519" s="42">
        <f>IF($H519="","",MAX(0,$H519-N($E519)))</f>
        <v/>
      </c>
      <c r="J519" s="42">
        <f>IF($H519="","",MAX(0,$H519-N($G519)))</f>
        <v/>
      </c>
    </row>
    <row r="520" ht="19.5" customHeight="1" s="72">
      <c r="A520" s="38" t="inlineStr">
        <is>
          <t>CF-OCT-P01-SIR</t>
        </is>
      </c>
      <c r="B520" s="38" t="inlineStr">
        <is>
          <t>Octavas</t>
        </is>
      </c>
      <c r="C520" s="38" t="inlineStr">
        <is>
          <t>Siriuna</t>
        </is>
      </c>
      <c r="D520" s="39">
        <f>IFERROR(CLASIF_C_F!$F$5,"")</f>
        <v/>
      </c>
      <c r="E520" s="40" t="n"/>
      <c r="F520" s="39">
        <f>IFERROR(CLASIF_C_F!$F$20,"")</f>
        <v/>
      </c>
      <c r="G520" s="40" t="n"/>
      <c r="H520" s="41" t="n"/>
      <c r="I520" s="42">
        <f>IF($H520="","",MAX(0,$H520-N($E520)))</f>
        <v/>
      </c>
      <c r="J520" s="42">
        <f>IF($H520="","",MAX(0,$H520-N($G520)))</f>
        <v/>
      </c>
    </row>
    <row r="521" ht="19.5" customHeight="1" s="72">
      <c r="A521" s="38" t="inlineStr">
        <is>
          <t>CF-OCT-P02-BEN</t>
        </is>
      </c>
      <c r="B521" s="38" t="inlineStr">
        <is>
          <t>Octavas</t>
        </is>
      </c>
      <c r="C521" s="38" t="inlineStr">
        <is>
          <t>Benguela</t>
        </is>
      </c>
      <c r="D521" s="39">
        <f>IFERROR(CLASIF_C_F!$F$6,"")</f>
        <v/>
      </c>
      <c r="E521" s="40" t="n"/>
      <c r="F521" s="39">
        <f>IFERROR(CLASIF_C_F!$F$19,"")</f>
        <v/>
      </c>
      <c r="G521" s="40" t="n"/>
      <c r="H521" s="41" t="n"/>
      <c r="I521" s="42">
        <f>IF($H521="","",MAX(0,$H521-N($E521)))</f>
        <v/>
      </c>
      <c r="J521" s="42">
        <f>IF($H521="","",MAX(0,$H521-N($G521)))</f>
        <v/>
      </c>
    </row>
    <row r="522" ht="19.5" customHeight="1" s="72">
      <c r="A522" s="38" t="inlineStr">
        <is>
          <t>CF-OCT-P02-SBA</t>
        </is>
      </c>
      <c r="B522" s="38" t="inlineStr">
        <is>
          <t>Octavas</t>
        </is>
      </c>
      <c r="C522" s="38" t="inlineStr">
        <is>
          <t>São Bento da Abadá</t>
        </is>
      </c>
      <c r="D522" s="39">
        <f>IFERROR(CLASIF_C_F!$F$6,"")</f>
        <v/>
      </c>
      <c r="E522" s="40" t="n"/>
      <c r="F522" s="39">
        <f>IFERROR(CLASIF_C_F!$F$19,"")</f>
        <v/>
      </c>
      <c r="G522" s="40" t="n"/>
      <c r="H522" s="41" t="n"/>
      <c r="I522" s="42">
        <f>IF($H522="","",MAX(0,$H522-N($E522)))</f>
        <v/>
      </c>
      <c r="J522" s="42">
        <f>IF($H522="","",MAX(0,$H522-N($G522)))</f>
        <v/>
      </c>
    </row>
    <row r="523" ht="19.5" customHeight="1" s="72">
      <c r="A523" s="38" t="inlineStr">
        <is>
          <t>CF-OCT-P02-SIR</t>
        </is>
      </c>
      <c r="B523" s="38" t="inlineStr">
        <is>
          <t>Octavas</t>
        </is>
      </c>
      <c r="C523" s="38" t="inlineStr">
        <is>
          <t>Siriuna</t>
        </is>
      </c>
      <c r="D523" s="39">
        <f>IFERROR(CLASIF_C_F!$F$6,"")</f>
        <v/>
      </c>
      <c r="E523" s="40" t="n"/>
      <c r="F523" s="39">
        <f>IFERROR(CLASIF_C_F!$F$19,"")</f>
        <v/>
      </c>
      <c r="G523" s="40" t="n"/>
      <c r="H523" s="41" t="n"/>
      <c r="I523" s="42">
        <f>IF($H523="","",MAX(0,$H523-N($E523)))</f>
        <v/>
      </c>
      <c r="J523" s="42">
        <f>IF($H523="","",MAX(0,$H523-N($G523)))</f>
        <v/>
      </c>
    </row>
    <row r="524" ht="19.5" customHeight="1" s="72">
      <c r="A524" s="38" t="inlineStr">
        <is>
          <t>CF-OCT-P03-BEN</t>
        </is>
      </c>
      <c r="B524" s="38" t="inlineStr">
        <is>
          <t>Octavas</t>
        </is>
      </c>
      <c r="C524" s="38" t="inlineStr">
        <is>
          <t>Benguela</t>
        </is>
      </c>
      <c r="D524" s="39">
        <f>IFERROR(CLASIF_C_F!$F$7,"")</f>
        <v/>
      </c>
      <c r="E524" s="40" t="n"/>
      <c r="F524" s="39">
        <f>IFERROR(CLASIF_C_F!$F$18,"")</f>
        <v/>
      </c>
      <c r="G524" s="40" t="n"/>
      <c r="H524" s="41" t="n"/>
      <c r="I524" s="42">
        <f>IF($H524="","",MAX(0,$H524-N($E524)))</f>
        <v/>
      </c>
      <c r="J524" s="42">
        <f>IF($H524="","",MAX(0,$H524-N($G524)))</f>
        <v/>
      </c>
    </row>
    <row r="525" ht="19.5" customHeight="1" s="72">
      <c r="A525" s="38" t="inlineStr">
        <is>
          <t>CF-OCT-P03-SBA</t>
        </is>
      </c>
      <c r="B525" s="38" t="inlineStr">
        <is>
          <t>Octavas</t>
        </is>
      </c>
      <c r="C525" s="38" t="inlineStr">
        <is>
          <t>São Bento da Abadá</t>
        </is>
      </c>
      <c r="D525" s="39">
        <f>IFERROR(CLASIF_C_F!$F$7,"")</f>
        <v/>
      </c>
      <c r="E525" s="40" t="n"/>
      <c r="F525" s="39">
        <f>IFERROR(CLASIF_C_F!$F$18,"")</f>
        <v/>
      </c>
      <c r="G525" s="40" t="n"/>
      <c r="H525" s="41" t="n"/>
      <c r="I525" s="42">
        <f>IF($H525="","",MAX(0,$H525-N($E525)))</f>
        <v/>
      </c>
      <c r="J525" s="42">
        <f>IF($H525="","",MAX(0,$H525-N($G525)))</f>
        <v/>
      </c>
    </row>
    <row r="526" ht="19.5" customHeight="1" s="72">
      <c r="A526" s="38" t="inlineStr">
        <is>
          <t>CF-OCT-P03-SIR</t>
        </is>
      </c>
      <c r="B526" s="38" t="inlineStr">
        <is>
          <t>Octavas</t>
        </is>
      </c>
      <c r="C526" s="38" t="inlineStr">
        <is>
          <t>Siriuna</t>
        </is>
      </c>
      <c r="D526" s="39">
        <f>IFERROR(CLASIF_C_F!$F$7,"")</f>
        <v/>
      </c>
      <c r="E526" s="40" t="n"/>
      <c r="F526" s="39">
        <f>IFERROR(CLASIF_C_F!$F$18,"")</f>
        <v/>
      </c>
      <c r="G526" s="40" t="n"/>
      <c r="H526" s="41" t="n"/>
      <c r="I526" s="42">
        <f>IF($H526="","",MAX(0,$H526-N($E526)))</f>
        <v/>
      </c>
      <c r="J526" s="42">
        <f>IF($H526="","",MAX(0,$H526-N($G526)))</f>
        <v/>
      </c>
    </row>
    <row r="527" ht="19.5" customHeight="1" s="72">
      <c r="A527" s="38" t="inlineStr">
        <is>
          <t>CF-OCT-P04-BEN</t>
        </is>
      </c>
      <c r="B527" s="38" t="inlineStr">
        <is>
          <t>Octavas</t>
        </is>
      </c>
      <c r="C527" s="38" t="inlineStr">
        <is>
          <t>Benguela</t>
        </is>
      </c>
      <c r="D527" s="39">
        <f>IFERROR(CLASIF_C_F!$F$8,"")</f>
        <v/>
      </c>
      <c r="E527" s="40" t="n"/>
      <c r="F527" s="39">
        <f>IFERROR(CLASIF_C_F!$F$17,"")</f>
        <v/>
      </c>
      <c r="G527" s="40" t="n"/>
      <c r="H527" s="41" t="n"/>
      <c r="I527" s="42">
        <f>IF($H527="","",MAX(0,$H527-N($E527)))</f>
        <v/>
      </c>
      <c r="J527" s="42">
        <f>IF($H527="","",MAX(0,$H527-N($G527)))</f>
        <v/>
      </c>
    </row>
    <row r="528" ht="19.5" customHeight="1" s="72">
      <c r="A528" s="38" t="inlineStr">
        <is>
          <t>CF-OCT-P04-SBA</t>
        </is>
      </c>
      <c r="B528" s="38" t="inlineStr">
        <is>
          <t>Octavas</t>
        </is>
      </c>
      <c r="C528" s="38" t="inlineStr">
        <is>
          <t>São Bento da Abadá</t>
        </is>
      </c>
      <c r="D528" s="39">
        <f>IFERROR(CLASIF_C_F!$F$8,"")</f>
        <v/>
      </c>
      <c r="E528" s="40" t="n"/>
      <c r="F528" s="39">
        <f>IFERROR(CLASIF_C_F!$F$17,"")</f>
        <v/>
      </c>
      <c r="G528" s="40" t="n"/>
      <c r="H528" s="41" t="n"/>
      <c r="I528" s="42">
        <f>IF($H528="","",MAX(0,$H528-N($E528)))</f>
        <v/>
      </c>
      <c r="J528" s="42">
        <f>IF($H528="","",MAX(0,$H528-N($G528)))</f>
        <v/>
      </c>
    </row>
    <row r="529" ht="19.5" customHeight="1" s="72">
      <c r="A529" s="38" t="inlineStr">
        <is>
          <t>CF-OCT-P04-SIR</t>
        </is>
      </c>
      <c r="B529" s="38" t="inlineStr">
        <is>
          <t>Octavas</t>
        </is>
      </c>
      <c r="C529" s="38" t="inlineStr">
        <is>
          <t>Siriuna</t>
        </is>
      </c>
      <c r="D529" s="39">
        <f>IFERROR(CLASIF_C_F!$F$8,"")</f>
        <v/>
      </c>
      <c r="E529" s="40" t="n"/>
      <c r="F529" s="39">
        <f>IFERROR(CLASIF_C_F!$F$17,"")</f>
        <v/>
      </c>
      <c r="G529" s="40" t="n"/>
      <c r="H529" s="41" t="n"/>
      <c r="I529" s="42">
        <f>IF($H529="","",MAX(0,$H529-N($E529)))</f>
        <v/>
      </c>
      <c r="J529" s="42">
        <f>IF($H529="","",MAX(0,$H529-N($G529)))</f>
        <v/>
      </c>
    </row>
    <row r="530" ht="19.5" customHeight="1" s="72">
      <c r="A530" s="38" t="inlineStr">
        <is>
          <t>CF-OCT-P05-BEN</t>
        </is>
      </c>
      <c r="B530" s="38" t="inlineStr">
        <is>
          <t>Octavas</t>
        </is>
      </c>
      <c r="C530" s="38" t="inlineStr">
        <is>
          <t>Benguela</t>
        </is>
      </c>
      <c r="D530" s="39">
        <f>IFERROR(CLASIF_C_F!$F$9,"")</f>
        <v/>
      </c>
      <c r="E530" s="40" t="n"/>
      <c r="F530" s="39">
        <f>IFERROR(CLASIF_C_F!$F$16,"")</f>
        <v/>
      </c>
      <c r="G530" s="40" t="n"/>
      <c r="H530" s="41" t="n"/>
      <c r="I530" s="42">
        <f>IF($H530="","",MAX(0,$H530-N($E530)))</f>
        <v/>
      </c>
      <c r="J530" s="42">
        <f>IF($H530="","",MAX(0,$H530-N($G530)))</f>
        <v/>
      </c>
    </row>
    <row r="531" ht="19.5" customHeight="1" s="72">
      <c r="A531" s="38" t="inlineStr">
        <is>
          <t>CF-OCT-P05-SBA</t>
        </is>
      </c>
      <c r="B531" s="38" t="inlineStr">
        <is>
          <t>Octavas</t>
        </is>
      </c>
      <c r="C531" s="38" t="inlineStr">
        <is>
          <t>São Bento da Abadá</t>
        </is>
      </c>
      <c r="D531" s="39">
        <f>IFERROR(CLASIF_C_F!$F$9,"")</f>
        <v/>
      </c>
      <c r="E531" s="40" t="n"/>
      <c r="F531" s="39">
        <f>IFERROR(CLASIF_C_F!$F$16,"")</f>
        <v/>
      </c>
      <c r="G531" s="40" t="n"/>
      <c r="H531" s="41" t="n"/>
      <c r="I531" s="42">
        <f>IF($H531="","",MAX(0,$H531-N($E531)))</f>
        <v/>
      </c>
      <c r="J531" s="42">
        <f>IF($H531="","",MAX(0,$H531-N($G531)))</f>
        <v/>
      </c>
    </row>
    <row r="532" ht="19.5" customHeight="1" s="72">
      <c r="A532" s="38" t="inlineStr">
        <is>
          <t>CF-OCT-P05-SIR</t>
        </is>
      </c>
      <c r="B532" s="38" t="inlineStr">
        <is>
          <t>Octavas</t>
        </is>
      </c>
      <c r="C532" s="38" t="inlineStr">
        <is>
          <t>Siriuna</t>
        </is>
      </c>
      <c r="D532" s="39">
        <f>IFERROR(CLASIF_C_F!$F$9,"")</f>
        <v/>
      </c>
      <c r="E532" s="40" t="n"/>
      <c r="F532" s="39">
        <f>IFERROR(CLASIF_C_F!$F$16,"")</f>
        <v/>
      </c>
      <c r="G532" s="40" t="n"/>
      <c r="H532" s="41" t="n"/>
      <c r="I532" s="42">
        <f>IF($H532="","",MAX(0,$H532-N($E532)))</f>
        <v/>
      </c>
      <c r="J532" s="42">
        <f>IF($H532="","",MAX(0,$H532-N($G532)))</f>
        <v/>
      </c>
    </row>
    <row r="533" ht="19.5" customHeight="1" s="72">
      <c r="A533" s="38" t="inlineStr">
        <is>
          <t>CF-OCT-P06-BEN</t>
        </is>
      </c>
      <c r="B533" s="38" t="inlineStr">
        <is>
          <t>Octavas</t>
        </is>
      </c>
      <c r="C533" s="38" t="inlineStr">
        <is>
          <t>Benguela</t>
        </is>
      </c>
      <c r="D533" s="39">
        <f>IFERROR(CLASIF_C_F!$F$10,"")</f>
        <v/>
      </c>
      <c r="E533" s="40" t="n"/>
      <c r="F533" s="39">
        <f>IFERROR(CLASIF_C_F!$F$15,"")</f>
        <v/>
      </c>
      <c r="G533" s="40" t="n"/>
      <c r="H533" s="41" t="n"/>
      <c r="I533" s="42">
        <f>IF($H533="","",MAX(0,$H533-N($E533)))</f>
        <v/>
      </c>
      <c r="J533" s="42">
        <f>IF($H533="","",MAX(0,$H533-N($G533)))</f>
        <v/>
      </c>
    </row>
    <row r="534" ht="19.5" customHeight="1" s="72">
      <c r="A534" s="38" t="inlineStr">
        <is>
          <t>CF-OCT-P06-SBA</t>
        </is>
      </c>
      <c r="B534" s="38" t="inlineStr">
        <is>
          <t>Octavas</t>
        </is>
      </c>
      <c r="C534" s="38" t="inlineStr">
        <is>
          <t>São Bento da Abadá</t>
        </is>
      </c>
      <c r="D534" s="39">
        <f>IFERROR(CLASIF_C_F!$F$10,"")</f>
        <v/>
      </c>
      <c r="E534" s="40" t="n"/>
      <c r="F534" s="39">
        <f>IFERROR(CLASIF_C_F!$F$15,"")</f>
        <v/>
      </c>
      <c r="G534" s="40" t="n"/>
      <c r="H534" s="41" t="n"/>
      <c r="I534" s="42">
        <f>IF($H534="","",MAX(0,$H534-N($E534)))</f>
        <v/>
      </c>
      <c r="J534" s="42">
        <f>IF($H534="","",MAX(0,$H534-N($G534)))</f>
        <v/>
      </c>
    </row>
    <row r="535" ht="19.5" customHeight="1" s="72">
      <c r="A535" s="38" t="inlineStr">
        <is>
          <t>CF-OCT-P06-SIR</t>
        </is>
      </c>
      <c r="B535" s="38" t="inlineStr">
        <is>
          <t>Octavas</t>
        </is>
      </c>
      <c r="C535" s="38" t="inlineStr">
        <is>
          <t>Siriuna</t>
        </is>
      </c>
      <c r="D535" s="39">
        <f>IFERROR(CLASIF_C_F!$F$10,"")</f>
        <v/>
      </c>
      <c r="E535" s="40" t="n"/>
      <c r="F535" s="39">
        <f>IFERROR(CLASIF_C_F!$F$15,"")</f>
        <v/>
      </c>
      <c r="G535" s="40" t="n"/>
      <c r="H535" s="41" t="n"/>
      <c r="I535" s="42">
        <f>IF($H535="","",MAX(0,$H535-N($E535)))</f>
        <v/>
      </c>
      <c r="J535" s="42">
        <f>IF($H535="","",MAX(0,$H535-N($G535)))</f>
        <v/>
      </c>
    </row>
    <row r="536" ht="19.5" customHeight="1" s="72">
      <c r="A536" s="38" t="inlineStr">
        <is>
          <t>CF-OCT-P07-BEN</t>
        </is>
      </c>
      <c r="B536" s="38" t="inlineStr">
        <is>
          <t>Octavas</t>
        </is>
      </c>
      <c r="C536" s="38" t="inlineStr">
        <is>
          <t>Benguela</t>
        </is>
      </c>
      <c r="D536" s="39">
        <f>IFERROR(CLASIF_C_F!$F$11,"")</f>
        <v/>
      </c>
      <c r="E536" s="40" t="n"/>
      <c r="F536" s="39">
        <f>IFERROR(CLASIF_C_F!$F$14,"")</f>
        <v/>
      </c>
      <c r="G536" s="40" t="n"/>
      <c r="H536" s="41" t="n"/>
      <c r="I536" s="42">
        <f>IF($H536="","",MAX(0,$H536-N($E536)))</f>
        <v/>
      </c>
      <c r="J536" s="42">
        <f>IF($H536="","",MAX(0,$H536-N($G536)))</f>
        <v/>
      </c>
    </row>
    <row r="537" ht="19.5" customHeight="1" s="72">
      <c r="A537" s="38" t="inlineStr">
        <is>
          <t>CF-OCT-P07-SBA</t>
        </is>
      </c>
      <c r="B537" s="38" t="inlineStr">
        <is>
          <t>Octavas</t>
        </is>
      </c>
      <c r="C537" s="38" t="inlineStr">
        <is>
          <t>São Bento da Abadá</t>
        </is>
      </c>
      <c r="D537" s="39">
        <f>IFERROR(CLASIF_C_F!$F$11,"")</f>
        <v/>
      </c>
      <c r="E537" s="40" t="n"/>
      <c r="F537" s="39">
        <f>IFERROR(CLASIF_C_F!$F$14,"")</f>
        <v/>
      </c>
      <c r="G537" s="40" t="n"/>
      <c r="H537" s="41" t="n"/>
      <c r="I537" s="42">
        <f>IF($H537="","",MAX(0,$H537-N($E537)))</f>
        <v/>
      </c>
      <c r="J537" s="42">
        <f>IF($H537="","",MAX(0,$H537-N($G537)))</f>
        <v/>
      </c>
    </row>
    <row r="538" ht="19.5" customHeight="1" s="72">
      <c r="A538" s="38" t="inlineStr">
        <is>
          <t>CF-OCT-P07-SIR</t>
        </is>
      </c>
      <c r="B538" s="38" t="inlineStr">
        <is>
          <t>Octavas</t>
        </is>
      </c>
      <c r="C538" s="38" t="inlineStr">
        <is>
          <t>Siriuna</t>
        </is>
      </c>
      <c r="D538" s="39">
        <f>IFERROR(CLASIF_C_F!$F$11,"")</f>
        <v/>
      </c>
      <c r="E538" s="40" t="n"/>
      <c r="F538" s="39">
        <f>IFERROR(CLASIF_C_F!$F$14,"")</f>
        <v/>
      </c>
      <c r="G538" s="40" t="n"/>
      <c r="H538" s="41" t="n"/>
      <c r="I538" s="42">
        <f>IF($H538="","",MAX(0,$H538-N($E538)))</f>
        <v/>
      </c>
      <c r="J538" s="42">
        <f>IF($H538="","",MAX(0,$H538-N($G538)))</f>
        <v/>
      </c>
    </row>
    <row r="539" ht="19.5" customHeight="1" s="72">
      <c r="A539" s="38" t="inlineStr">
        <is>
          <t>CF-OCT-P08-BEN</t>
        </is>
      </c>
      <c r="B539" s="38" t="inlineStr">
        <is>
          <t>Octavas</t>
        </is>
      </c>
      <c r="C539" s="38" t="inlineStr">
        <is>
          <t>Benguela</t>
        </is>
      </c>
      <c r="D539" s="39">
        <f>IFERROR(CLASIF_C_F!$F$12,"")</f>
        <v/>
      </c>
      <c r="E539" s="40" t="n"/>
      <c r="F539" s="39">
        <f>IFERROR(CLASIF_C_F!$F$13,"")</f>
        <v/>
      </c>
      <c r="G539" s="40" t="n"/>
      <c r="H539" s="41" t="n"/>
      <c r="I539" s="42">
        <f>IF($H539="","",MAX(0,$H539-N($E539)))</f>
        <v/>
      </c>
      <c r="J539" s="42">
        <f>IF($H539="","",MAX(0,$H539-N($G539)))</f>
        <v/>
      </c>
    </row>
    <row r="540" ht="19.5" customHeight="1" s="72">
      <c r="A540" s="38" t="inlineStr">
        <is>
          <t>CF-OCT-P08-SBA</t>
        </is>
      </c>
      <c r="B540" s="38" t="inlineStr">
        <is>
          <t>Octavas</t>
        </is>
      </c>
      <c r="C540" s="38" t="inlineStr">
        <is>
          <t>São Bento da Abadá</t>
        </is>
      </c>
      <c r="D540" s="39">
        <f>IFERROR(CLASIF_C_F!$F$12,"")</f>
        <v/>
      </c>
      <c r="E540" s="40" t="n"/>
      <c r="F540" s="39">
        <f>IFERROR(CLASIF_C_F!$F$13,"")</f>
        <v/>
      </c>
      <c r="G540" s="40" t="n"/>
      <c r="H540" s="41" t="n"/>
      <c r="I540" s="42">
        <f>IF($H540="","",MAX(0,$H540-N($E540)))</f>
        <v/>
      </c>
      <c r="J540" s="42">
        <f>IF($H540="","",MAX(0,$H540-N($G540)))</f>
        <v/>
      </c>
    </row>
    <row r="541" ht="19.5" customHeight="1" s="72">
      <c r="A541" s="38" t="inlineStr">
        <is>
          <t>CF-OCT-P08-SIR</t>
        </is>
      </c>
      <c r="B541" s="38" t="inlineStr">
        <is>
          <t>Octavas</t>
        </is>
      </c>
      <c r="C541" s="38" t="inlineStr">
        <is>
          <t>Siriuna</t>
        </is>
      </c>
      <c r="D541" s="39">
        <f>IFERROR(CLASIF_C_F!$F$12,"")</f>
        <v/>
      </c>
      <c r="E541" s="40" t="n"/>
      <c r="F541" s="39">
        <f>IFERROR(CLASIF_C_F!$F$13,"")</f>
        <v/>
      </c>
      <c r="G541" s="40" t="n"/>
      <c r="H541" s="41" t="n"/>
      <c r="I541" s="42">
        <f>IF($H541="","",MAX(0,$H541-N($E541)))</f>
        <v/>
      </c>
      <c r="J541" s="42">
        <f>IF($H541="","",MAX(0,$H541-N($G541)))</f>
        <v/>
      </c>
    </row>
    <row r="542" ht="19.5" customHeight="1" s="72">
      <c r="A542" s="38" t="inlineStr">
        <is>
          <t>CF-SEM-P01-BEN</t>
        </is>
      </c>
      <c r="B542" s="38" t="inlineStr">
        <is>
          <t>Semifinal</t>
        </is>
      </c>
      <c r="C542" s="38" t="inlineStr">
        <is>
          <t>Benguela</t>
        </is>
      </c>
      <c r="D542" s="39">
        <f>IFERROR(CLASIF_C_F!$O$5,"")</f>
        <v/>
      </c>
      <c r="E542" s="40" t="n"/>
      <c r="F542" s="39">
        <f>IFERROR(CLASIF_C_F!$O$12,"")</f>
        <v/>
      </c>
      <c r="G542" s="40" t="n"/>
      <c r="H542" s="41" t="n"/>
      <c r="I542" s="42">
        <f>IF($H542="","",MAX(0,$H542-N($E542)))</f>
        <v/>
      </c>
      <c r="J542" s="42">
        <f>IF($H542="","",MAX(0,$H542-N($G542)))</f>
        <v/>
      </c>
    </row>
    <row r="543" ht="19.5" customHeight="1" s="72">
      <c r="A543" s="38" t="inlineStr">
        <is>
          <t>CF-SEM-P01-SBA</t>
        </is>
      </c>
      <c r="B543" s="38" t="inlineStr">
        <is>
          <t>Semifinal</t>
        </is>
      </c>
      <c r="C543" s="38" t="inlineStr">
        <is>
          <t>São Bento da Abadá</t>
        </is>
      </c>
      <c r="D543" s="39">
        <f>IFERROR(CLASIF_C_F!$O$5,"")</f>
        <v/>
      </c>
      <c r="E543" s="40" t="n"/>
      <c r="F543" s="39">
        <f>IFERROR(CLASIF_C_F!$O$12,"")</f>
        <v/>
      </c>
      <c r="G543" s="40" t="n"/>
      <c r="H543" s="41" t="n"/>
      <c r="I543" s="42">
        <f>IF($H543="","",MAX(0,$H543-N($E543)))</f>
        <v/>
      </c>
      <c r="J543" s="42">
        <f>IF($H543="","",MAX(0,$H543-N($G543)))</f>
        <v/>
      </c>
    </row>
    <row r="544" ht="19.5" customHeight="1" s="72">
      <c r="A544" s="38" t="inlineStr">
        <is>
          <t>CF-SEM-P01-SIR</t>
        </is>
      </c>
      <c r="B544" s="38" t="inlineStr">
        <is>
          <t>Semifinal</t>
        </is>
      </c>
      <c r="C544" s="38" t="inlineStr">
        <is>
          <t>Siriuna</t>
        </is>
      </c>
      <c r="D544" s="39">
        <f>IFERROR(CLASIF_C_F!$O$5,"")</f>
        <v/>
      </c>
      <c r="E544" s="40" t="n"/>
      <c r="F544" s="39">
        <f>IFERROR(CLASIF_C_F!$O$12,"")</f>
        <v/>
      </c>
      <c r="G544" s="40" t="n"/>
      <c r="H544" s="41" t="n"/>
      <c r="I544" s="42">
        <f>IF($H544="","",MAX(0,$H544-N($E544)))</f>
        <v/>
      </c>
      <c r="J544" s="42">
        <f>IF($H544="","",MAX(0,$H544-N($G544)))</f>
        <v/>
      </c>
    </row>
    <row r="545" ht="19.5" customHeight="1" s="72">
      <c r="A545" s="38" t="inlineStr">
        <is>
          <t>CF-SEM-P02-BEN</t>
        </is>
      </c>
      <c r="B545" s="38" t="inlineStr">
        <is>
          <t>Semifinal</t>
        </is>
      </c>
      <c r="C545" s="38" t="inlineStr">
        <is>
          <t>Benguela</t>
        </is>
      </c>
      <c r="D545" s="39">
        <f>IFERROR(CLASIF_C_F!$O$6,"")</f>
        <v/>
      </c>
      <c r="E545" s="40" t="n"/>
      <c r="F545" s="39">
        <f>IFERROR(CLASIF_C_F!$O$11,"")</f>
        <v/>
      </c>
      <c r="G545" s="40" t="n"/>
      <c r="H545" s="41" t="n"/>
      <c r="I545" s="42">
        <f>IF($H545="","",MAX(0,$H545-N($E545)))</f>
        <v/>
      </c>
      <c r="J545" s="42">
        <f>IF($H545="","",MAX(0,$H545-N($G545)))</f>
        <v/>
      </c>
    </row>
    <row r="546" ht="19.5" customHeight="1" s="72">
      <c r="A546" s="38" t="inlineStr">
        <is>
          <t>CF-SEM-P02-SBA</t>
        </is>
      </c>
      <c r="B546" s="38" t="inlineStr">
        <is>
          <t>Semifinal</t>
        </is>
      </c>
      <c r="C546" s="38" t="inlineStr">
        <is>
          <t>São Bento da Abadá</t>
        </is>
      </c>
      <c r="D546" s="39">
        <f>IFERROR(CLASIF_C_F!$O$6,"")</f>
        <v/>
      </c>
      <c r="E546" s="40" t="n"/>
      <c r="F546" s="39">
        <f>IFERROR(CLASIF_C_F!$O$11,"")</f>
        <v/>
      </c>
      <c r="G546" s="40" t="n"/>
      <c r="H546" s="41" t="n"/>
      <c r="I546" s="42">
        <f>IF($H546="","",MAX(0,$H546-N($E546)))</f>
        <v/>
      </c>
      <c r="J546" s="42">
        <f>IF($H546="","",MAX(0,$H546-N($G546)))</f>
        <v/>
      </c>
    </row>
    <row r="547" ht="19.5" customHeight="1" s="72">
      <c r="A547" s="38" t="inlineStr">
        <is>
          <t>CF-SEM-P02-SIR</t>
        </is>
      </c>
      <c r="B547" s="38" t="inlineStr">
        <is>
          <t>Semifinal</t>
        </is>
      </c>
      <c r="C547" s="38" t="inlineStr">
        <is>
          <t>Siriuna</t>
        </is>
      </c>
      <c r="D547" s="39">
        <f>IFERROR(CLASIF_C_F!$O$6,"")</f>
        <v/>
      </c>
      <c r="E547" s="40" t="n"/>
      <c r="F547" s="39">
        <f>IFERROR(CLASIF_C_F!$O$11,"")</f>
        <v/>
      </c>
      <c r="G547" s="40" t="n"/>
      <c r="H547" s="41" t="n"/>
      <c r="I547" s="42">
        <f>IF($H547="","",MAX(0,$H547-N($E547)))</f>
        <v/>
      </c>
      <c r="J547" s="42">
        <f>IF($H547="","",MAX(0,$H547-N($G547)))</f>
        <v/>
      </c>
    </row>
    <row r="548" ht="19.5" customHeight="1" s="72">
      <c r="A548" s="38" t="inlineStr">
        <is>
          <t>CF-SEM-P03-BEN</t>
        </is>
      </c>
      <c r="B548" s="38" t="inlineStr">
        <is>
          <t>Semifinal</t>
        </is>
      </c>
      <c r="C548" s="38" t="inlineStr">
        <is>
          <t>Benguela</t>
        </is>
      </c>
      <c r="D548" s="39">
        <f>IFERROR(CLASIF_C_F!$O$7,"")</f>
        <v/>
      </c>
      <c r="E548" s="40" t="n"/>
      <c r="F548" s="39">
        <f>IFERROR(CLASIF_C_F!$O$10,"")</f>
        <v/>
      </c>
      <c r="G548" s="40" t="n"/>
      <c r="H548" s="41" t="n"/>
      <c r="I548" s="42">
        <f>IF($H548="","",MAX(0,$H548-N($E548)))</f>
        <v/>
      </c>
      <c r="J548" s="42">
        <f>IF($H548="","",MAX(0,$H548-N($G548)))</f>
        <v/>
      </c>
    </row>
    <row r="549" ht="19.5" customHeight="1" s="72">
      <c r="A549" s="38" t="inlineStr">
        <is>
          <t>CF-SEM-P03-SBA</t>
        </is>
      </c>
      <c r="B549" s="38" t="inlineStr">
        <is>
          <t>Semifinal</t>
        </is>
      </c>
      <c r="C549" s="38" t="inlineStr">
        <is>
          <t>São Bento da Abadá</t>
        </is>
      </c>
      <c r="D549" s="39">
        <f>IFERROR(CLASIF_C_F!$O$7,"")</f>
        <v/>
      </c>
      <c r="E549" s="40" t="n"/>
      <c r="F549" s="39">
        <f>IFERROR(CLASIF_C_F!$O$10,"")</f>
        <v/>
      </c>
      <c r="G549" s="40" t="n"/>
      <c r="H549" s="41" t="n"/>
      <c r="I549" s="42">
        <f>IF($H549="","",MAX(0,$H549-N($E549)))</f>
        <v/>
      </c>
      <c r="J549" s="42">
        <f>IF($H549="","",MAX(0,$H549-N($G549)))</f>
        <v/>
      </c>
    </row>
    <row r="550" ht="19.5" customHeight="1" s="72">
      <c r="A550" s="38" t="inlineStr">
        <is>
          <t>CF-SEM-P03-SIR</t>
        </is>
      </c>
      <c r="B550" s="38" t="inlineStr">
        <is>
          <t>Semifinal</t>
        </is>
      </c>
      <c r="C550" s="38" t="inlineStr">
        <is>
          <t>Siriuna</t>
        </is>
      </c>
      <c r="D550" s="39">
        <f>IFERROR(CLASIF_C_F!$O$7,"")</f>
        <v/>
      </c>
      <c r="E550" s="40" t="n"/>
      <c r="F550" s="39">
        <f>IFERROR(CLASIF_C_F!$O$10,"")</f>
        <v/>
      </c>
      <c r="G550" s="40" t="n"/>
      <c r="H550" s="41" t="n"/>
      <c r="I550" s="42">
        <f>IF($H550="","",MAX(0,$H550-N($E550)))</f>
        <v/>
      </c>
      <c r="J550" s="42">
        <f>IF($H550="","",MAX(0,$H550-N($G550)))</f>
        <v/>
      </c>
    </row>
    <row r="551" ht="19.5" customHeight="1" s="72">
      <c r="A551" s="38" t="inlineStr">
        <is>
          <t>CF-SEM-P04-BEN</t>
        </is>
      </c>
      <c r="B551" s="38" t="inlineStr">
        <is>
          <t>Semifinal</t>
        </is>
      </c>
      <c r="C551" s="38" t="inlineStr">
        <is>
          <t>Benguela</t>
        </is>
      </c>
      <c r="D551" s="39">
        <f>IFERROR(CLASIF_C_F!$O$8,"")</f>
        <v/>
      </c>
      <c r="E551" s="40" t="n"/>
      <c r="F551" s="39">
        <f>IFERROR(CLASIF_C_F!$O$9,"")</f>
        <v/>
      </c>
      <c r="G551" s="40" t="n"/>
      <c r="H551" s="41" t="n"/>
      <c r="I551" s="42">
        <f>IF($H551="","",MAX(0,$H551-N($E551)))</f>
        <v/>
      </c>
      <c r="J551" s="42">
        <f>IF($H551="","",MAX(0,$H551-N($G551)))</f>
        <v/>
      </c>
    </row>
    <row r="552" ht="19.5" customHeight="1" s="72">
      <c r="A552" s="38" t="inlineStr">
        <is>
          <t>CF-SEM-P04-SBA</t>
        </is>
      </c>
      <c r="B552" s="38" t="inlineStr">
        <is>
          <t>Semifinal</t>
        </is>
      </c>
      <c r="C552" s="38" t="inlineStr">
        <is>
          <t>São Bento da Abadá</t>
        </is>
      </c>
      <c r="D552" s="39">
        <f>IFERROR(CLASIF_C_F!$O$8,"")</f>
        <v/>
      </c>
      <c r="E552" s="40" t="n"/>
      <c r="F552" s="39">
        <f>IFERROR(CLASIF_C_F!$O$9,"")</f>
        <v/>
      </c>
      <c r="G552" s="40" t="n"/>
      <c r="H552" s="41" t="n"/>
      <c r="I552" s="42">
        <f>IF($H552="","",MAX(0,$H552-N($E552)))</f>
        <v/>
      </c>
      <c r="J552" s="42">
        <f>IF($H552="","",MAX(0,$H552-N($G552)))</f>
        <v/>
      </c>
    </row>
    <row r="553" ht="19.5" customHeight="1" s="72">
      <c r="A553" s="38" t="inlineStr">
        <is>
          <t>CF-SEM-P04-SIR</t>
        </is>
      </c>
      <c r="B553" s="38" t="inlineStr">
        <is>
          <t>Semifinal</t>
        </is>
      </c>
      <c r="C553" s="38" t="inlineStr">
        <is>
          <t>Siriuna</t>
        </is>
      </c>
      <c r="D553" s="39">
        <f>IFERROR(CLASIF_C_F!$O$8,"")</f>
        <v/>
      </c>
      <c r="E553" s="40" t="n"/>
      <c r="F553" s="39">
        <f>IFERROR(CLASIF_C_F!$O$9,"")</f>
        <v/>
      </c>
      <c r="G553" s="40" t="n"/>
      <c r="H553" s="41" t="n"/>
      <c r="I553" s="42">
        <f>IF($H553="","",MAX(0,$H553-N($E553)))</f>
        <v/>
      </c>
      <c r="J553" s="42">
        <f>IF($H553="","",MAX(0,$H553-N($G553)))</f>
        <v/>
      </c>
    </row>
    <row r="554" ht="19.5" customHeight="1" s="72">
      <c r="A554" s="38" t="inlineStr">
        <is>
          <t>CF-FIN-P01-BEN</t>
        </is>
      </c>
      <c r="B554" s="38" t="inlineStr">
        <is>
          <t>Final</t>
        </is>
      </c>
      <c r="C554" s="38" t="inlineStr">
        <is>
          <t>Benguela</t>
        </is>
      </c>
      <c r="D554" s="39">
        <f>IFERROR(CLASIF_C_F!$X$5,"")</f>
        <v/>
      </c>
      <c r="E554" s="40" t="n"/>
      <c r="F554" s="39">
        <f>IFERROR(CLASIF_C_F!$X$8,"")</f>
        <v/>
      </c>
      <c r="G554" s="40" t="n"/>
      <c r="H554" s="41" t="n"/>
      <c r="I554" s="42">
        <f>IF($H554="","",MAX(0,$H554-N($E554)))</f>
        <v/>
      </c>
      <c r="J554" s="42">
        <f>IF($H554="","",MAX(0,$H554-N($G554)))</f>
        <v/>
      </c>
    </row>
    <row r="555" ht="19.5" customHeight="1" s="72">
      <c r="A555" s="38" t="inlineStr">
        <is>
          <t>CF-FIN-P01-SBA</t>
        </is>
      </c>
      <c r="B555" s="38" t="inlineStr">
        <is>
          <t>Final</t>
        </is>
      </c>
      <c r="C555" s="38" t="inlineStr">
        <is>
          <t>São Bento da Abadá</t>
        </is>
      </c>
      <c r="D555" s="39">
        <f>IFERROR(CLASIF_C_F!$X$5,"")</f>
        <v/>
      </c>
      <c r="E555" s="40" t="n"/>
      <c r="F555" s="39">
        <f>IFERROR(CLASIF_C_F!$X$8,"")</f>
        <v/>
      </c>
      <c r="G555" s="40" t="n"/>
      <c r="H555" s="41" t="n"/>
      <c r="I555" s="42">
        <f>IF($H555="","",MAX(0,$H555-N($E555)))</f>
        <v/>
      </c>
      <c r="J555" s="42">
        <f>IF($H555="","",MAX(0,$H555-N($G555)))</f>
        <v/>
      </c>
    </row>
    <row r="556" ht="19.5" customHeight="1" s="72">
      <c r="A556" s="38" t="inlineStr">
        <is>
          <t>CF-FIN-P01-SIR</t>
        </is>
      </c>
      <c r="B556" s="38" t="inlineStr">
        <is>
          <t>Final</t>
        </is>
      </c>
      <c r="C556" s="38" t="inlineStr">
        <is>
          <t>Siriuna</t>
        </is>
      </c>
      <c r="D556" s="39">
        <f>IFERROR(CLASIF_C_F!$X$5,"")</f>
        <v/>
      </c>
      <c r="E556" s="40" t="n"/>
      <c r="F556" s="39">
        <f>IFERROR(CLASIF_C_F!$X$8,"")</f>
        <v/>
      </c>
      <c r="G556" s="40" t="n"/>
      <c r="H556" s="41" t="n"/>
      <c r="I556" s="42">
        <f>IF($H556="","",MAX(0,$H556-N($E556)))</f>
        <v/>
      </c>
      <c r="J556" s="42">
        <f>IF($H556="","",MAX(0,$H556-N($G556)))</f>
        <v/>
      </c>
    </row>
    <row r="557" ht="19.5" customHeight="1" s="72">
      <c r="A557" s="38" t="inlineStr">
        <is>
          <t>CF-FIN-P02-BEN</t>
        </is>
      </c>
      <c r="B557" s="38" t="inlineStr">
        <is>
          <t>Final</t>
        </is>
      </c>
      <c r="C557" s="38" t="inlineStr">
        <is>
          <t>Benguela</t>
        </is>
      </c>
      <c r="D557" s="39">
        <f>IFERROR(CLASIF_C_F!$X$6,"")</f>
        <v/>
      </c>
      <c r="E557" s="40" t="n"/>
      <c r="F557" s="39">
        <f>IFERROR(CLASIF_C_F!$X$7,"")</f>
        <v/>
      </c>
      <c r="G557" s="40" t="n"/>
      <c r="H557" s="41" t="n"/>
      <c r="I557" s="42">
        <f>IF($H557="","",MAX(0,$H557-N($E557)))</f>
        <v/>
      </c>
      <c r="J557" s="42">
        <f>IF($H557="","",MAX(0,$H557-N($G557)))</f>
        <v/>
      </c>
    </row>
    <row r="558" ht="19.5" customHeight="1" s="72">
      <c r="A558" s="38" t="inlineStr">
        <is>
          <t>CF-FIN-P02-SBA</t>
        </is>
      </c>
      <c r="B558" s="38" t="inlineStr">
        <is>
          <t>Final</t>
        </is>
      </c>
      <c r="C558" s="38" t="inlineStr">
        <is>
          <t>São Bento da Abadá</t>
        </is>
      </c>
      <c r="D558" s="39">
        <f>IFERROR(CLASIF_C_F!$X$6,"")</f>
        <v/>
      </c>
      <c r="E558" s="40" t="n"/>
      <c r="F558" s="39">
        <f>IFERROR(CLASIF_C_F!$X$7,"")</f>
        <v/>
      </c>
      <c r="G558" s="40" t="n"/>
      <c r="H558" s="41" t="n"/>
      <c r="I558" s="42">
        <f>IF($H558="","",MAX(0,$H558-N($E558)))</f>
        <v/>
      </c>
      <c r="J558" s="42">
        <f>IF($H558="","",MAX(0,$H558-N($G558)))</f>
        <v/>
      </c>
    </row>
    <row r="559" ht="19.5" customHeight="1" s="72">
      <c r="A559" s="38" t="inlineStr">
        <is>
          <t>CF-FIN-P02-SIR</t>
        </is>
      </c>
      <c r="B559" s="38" t="inlineStr">
        <is>
          <t>Final</t>
        </is>
      </c>
      <c r="C559" s="38" t="inlineStr">
        <is>
          <t>Siriuna</t>
        </is>
      </c>
      <c r="D559" s="39">
        <f>IFERROR(CLASIF_C_F!$X$6,"")</f>
        <v/>
      </c>
      <c r="E559" s="40" t="n"/>
      <c r="F559" s="39">
        <f>IFERROR(CLASIF_C_F!$X$7,"")</f>
        <v/>
      </c>
      <c r="G559" s="40" t="n"/>
      <c r="H559" s="41" t="n"/>
      <c r="I559" s="42">
        <f>IF($H559="","",MAX(0,$H559-N($E559)))</f>
        <v/>
      </c>
      <c r="J559" s="42">
        <f>IF($H559="","",MAX(0,$H559-N($G559)))</f>
        <v/>
      </c>
    </row>
    <row r="560" ht="19.5" customHeight="1" s="72">
      <c r="A560" s="43" t="n"/>
      <c r="B560" s="43" t="n"/>
      <c r="C560" s="43" t="n"/>
      <c r="D560" s="43" t="n"/>
      <c r="E560" s="43" t="n"/>
      <c r="F560" s="43" t="n"/>
      <c r="G560" s="43" t="n"/>
      <c r="H560" s="44" t="n"/>
      <c r="I560" s="43">
        <f>IF($H560="","",MAX(0,$H560-N($E560)))</f>
        <v/>
      </c>
      <c r="J560" s="43">
        <f>IF($H560="","",MAX(0,$H560-N($G560)))</f>
        <v/>
      </c>
    </row>
    <row r="561" ht="19.5" customHeight="1" s="72">
      <c r="A561" s="83" t="inlineStr">
        <is>
          <t>═══ CATEGORÍA D · Masculino · Azul (Graduados) · Toques: Benguela, São Bento da Abadá, Siriuna ═══</t>
        </is>
      </c>
    </row>
    <row r="562" ht="19.5" customHeight="1" s="72">
      <c r="A562" s="8" t="inlineStr">
        <is>
          <t>Jogo</t>
        </is>
      </c>
      <c r="B562" s="8" t="inlineStr">
        <is>
          <t>Fase</t>
        </is>
      </c>
      <c r="C562" s="8" t="inlineStr">
        <is>
          <t>Toque</t>
        </is>
      </c>
      <c r="D562" s="8" t="inlineStr">
        <is>
          <t>Jugador A</t>
        </is>
      </c>
      <c r="E562" s="8" t="inlineStr">
        <is>
          <t>Quita A</t>
        </is>
      </c>
      <c r="F562" s="8" t="inlineStr">
        <is>
          <t>Jugador B</t>
        </is>
      </c>
      <c r="G562" s="8" t="inlineStr">
        <is>
          <t>Quita B</t>
        </is>
      </c>
      <c r="H562" s="8" t="inlineStr">
        <is>
          <t>NOTA (0-5)</t>
        </is>
      </c>
      <c r="I562" s="8">
        <f>IF($H562="","",MAX(0,$H562-N($E562)))</f>
        <v/>
      </c>
      <c r="J562" s="8">
        <f>IF($H562="","",MAX(0,$H562-N($G562)))</f>
        <v/>
      </c>
    </row>
    <row r="563" ht="19.5" customHeight="1" s="72">
      <c r="A563" s="38" t="inlineStr">
        <is>
          <t>DM-32-P01-BEN</t>
        </is>
      </c>
      <c r="B563" s="38" t="inlineStr">
        <is>
          <t>Fase 32</t>
        </is>
      </c>
      <c r="C563" s="38" t="inlineStr">
        <is>
          <t>Benguela</t>
        </is>
      </c>
      <c r="D563" s="39" t="inlineStr">
        <is>
          <t>A_D_M_32_P1</t>
        </is>
      </c>
      <c r="E563" s="40" t="n"/>
      <c r="F563" s="39" t="inlineStr">
        <is>
          <t>B_D_M_32_P1</t>
        </is>
      </c>
      <c r="G563" s="40" t="n"/>
      <c r="H563" s="41" t="n"/>
      <c r="I563" s="42">
        <f>IF($H563="","",MAX(0,$H563-N($E563)))</f>
        <v/>
      </c>
      <c r="J563" s="42">
        <f>IF($H563="","",MAX(0,$H563-N($G563)))</f>
        <v/>
      </c>
    </row>
    <row r="564" ht="19.5" customHeight="1" s="72">
      <c r="A564" s="38" t="inlineStr">
        <is>
          <t>DM-32-P01-SBA</t>
        </is>
      </c>
      <c r="B564" s="38" t="inlineStr">
        <is>
          <t>Fase 32</t>
        </is>
      </c>
      <c r="C564" s="38" t="inlineStr">
        <is>
          <t>São Bento da Abadá</t>
        </is>
      </c>
      <c r="D564" s="39" t="inlineStr">
        <is>
          <t>A_D_M_32_P1</t>
        </is>
      </c>
      <c r="E564" s="40" t="n"/>
      <c r="F564" s="39" t="inlineStr">
        <is>
          <t>B_D_M_32_P1</t>
        </is>
      </c>
      <c r="G564" s="40" t="n"/>
      <c r="H564" s="41" t="n"/>
      <c r="I564" s="42">
        <f>IF($H564="","",MAX(0,$H564-N($E564)))</f>
        <v/>
      </c>
      <c r="J564" s="42">
        <f>IF($H564="","",MAX(0,$H564-N($G564)))</f>
        <v/>
      </c>
    </row>
    <row r="565" ht="19.5" customHeight="1" s="72">
      <c r="A565" s="38" t="inlineStr">
        <is>
          <t>DM-32-P01-SIR</t>
        </is>
      </c>
      <c r="B565" s="38" t="inlineStr">
        <is>
          <t>Fase 32</t>
        </is>
      </c>
      <c r="C565" s="38" t="inlineStr">
        <is>
          <t>Siriuna</t>
        </is>
      </c>
      <c r="D565" s="39" t="inlineStr">
        <is>
          <t>A_D_M_32_P1</t>
        </is>
      </c>
      <c r="E565" s="40" t="n"/>
      <c r="F565" s="39" t="inlineStr">
        <is>
          <t>B_D_M_32_P1</t>
        </is>
      </c>
      <c r="G565" s="40" t="n"/>
      <c r="H565" s="41" t="n"/>
      <c r="I565" s="42">
        <f>IF($H565="","",MAX(0,$H565-N($E565)))</f>
        <v/>
      </c>
      <c r="J565" s="42">
        <f>IF($H565="","",MAX(0,$H565-N($G565)))</f>
        <v/>
      </c>
    </row>
    <row r="566" ht="19.5" customHeight="1" s="72">
      <c r="A566" s="38" t="inlineStr">
        <is>
          <t>DM-32-P02-BEN</t>
        </is>
      </c>
      <c r="B566" s="38" t="inlineStr">
        <is>
          <t>Fase 32</t>
        </is>
      </c>
      <c r="C566" s="38" t="inlineStr">
        <is>
          <t>Benguela</t>
        </is>
      </c>
      <c r="D566" s="39" t="inlineStr">
        <is>
          <t>A_D_M_32_P2</t>
        </is>
      </c>
      <c r="E566" s="40" t="n"/>
      <c r="F566" s="39" t="inlineStr">
        <is>
          <t>B_D_M_32_P2</t>
        </is>
      </c>
      <c r="G566" s="40" t="n"/>
      <c r="H566" s="41" t="n"/>
      <c r="I566" s="42">
        <f>IF($H566="","",MAX(0,$H566-N($E566)))</f>
        <v/>
      </c>
      <c r="J566" s="42">
        <f>IF($H566="","",MAX(0,$H566-N($G566)))</f>
        <v/>
      </c>
    </row>
    <row r="567" ht="19.5" customHeight="1" s="72">
      <c r="A567" s="38" t="inlineStr">
        <is>
          <t>DM-32-P02-SBA</t>
        </is>
      </c>
      <c r="B567" s="38" t="inlineStr">
        <is>
          <t>Fase 32</t>
        </is>
      </c>
      <c r="C567" s="38" t="inlineStr">
        <is>
          <t>São Bento da Abadá</t>
        </is>
      </c>
      <c r="D567" s="39" t="inlineStr">
        <is>
          <t>A_D_M_32_P2</t>
        </is>
      </c>
      <c r="E567" s="40" t="n"/>
      <c r="F567" s="39" t="inlineStr">
        <is>
          <t>B_D_M_32_P2</t>
        </is>
      </c>
      <c r="G567" s="40" t="n"/>
      <c r="H567" s="41" t="n"/>
      <c r="I567" s="42">
        <f>IF($H567="","",MAX(0,$H567-N($E567)))</f>
        <v/>
      </c>
      <c r="J567" s="42">
        <f>IF($H567="","",MAX(0,$H567-N($G567)))</f>
        <v/>
      </c>
    </row>
    <row r="568" ht="19.5" customHeight="1" s="72">
      <c r="A568" s="38" t="inlineStr">
        <is>
          <t>DM-32-P02-SIR</t>
        </is>
      </c>
      <c r="B568" s="38" t="inlineStr">
        <is>
          <t>Fase 32</t>
        </is>
      </c>
      <c r="C568" s="38" t="inlineStr">
        <is>
          <t>Siriuna</t>
        </is>
      </c>
      <c r="D568" s="39" t="inlineStr">
        <is>
          <t>A_D_M_32_P2</t>
        </is>
      </c>
      <c r="E568" s="40" t="n"/>
      <c r="F568" s="39" t="inlineStr">
        <is>
          <t>B_D_M_32_P2</t>
        </is>
      </c>
      <c r="G568" s="40" t="n"/>
      <c r="H568" s="41" t="n"/>
      <c r="I568" s="42">
        <f>IF($H568="","",MAX(0,$H568-N($E568)))</f>
        <v/>
      </c>
      <c r="J568" s="42">
        <f>IF($H568="","",MAX(0,$H568-N($G568)))</f>
        <v/>
      </c>
    </row>
    <row r="569" ht="19.5" customHeight="1" s="72">
      <c r="A569" s="38" t="inlineStr">
        <is>
          <t>DM-32-P03-BEN</t>
        </is>
      </c>
      <c r="B569" s="38" t="inlineStr">
        <is>
          <t>Fase 32</t>
        </is>
      </c>
      <c r="C569" s="38" t="inlineStr">
        <is>
          <t>Benguela</t>
        </is>
      </c>
      <c r="D569" s="39" t="inlineStr">
        <is>
          <t>A_D_M_32_P3</t>
        </is>
      </c>
      <c r="E569" s="40" t="n"/>
      <c r="F569" s="39" t="inlineStr">
        <is>
          <t>B_D_M_32_P3</t>
        </is>
      </c>
      <c r="G569" s="40" t="n"/>
      <c r="H569" s="41" t="n"/>
      <c r="I569" s="42">
        <f>IF($H569="","",MAX(0,$H569-N($E569)))</f>
        <v/>
      </c>
      <c r="J569" s="42">
        <f>IF($H569="","",MAX(0,$H569-N($G569)))</f>
        <v/>
      </c>
    </row>
    <row r="570" ht="19.5" customHeight="1" s="72">
      <c r="A570" s="38" t="inlineStr">
        <is>
          <t>DM-32-P03-SBA</t>
        </is>
      </c>
      <c r="B570" s="38" t="inlineStr">
        <is>
          <t>Fase 32</t>
        </is>
      </c>
      <c r="C570" s="38" t="inlineStr">
        <is>
          <t>São Bento da Abadá</t>
        </is>
      </c>
      <c r="D570" s="39" t="inlineStr">
        <is>
          <t>A_D_M_32_P3</t>
        </is>
      </c>
      <c r="E570" s="40" t="n"/>
      <c r="F570" s="39" t="inlineStr">
        <is>
          <t>B_D_M_32_P3</t>
        </is>
      </c>
      <c r="G570" s="40" t="n"/>
      <c r="H570" s="41" t="n"/>
      <c r="I570" s="42">
        <f>IF($H570="","",MAX(0,$H570-N($E570)))</f>
        <v/>
      </c>
      <c r="J570" s="42">
        <f>IF($H570="","",MAX(0,$H570-N($G570)))</f>
        <v/>
      </c>
    </row>
    <row r="571" ht="19.5" customHeight="1" s="72">
      <c r="A571" s="38" t="inlineStr">
        <is>
          <t>DM-32-P03-SIR</t>
        </is>
      </c>
      <c r="B571" s="38" t="inlineStr">
        <is>
          <t>Fase 32</t>
        </is>
      </c>
      <c r="C571" s="38" t="inlineStr">
        <is>
          <t>Siriuna</t>
        </is>
      </c>
      <c r="D571" s="39" t="inlineStr">
        <is>
          <t>A_D_M_32_P3</t>
        </is>
      </c>
      <c r="E571" s="40" t="n"/>
      <c r="F571" s="39" t="inlineStr">
        <is>
          <t>B_D_M_32_P3</t>
        </is>
      </c>
      <c r="G571" s="40" t="n"/>
      <c r="H571" s="41" t="n"/>
      <c r="I571" s="42">
        <f>IF($H571="","",MAX(0,$H571-N($E571)))</f>
        <v/>
      </c>
      <c r="J571" s="42">
        <f>IF($H571="","",MAX(0,$H571-N($G571)))</f>
        <v/>
      </c>
    </row>
    <row r="572" ht="19.5" customHeight="1" s="72">
      <c r="A572" s="38" t="inlineStr">
        <is>
          <t>DM-32-P04-BEN</t>
        </is>
      </c>
      <c r="B572" s="38" t="inlineStr">
        <is>
          <t>Fase 32</t>
        </is>
      </c>
      <c r="C572" s="38" t="inlineStr">
        <is>
          <t>Benguela</t>
        </is>
      </c>
      <c r="D572" s="39" t="inlineStr">
        <is>
          <t>A_D_M_32_P4</t>
        </is>
      </c>
      <c r="E572" s="40" t="n"/>
      <c r="F572" s="39" t="inlineStr">
        <is>
          <t>B_D_M_32_P4</t>
        </is>
      </c>
      <c r="G572" s="40" t="n"/>
      <c r="H572" s="41" t="n"/>
      <c r="I572" s="42">
        <f>IF($H572="","",MAX(0,$H572-N($E572)))</f>
        <v/>
      </c>
      <c r="J572" s="42">
        <f>IF($H572="","",MAX(0,$H572-N($G572)))</f>
        <v/>
      </c>
    </row>
    <row r="573" ht="19.5" customHeight="1" s="72">
      <c r="A573" s="38" t="inlineStr">
        <is>
          <t>DM-32-P04-SBA</t>
        </is>
      </c>
      <c r="B573" s="38" t="inlineStr">
        <is>
          <t>Fase 32</t>
        </is>
      </c>
      <c r="C573" s="38" t="inlineStr">
        <is>
          <t>São Bento da Abadá</t>
        </is>
      </c>
      <c r="D573" s="39" t="inlineStr">
        <is>
          <t>A_D_M_32_P4</t>
        </is>
      </c>
      <c r="E573" s="40" t="n"/>
      <c r="F573" s="39" t="inlineStr">
        <is>
          <t>B_D_M_32_P4</t>
        </is>
      </c>
      <c r="G573" s="40" t="n"/>
      <c r="H573" s="41" t="n"/>
      <c r="I573" s="42">
        <f>IF($H573="","",MAX(0,$H573-N($E573)))</f>
        <v/>
      </c>
      <c r="J573" s="42">
        <f>IF($H573="","",MAX(0,$H573-N($G573)))</f>
        <v/>
      </c>
    </row>
    <row r="574" ht="19.5" customHeight="1" s="72">
      <c r="A574" s="38" t="inlineStr">
        <is>
          <t>DM-32-P04-SIR</t>
        </is>
      </c>
      <c r="B574" s="38" t="inlineStr">
        <is>
          <t>Fase 32</t>
        </is>
      </c>
      <c r="C574" s="38" t="inlineStr">
        <is>
          <t>Siriuna</t>
        </is>
      </c>
      <c r="D574" s="39" t="inlineStr">
        <is>
          <t>A_D_M_32_P4</t>
        </is>
      </c>
      <c r="E574" s="40" t="n"/>
      <c r="F574" s="39" t="inlineStr">
        <is>
          <t>B_D_M_32_P4</t>
        </is>
      </c>
      <c r="G574" s="40" t="n"/>
      <c r="H574" s="41" t="n"/>
      <c r="I574" s="42">
        <f>IF($H574="","",MAX(0,$H574-N($E574)))</f>
        <v/>
      </c>
      <c r="J574" s="42">
        <f>IF($H574="","",MAX(0,$H574-N($G574)))</f>
        <v/>
      </c>
    </row>
    <row r="575" ht="19.5" customHeight="1" s="72">
      <c r="A575" s="38" t="inlineStr">
        <is>
          <t>DM-32-P05-BEN</t>
        </is>
      </c>
      <c r="B575" s="38" t="inlineStr">
        <is>
          <t>Fase 32</t>
        </is>
      </c>
      <c r="C575" s="38" t="inlineStr">
        <is>
          <t>Benguela</t>
        </is>
      </c>
      <c r="D575" s="39" t="inlineStr">
        <is>
          <t>A_D_M_32_P5</t>
        </is>
      </c>
      <c r="E575" s="40" t="n"/>
      <c r="F575" s="39" t="inlineStr">
        <is>
          <t>B_D_M_32_P5</t>
        </is>
      </c>
      <c r="G575" s="40" t="n"/>
      <c r="H575" s="41" t="n"/>
      <c r="I575" s="42">
        <f>IF($H575="","",MAX(0,$H575-N($E575)))</f>
        <v/>
      </c>
      <c r="J575" s="42">
        <f>IF($H575="","",MAX(0,$H575-N($G575)))</f>
        <v/>
      </c>
    </row>
    <row r="576" ht="19.5" customHeight="1" s="72">
      <c r="A576" s="38" t="inlineStr">
        <is>
          <t>DM-32-P05-SBA</t>
        </is>
      </c>
      <c r="B576" s="38" t="inlineStr">
        <is>
          <t>Fase 32</t>
        </is>
      </c>
      <c r="C576" s="38" t="inlineStr">
        <is>
          <t>São Bento da Abadá</t>
        </is>
      </c>
      <c r="D576" s="39" t="inlineStr">
        <is>
          <t>A_D_M_32_P5</t>
        </is>
      </c>
      <c r="E576" s="40" t="n"/>
      <c r="F576" s="39" t="inlineStr">
        <is>
          <t>B_D_M_32_P5</t>
        </is>
      </c>
      <c r="G576" s="40" t="n"/>
      <c r="H576" s="41" t="n"/>
      <c r="I576" s="42">
        <f>IF($H576="","",MAX(0,$H576-N($E576)))</f>
        <v/>
      </c>
      <c r="J576" s="42">
        <f>IF($H576="","",MAX(0,$H576-N($G576)))</f>
        <v/>
      </c>
    </row>
    <row r="577" ht="19.5" customHeight="1" s="72">
      <c r="A577" s="38" t="inlineStr">
        <is>
          <t>DM-32-P05-SIR</t>
        </is>
      </c>
      <c r="B577" s="38" t="inlineStr">
        <is>
          <t>Fase 32</t>
        </is>
      </c>
      <c r="C577" s="38" t="inlineStr">
        <is>
          <t>Siriuna</t>
        </is>
      </c>
      <c r="D577" s="39" t="inlineStr">
        <is>
          <t>A_D_M_32_P5</t>
        </is>
      </c>
      <c r="E577" s="40" t="n"/>
      <c r="F577" s="39" t="inlineStr">
        <is>
          <t>B_D_M_32_P5</t>
        </is>
      </c>
      <c r="G577" s="40" t="n"/>
      <c r="H577" s="41" t="n"/>
      <c r="I577" s="42">
        <f>IF($H577="","",MAX(0,$H577-N($E577)))</f>
        <v/>
      </c>
      <c r="J577" s="42">
        <f>IF($H577="","",MAX(0,$H577-N($G577)))</f>
        <v/>
      </c>
    </row>
    <row r="578" ht="19.5" customHeight="1" s="72">
      <c r="A578" s="38" t="inlineStr">
        <is>
          <t>DM-32-P06-BEN</t>
        </is>
      </c>
      <c r="B578" s="38" t="inlineStr">
        <is>
          <t>Fase 32</t>
        </is>
      </c>
      <c r="C578" s="38" t="inlineStr">
        <is>
          <t>Benguela</t>
        </is>
      </c>
      <c r="D578" s="39" t="inlineStr">
        <is>
          <t>A_D_M_32_P6</t>
        </is>
      </c>
      <c r="E578" s="40" t="n"/>
      <c r="F578" s="39" t="inlineStr">
        <is>
          <t>B_D_M_32_P6</t>
        </is>
      </c>
      <c r="G578" s="40" t="n"/>
      <c r="H578" s="41" t="n"/>
      <c r="I578" s="42">
        <f>IF($H578="","",MAX(0,$H578-N($E578)))</f>
        <v/>
      </c>
      <c r="J578" s="42">
        <f>IF($H578="","",MAX(0,$H578-N($G578)))</f>
        <v/>
      </c>
    </row>
    <row r="579" ht="19.5" customHeight="1" s="72">
      <c r="A579" s="38" t="inlineStr">
        <is>
          <t>DM-32-P06-SBA</t>
        </is>
      </c>
      <c r="B579" s="38" t="inlineStr">
        <is>
          <t>Fase 32</t>
        </is>
      </c>
      <c r="C579" s="38" t="inlineStr">
        <is>
          <t>São Bento da Abadá</t>
        </is>
      </c>
      <c r="D579" s="39" t="inlineStr">
        <is>
          <t>A_D_M_32_P6</t>
        </is>
      </c>
      <c r="E579" s="40" t="n"/>
      <c r="F579" s="39" t="inlineStr">
        <is>
          <t>B_D_M_32_P6</t>
        </is>
      </c>
      <c r="G579" s="40" t="n"/>
      <c r="H579" s="41" t="n"/>
      <c r="I579" s="42">
        <f>IF($H579="","",MAX(0,$H579-N($E579)))</f>
        <v/>
      </c>
      <c r="J579" s="42">
        <f>IF($H579="","",MAX(0,$H579-N($G579)))</f>
        <v/>
      </c>
    </row>
    <row r="580" ht="19.5" customHeight="1" s="72">
      <c r="A580" s="38" t="inlineStr">
        <is>
          <t>DM-32-P06-SIR</t>
        </is>
      </c>
      <c r="B580" s="38" t="inlineStr">
        <is>
          <t>Fase 32</t>
        </is>
      </c>
      <c r="C580" s="38" t="inlineStr">
        <is>
          <t>Siriuna</t>
        </is>
      </c>
      <c r="D580" s="39" t="inlineStr">
        <is>
          <t>A_D_M_32_P6</t>
        </is>
      </c>
      <c r="E580" s="40" t="n"/>
      <c r="F580" s="39" t="inlineStr">
        <is>
          <t>B_D_M_32_P6</t>
        </is>
      </c>
      <c r="G580" s="40" t="n"/>
      <c r="H580" s="41" t="n"/>
      <c r="I580" s="42">
        <f>IF($H580="","",MAX(0,$H580-N($E580)))</f>
        <v/>
      </c>
      <c r="J580" s="42">
        <f>IF($H580="","",MAX(0,$H580-N($G580)))</f>
        <v/>
      </c>
    </row>
    <row r="581" ht="19.5" customHeight="1" s="72">
      <c r="A581" s="38" t="inlineStr">
        <is>
          <t>DM-32-P07-BEN</t>
        </is>
      </c>
      <c r="B581" s="38" t="inlineStr">
        <is>
          <t>Fase 32</t>
        </is>
      </c>
      <c r="C581" s="38" t="inlineStr">
        <is>
          <t>Benguela</t>
        </is>
      </c>
      <c r="D581" s="39" t="inlineStr">
        <is>
          <t>A_D_M_32_P7</t>
        </is>
      </c>
      <c r="E581" s="40" t="n"/>
      <c r="F581" s="39" t="inlineStr">
        <is>
          <t>B_D_M_32_P7</t>
        </is>
      </c>
      <c r="G581" s="40" t="n"/>
      <c r="H581" s="41" t="n"/>
      <c r="I581" s="42">
        <f>IF($H581="","",MAX(0,$H581-N($E581)))</f>
        <v/>
      </c>
      <c r="J581" s="42">
        <f>IF($H581="","",MAX(0,$H581-N($G581)))</f>
        <v/>
      </c>
    </row>
    <row r="582" ht="19.5" customHeight="1" s="72">
      <c r="A582" s="38" t="inlineStr">
        <is>
          <t>DM-32-P07-SBA</t>
        </is>
      </c>
      <c r="B582" s="38" t="inlineStr">
        <is>
          <t>Fase 32</t>
        </is>
      </c>
      <c r="C582" s="38" t="inlineStr">
        <is>
          <t>São Bento da Abadá</t>
        </is>
      </c>
      <c r="D582" s="39" t="inlineStr">
        <is>
          <t>A_D_M_32_P7</t>
        </is>
      </c>
      <c r="E582" s="40" t="n"/>
      <c r="F582" s="39" t="inlineStr">
        <is>
          <t>B_D_M_32_P7</t>
        </is>
      </c>
      <c r="G582" s="40" t="n"/>
      <c r="H582" s="41" t="n"/>
      <c r="I582" s="42">
        <f>IF($H582="","",MAX(0,$H582-N($E582)))</f>
        <v/>
      </c>
      <c r="J582" s="42">
        <f>IF($H582="","",MAX(0,$H582-N($G582)))</f>
        <v/>
      </c>
    </row>
    <row r="583" ht="19.5" customHeight="1" s="72">
      <c r="A583" s="38" t="inlineStr">
        <is>
          <t>DM-32-P07-SIR</t>
        </is>
      </c>
      <c r="B583" s="38" t="inlineStr">
        <is>
          <t>Fase 32</t>
        </is>
      </c>
      <c r="C583" s="38" t="inlineStr">
        <is>
          <t>Siriuna</t>
        </is>
      </c>
      <c r="D583" s="39" t="inlineStr">
        <is>
          <t>A_D_M_32_P7</t>
        </is>
      </c>
      <c r="E583" s="40" t="n"/>
      <c r="F583" s="39" t="inlineStr">
        <is>
          <t>B_D_M_32_P7</t>
        </is>
      </c>
      <c r="G583" s="40" t="n"/>
      <c r="H583" s="41" t="n"/>
      <c r="I583" s="42">
        <f>IF($H583="","",MAX(0,$H583-N($E583)))</f>
        <v/>
      </c>
      <c r="J583" s="42">
        <f>IF($H583="","",MAX(0,$H583-N($G583)))</f>
        <v/>
      </c>
    </row>
    <row r="584" ht="19.5" customHeight="1" s="72">
      <c r="A584" s="38" t="inlineStr">
        <is>
          <t>DM-32-P08-BEN</t>
        </is>
      </c>
      <c r="B584" s="38" t="inlineStr">
        <is>
          <t>Fase 32</t>
        </is>
      </c>
      <c r="C584" s="38" t="inlineStr">
        <is>
          <t>Benguela</t>
        </is>
      </c>
      <c r="D584" s="39" t="inlineStr">
        <is>
          <t>A_D_M_32_P8</t>
        </is>
      </c>
      <c r="E584" s="40" t="n"/>
      <c r="F584" s="39" t="inlineStr">
        <is>
          <t>B_D_M_32_P8</t>
        </is>
      </c>
      <c r="G584" s="40" t="n"/>
      <c r="H584" s="41" t="n"/>
      <c r="I584" s="42">
        <f>IF($H584="","",MAX(0,$H584-N($E584)))</f>
        <v/>
      </c>
      <c r="J584" s="42">
        <f>IF($H584="","",MAX(0,$H584-N($G584)))</f>
        <v/>
      </c>
    </row>
    <row r="585" ht="19.5" customHeight="1" s="72">
      <c r="A585" s="38" t="inlineStr">
        <is>
          <t>DM-32-P08-SBA</t>
        </is>
      </c>
      <c r="B585" s="38" t="inlineStr">
        <is>
          <t>Fase 32</t>
        </is>
      </c>
      <c r="C585" s="38" t="inlineStr">
        <is>
          <t>São Bento da Abadá</t>
        </is>
      </c>
      <c r="D585" s="39" t="inlineStr">
        <is>
          <t>A_D_M_32_P8</t>
        </is>
      </c>
      <c r="E585" s="40" t="n"/>
      <c r="F585" s="39" t="inlineStr">
        <is>
          <t>B_D_M_32_P8</t>
        </is>
      </c>
      <c r="G585" s="40" t="n"/>
      <c r="H585" s="41" t="n"/>
      <c r="I585" s="42">
        <f>IF($H585="","",MAX(0,$H585-N($E585)))</f>
        <v/>
      </c>
      <c r="J585" s="42">
        <f>IF($H585="","",MAX(0,$H585-N($G585)))</f>
        <v/>
      </c>
    </row>
    <row r="586" ht="19.5" customHeight="1" s="72">
      <c r="A586" s="38" t="inlineStr">
        <is>
          <t>DM-32-P08-SIR</t>
        </is>
      </c>
      <c r="B586" s="38" t="inlineStr">
        <is>
          <t>Fase 32</t>
        </is>
      </c>
      <c r="C586" s="38" t="inlineStr">
        <is>
          <t>Siriuna</t>
        </is>
      </c>
      <c r="D586" s="39" t="inlineStr">
        <is>
          <t>A_D_M_32_P8</t>
        </is>
      </c>
      <c r="E586" s="40" t="n"/>
      <c r="F586" s="39" t="inlineStr">
        <is>
          <t>B_D_M_32_P8</t>
        </is>
      </c>
      <c r="G586" s="40" t="n"/>
      <c r="H586" s="41" t="n"/>
      <c r="I586" s="42">
        <f>IF($H586="","",MAX(0,$H586-N($E586)))</f>
        <v/>
      </c>
      <c r="J586" s="42">
        <f>IF($H586="","",MAX(0,$H586-N($G586)))</f>
        <v/>
      </c>
    </row>
    <row r="587" ht="19.5" customHeight="1" s="72">
      <c r="A587" s="38" t="inlineStr">
        <is>
          <t>DM-32-P09-BEN</t>
        </is>
      </c>
      <c r="B587" s="38" t="inlineStr">
        <is>
          <t>Fase 32</t>
        </is>
      </c>
      <c r="C587" s="38" t="inlineStr">
        <is>
          <t>Benguela</t>
        </is>
      </c>
      <c r="D587" s="39" t="inlineStr">
        <is>
          <t>A_D_M_32_P9</t>
        </is>
      </c>
      <c r="E587" s="40" t="n"/>
      <c r="F587" s="39" t="inlineStr">
        <is>
          <t>B_D_M_32_P9</t>
        </is>
      </c>
      <c r="G587" s="40" t="n"/>
      <c r="H587" s="41" t="n"/>
      <c r="I587" s="42">
        <f>IF($H587="","",MAX(0,$H587-N($E587)))</f>
        <v/>
      </c>
      <c r="J587" s="42">
        <f>IF($H587="","",MAX(0,$H587-N($G587)))</f>
        <v/>
      </c>
    </row>
    <row r="588" ht="19.5" customHeight="1" s="72">
      <c r="A588" s="38" t="inlineStr">
        <is>
          <t>DM-32-P09-SBA</t>
        </is>
      </c>
      <c r="B588" s="38" t="inlineStr">
        <is>
          <t>Fase 32</t>
        </is>
      </c>
      <c r="C588" s="38" t="inlineStr">
        <is>
          <t>São Bento da Abadá</t>
        </is>
      </c>
      <c r="D588" s="39" t="inlineStr">
        <is>
          <t>A_D_M_32_P9</t>
        </is>
      </c>
      <c r="E588" s="40" t="n"/>
      <c r="F588" s="39" t="inlineStr">
        <is>
          <t>B_D_M_32_P9</t>
        </is>
      </c>
      <c r="G588" s="40" t="n"/>
      <c r="H588" s="41" t="n"/>
      <c r="I588" s="42">
        <f>IF($H588="","",MAX(0,$H588-N($E588)))</f>
        <v/>
      </c>
      <c r="J588" s="42">
        <f>IF($H588="","",MAX(0,$H588-N($G588)))</f>
        <v/>
      </c>
    </row>
    <row r="589" ht="19.5" customHeight="1" s="72">
      <c r="A589" s="38" t="inlineStr">
        <is>
          <t>DM-32-P09-SIR</t>
        </is>
      </c>
      <c r="B589" s="38" t="inlineStr">
        <is>
          <t>Fase 32</t>
        </is>
      </c>
      <c r="C589" s="38" t="inlineStr">
        <is>
          <t>Siriuna</t>
        </is>
      </c>
      <c r="D589" s="39" t="inlineStr">
        <is>
          <t>A_D_M_32_P9</t>
        </is>
      </c>
      <c r="E589" s="40" t="n"/>
      <c r="F589" s="39" t="inlineStr">
        <is>
          <t>B_D_M_32_P9</t>
        </is>
      </c>
      <c r="G589" s="40" t="n"/>
      <c r="H589" s="41" t="n"/>
      <c r="I589" s="42">
        <f>IF($H589="","",MAX(0,$H589-N($E589)))</f>
        <v/>
      </c>
      <c r="J589" s="42">
        <f>IF($H589="","",MAX(0,$H589-N($G589)))</f>
        <v/>
      </c>
    </row>
    <row r="590" ht="19.5" customHeight="1" s="72">
      <c r="A590" s="38" t="inlineStr">
        <is>
          <t>DM-32-P10-BEN</t>
        </is>
      </c>
      <c r="B590" s="38" t="inlineStr">
        <is>
          <t>Fase 32</t>
        </is>
      </c>
      <c r="C590" s="38" t="inlineStr">
        <is>
          <t>Benguela</t>
        </is>
      </c>
      <c r="D590" s="39" t="inlineStr">
        <is>
          <t>A_D_M_32_P10</t>
        </is>
      </c>
      <c r="E590" s="40" t="n"/>
      <c r="F590" s="39" t="inlineStr">
        <is>
          <t>B_D_M_32_P10</t>
        </is>
      </c>
      <c r="G590" s="40" t="n"/>
      <c r="H590" s="41" t="n"/>
      <c r="I590" s="42">
        <f>IF($H590="","",MAX(0,$H590-N($E590)))</f>
        <v/>
      </c>
      <c r="J590" s="42">
        <f>IF($H590="","",MAX(0,$H590-N($G590)))</f>
        <v/>
      </c>
    </row>
    <row r="591" ht="19.5" customHeight="1" s="72">
      <c r="A591" s="38" t="inlineStr">
        <is>
          <t>DM-32-P10-SBA</t>
        </is>
      </c>
      <c r="B591" s="38" t="inlineStr">
        <is>
          <t>Fase 32</t>
        </is>
      </c>
      <c r="C591" s="38" t="inlineStr">
        <is>
          <t>São Bento da Abadá</t>
        </is>
      </c>
      <c r="D591" s="39" t="inlineStr">
        <is>
          <t>A_D_M_32_P10</t>
        </is>
      </c>
      <c r="E591" s="40" t="n"/>
      <c r="F591" s="39" t="inlineStr">
        <is>
          <t>B_D_M_32_P10</t>
        </is>
      </c>
      <c r="G591" s="40" t="n"/>
      <c r="H591" s="41" t="n"/>
      <c r="I591" s="42">
        <f>IF($H591="","",MAX(0,$H591-N($E591)))</f>
        <v/>
      </c>
      <c r="J591" s="42">
        <f>IF($H591="","",MAX(0,$H591-N($G591)))</f>
        <v/>
      </c>
    </row>
    <row r="592" ht="19.5" customHeight="1" s="72">
      <c r="A592" s="38" t="inlineStr">
        <is>
          <t>DM-32-P10-SIR</t>
        </is>
      </c>
      <c r="B592" s="38" t="inlineStr">
        <is>
          <t>Fase 32</t>
        </is>
      </c>
      <c r="C592" s="38" t="inlineStr">
        <is>
          <t>Siriuna</t>
        </is>
      </c>
      <c r="D592" s="39" t="inlineStr">
        <is>
          <t>A_D_M_32_P10</t>
        </is>
      </c>
      <c r="E592" s="40" t="n"/>
      <c r="F592" s="39" t="inlineStr">
        <is>
          <t>B_D_M_32_P10</t>
        </is>
      </c>
      <c r="G592" s="40" t="n"/>
      <c r="H592" s="41" t="n"/>
      <c r="I592" s="42">
        <f>IF($H592="","",MAX(0,$H592-N($E592)))</f>
        <v/>
      </c>
      <c r="J592" s="42">
        <f>IF($H592="","",MAX(0,$H592-N($G592)))</f>
        <v/>
      </c>
    </row>
    <row r="593" ht="19.5" customHeight="1" s="72">
      <c r="A593" s="38" t="inlineStr">
        <is>
          <t>DM-32-P11-BEN</t>
        </is>
      </c>
      <c r="B593" s="38" t="inlineStr">
        <is>
          <t>Fase 32</t>
        </is>
      </c>
      <c r="C593" s="38" t="inlineStr">
        <is>
          <t>Benguela</t>
        </is>
      </c>
      <c r="D593" s="39" t="inlineStr">
        <is>
          <t>A_D_M_32_P11</t>
        </is>
      </c>
      <c r="E593" s="40" t="n"/>
      <c r="F593" s="39" t="inlineStr">
        <is>
          <t>B_D_M_32_P11</t>
        </is>
      </c>
      <c r="G593" s="40" t="n"/>
      <c r="H593" s="41" t="n"/>
      <c r="I593" s="42">
        <f>IF($H593="","",MAX(0,$H593-N($E593)))</f>
        <v/>
      </c>
      <c r="J593" s="42">
        <f>IF($H593="","",MAX(0,$H593-N($G593)))</f>
        <v/>
      </c>
    </row>
    <row r="594" ht="19.5" customHeight="1" s="72">
      <c r="A594" s="38" t="inlineStr">
        <is>
          <t>DM-32-P11-SBA</t>
        </is>
      </c>
      <c r="B594" s="38" t="inlineStr">
        <is>
          <t>Fase 32</t>
        </is>
      </c>
      <c r="C594" s="38" t="inlineStr">
        <is>
          <t>São Bento da Abadá</t>
        </is>
      </c>
      <c r="D594" s="39" t="inlineStr">
        <is>
          <t>A_D_M_32_P11</t>
        </is>
      </c>
      <c r="E594" s="40" t="n"/>
      <c r="F594" s="39" t="inlineStr">
        <is>
          <t>B_D_M_32_P11</t>
        </is>
      </c>
      <c r="G594" s="40" t="n"/>
      <c r="H594" s="41" t="n"/>
      <c r="I594" s="42">
        <f>IF($H594="","",MAX(0,$H594-N($E594)))</f>
        <v/>
      </c>
      <c r="J594" s="42">
        <f>IF($H594="","",MAX(0,$H594-N($G594)))</f>
        <v/>
      </c>
    </row>
    <row r="595" ht="19.5" customHeight="1" s="72">
      <c r="A595" s="38" t="inlineStr">
        <is>
          <t>DM-32-P11-SIR</t>
        </is>
      </c>
      <c r="B595" s="38" t="inlineStr">
        <is>
          <t>Fase 32</t>
        </is>
      </c>
      <c r="C595" s="38" t="inlineStr">
        <is>
          <t>Siriuna</t>
        </is>
      </c>
      <c r="D595" s="39" t="inlineStr">
        <is>
          <t>A_D_M_32_P11</t>
        </is>
      </c>
      <c r="E595" s="40" t="n"/>
      <c r="F595" s="39" t="inlineStr">
        <is>
          <t>B_D_M_32_P11</t>
        </is>
      </c>
      <c r="G595" s="40" t="n"/>
      <c r="H595" s="41" t="n"/>
      <c r="I595" s="42">
        <f>IF($H595="","",MAX(0,$H595-N($E595)))</f>
        <v/>
      </c>
      <c r="J595" s="42">
        <f>IF($H595="","",MAX(0,$H595-N($G595)))</f>
        <v/>
      </c>
    </row>
    <row r="596" ht="19.5" customHeight="1" s="72">
      <c r="A596" s="38" t="inlineStr">
        <is>
          <t>DM-32-P12-BEN</t>
        </is>
      </c>
      <c r="B596" s="38" t="inlineStr">
        <is>
          <t>Fase 32</t>
        </is>
      </c>
      <c r="C596" s="38" t="inlineStr">
        <is>
          <t>Benguela</t>
        </is>
      </c>
      <c r="D596" s="39" t="inlineStr">
        <is>
          <t>A_D_M_32_P12</t>
        </is>
      </c>
      <c r="E596" s="40" t="n"/>
      <c r="F596" s="39" t="inlineStr">
        <is>
          <t>B_D_M_32_P12</t>
        </is>
      </c>
      <c r="G596" s="40" t="n"/>
      <c r="H596" s="41" t="n"/>
      <c r="I596" s="42">
        <f>IF($H596="","",MAX(0,$H596-N($E596)))</f>
        <v/>
      </c>
      <c r="J596" s="42">
        <f>IF($H596="","",MAX(0,$H596-N($G596)))</f>
        <v/>
      </c>
    </row>
    <row r="597" ht="19.5" customHeight="1" s="72">
      <c r="A597" s="38" t="inlineStr">
        <is>
          <t>DM-32-P12-SBA</t>
        </is>
      </c>
      <c r="B597" s="38" t="inlineStr">
        <is>
          <t>Fase 32</t>
        </is>
      </c>
      <c r="C597" s="38" t="inlineStr">
        <is>
          <t>São Bento da Abadá</t>
        </is>
      </c>
      <c r="D597" s="39" t="inlineStr">
        <is>
          <t>A_D_M_32_P12</t>
        </is>
      </c>
      <c r="E597" s="40" t="n"/>
      <c r="F597" s="39" t="inlineStr">
        <is>
          <t>B_D_M_32_P12</t>
        </is>
      </c>
      <c r="G597" s="40" t="n"/>
      <c r="H597" s="41" t="n"/>
      <c r="I597" s="42">
        <f>IF($H597="","",MAX(0,$H597-N($E597)))</f>
        <v/>
      </c>
      <c r="J597" s="42">
        <f>IF($H597="","",MAX(0,$H597-N($G597)))</f>
        <v/>
      </c>
    </row>
    <row r="598" ht="19.5" customHeight="1" s="72">
      <c r="A598" s="38" t="inlineStr">
        <is>
          <t>DM-32-P12-SIR</t>
        </is>
      </c>
      <c r="B598" s="38" t="inlineStr">
        <is>
          <t>Fase 32</t>
        </is>
      </c>
      <c r="C598" s="38" t="inlineStr">
        <is>
          <t>Siriuna</t>
        </is>
      </c>
      <c r="D598" s="39" t="inlineStr">
        <is>
          <t>A_D_M_32_P12</t>
        </is>
      </c>
      <c r="E598" s="40" t="n"/>
      <c r="F598" s="39" t="inlineStr">
        <is>
          <t>B_D_M_32_P12</t>
        </is>
      </c>
      <c r="G598" s="40" t="n"/>
      <c r="H598" s="41" t="n"/>
      <c r="I598" s="42">
        <f>IF($H598="","",MAX(0,$H598-N($E598)))</f>
        <v/>
      </c>
      <c r="J598" s="42">
        <f>IF($H598="","",MAX(0,$H598-N($G598)))</f>
        <v/>
      </c>
    </row>
    <row r="599" ht="19.5" customHeight="1" s="72">
      <c r="A599" s="38" t="inlineStr">
        <is>
          <t>DM-32-P13-BEN</t>
        </is>
      </c>
      <c r="B599" s="38" t="inlineStr">
        <is>
          <t>Fase 32</t>
        </is>
      </c>
      <c r="C599" s="38" t="inlineStr">
        <is>
          <t>Benguela</t>
        </is>
      </c>
      <c r="D599" s="39" t="inlineStr">
        <is>
          <t>A_D_M_32_P13</t>
        </is>
      </c>
      <c r="E599" s="40" t="n"/>
      <c r="F599" s="39" t="inlineStr">
        <is>
          <t>B_D_M_32_P13</t>
        </is>
      </c>
      <c r="G599" s="40" t="n"/>
      <c r="H599" s="41" t="n"/>
      <c r="I599" s="42">
        <f>IF($H599="","",MAX(0,$H599-N($E599)))</f>
        <v/>
      </c>
      <c r="J599" s="42">
        <f>IF($H599="","",MAX(0,$H599-N($G599)))</f>
        <v/>
      </c>
    </row>
    <row r="600" ht="19.5" customHeight="1" s="72">
      <c r="A600" s="38" t="inlineStr">
        <is>
          <t>DM-32-P13-SBA</t>
        </is>
      </c>
      <c r="B600" s="38" t="inlineStr">
        <is>
          <t>Fase 32</t>
        </is>
      </c>
      <c r="C600" s="38" t="inlineStr">
        <is>
          <t>São Bento da Abadá</t>
        </is>
      </c>
      <c r="D600" s="39" t="inlineStr">
        <is>
          <t>A_D_M_32_P13</t>
        </is>
      </c>
      <c r="E600" s="40" t="n"/>
      <c r="F600" s="39" t="inlineStr">
        <is>
          <t>B_D_M_32_P13</t>
        </is>
      </c>
      <c r="G600" s="40" t="n"/>
      <c r="H600" s="41" t="n"/>
      <c r="I600" s="42">
        <f>IF($H600="","",MAX(0,$H600-N($E600)))</f>
        <v/>
      </c>
      <c r="J600" s="42">
        <f>IF($H600="","",MAX(0,$H600-N($G600)))</f>
        <v/>
      </c>
    </row>
    <row r="601" ht="19.5" customHeight="1" s="72">
      <c r="A601" s="38" t="inlineStr">
        <is>
          <t>DM-32-P13-SIR</t>
        </is>
      </c>
      <c r="B601" s="38" t="inlineStr">
        <is>
          <t>Fase 32</t>
        </is>
      </c>
      <c r="C601" s="38" t="inlineStr">
        <is>
          <t>Siriuna</t>
        </is>
      </c>
      <c r="D601" s="39" t="inlineStr">
        <is>
          <t>A_D_M_32_P13</t>
        </is>
      </c>
      <c r="E601" s="40" t="n"/>
      <c r="F601" s="39" t="inlineStr">
        <is>
          <t>B_D_M_32_P13</t>
        </is>
      </c>
      <c r="G601" s="40" t="n"/>
      <c r="H601" s="41" t="n"/>
      <c r="I601" s="42">
        <f>IF($H601="","",MAX(0,$H601-N($E601)))</f>
        <v/>
      </c>
      <c r="J601" s="42">
        <f>IF($H601="","",MAX(0,$H601-N($G601)))</f>
        <v/>
      </c>
    </row>
    <row r="602" ht="19.5" customHeight="1" s="72">
      <c r="A602" s="38" t="inlineStr">
        <is>
          <t>DM-32-P14-BEN</t>
        </is>
      </c>
      <c r="B602" s="38" t="inlineStr">
        <is>
          <t>Fase 32</t>
        </is>
      </c>
      <c r="C602" s="38" t="inlineStr">
        <is>
          <t>Benguela</t>
        </is>
      </c>
      <c r="D602" s="39" t="inlineStr">
        <is>
          <t>A_D_M_32_P14</t>
        </is>
      </c>
      <c r="E602" s="40" t="n"/>
      <c r="F602" s="39" t="inlineStr">
        <is>
          <t>B_D_M_32_P14</t>
        </is>
      </c>
      <c r="G602" s="40" t="n"/>
      <c r="H602" s="41" t="n"/>
      <c r="I602" s="42">
        <f>IF($H602="","",MAX(0,$H602-N($E602)))</f>
        <v/>
      </c>
      <c r="J602" s="42">
        <f>IF($H602="","",MAX(0,$H602-N($G602)))</f>
        <v/>
      </c>
    </row>
    <row r="603" ht="19.5" customHeight="1" s="72">
      <c r="A603" s="38" t="inlineStr">
        <is>
          <t>DM-32-P14-SBA</t>
        </is>
      </c>
      <c r="B603" s="38" t="inlineStr">
        <is>
          <t>Fase 32</t>
        </is>
      </c>
      <c r="C603" s="38" t="inlineStr">
        <is>
          <t>São Bento da Abadá</t>
        </is>
      </c>
      <c r="D603" s="39" t="inlineStr">
        <is>
          <t>A_D_M_32_P14</t>
        </is>
      </c>
      <c r="E603" s="40" t="n"/>
      <c r="F603" s="39" t="inlineStr">
        <is>
          <t>B_D_M_32_P14</t>
        </is>
      </c>
      <c r="G603" s="40" t="n"/>
      <c r="H603" s="41" t="n"/>
      <c r="I603" s="42">
        <f>IF($H603="","",MAX(0,$H603-N($E603)))</f>
        <v/>
      </c>
      <c r="J603" s="42">
        <f>IF($H603="","",MAX(0,$H603-N($G603)))</f>
        <v/>
      </c>
    </row>
    <row r="604" ht="19.5" customHeight="1" s="72">
      <c r="A604" s="38" t="inlineStr">
        <is>
          <t>DM-32-P14-SIR</t>
        </is>
      </c>
      <c r="B604" s="38" t="inlineStr">
        <is>
          <t>Fase 32</t>
        </is>
      </c>
      <c r="C604" s="38" t="inlineStr">
        <is>
          <t>Siriuna</t>
        </is>
      </c>
      <c r="D604" s="39" t="inlineStr">
        <is>
          <t>A_D_M_32_P14</t>
        </is>
      </c>
      <c r="E604" s="40" t="n"/>
      <c r="F604" s="39" t="inlineStr">
        <is>
          <t>B_D_M_32_P14</t>
        </is>
      </c>
      <c r="G604" s="40" t="n"/>
      <c r="H604" s="41" t="n"/>
      <c r="I604" s="42">
        <f>IF($H604="","",MAX(0,$H604-N($E604)))</f>
        <v/>
      </c>
      <c r="J604" s="42">
        <f>IF($H604="","",MAX(0,$H604-N($G604)))</f>
        <v/>
      </c>
    </row>
    <row r="605" ht="19.5" customHeight="1" s="72">
      <c r="A605" s="38" t="inlineStr">
        <is>
          <t>DM-32-P15-BEN</t>
        </is>
      </c>
      <c r="B605" s="38" t="inlineStr">
        <is>
          <t>Fase 32</t>
        </is>
      </c>
      <c r="C605" s="38" t="inlineStr">
        <is>
          <t>Benguela</t>
        </is>
      </c>
      <c r="D605" s="39" t="inlineStr">
        <is>
          <t>A_D_M_32_P15</t>
        </is>
      </c>
      <c r="E605" s="40" t="n"/>
      <c r="F605" s="39" t="inlineStr">
        <is>
          <t>B_D_M_32_P15</t>
        </is>
      </c>
      <c r="G605" s="40" t="n"/>
      <c r="H605" s="41" t="n"/>
      <c r="I605" s="42">
        <f>IF($H605="","",MAX(0,$H605-N($E605)))</f>
        <v/>
      </c>
      <c r="J605" s="42">
        <f>IF($H605="","",MAX(0,$H605-N($G605)))</f>
        <v/>
      </c>
    </row>
    <row r="606" ht="19.5" customHeight="1" s="72">
      <c r="A606" s="38" t="inlineStr">
        <is>
          <t>DM-32-P15-SBA</t>
        </is>
      </c>
      <c r="B606" s="38" t="inlineStr">
        <is>
          <t>Fase 32</t>
        </is>
      </c>
      <c r="C606" s="38" t="inlineStr">
        <is>
          <t>São Bento da Abadá</t>
        </is>
      </c>
      <c r="D606" s="39" t="inlineStr">
        <is>
          <t>A_D_M_32_P15</t>
        </is>
      </c>
      <c r="E606" s="40" t="n"/>
      <c r="F606" s="39" t="inlineStr">
        <is>
          <t>B_D_M_32_P15</t>
        </is>
      </c>
      <c r="G606" s="40" t="n"/>
      <c r="H606" s="41" t="n"/>
      <c r="I606" s="42">
        <f>IF($H606="","",MAX(0,$H606-N($E606)))</f>
        <v/>
      </c>
      <c r="J606" s="42">
        <f>IF($H606="","",MAX(0,$H606-N($G606)))</f>
        <v/>
      </c>
    </row>
    <row r="607" ht="19.5" customHeight="1" s="72">
      <c r="A607" s="38" t="inlineStr">
        <is>
          <t>DM-32-P15-SIR</t>
        </is>
      </c>
      <c r="B607" s="38" t="inlineStr">
        <is>
          <t>Fase 32</t>
        </is>
      </c>
      <c r="C607" s="38" t="inlineStr">
        <is>
          <t>Siriuna</t>
        </is>
      </c>
      <c r="D607" s="39" t="inlineStr">
        <is>
          <t>A_D_M_32_P15</t>
        </is>
      </c>
      <c r="E607" s="40" t="n"/>
      <c r="F607" s="39" t="inlineStr">
        <is>
          <t>B_D_M_32_P15</t>
        </is>
      </c>
      <c r="G607" s="40" t="n"/>
      <c r="H607" s="41" t="n"/>
      <c r="I607" s="42">
        <f>IF($H607="","",MAX(0,$H607-N($E607)))</f>
        <v/>
      </c>
      <c r="J607" s="42">
        <f>IF($H607="","",MAX(0,$H607-N($G607)))</f>
        <v/>
      </c>
    </row>
    <row r="608" ht="19.5" customHeight="1" s="72">
      <c r="A608" s="38" t="inlineStr">
        <is>
          <t>DM-32-P16-BEN</t>
        </is>
      </c>
      <c r="B608" s="38" t="inlineStr">
        <is>
          <t>Fase 32</t>
        </is>
      </c>
      <c r="C608" s="38" t="inlineStr">
        <is>
          <t>Benguela</t>
        </is>
      </c>
      <c r="D608" s="39" t="inlineStr">
        <is>
          <t>A_D_M_32_P16</t>
        </is>
      </c>
      <c r="E608" s="40" t="n"/>
      <c r="F608" s="39" t="inlineStr">
        <is>
          <t>B_D_M_32_P16</t>
        </is>
      </c>
      <c r="G608" s="40" t="n"/>
      <c r="H608" s="41" t="n"/>
      <c r="I608" s="42">
        <f>IF($H608="","",MAX(0,$H608-N($E608)))</f>
        <v/>
      </c>
      <c r="J608" s="42">
        <f>IF($H608="","",MAX(0,$H608-N($G608)))</f>
        <v/>
      </c>
    </row>
    <row r="609" ht="19.5" customHeight="1" s="72">
      <c r="A609" s="38" t="inlineStr">
        <is>
          <t>DM-32-P16-SBA</t>
        </is>
      </c>
      <c r="B609" s="38" t="inlineStr">
        <is>
          <t>Fase 32</t>
        </is>
      </c>
      <c r="C609" s="38" t="inlineStr">
        <is>
          <t>São Bento da Abadá</t>
        </is>
      </c>
      <c r="D609" s="39" t="inlineStr">
        <is>
          <t>A_D_M_32_P16</t>
        </is>
      </c>
      <c r="E609" s="40" t="n"/>
      <c r="F609" s="39" t="inlineStr">
        <is>
          <t>B_D_M_32_P16</t>
        </is>
      </c>
      <c r="G609" s="40" t="n"/>
      <c r="H609" s="41" t="n"/>
      <c r="I609" s="42">
        <f>IF($H609="","",MAX(0,$H609-N($E609)))</f>
        <v/>
      </c>
      <c r="J609" s="42">
        <f>IF($H609="","",MAX(0,$H609-N($G609)))</f>
        <v/>
      </c>
    </row>
    <row r="610" ht="19.5" customHeight="1" s="72">
      <c r="A610" s="38" t="inlineStr">
        <is>
          <t>DM-32-P16-SIR</t>
        </is>
      </c>
      <c r="B610" s="38" t="inlineStr">
        <is>
          <t>Fase 32</t>
        </is>
      </c>
      <c r="C610" s="38" t="inlineStr">
        <is>
          <t>Siriuna</t>
        </is>
      </c>
      <c r="D610" s="39" t="inlineStr">
        <is>
          <t>A_D_M_32_P16</t>
        </is>
      </c>
      <c r="E610" s="40" t="n"/>
      <c r="F610" s="39" t="inlineStr">
        <is>
          <t>B_D_M_32_P16</t>
        </is>
      </c>
      <c r="G610" s="40" t="n"/>
      <c r="H610" s="41" t="n"/>
      <c r="I610" s="42">
        <f>IF($H610="","",MAX(0,$H610-N($E610)))</f>
        <v/>
      </c>
      <c r="J610" s="42">
        <f>IF($H610="","",MAX(0,$H610-N($G610)))</f>
        <v/>
      </c>
    </row>
    <row r="611" ht="19.5" customHeight="1" s="72">
      <c r="A611" s="38" t="inlineStr">
        <is>
          <t>DM-OCT-P01-BEN</t>
        </is>
      </c>
      <c r="B611" s="38" t="inlineStr">
        <is>
          <t>Octavas</t>
        </is>
      </c>
      <c r="C611" s="38" t="inlineStr">
        <is>
          <t>Benguela</t>
        </is>
      </c>
      <c r="D611" s="39">
        <f>IFERROR(CLASIF_D_M!$F$5,"")</f>
        <v/>
      </c>
      <c r="E611" s="40" t="n"/>
      <c r="F611" s="39">
        <f>IFERROR(CLASIF_D_M!$F$20,"")</f>
        <v/>
      </c>
      <c r="G611" s="40" t="n"/>
      <c r="H611" s="41" t="n"/>
      <c r="I611" s="42">
        <f>IF($H611="","",MAX(0,$H611-N($E611)))</f>
        <v/>
      </c>
      <c r="J611" s="42">
        <f>IF($H611="","",MAX(0,$H611-N($G611)))</f>
        <v/>
      </c>
    </row>
    <row r="612" ht="19.5" customHeight="1" s="72">
      <c r="A612" s="38" t="inlineStr">
        <is>
          <t>DM-OCT-P01-SBA</t>
        </is>
      </c>
      <c r="B612" s="38" t="inlineStr">
        <is>
          <t>Octavas</t>
        </is>
      </c>
      <c r="C612" s="38" t="inlineStr">
        <is>
          <t>São Bento da Abadá</t>
        </is>
      </c>
      <c r="D612" s="39">
        <f>IFERROR(CLASIF_D_M!$F$5,"")</f>
        <v/>
      </c>
      <c r="E612" s="40" t="n"/>
      <c r="F612" s="39">
        <f>IFERROR(CLASIF_D_M!$F$20,"")</f>
        <v/>
      </c>
      <c r="G612" s="40" t="n"/>
      <c r="H612" s="41" t="n"/>
      <c r="I612" s="42">
        <f>IF($H612="","",MAX(0,$H612-N($E612)))</f>
        <v/>
      </c>
      <c r="J612" s="42">
        <f>IF($H612="","",MAX(0,$H612-N($G612)))</f>
        <v/>
      </c>
    </row>
    <row r="613" ht="19.5" customHeight="1" s="72">
      <c r="A613" s="38" t="inlineStr">
        <is>
          <t>DM-OCT-P01-SIR</t>
        </is>
      </c>
      <c r="B613" s="38" t="inlineStr">
        <is>
          <t>Octavas</t>
        </is>
      </c>
      <c r="C613" s="38" t="inlineStr">
        <is>
          <t>Siriuna</t>
        </is>
      </c>
      <c r="D613" s="39">
        <f>IFERROR(CLASIF_D_M!$F$5,"")</f>
        <v/>
      </c>
      <c r="E613" s="40" t="n"/>
      <c r="F613" s="39">
        <f>IFERROR(CLASIF_D_M!$F$20,"")</f>
        <v/>
      </c>
      <c r="G613" s="40" t="n"/>
      <c r="H613" s="41" t="n"/>
      <c r="I613" s="42">
        <f>IF($H613="","",MAX(0,$H613-N($E613)))</f>
        <v/>
      </c>
      <c r="J613" s="42">
        <f>IF($H613="","",MAX(0,$H613-N($G613)))</f>
        <v/>
      </c>
    </row>
    <row r="614" ht="19.5" customHeight="1" s="72">
      <c r="A614" s="38" t="inlineStr">
        <is>
          <t>DM-OCT-P02-BEN</t>
        </is>
      </c>
      <c r="B614" s="38" t="inlineStr">
        <is>
          <t>Octavas</t>
        </is>
      </c>
      <c r="C614" s="38" t="inlineStr">
        <is>
          <t>Benguela</t>
        </is>
      </c>
      <c r="D614" s="39">
        <f>IFERROR(CLASIF_D_M!$F$6,"")</f>
        <v/>
      </c>
      <c r="E614" s="40" t="n"/>
      <c r="F614" s="39">
        <f>IFERROR(CLASIF_D_M!$F$19,"")</f>
        <v/>
      </c>
      <c r="G614" s="40" t="n"/>
      <c r="H614" s="41" t="n"/>
      <c r="I614" s="42">
        <f>IF($H614="","",MAX(0,$H614-N($E614)))</f>
        <v/>
      </c>
      <c r="J614" s="42">
        <f>IF($H614="","",MAX(0,$H614-N($G614)))</f>
        <v/>
      </c>
    </row>
    <row r="615" ht="19.5" customHeight="1" s="72">
      <c r="A615" s="38" t="inlineStr">
        <is>
          <t>DM-OCT-P02-SBA</t>
        </is>
      </c>
      <c r="B615" s="38" t="inlineStr">
        <is>
          <t>Octavas</t>
        </is>
      </c>
      <c r="C615" s="38" t="inlineStr">
        <is>
          <t>São Bento da Abadá</t>
        </is>
      </c>
      <c r="D615" s="39">
        <f>IFERROR(CLASIF_D_M!$F$6,"")</f>
        <v/>
      </c>
      <c r="E615" s="40" t="n"/>
      <c r="F615" s="39">
        <f>IFERROR(CLASIF_D_M!$F$19,"")</f>
        <v/>
      </c>
      <c r="G615" s="40" t="n"/>
      <c r="H615" s="41" t="n"/>
      <c r="I615" s="42">
        <f>IF($H615="","",MAX(0,$H615-N($E615)))</f>
        <v/>
      </c>
      <c r="J615" s="42">
        <f>IF($H615="","",MAX(0,$H615-N($G615)))</f>
        <v/>
      </c>
    </row>
    <row r="616" ht="19.5" customHeight="1" s="72">
      <c r="A616" s="38" t="inlineStr">
        <is>
          <t>DM-OCT-P02-SIR</t>
        </is>
      </c>
      <c r="B616" s="38" t="inlineStr">
        <is>
          <t>Octavas</t>
        </is>
      </c>
      <c r="C616" s="38" t="inlineStr">
        <is>
          <t>Siriuna</t>
        </is>
      </c>
      <c r="D616" s="39">
        <f>IFERROR(CLASIF_D_M!$F$6,"")</f>
        <v/>
      </c>
      <c r="E616" s="40" t="n"/>
      <c r="F616" s="39">
        <f>IFERROR(CLASIF_D_M!$F$19,"")</f>
        <v/>
      </c>
      <c r="G616" s="40" t="n"/>
      <c r="H616" s="41" t="n"/>
      <c r="I616" s="42">
        <f>IF($H616="","",MAX(0,$H616-N($E616)))</f>
        <v/>
      </c>
      <c r="J616" s="42">
        <f>IF($H616="","",MAX(0,$H616-N($G616)))</f>
        <v/>
      </c>
    </row>
    <row r="617" ht="19.5" customHeight="1" s="72">
      <c r="A617" s="38" t="inlineStr">
        <is>
          <t>DM-OCT-P03-BEN</t>
        </is>
      </c>
      <c r="B617" s="38" t="inlineStr">
        <is>
          <t>Octavas</t>
        </is>
      </c>
      <c r="C617" s="38" t="inlineStr">
        <is>
          <t>Benguela</t>
        </is>
      </c>
      <c r="D617" s="39">
        <f>IFERROR(CLASIF_D_M!$F$7,"")</f>
        <v/>
      </c>
      <c r="E617" s="40" t="n"/>
      <c r="F617" s="39">
        <f>IFERROR(CLASIF_D_M!$F$18,"")</f>
        <v/>
      </c>
      <c r="G617" s="40" t="n"/>
      <c r="H617" s="41" t="n"/>
      <c r="I617" s="42">
        <f>IF($H617="","",MAX(0,$H617-N($E617)))</f>
        <v/>
      </c>
      <c r="J617" s="42">
        <f>IF($H617="","",MAX(0,$H617-N($G617)))</f>
        <v/>
      </c>
    </row>
    <row r="618" ht="19.5" customHeight="1" s="72">
      <c r="A618" s="38" t="inlineStr">
        <is>
          <t>DM-OCT-P03-SBA</t>
        </is>
      </c>
      <c r="B618" s="38" t="inlineStr">
        <is>
          <t>Octavas</t>
        </is>
      </c>
      <c r="C618" s="38" t="inlineStr">
        <is>
          <t>São Bento da Abadá</t>
        </is>
      </c>
      <c r="D618" s="39">
        <f>IFERROR(CLASIF_D_M!$F$7,"")</f>
        <v/>
      </c>
      <c r="E618" s="40" t="n"/>
      <c r="F618" s="39">
        <f>IFERROR(CLASIF_D_M!$F$18,"")</f>
        <v/>
      </c>
      <c r="G618" s="40" t="n"/>
      <c r="H618" s="41" t="n"/>
      <c r="I618" s="42">
        <f>IF($H618="","",MAX(0,$H618-N($E618)))</f>
        <v/>
      </c>
      <c r="J618" s="42">
        <f>IF($H618="","",MAX(0,$H618-N($G618)))</f>
        <v/>
      </c>
    </row>
    <row r="619" ht="19.5" customHeight="1" s="72">
      <c r="A619" s="38" t="inlineStr">
        <is>
          <t>DM-OCT-P03-SIR</t>
        </is>
      </c>
      <c r="B619" s="38" t="inlineStr">
        <is>
          <t>Octavas</t>
        </is>
      </c>
      <c r="C619" s="38" t="inlineStr">
        <is>
          <t>Siriuna</t>
        </is>
      </c>
      <c r="D619" s="39">
        <f>IFERROR(CLASIF_D_M!$F$7,"")</f>
        <v/>
      </c>
      <c r="E619" s="40" t="n"/>
      <c r="F619" s="39">
        <f>IFERROR(CLASIF_D_M!$F$18,"")</f>
        <v/>
      </c>
      <c r="G619" s="40" t="n"/>
      <c r="H619" s="41" t="n"/>
      <c r="I619" s="42">
        <f>IF($H619="","",MAX(0,$H619-N($E619)))</f>
        <v/>
      </c>
      <c r="J619" s="42">
        <f>IF($H619="","",MAX(0,$H619-N($G619)))</f>
        <v/>
      </c>
    </row>
    <row r="620" ht="19.5" customHeight="1" s="72">
      <c r="A620" s="38" t="inlineStr">
        <is>
          <t>DM-OCT-P04-BEN</t>
        </is>
      </c>
      <c r="B620" s="38" t="inlineStr">
        <is>
          <t>Octavas</t>
        </is>
      </c>
      <c r="C620" s="38" t="inlineStr">
        <is>
          <t>Benguela</t>
        </is>
      </c>
      <c r="D620" s="39">
        <f>IFERROR(CLASIF_D_M!$F$8,"")</f>
        <v/>
      </c>
      <c r="E620" s="40" t="n"/>
      <c r="F620" s="39">
        <f>IFERROR(CLASIF_D_M!$F$17,"")</f>
        <v/>
      </c>
      <c r="G620" s="40" t="n"/>
      <c r="H620" s="41" t="n"/>
      <c r="I620" s="42">
        <f>IF($H620="","",MAX(0,$H620-N($E620)))</f>
        <v/>
      </c>
      <c r="J620" s="42">
        <f>IF($H620="","",MAX(0,$H620-N($G620)))</f>
        <v/>
      </c>
    </row>
    <row r="621" ht="19.5" customHeight="1" s="72">
      <c r="A621" s="38" t="inlineStr">
        <is>
          <t>DM-OCT-P04-SBA</t>
        </is>
      </c>
      <c r="B621" s="38" t="inlineStr">
        <is>
          <t>Octavas</t>
        </is>
      </c>
      <c r="C621" s="38" t="inlineStr">
        <is>
          <t>São Bento da Abadá</t>
        </is>
      </c>
      <c r="D621" s="39">
        <f>IFERROR(CLASIF_D_M!$F$8,"")</f>
        <v/>
      </c>
      <c r="E621" s="40" t="n"/>
      <c r="F621" s="39">
        <f>IFERROR(CLASIF_D_M!$F$17,"")</f>
        <v/>
      </c>
      <c r="G621" s="40" t="n"/>
      <c r="H621" s="41" t="n"/>
      <c r="I621" s="42">
        <f>IF($H621="","",MAX(0,$H621-N($E621)))</f>
        <v/>
      </c>
      <c r="J621" s="42">
        <f>IF($H621="","",MAX(0,$H621-N($G621)))</f>
        <v/>
      </c>
    </row>
    <row r="622" ht="19.5" customHeight="1" s="72">
      <c r="A622" s="38" t="inlineStr">
        <is>
          <t>DM-OCT-P04-SIR</t>
        </is>
      </c>
      <c r="B622" s="38" t="inlineStr">
        <is>
          <t>Octavas</t>
        </is>
      </c>
      <c r="C622" s="38" t="inlineStr">
        <is>
          <t>Siriuna</t>
        </is>
      </c>
      <c r="D622" s="39">
        <f>IFERROR(CLASIF_D_M!$F$8,"")</f>
        <v/>
      </c>
      <c r="E622" s="40" t="n"/>
      <c r="F622" s="39">
        <f>IFERROR(CLASIF_D_M!$F$17,"")</f>
        <v/>
      </c>
      <c r="G622" s="40" t="n"/>
      <c r="H622" s="41" t="n"/>
      <c r="I622" s="42">
        <f>IF($H622="","",MAX(0,$H622-N($E622)))</f>
        <v/>
      </c>
      <c r="J622" s="42">
        <f>IF($H622="","",MAX(0,$H622-N($G622)))</f>
        <v/>
      </c>
    </row>
    <row r="623" ht="19.5" customHeight="1" s="72">
      <c r="A623" s="38" t="inlineStr">
        <is>
          <t>DM-OCT-P05-BEN</t>
        </is>
      </c>
      <c r="B623" s="38" t="inlineStr">
        <is>
          <t>Octavas</t>
        </is>
      </c>
      <c r="C623" s="38" t="inlineStr">
        <is>
          <t>Benguela</t>
        </is>
      </c>
      <c r="D623" s="39">
        <f>IFERROR(CLASIF_D_M!$F$9,"")</f>
        <v/>
      </c>
      <c r="E623" s="40" t="n"/>
      <c r="F623" s="39">
        <f>IFERROR(CLASIF_D_M!$F$16,"")</f>
        <v/>
      </c>
      <c r="G623" s="40" t="n"/>
      <c r="H623" s="41" t="n"/>
      <c r="I623" s="42">
        <f>IF($H623="","",MAX(0,$H623-N($E623)))</f>
        <v/>
      </c>
      <c r="J623" s="42">
        <f>IF($H623="","",MAX(0,$H623-N($G623)))</f>
        <v/>
      </c>
    </row>
    <row r="624" ht="19.5" customHeight="1" s="72">
      <c r="A624" s="38" t="inlineStr">
        <is>
          <t>DM-OCT-P05-SBA</t>
        </is>
      </c>
      <c r="B624" s="38" t="inlineStr">
        <is>
          <t>Octavas</t>
        </is>
      </c>
      <c r="C624" s="38" t="inlineStr">
        <is>
          <t>São Bento da Abadá</t>
        </is>
      </c>
      <c r="D624" s="39">
        <f>IFERROR(CLASIF_D_M!$F$9,"")</f>
        <v/>
      </c>
      <c r="E624" s="40" t="n"/>
      <c r="F624" s="39">
        <f>IFERROR(CLASIF_D_M!$F$16,"")</f>
        <v/>
      </c>
      <c r="G624" s="40" t="n"/>
      <c r="H624" s="41" t="n"/>
      <c r="I624" s="42">
        <f>IF($H624="","",MAX(0,$H624-N($E624)))</f>
        <v/>
      </c>
      <c r="J624" s="42">
        <f>IF($H624="","",MAX(0,$H624-N($G624)))</f>
        <v/>
      </c>
    </row>
    <row r="625" ht="19.5" customHeight="1" s="72">
      <c r="A625" s="38" t="inlineStr">
        <is>
          <t>DM-OCT-P05-SIR</t>
        </is>
      </c>
      <c r="B625" s="38" t="inlineStr">
        <is>
          <t>Octavas</t>
        </is>
      </c>
      <c r="C625" s="38" t="inlineStr">
        <is>
          <t>Siriuna</t>
        </is>
      </c>
      <c r="D625" s="39">
        <f>IFERROR(CLASIF_D_M!$F$9,"")</f>
        <v/>
      </c>
      <c r="E625" s="40" t="n"/>
      <c r="F625" s="39">
        <f>IFERROR(CLASIF_D_M!$F$16,"")</f>
        <v/>
      </c>
      <c r="G625" s="40" t="n"/>
      <c r="H625" s="41" t="n"/>
      <c r="I625" s="42">
        <f>IF($H625="","",MAX(0,$H625-N($E625)))</f>
        <v/>
      </c>
      <c r="J625" s="42">
        <f>IF($H625="","",MAX(0,$H625-N($G625)))</f>
        <v/>
      </c>
    </row>
    <row r="626" ht="19.5" customHeight="1" s="72">
      <c r="A626" s="38" t="inlineStr">
        <is>
          <t>DM-OCT-P06-BEN</t>
        </is>
      </c>
      <c r="B626" s="38" t="inlineStr">
        <is>
          <t>Octavas</t>
        </is>
      </c>
      <c r="C626" s="38" t="inlineStr">
        <is>
          <t>Benguela</t>
        </is>
      </c>
      <c r="D626" s="39">
        <f>IFERROR(CLASIF_D_M!$F$10,"")</f>
        <v/>
      </c>
      <c r="E626" s="40" t="n"/>
      <c r="F626" s="39">
        <f>IFERROR(CLASIF_D_M!$F$15,"")</f>
        <v/>
      </c>
      <c r="G626" s="40" t="n"/>
      <c r="H626" s="41" t="n"/>
      <c r="I626" s="42">
        <f>IF($H626="","",MAX(0,$H626-N($E626)))</f>
        <v/>
      </c>
      <c r="J626" s="42">
        <f>IF($H626="","",MAX(0,$H626-N($G626)))</f>
        <v/>
      </c>
    </row>
    <row r="627" ht="19.5" customHeight="1" s="72">
      <c r="A627" s="38" t="inlineStr">
        <is>
          <t>DM-OCT-P06-SBA</t>
        </is>
      </c>
      <c r="B627" s="38" t="inlineStr">
        <is>
          <t>Octavas</t>
        </is>
      </c>
      <c r="C627" s="38" t="inlineStr">
        <is>
          <t>São Bento da Abadá</t>
        </is>
      </c>
      <c r="D627" s="39">
        <f>IFERROR(CLASIF_D_M!$F$10,"")</f>
        <v/>
      </c>
      <c r="E627" s="40" t="n"/>
      <c r="F627" s="39">
        <f>IFERROR(CLASIF_D_M!$F$15,"")</f>
        <v/>
      </c>
      <c r="G627" s="40" t="n"/>
      <c r="H627" s="41" t="n"/>
      <c r="I627" s="42">
        <f>IF($H627="","",MAX(0,$H627-N($E627)))</f>
        <v/>
      </c>
      <c r="J627" s="42">
        <f>IF($H627="","",MAX(0,$H627-N($G627)))</f>
        <v/>
      </c>
    </row>
    <row r="628" ht="19.5" customHeight="1" s="72">
      <c r="A628" s="38" t="inlineStr">
        <is>
          <t>DM-OCT-P06-SIR</t>
        </is>
      </c>
      <c r="B628" s="38" t="inlineStr">
        <is>
          <t>Octavas</t>
        </is>
      </c>
      <c r="C628" s="38" t="inlineStr">
        <is>
          <t>Siriuna</t>
        </is>
      </c>
      <c r="D628" s="39">
        <f>IFERROR(CLASIF_D_M!$F$10,"")</f>
        <v/>
      </c>
      <c r="E628" s="40" t="n"/>
      <c r="F628" s="39">
        <f>IFERROR(CLASIF_D_M!$F$15,"")</f>
        <v/>
      </c>
      <c r="G628" s="40" t="n"/>
      <c r="H628" s="41" t="n"/>
      <c r="I628" s="42">
        <f>IF($H628="","",MAX(0,$H628-N($E628)))</f>
        <v/>
      </c>
      <c r="J628" s="42">
        <f>IF($H628="","",MAX(0,$H628-N($G628)))</f>
        <v/>
      </c>
    </row>
    <row r="629" ht="19.5" customHeight="1" s="72">
      <c r="A629" s="38" t="inlineStr">
        <is>
          <t>DM-OCT-P07-BEN</t>
        </is>
      </c>
      <c r="B629" s="38" t="inlineStr">
        <is>
          <t>Octavas</t>
        </is>
      </c>
      <c r="C629" s="38" t="inlineStr">
        <is>
          <t>Benguela</t>
        </is>
      </c>
      <c r="D629" s="39">
        <f>IFERROR(CLASIF_D_M!$F$11,"")</f>
        <v/>
      </c>
      <c r="E629" s="40" t="n"/>
      <c r="F629" s="39">
        <f>IFERROR(CLASIF_D_M!$F$14,"")</f>
        <v/>
      </c>
      <c r="G629" s="40" t="n"/>
      <c r="H629" s="41" t="n"/>
      <c r="I629" s="42">
        <f>IF($H629="","",MAX(0,$H629-N($E629)))</f>
        <v/>
      </c>
      <c r="J629" s="42">
        <f>IF($H629="","",MAX(0,$H629-N($G629)))</f>
        <v/>
      </c>
    </row>
    <row r="630" ht="19.5" customHeight="1" s="72">
      <c r="A630" s="38" t="inlineStr">
        <is>
          <t>DM-OCT-P07-SBA</t>
        </is>
      </c>
      <c r="B630" s="38" t="inlineStr">
        <is>
          <t>Octavas</t>
        </is>
      </c>
      <c r="C630" s="38" t="inlineStr">
        <is>
          <t>São Bento da Abadá</t>
        </is>
      </c>
      <c r="D630" s="39">
        <f>IFERROR(CLASIF_D_M!$F$11,"")</f>
        <v/>
      </c>
      <c r="E630" s="40" t="n"/>
      <c r="F630" s="39">
        <f>IFERROR(CLASIF_D_M!$F$14,"")</f>
        <v/>
      </c>
      <c r="G630" s="40" t="n"/>
      <c r="H630" s="41" t="n"/>
      <c r="I630" s="42">
        <f>IF($H630="","",MAX(0,$H630-N($E630)))</f>
        <v/>
      </c>
      <c r="J630" s="42">
        <f>IF($H630="","",MAX(0,$H630-N($G630)))</f>
        <v/>
      </c>
    </row>
    <row r="631" ht="19.5" customHeight="1" s="72">
      <c r="A631" s="38" t="inlineStr">
        <is>
          <t>DM-OCT-P07-SIR</t>
        </is>
      </c>
      <c r="B631" s="38" t="inlineStr">
        <is>
          <t>Octavas</t>
        </is>
      </c>
      <c r="C631" s="38" t="inlineStr">
        <is>
          <t>Siriuna</t>
        </is>
      </c>
      <c r="D631" s="39">
        <f>IFERROR(CLASIF_D_M!$F$11,"")</f>
        <v/>
      </c>
      <c r="E631" s="40" t="n"/>
      <c r="F631" s="39">
        <f>IFERROR(CLASIF_D_M!$F$14,"")</f>
        <v/>
      </c>
      <c r="G631" s="40" t="n"/>
      <c r="H631" s="41" t="n"/>
      <c r="I631" s="42">
        <f>IF($H631="","",MAX(0,$H631-N($E631)))</f>
        <v/>
      </c>
      <c r="J631" s="42">
        <f>IF($H631="","",MAX(0,$H631-N($G631)))</f>
        <v/>
      </c>
    </row>
    <row r="632" ht="19.5" customHeight="1" s="72">
      <c r="A632" s="38" t="inlineStr">
        <is>
          <t>DM-OCT-P08-BEN</t>
        </is>
      </c>
      <c r="B632" s="38" t="inlineStr">
        <is>
          <t>Octavas</t>
        </is>
      </c>
      <c r="C632" s="38" t="inlineStr">
        <is>
          <t>Benguela</t>
        </is>
      </c>
      <c r="D632" s="39">
        <f>IFERROR(CLASIF_D_M!$F$12,"")</f>
        <v/>
      </c>
      <c r="E632" s="40" t="n"/>
      <c r="F632" s="39">
        <f>IFERROR(CLASIF_D_M!$F$13,"")</f>
        <v/>
      </c>
      <c r="G632" s="40" t="n"/>
      <c r="H632" s="41" t="n"/>
      <c r="I632" s="42">
        <f>IF($H632="","",MAX(0,$H632-N($E632)))</f>
        <v/>
      </c>
      <c r="J632" s="42">
        <f>IF($H632="","",MAX(0,$H632-N($G632)))</f>
        <v/>
      </c>
    </row>
    <row r="633" ht="19.5" customHeight="1" s="72">
      <c r="A633" s="38" t="inlineStr">
        <is>
          <t>DM-OCT-P08-SBA</t>
        </is>
      </c>
      <c r="B633" s="38" t="inlineStr">
        <is>
          <t>Octavas</t>
        </is>
      </c>
      <c r="C633" s="38" t="inlineStr">
        <is>
          <t>São Bento da Abadá</t>
        </is>
      </c>
      <c r="D633" s="39">
        <f>IFERROR(CLASIF_D_M!$F$12,"")</f>
        <v/>
      </c>
      <c r="E633" s="40" t="n"/>
      <c r="F633" s="39">
        <f>IFERROR(CLASIF_D_M!$F$13,"")</f>
        <v/>
      </c>
      <c r="G633" s="40" t="n"/>
      <c r="H633" s="41" t="n"/>
      <c r="I633" s="42">
        <f>IF($H633="","",MAX(0,$H633-N($E633)))</f>
        <v/>
      </c>
      <c r="J633" s="42">
        <f>IF($H633="","",MAX(0,$H633-N($G633)))</f>
        <v/>
      </c>
    </row>
    <row r="634" ht="19.5" customHeight="1" s="72">
      <c r="A634" s="38" t="inlineStr">
        <is>
          <t>DM-OCT-P08-SIR</t>
        </is>
      </c>
      <c r="B634" s="38" t="inlineStr">
        <is>
          <t>Octavas</t>
        </is>
      </c>
      <c r="C634" s="38" t="inlineStr">
        <is>
          <t>Siriuna</t>
        </is>
      </c>
      <c r="D634" s="39">
        <f>IFERROR(CLASIF_D_M!$F$12,"")</f>
        <v/>
      </c>
      <c r="E634" s="40" t="n"/>
      <c r="F634" s="39">
        <f>IFERROR(CLASIF_D_M!$F$13,"")</f>
        <v/>
      </c>
      <c r="G634" s="40" t="n"/>
      <c r="H634" s="41" t="n"/>
      <c r="I634" s="42">
        <f>IF($H634="","",MAX(0,$H634-N($E634)))</f>
        <v/>
      </c>
      <c r="J634" s="42">
        <f>IF($H634="","",MAX(0,$H634-N($G634)))</f>
        <v/>
      </c>
    </row>
    <row r="635" ht="19.5" customHeight="1" s="72">
      <c r="A635" s="38" t="inlineStr">
        <is>
          <t>DM-SEM-P01-BEN</t>
        </is>
      </c>
      <c r="B635" s="38" t="inlineStr">
        <is>
          <t>Semifinal</t>
        </is>
      </c>
      <c r="C635" s="38" t="inlineStr">
        <is>
          <t>Benguela</t>
        </is>
      </c>
      <c r="D635" s="39">
        <f>IFERROR(CLASIF_D_M!$O$5,"")</f>
        <v/>
      </c>
      <c r="E635" s="40" t="n"/>
      <c r="F635" s="39">
        <f>IFERROR(CLASIF_D_M!$O$12,"")</f>
        <v/>
      </c>
      <c r="G635" s="40" t="n"/>
      <c r="H635" s="41" t="n"/>
      <c r="I635" s="42">
        <f>IF($H635="","",MAX(0,$H635-N($E635)))</f>
        <v/>
      </c>
      <c r="J635" s="42">
        <f>IF($H635="","",MAX(0,$H635-N($G635)))</f>
        <v/>
      </c>
    </row>
    <row r="636" ht="19.5" customHeight="1" s="72">
      <c r="A636" s="38" t="inlineStr">
        <is>
          <t>DM-SEM-P01-SBA</t>
        </is>
      </c>
      <c r="B636" s="38" t="inlineStr">
        <is>
          <t>Semifinal</t>
        </is>
      </c>
      <c r="C636" s="38" t="inlineStr">
        <is>
          <t>São Bento da Abadá</t>
        </is>
      </c>
      <c r="D636" s="39">
        <f>IFERROR(CLASIF_D_M!$O$5,"")</f>
        <v/>
      </c>
      <c r="E636" s="40" t="n"/>
      <c r="F636" s="39">
        <f>IFERROR(CLASIF_D_M!$O$12,"")</f>
        <v/>
      </c>
      <c r="G636" s="40" t="n"/>
      <c r="H636" s="41" t="n"/>
      <c r="I636" s="42">
        <f>IF($H636="","",MAX(0,$H636-N($E636)))</f>
        <v/>
      </c>
      <c r="J636" s="42">
        <f>IF($H636="","",MAX(0,$H636-N($G636)))</f>
        <v/>
      </c>
    </row>
    <row r="637" ht="19.5" customHeight="1" s="72">
      <c r="A637" s="38" t="inlineStr">
        <is>
          <t>DM-SEM-P01-SIR</t>
        </is>
      </c>
      <c r="B637" s="38" t="inlineStr">
        <is>
          <t>Semifinal</t>
        </is>
      </c>
      <c r="C637" s="38" t="inlineStr">
        <is>
          <t>Siriuna</t>
        </is>
      </c>
      <c r="D637" s="39">
        <f>IFERROR(CLASIF_D_M!$O$5,"")</f>
        <v/>
      </c>
      <c r="E637" s="40" t="n"/>
      <c r="F637" s="39">
        <f>IFERROR(CLASIF_D_M!$O$12,"")</f>
        <v/>
      </c>
      <c r="G637" s="40" t="n"/>
      <c r="H637" s="41" t="n"/>
      <c r="I637" s="42">
        <f>IF($H637="","",MAX(0,$H637-N($E637)))</f>
        <v/>
      </c>
      <c r="J637" s="42">
        <f>IF($H637="","",MAX(0,$H637-N($G637)))</f>
        <v/>
      </c>
    </row>
    <row r="638" ht="19.5" customHeight="1" s="72">
      <c r="A638" s="38" t="inlineStr">
        <is>
          <t>DM-SEM-P02-BEN</t>
        </is>
      </c>
      <c r="B638" s="38" t="inlineStr">
        <is>
          <t>Semifinal</t>
        </is>
      </c>
      <c r="C638" s="38" t="inlineStr">
        <is>
          <t>Benguela</t>
        </is>
      </c>
      <c r="D638" s="39">
        <f>IFERROR(CLASIF_D_M!$O$6,"")</f>
        <v/>
      </c>
      <c r="E638" s="40" t="n"/>
      <c r="F638" s="39">
        <f>IFERROR(CLASIF_D_M!$O$11,"")</f>
        <v/>
      </c>
      <c r="G638" s="40" t="n"/>
      <c r="H638" s="41" t="n"/>
      <c r="I638" s="42">
        <f>IF($H638="","",MAX(0,$H638-N($E638)))</f>
        <v/>
      </c>
      <c r="J638" s="42">
        <f>IF($H638="","",MAX(0,$H638-N($G638)))</f>
        <v/>
      </c>
    </row>
    <row r="639" ht="19.5" customHeight="1" s="72">
      <c r="A639" s="38" t="inlineStr">
        <is>
          <t>DM-SEM-P02-SBA</t>
        </is>
      </c>
      <c r="B639" s="38" t="inlineStr">
        <is>
          <t>Semifinal</t>
        </is>
      </c>
      <c r="C639" s="38" t="inlineStr">
        <is>
          <t>São Bento da Abadá</t>
        </is>
      </c>
      <c r="D639" s="39">
        <f>IFERROR(CLASIF_D_M!$O$6,"")</f>
        <v/>
      </c>
      <c r="E639" s="40" t="n"/>
      <c r="F639" s="39">
        <f>IFERROR(CLASIF_D_M!$O$11,"")</f>
        <v/>
      </c>
      <c r="G639" s="40" t="n"/>
      <c r="H639" s="41" t="n"/>
      <c r="I639" s="42">
        <f>IF($H639="","",MAX(0,$H639-N($E639)))</f>
        <v/>
      </c>
      <c r="J639" s="42">
        <f>IF($H639="","",MAX(0,$H639-N($G639)))</f>
        <v/>
      </c>
    </row>
    <row r="640" ht="19.5" customHeight="1" s="72">
      <c r="A640" s="38" t="inlineStr">
        <is>
          <t>DM-SEM-P02-SIR</t>
        </is>
      </c>
      <c r="B640" s="38" t="inlineStr">
        <is>
          <t>Semifinal</t>
        </is>
      </c>
      <c r="C640" s="38" t="inlineStr">
        <is>
          <t>Siriuna</t>
        </is>
      </c>
      <c r="D640" s="39">
        <f>IFERROR(CLASIF_D_M!$O$6,"")</f>
        <v/>
      </c>
      <c r="E640" s="40" t="n"/>
      <c r="F640" s="39">
        <f>IFERROR(CLASIF_D_M!$O$11,"")</f>
        <v/>
      </c>
      <c r="G640" s="40" t="n"/>
      <c r="H640" s="41" t="n"/>
      <c r="I640" s="42">
        <f>IF($H640="","",MAX(0,$H640-N($E640)))</f>
        <v/>
      </c>
      <c r="J640" s="42">
        <f>IF($H640="","",MAX(0,$H640-N($G640)))</f>
        <v/>
      </c>
    </row>
    <row r="641" ht="19.5" customHeight="1" s="72">
      <c r="A641" s="38" t="inlineStr">
        <is>
          <t>DM-SEM-P03-BEN</t>
        </is>
      </c>
      <c r="B641" s="38" t="inlineStr">
        <is>
          <t>Semifinal</t>
        </is>
      </c>
      <c r="C641" s="38" t="inlineStr">
        <is>
          <t>Benguela</t>
        </is>
      </c>
      <c r="D641" s="39">
        <f>IFERROR(CLASIF_D_M!$O$7,"")</f>
        <v/>
      </c>
      <c r="E641" s="40" t="n"/>
      <c r="F641" s="39">
        <f>IFERROR(CLASIF_D_M!$O$10,"")</f>
        <v/>
      </c>
      <c r="G641" s="40" t="n"/>
      <c r="H641" s="41" t="n"/>
      <c r="I641" s="42">
        <f>IF($H641="","",MAX(0,$H641-N($E641)))</f>
        <v/>
      </c>
      <c r="J641" s="42">
        <f>IF($H641="","",MAX(0,$H641-N($G641)))</f>
        <v/>
      </c>
    </row>
    <row r="642" ht="19.5" customHeight="1" s="72">
      <c r="A642" s="38" t="inlineStr">
        <is>
          <t>DM-SEM-P03-SBA</t>
        </is>
      </c>
      <c r="B642" s="38" t="inlineStr">
        <is>
          <t>Semifinal</t>
        </is>
      </c>
      <c r="C642" s="38" t="inlineStr">
        <is>
          <t>São Bento da Abadá</t>
        </is>
      </c>
      <c r="D642" s="39">
        <f>IFERROR(CLASIF_D_M!$O$7,"")</f>
        <v/>
      </c>
      <c r="E642" s="40" t="n"/>
      <c r="F642" s="39">
        <f>IFERROR(CLASIF_D_M!$O$10,"")</f>
        <v/>
      </c>
      <c r="G642" s="40" t="n"/>
      <c r="H642" s="41" t="n"/>
      <c r="I642" s="42">
        <f>IF($H642="","",MAX(0,$H642-N($E642)))</f>
        <v/>
      </c>
      <c r="J642" s="42">
        <f>IF($H642="","",MAX(0,$H642-N($G642)))</f>
        <v/>
      </c>
    </row>
    <row r="643" ht="19.5" customHeight="1" s="72">
      <c r="A643" s="38" t="inlineStr">
        <is>
          <t>DM-SEM-P03-SIR</t>
        </is>
      </c>
      <c r="B643" s="38" t="inlineStr">
        <is>
          <t>Semifinal</t>
        </is>
      </c>
      <c r="C643" s="38" t="inlineStr">
        <is>
          <t>Siriuna</t>
        </is>
      </c>
      <c r="D643" s="39">
        <f>IFERROR(CLASIF_D_M!$O$7,"")</f>
        <v/>
      </c>
      <c r="E643" s="40" t="n"/>
      <c r="F643" s="39">
        <f>IFERROR(CLASIF_D_M!$O$10,"")</f>
        <v/>
      </c>
      <c r="G643" s="40" t="n"/>
      <c r="H643" s="41" t="n"/>
      <c r="I643" s="42">
        <f>IF($H643="","",MAX(0,$H643-N($E643)))</f>
        <v/>
      </c>
      <c r="J643" s="42">
        <f>IF($H643="","",MAX(0,$H643-N($G643)))</f>
        <v/>
      </c>
    </row>
    <row r="644" ht="19.5" customHeight="1" s="72">
      <c r="A644" s="38" t="inlineStr">
        <is>
          <t>DM-SEM-P04-BEN</t>
        </is>
      </c>
      <c r="B644" s="38" t="inlineStr">
        <is>
          <t>Semifinal</t>
        </is>
      </c>
      <c r="C644" s="38" t="inlineStr">
        <is>
          <t>Benguela</t>
        </is>
      </c>
      <c r="D644" s="39">
        <f>IFERROR(CLASIF_D_M!$O$8,"")</f>
        <v/>
      </c>
      <c r="E644" s="40" t="n"/>
      <c r="F644" s="39">
        <f>IFERROR(CLASIF_D_M!$O$9,"")</f>
        <v/>
      </c>
      <c r="G644" s="40" t="n"/>
      <c r="H644" s="41" t="n"/>
      <c r="I644" s="42">
        <f>IF($H644="","",MAX(0,$H644-N($E644)))</f>
        <v/>
      </c>
      <c r="J644" s="42">
        <f>IF($H644="","",MAX(0,$H644-N($G644)))</f>
        <v/>
      </c>
    </row>
    <row r="645" ht="19.5" customHeight="1" s="72">
      <c r="A645" s="38" t="inlineStr">
        <is>
          <t>DM-SEM-P04-SBA</t>
        </is>
      </c>
      <c r="B645" s="38" t="inlineStr">
        <is>
          <t>Semifinal</t>
        </is>
      </c>
      <c r="C645" s="38" t="inlineStr">
        <is>
          <t>São Bento da Abadá</t>
        </is>
      </c>
      <c r="D645" s="39">
        <f>IFERROR(CLASIF_D_M!$O$8,"")</f>
        <v/>
      </c>
      <c r="E645" s="40" t="n"/>
      <c r="F645" s="39">
        <f>IFERROR(CLASIF_D_M!$O$9,"")</f>
        <v/>
      </c>
      <c r="G645" s="40" t="n"/>
      <c r="H645" s="41" t="n"/>
      <c r="I645" s="42">
        <f>IF($H645="","",MAX(0,$H645-N($E645)))</f>
        <v/>
      </c>
      <c r="J645" s="42">
        <f>IF($H645="","",MAX(0,$H645-N($G645)))</f>
        <v/>
      </c>
    </row>
    <row r="646" ht="19.5" customHeight="1" s="72">
      <c r="A646" s="38" t="inlineStr">
        <is>
          <t>DM-SEM-P04-SIR</t>
        </is>
      </c>
      <c r="B646" s="38" t="inlineStr">
        <is>
          <t>Semifinal</t>
        </is>
      </c>
      <c r="C646" s="38" t="inlineStr">
        <is>
          <t>Siriuna</t>
        </is>
      </c>
      <c r="D646" s="39">
        <f>IFERROR(CLASIF_D_M!$O$8,"")</f>
        <v/>
      </c>
      <c r="E646" s="40" t="n"/>
      <c r="F646" s="39">
        <f>IFERROR(CLASIF_D_M!$O$9,"")</f>
        <v/>
      </c>
      <c r="G646" s="40" t="n"/>
      <c r="H646" s="41" t="n"/>
      <c r="I646" s="42">
        <f>IF($H646="","",MAX(0,$H646-N($E646)))</f>
        <v/>
      </c>
      <c r="J646" s="42">
        <f>IF($H646="","",MAX(0,$H646-N($G646)))</f>
        <v/>
      </c>
    </row>
    <row r="647" ht="19.5" customHeight="1" s="72">
      <c r="A647" s="38" t="inlineStr">
        <is>
          <t>DM-FIN-P01-BEN</t>
        </is>
      </c>
      <c r="B647" s="38" t="inlineStr">
        <is>
          <t>Final</t>
        </is>
      </c>
      <c r="C647" s="38" t="inlineStr">
        <is>
          <t>Benguela</t>
        </is>
      </c>
      <c r="D647" s="39">
        <f>IFERROR(CLASIF_D_M!$X$5,"")</f>
        <v/>
      </c>
      <c r="E647" s="40" t="n"/>
      <c r="F647" s="39">
        <f>IFERROR(CLASIF_D_M!$X$8,"")</f>
        <v/>
      </c>
      <c r="G647" s="40" t="n"/>
      <c r="H647" s="41" t="n"/>
      <c r="I647" s="42">
        <f>IF($H647="","",MAX(0,$H647-N($E647)))</f>
        <v/>
      </c>
      <c r="J647" s="42">
        <f>IF($H647="","",MAX(0,$H647-N($G647)))</f>
        <v/>
      </c>
    </row>
    <row r="648" ht="19.5" customHeight="1" s="72">
      <c r="A648" s="38" t="inlineStr">
        <is>
          <t>DM-FIN-P01-SBA</t>
        </is>
      </c>
      <c r="B648" s="38" t="inlineStr">
        <is>
          <t>Final</t>
        </is>
      </c>
      <c r="C648" s="38" t="inlineStr">
        <is>
          <t>São Bento da Abadá</t>
        </is>
      </c>
      <c r="D648" s="39">
        <f>IFERROR(CLASIF_D_M!$X$5,"")</f>
        <v/>
      </c>
      <c r="E648" s="40" t="n"/>
      <c r="F648" s="39">
        <f>IFERROR(CLASIF_D_M!$X$8,"")</f>
        <v/>
      </c>
      <c r="G648" s="40" t="n"/>
      <c r="H648" s="41" t="n"/>
      <c r="I648" s="42">
        <f>IF($H648="","",MAX(0,$H648-N($E648)))</f>
        <v/>
      </c>
      <c r="J648" s="42">
        <f>IF($H648="","",MAX(0,$H648-N($G648)))</f>
        <v/>
      </c>
    </row>
    <row r="649" ht="19.5" customHeight="1" s="72">
      <c r="A649" s="38" t="inlineStr">
        <is>
          <t>DM-FIN-P01-SIR</t>
        </is>
      </c>
      <c r="B649" s="38" t="inlineStr">
        <is>
          <t>Final</t>
        </is>
      </c>
      <c r="C649" s="38" t="inlineStr">
        <is>
          <t>Siriuna</t>
        </is>
      </c>
      <c r="D649" s="39">
        <f>IFERROR(CLASIF_D_M!$X$5,"")</f>
        <v/>
      </c>
      <c r="E649" s="40" t="n"/>
      <c r="F649" s="39">
        <f>IFERROR(CLASIF_D_M!$X$8,"")</f>
        <v/>
      </c>
      <c r="G649" s="40" t="n"/>
      <c r="H649" s="41" t="n"/>
      <c r="I649" s="42">
        <f>IF($H649="","",MAX(0,$H649-N($E649)))</f>
        <v/>
      </c>
      <c r="J649" s="42">
        <f>IF($H649="","",MAX(0,$H649-N($G649)))</f>
        <v/>
      </c>
    </row>
    <row r="650" ht="19.5" customHeight="1" s="72">
      <c r="A650" s="38" t="inlineStr">
        <is>
          <t>DM-FIN-P02-BEN</t>
        </is>
      </c>
      <c r="B650" s="38" t="inlineStr">
        <is>
          <t>Final</t>
        </is>
      </c>
      <c r="C650" s="38" t="inlineStr">
        <is>
          <t>Benguela</t>
        </is>
      </c>
      <c r="D650" s="39">
        <f>IFERROR(CLASIF_D_M!$X$6,"")</f>
        <v/>
      </c>
      <c r="E650" s="40" t="n"/>
      <c r="F650" s="39">
        <f>IFERROR(CLASIF_D_M!$X$7,"")</f>
        <v/>
      </c>
      <c r="G650" s="40" t="n"/>
      <c r="H650" s="41" t="n"/>
      <c r="I650" s="42">
        <f>IF($H650="","",MAX(0,$H650-N($E650)))</f>
        <v/>
      </c>
      <c r="J650" s="42">
        <f>IF($H650="","",MAX(0,$H650-N($G650)))</f>
        <v/>
      </c>
    </row>
    <row r="651" ht="19.5" customHeight="1" s="72">
      <c r="A651" s="38" t="inlineStr">
        <is>
          <t>DM-FIN-P02-SBA</t>
        </is>
      </c>
      <c r="B651" s="38" t="inlineStr">
        <is>
          <t>Final</t>
        </is>
      </c>
      <c r="C651" s="38" t="inlineStr">
        <is>
          <t>São Bento da Abadá</t>
        </is>
      </c>
      <c r="D651" s="39">
        <f>IFERROR(CLASIF_D_M!$X$6,"")</f>
        <v/>
      </c>
      <c r="E651" s="40" t="n"/>
      <c r="F651" s="39">
        <f>IFERROR(CLASIF_D_M!$X$7,"")</f>
        <v/>
      </c>
      <c r="G651" s="40" t="n"/>
      <c r="H651" s="41" t="n"/>
      <c r="I651" s="42">
        <f>IF($H651="","",MAX(0,$H651-N($E651)))</f>
        <v/>
      </c>
      <c r="J651" s="42">
        <f>IF($H651="","",MAX(0,$H651-N($G651)))</f>
        <v/>
      </c>
    </row>
    <row r="652" ht="19.5" customHeight="1" s="72">
      <c r="A652" s="38" t="inlineStr">
        <is>
          <t>DM-FIN-P02-SIR</t>
        </is>
      </c>
      <c r="B652" s="38" t="inlineStr">
        <is>
          <t>Final</t>
        </is>
      </c>
      <c r="C652" s="38" t="inlineStr">
        <is>
          <t>Siriuna</t>
        </is>
      </c>
      <c r="D652" s="39">
        <f>IFERROR(CLASIF_D_M!$X$6,"")</f>
        <v/>
      </c>
      <c r="E652" s="40" t="n"/>
      <c r="F652" s="39">
        <f>IFERROR(CLASIF_D_M!$X$7,"")</f>
        <v/>
      </c>
      <c r="G652" s="40" t="n"/>
      <c r="H652" s="41" t="n"/>
      <c r="I652" s="42">
        <f>IF($H652="","",MAX(0,$H652-N($E652)))</f>
        <v/>
      </c>
      <c r="J652" s="42">
        <f>IF($H652="","",MAX(0,$H652-N($G652)))</f>
        <v/>
      </c>
    </row>
    <row r="653" ht="19.5" customHeight="1" s="72">
      <c r="A653" s="43" t="n"/>
      <c r="B653" s="43" t="n"/>
      <c r="C653" s="43" t="n"/>
      <c r="D653" s="43" t="n"/>
      <c r="E653" s="43" t="n"/>
      <c r="F653" s="43" t="n"/>
      <c r="G653" s="43" t="n"/>
      <c r="H653" s="44" t="n"/>
      <c r="I653" s="43">
        <f>IF($H653="","",MAX(0,$H653-N($E653)))</f>
        <v/>
      </c>
      <c r="J653" s="43">
        <f>IF($H653="","",MAX(0,$H653-N($G653)))</f>
        <v/>
      </c>
    </row>
    <row r="654" ht="19.5" customHeight="1" s="72">
      <c r="A654" s="83" t="inlineStr">
        <is>
          <t>═══ CATEGORÍA D · Femenino · Azul (Graduados) · Toques: Benguela, São Bento da Abadá, Siriuna ═══</t>
        </is>
      </c>
    </row>
    <row r="655" ht="19.5" customHeight="1" s="72">
      <c r="A655" s="45" t="inlineStr">
        <is>
          <t>Jogo</t>
        </is>
      </c>
      <c r="B655" s="45" t="inlineStr">
        <is>
          <t>Fase</t>
        </is>
      </c>
      <c r="C655" s="45" t="inlineStr">
        <is>
          <t>Toque</t>
        </is>
      </c>
      <c r="D655" s="45" t="inlineStr">
        <is>
          <t>Jugador A</t>
        </is>
      </c>
      <c r="E655" s="45" t="inlineStr">
        <is>
          <t>Quita A</t>
        </is>
      </c>
      <c r="F655" s="45" t="inlineStr">
        <is>
          <t>Jugador B</t>
        </is>
      </c>
      <c r="G655" s="45" t="inlineStr">
        <is>
          <t>Quita B</t>
        </is>
      </c>
      <c r="H655" s="45" t="inlineStr">
        <is>
          <t>NOTA (0-5)</t>
        </is>
      </c>
      <c r="I655" s="45">
        <f>IF($H655="","",MAX(0,$H655-N($E655)))</f>
        <v/>
      </c>
      <c r="J655" s="45">
        <f>IF($H655="","",MAX(0,$H655-N($G655)))</f>
        <v/>
      </c>
    </row>
    <row r="656" ht="19.5" customHeight="1" s="72">
      <c r="A656" s="38" t="inlineStr">
        <is>
          <t>DF-32-P01-BEN</t>
        </is>
      </c>
      <c r="B656" s="38" t="inlineStr">
        <is>
          <t>Fase 32</t>
        </is>
      </c>
      <c r="C656" s="38" t="inlineStr">
        <is>
          <t>Benguela</t>
        </is>
      </c>
      <c r="D656" s="39" t="inlineStr">
        <is>
          <t>A_D_F_32_P1</t>
        </is>
      </c>
      <c r="E656" s="40" t="n"/>
      <c r="F656" s="39" t="inlineStr">
        <is>
          <t>B_D_F_32_P1</t>
        </is>
      </c>
      <c r="G656" s="40" t="n"/>
      <c r="H656" s="41" t="n"/>
      <c r="I656" s="42">
        <f>IF($H656="","",MAX(0,$H656-N($E656)))</f>
        <v/>
      </c>
      <c r="J656" s="42">
        <f>IF($H656="","",MAX(0,$H656-N($G656)))</f>
        <v/>
      </c>
    </row>
    <row r="657" ht="19.5" customHeight="1" s="72">
      <c r="A657" s="38" t="inlineStr">
        <is>
          <t>DF-32-P01-SBA</t>
        </is>
      </c>
      <c r="B657" s="38" t="inlineStr">
        <is>
          <t>Fase 32</t>
        </is>
      </c>
      <c r="C657" s="38" t="inlineStr">
        <is>
          <t>São Bento da Abadá</t>
        </is>
      </c>
      <c r="D657" s="39" t="inlineStr">
        <is>
          <t>A_D_F_32_P1</t>
        </is>
      </c>
      <c r="E657" s="40" t="n"/>
      <c r="F657" s="39" t="inlineStr">
        <is>
          <t>B_D_F_32_P1</t>
        </is>
      </c>
      <c r="G657" s="40" t="n"/>
      <c r="H657" s="41" t="n"/>
      <c r="I657" s="42">
        <f>IF($H657="","",MAX(0,$H657-N($E657)))</f>
        <v/>
      </c>
      <c r="J657" s="42">
        <f>IF($H657="","",MAX(0,$H657-N($G657)))</f>
        <v/>
      </c>
    </row>
    <row r="658" ht="19.5" customHeight="1" s="72">
      <c r="A658" s="38" t="inlineStr">
        <is>
          <t>DF-32-P01-SIR</t>
        </is>
      </c>
      <c r="B658" s="38" t="inlineStr">
        <is>
          <t>Fase 32</t>
        </is>
      </c>
      <c r="C658" s="38" t="inlineStr">
        <is>
          <t>Siriuna</t>
        </is>
      </c>
      <c r="D658" s="39" t="inlineStr">
        <is>
          <t>A_D_F_32_P1</t>
        </is>
      </c>
      <c r="E658" s="40" t="n"/>
      <c r="F658" s="39" t="inlineStr">
        <is>
          <t>B_D_F_32_P1</t>
        </is>
      </c>
      <c r="G658" s="40" t="n"/>
      <c r="H658" s="41" t="n"/>
      <c r="I658" s="42">
        <f>IF($H658="","",MAX(0,$H658-N($E658)))</f>
        <v/>
      </c>
      <c r="J658" s="42">
        <f>IF($H658="","",MAX(0,$H658-N($G658)))</f>
        <v/>
      </c>
    </row>
    <row r="659" ht="19.5" customHeight="1" s="72">
      <c r="A659" s="38" t="inlineStr">
        <is>
          <t>DF-32-P02-BEN</t>
        </is>
      </c>
      <c r="B659" s="38" t="inlineStr">
        <is>
          <t>Fase 32</t>
        </is>
      </c>
      <c r="C659" s="38" t="inlineStr">
        <is>
          <t>Benguela</t>
        </is>
      </c>
      <c r="D659" s="39" t="inlineStr">
        <is>
          <t>A_D_F_32_P2</t>
        </is>
      </c>
      <c r="E659" s="40" t="n"/>
      <c r="F659" s="39" t="inlineStr">
        <is>
          <t>B_D_F_32_P2</t>
        </is>
      </c>
      <c r="G659" s="40" t="n"/>
      <c r="H659" s="41" t="n"/>
      <c r="I659" s="42">
        <f>IF($H659="","",MAX(0,$H659-N($E659)))</f>
        <v/>
      </c>
      <c r="J659" s="42">
        <f>IF($H659="","",MAX(0,$H659-N($G659)))</f>
        <v/>
      </c>
    </row>
    <row r="660" ht="19.5" customHeight="1" s="72">
      <c r="A660" s="38" t="inlineStr">
        <is>
          <t>DF-32-P02-SBA</t>
        </is>
      </c>
      <c r="B660" s="38" t="inlineStr">
        <is>
          <t>Fase 32</t>
        </is>
      </c>
      <c r="C660" s="38" t="inlineStr">
        <is>
          <t>São Bento da Abadá</t>
        </is>
      </c>
      <c r="D660" s="39" t="inlineStr">
        <is>
          <t>A_D_F_32_P2</t>
        </is>
      </c>
      <c r="E660" s="40" t="n"/>
      <c r="F660" s="39" t="inlineStr">
        <is>
          <t>B_D_F_32_P2</t>
        </is>
      </c>
      <c r="G660" s="40" t="n"/>
      <c r="H660" s="41" t="n"/>
      <c r="I660" s="42">
        <f>IF($H660="","",MAX(0,$H660-N($E660)))</f>
        <v/>
      </c>
      <c r="J660" s="42">
        <f>IF($H660="","",MAX(0,$H660-N($G660)))</f>
        <v/>
      </c>
    </row>
    <row r="661" ht="19.5" customHeight="1" s="72">
      <c r="A661" s="38" t="inlineStr">
        <is>
          <t>DF-32-P02-SIR</t>
        </is>
      </c>
      <c r="B661" s="38" t="inlineStr">
        <is>
          <t>Fase 32</t>
        </is>
      </c>
      <c r="C661" s="38" t="inlineStr">
        <is>
          <t>Siriuna</t>
        </is>
      </c>
      <c r="D661" s="39" t="inlineStr">
        <is>
          <t>A_D_F_32_P2</t>
        </is>
      </c>
      <c r="E661" s="40" t="n"/>
      <c r="F661" s="39" t="inlineStr">
        <is>
          <t>B_D_F_32_P2</t>
        </is>
      </c>
      <c r="G661" s="40" t="n"/>
      <c r="H661" s="41" t="n"/>
      <c r="I661" s="42">
        <f>IF($H661="","",MAX(0,$H661-N($E661)))</f>
        <v/>
      </c>
      <c r="J661" s="42">
        <f>IF($H661="","",MAX(0,$H661-N($G661)))</f>
        <v/>
      </c>
    </row>
    <row r="662" ht="19.5" customHeight="1" s="72">
      <c r="A662" s="38" t="inlineStr">
        <is>
          <t>DF-32-P03-BEN</t>
        </is>
      </c>
      <c r="B662" s="38" t="inlineStr">
        <is>
          <t>Fase 32</t>
        </is>
      </c>
      <c r="C662" s="38" t="inlineStr">
        <is>
          <t>Benguela</t>
        </is>
      </c>
      <c r="D662" s="39" t="inlineStr">
        <is>
          <t>A_D_F_32_P3</t>
        </is>
      </c>
      <c r="E662" s="40" t="n"/>
      <c r="F662" s="39" t="inlineStr">
        <is>
          <t>B_D_F_32_P3</t>
        </is>
      </c>
      <c r="G662" s="40" t="n"/>
      <c r="H662" s="41" t="n"/>
      <c r="I662" s="42">
        <f>IF($H662="","",MAX(0,$H662-N($E662)))</f>
        <v/>
      </c>
      <c r="J662" s="42">
        <f>IF($H662="","",MAX(0,$H662-N($G662)))</f>
        <v/>
      </c>
    </row>
    <row r="663" ht="19.5" customHeight="1" s="72">
      <c r="A663" s="38" t="inlineStr">
        <is>
          <t>DF-32-P03-SBA</t>
        </is>
      </c>
      <c r="B663" s="38" t="inlineStr">
        <is>
          <t>Fase 32</t>
        </is>
      </c>
      <c r="C663" s="38" t="inlineStr">
        <is>
          <t>São Bento da Abadá</t>
        </is>
      </c>
      <c r="D663" s="39" t="inlineStr">
        <is>
          <t>A_D_F_32_P3</t>
        </is>
      </c>
      <c r="E663" s="40" t="n"/>
      <c r="F663" s="39" t="inlineStr">
        <is>
          <t>B_D_F_32_P3</t>
        </is>
      </c>
      <c r="G663" s="40" t="n"/>
      <c r="H663" s="41" t="n"/>
      <c r="I663" s="42">
        <f>IF($H663="","",MAX(0,$H663-N($E663)))</f>
        <v/>
      </c>
      <c r="J663" s="42">
        <f>IF($H663="","",MAX(0,$H663-N($G663)))</f>
        <v/>
      </c>
    </row>
    <row r="664" ht="19.5" customHeight="1" s="72">
      <c r="A664" s="38" t="inlineStr">
        <is>
          <t>DF-32-P03-SIR</t>
        </is>
      </c>
      <c r="B664" s="38" t="inlineStr">
        <is>
          <t>Fase 32</t>
        </is>
      </c>
      <c r="C664" s="38" t="inlineStr">
        <is>
          <t>Siriuna</t>
        </is>
      </c>
      <c r="D664" s="39" t="inlineStr">
        <is>
          <t>A_D_F_32_P3</t>
        </is>
      </c>
      <c r="E664" s="40" t="n"/>
      <c r="F664" s="39" t="inlineStr">
        <is>
          <t>B_D_F_32_P3</t>
        </is>
      </c>
      <c r="G664" s="40" t="n"/>
      <c r="H664" s="41" t="n"/>
      <c r="I664" s="42">
        <f>IF($H664="","",MAX(0,$H664-N($E664)))</f>
        <v/>
      </c>
      <c r="J664" s="42">
        <f>IF($H664="","",MAX(0,$H664-N($G664)))</f>
        <v/>
      </c>
    </row>
    <row r="665" ht="19.5" customHeight="1" s="72">
      <c r="A665" s="38" t="inlineStr">
        <is>
          <t>DF-32-P04-BEN</t>
        </is>
      </c>
      <c r="B665" s="38" t="inlineStr">
        <is>
          <t>Fase 32</t>
        </is>
      </c>
      <c r="C665" s="38" t="inlineStr">
        <is>
          <t>Benguela</t>
        </is>
      </c>
      <c r="D665" s="39" t="inlineStr">
        <is>
          <t>A_D_F_32_P4</t>
        </is>
      </c>
      <c r="E665" s="40" t="n"/>
      <c r="F665" s="39" t="inlineStr">
        <is>
          <t>B_D_F_32_P4</t>
        </is>
      </c>
      <c r="G665" s="40" t="n"/>
      <c r="H665" s="41" t="n"/>
      <c r="I665" s="42">
        <f>IF($H665="","",MAX(0,$H665-N($E665)))</f>
        <v/>
      </c>
      <c r="J665" s="42">
        <f>IF($H665="","",MAX(0,$H665-N($G665)))</f>
        <v/>
      </c>
    </row>
    <row r="666" ht="19.5" customHeight="1" s="72">
      <c r="A666" s="38" t="inlineStr">
        <is>
          <t>DF-32-P04-SBA</t>
        </is>
      </c>
      <c r="B666" s="38" t="inlineStr">
        <is>
          <t>Fase 32</t>
        </is>
      </c>
      <c r="C666" s="38" t="inlineStr">
        <is>
          <t>São Bento da Abadá</t>
        </is>
      </c>
      <c r="D666" s="39" t="inlineStr">
        <is>
          <t>A_D_F_32_P4</t>
        </is>
      </c>
      <c r="E666" s="40" t="n"/>
      <c r="F666" s="39" t="inlineStr">
        <is>
          <t>B_D_F_32_P4</t>
        </is>
      </c>
      <c r="G666" s="40" t="n"/>
      <c r="H666" s="41" t="n"/>
      <c r="I666" s="42">
        <f>IF($H666="","",MAX(0,$H666-N($E666)))</f>
        <v/>
      </c>
      <c r="J666" s="42">
        <f>IF($H666="","",MAX(0,$H666-N($G666)))</f>
        <v/>
      </c>
    </row>
    <row r="667" ht="19.5" customHeight="1" s="72">
      <c r="A667" s="38" t="inlineStr">
        <is>
          <t>DF-32-P04-SIR</t>
        </is>
      </c>
      <c r="B667" s="38" t="inlineStr">
        <is>
          <t>Fase 32</t>
        </is>
      </c>
      <c r="C667" s="38" t="inlineStr">
        <is>
          <t>Siriuna</t>
        </is>
      </c>
      <c r="D667" s="39" t="inlineStr">
        <is>
          <t>A_D_F_32_P4</t>
        </is>
      </c>
      <c r="E667" s="40" t="n"/>
      <c r="F667" s="39" t="inlineStr">
        <is>
          <t>B_D_F_32_P4</t>
        </is>
      </c>
      <c r="G667" s="40" t="n"/>
      <c r="H667" s="41" t="n"/>
      <c r="I667" s="42">
        <f>IF($H667="","",MAX(0,$H667-N($E667)))</f>
        <v/>
      </c>
      <c r="J667" s="42">
        <f>IF($H667="","",MAX(0,$H667-N($G667)))</f>
        <v/>
      </c>
    </row>
    <row r="668" ht="19.5" customHeight="1" s="72">
      <c r="A668" s="38" t="inlineStr">
        <is>
          <t>DF-32-P05-BEN</t>
        </is>
      </c>
      <c r="B668" s="38" t="inlineStr">
        <is>
          <t>Fase 32</t>
        </is>
      </c>
      <c r="C668" s="38" t="inlineStr">
        <is>
          <t>Benguela</t>
        </is>
      </c>
      <c r="D668" s="39" t="inlineStr">
        <is>
          <t>A_D_F_32_P5</t>
        </is>
      </c>
      <c r="E668" s="40" t="n"/>
      <c r="F668" s="39" t="inlineStr">
        <is>
          <t>B_D_F_32_P5</t>
        </is>
      </c>
      <c r="G668" s="40" t="n"/>
      <c r="H668" s="41" t="n"/>
      <c r="I668" s="42">
        <f>IF($H668="","",MAX(0,$H668-N($E668)))</f>
        <v/>
      </c>
      <c r="J668" s="42">
        <f>IF($H668="","",MAX(0,$H668-N($G668)))</f>
        <v/>
      </c>
    </row>
    <row r="669" ht="19.5" customHeight="1" s="72">
      <c r="A669" s="38" t="inlineStr">
        <is>
          <t>DF-32-P05-SBA</t>
        </is>
      </c>
      <c r="B669" s="38" t="inlineStr">
        <is>
          <t>Fase 32</t>
        </is>
      </c>
      <c r="C669" s="38" t="inlineStr">
        <is>
          <t>São Bento da Abadá</t>
        </is>
      </c>
      <c r="D669" s="39" t="inlineStr">
        <is>
          <t>A_D_F_32_P5</t>
        </is>
      </c>
      <c r="E669" s="40" t="n"/>
      <c r="F669" s="39" t="inlineStr">
        <is>
          <t>B_D_F_32_P5</t>
        </is>
      </c>
      <c r="G669" s="40" t="n"/>
      <c r="H669" s="41" t="n"/>
      <c r="I669" s="42">
        <f>IF($H669="","",MAX(0,$H669-N($E669)))</f>
        <v/>
      </c>
      <c r="J669" s="42">
        <f>IF($H669="","",MAX(0,$H669-N($G669)))</f>
        <v/>
      </c>
    </row>
    <row r="670" ht="19.5" customHeight="1" s="72">
      <c r="A670" s="38" t="inlineStr">
        <is>
          <t>DF-32-P05-SIR</t>
        </is>
      </c>
      <c r="B670" s="38" t="inlineStr">
        <is>
          <t>Fase 32</t>
        </is>
      </c>
      <c r="C670" s="38" t="inlineStr">
        <is>
          <t>Siriuna</t>
        </is>
      </c>
      <c r="D670" s="39" t="inlineStr">
        <is>
          <t>A_D_F_32_P5</t>
        </is>
      </c>
      <c r="E670" s="40" t="n"/>
      <c r="F670" s="39" t="inlineStr">
        <is>
          <t>B_D_F_32_P5</t>
        </is>
      </c>
      <c r="G670" s="40" t="n"/>
      <c r="H670" s="41" t="n"/>
      <c r="I670" s="42">
        <f>IF($H670="","",MAX(0,$H670-N($E670)))</f>
        <v/>
      </c>
      <c r="J670" s="42">
        <f>IF($H670="","",MAX(0,$H670-N($G670)))</f>
        <v/>
      </c>
    </row>
    <row r="671" ht="19.5" customHeight="1" s="72">
      <c r="A671" s="38" t="inlineStr">
        <is>
          <t>DF-32-P06-BEN</t>
        </is>
      </c>
      <c r="B671" s="38" t="inlineStr">
        <is>
          <t>Fase 32</t>
        </is>
      </c>
      <c r="C671" s="38" t="inlineStr">
        <is>
          <t>Benguela</t>
        </is>
      </c>
      <c r="D671" s="39" t="inlineStr">
        <is>
          <t>A_D_F_32_P6</t>
        </is>
      </c>
      <c r="E671" s="40" t="n"/>
      <c r="F671" s="39" t="inlineStr">
        <is>
          <t>B_D_F_32_P6</t>
        </is>
      </c>
      <c r="G671" s="40" t="n"/>
      <c r="H671" s="41" t="n"/>
      <c r="I671" s="42">
        <f>IF($H671="","",MAX(0,$H671-N($E671)))</f>
        <v/>
      </c>
      <c r="J671" s="42">
        <f>IF($H671="","",MAX(0,$H671-N($G671)))</f>
        <v/>
      </c>
    </row>
    <row r="672" ht="19.5" customHeight="1" s="72">
      <c r="A672" s="38" t="inlineStr">
        <is>
          <t>DF-32-P06-SBA</t>
        </is>
      </c>
      <c r="B672" s="38" t="inlineStr">
        <is>
          <t>Fase 32</t>
        </is>
      </c>
      <c r="C672" s="38" t="inlineStr">
        <is>
          <t>São Bento da Abadá</t>
        </is>
      </c>
      <c r="D672" s="39" t="inlineStr">
        <is>
          <t>A_D_F_32_P6</t>
        </is>
      </c>
      <c r="E672" s="40" t="n"/>
      <c r="F672" s="39" t="inlineStr">
        <is>
          <t>B_D_F_32_P6</t>
        </is>
      </c>
      <c r="G672" s="40" t="n"/>
      <c r="H672" s="41" t="n"/>
      <c r="I672" s="42">
        <f>IF($H672="","",MAX(0,$H672-N($E672)))</f>
        <v/>
      </c>
      <c r="J672" s="42">
        <f>IF($H672="","",MAX(0,$H672-N($G672)))</f>
        <v/>
      </c>
    </row>
    <row r="673" ht="19.5" customHeight="1" s="72">
      <c r="A673" s="38" t="inlineStr">
        <is>
          <t>DF-32-P06-SIR</t>
        </is>
      </c>
      <c r="B673" s="38" t="inlineStr">
        <is>
          <t>Fase 32</t>
        </is>
      </c>
      <c r="C673" s="38" t="inlineStr">
        <is>
          <t>Siriuna</t>
        </is>
      </c>
      <c r="D673" s="39" t="inlineStr">
        <is>
          <t>A_D_F_32_P6</t>
        </is>
      </c>
      <c r="E673" s="40" t="n"/>
      <c r="F673" s="39" t="inlineStr">
        <is>
          <t>B_D_F_32_P6</t>
        </is>
      </c>
      <c r="G673" s="40" t="n"/>
      <c r="H673" s="41" t="n"/>
      <c r="I673" s="42">
        <f>IF($H673="","",MAX(0,$H673-N($E673)))</f>
        <v/>
      </c>
      <c r="J673" s="42">
        <f>IF($H673="","",MAX(0,$H673-N($G673)))</f>
        <v/>
      </c>
    </row>
    <row r="674" ht="19.5" customHeight="1" s="72">
      <c r="A674" s="38" t="inlineStr">
        <is>
          <t>DF-32-P07-BEN</t>
        </is>
      </c>
      <c r="B674" s="38" t="inlineStr">
        <is>
          <t>Fase 32</t>
        </is>
      </c>
      <c r="C674" s="38" t="inlineStr">
        <is>
          <t>Benguela</t>
        </is>
      </c>
      <c r="D674" s="39" t="inlineStr">
        <is>
          <t>A_D_F_32_P7</t>
        </is>
      </c>
      <c r="E674" s="40" t="n"/>
      <c r="F674" s="39" t="inlineStr">
        <is>
          <t>B_D_F_32_P7</t>
        </is>
      </c>
      <c r="G674" s="40" t="n"/>
      <c r="H674" s="41" t="n"/>
      <c r="I674" s="42">
        <f>IF($H674="","",MAX(0,$H674-N($E674)))</f>
        <v/>
      </c>
      <c r="J674" s="42">
        <f>IF($H674="","",MAX(0,$H674-N($G674)))</f>
        <v/>
      </c>
    </row>
    <row r="675" ht="19.5" customHeight="1" s="72">
      <c r="A675" s="38" t="inlineStr">
        <is>
          <t>DF-32-P07-SBA</t>
        </is>
      </c>
      <c r="B675" s="38" t="inlineStr">
        <is>
          <t>Fase 32</t>
        </is>
      </c>
      <c r="C675" s="38" t="inlineStr">
        <is>
          <t>São Bento da Abadá</t>
        </is>
      </c>
      <c r="D675" s="39" t="inlineStr">
        <is>
          <t>A_D_F_32_P7</t>
        </is>
      </c>
      <c r="E675" s="40" t="n"/>
      <c r="F675" s="39" t="inlineStr">
        <is>
          <t>B_D_F_32_P7</t>
        </is>
      </c>
      <c r="G675" s="40" t="n"/>
      <c r="H675" s="41" t="n"/>
      <c r="I675" s="42">
        <f>IF($H675="","",MAX(0,$H675-N($E675)))</f>
        <v/>
      </c>
      <c r="J675" s="42">
        <f>IF($H675="","",MAX(0,$H675-N($G675)))</f>
        <v/>
      </c>
    </row>
    <row r="676" ht="19.5" customHeight="1" s="72">
      <c r="A676" s="38" t="inlineStr">
        <is>
          <t>DF-32-P07-SIR</t>
        </is>
      </c>
      <c r="B676" s="38" t="inlineStr">
        <is>
          <t>Fase 32</t>
        </is>
      </c>
      <c r="C676" s="38" t="inlineStr">
        <is>
          <t>Siriuna</t>
        </is>
      </c>
      <c r="D676" s="39" t="inlineStr">
        <is>
          <t>A_D_F_32_P7</t>
        </is>
      </c>
      <c r="E676" s="40" t="n"/>
      <c r="F676" s="39" t="inlineStr">
        <is>
          <t>B_D_F_32_P7</t>
        </is>
      </c>
      <c r="G676" s="40" t="n"/>
      <c r="H676" s="41" t="n"/>
      <c r="I676" s="42">
        <f>IF($H676="","",MAX(0,$H676-N($E676)))</f>
        <v/>
      </c>
      <c r="J676" s="42">
        <f>IF($H676="","",MAX(0,$H676-N($G676)))</f>
        <v/>
      </c>
    </row>
    <row r="677" ht="19.5" customHeight="1" s="72">
      <c r="A677" s="38" t="inlineStr">
        <is>
          <t>DF-32-P08-BEN</t>
        </is>
      </c>
      <c r="B677" s="38" t="inlineStr">
        <is>
          <t>Fase 32</t>
        </is>
      </c>
      <c r="C677" s="38" t="inlineStr">
        <is>
          <t>Benguela</t>
        </is>
      </c>
      <c r="D677" s="39" t="inlineStr">
        <is>
          <t>A_D_F_32_P8</t>
        </is>
      </c>
      <c r="E677" s="40" t="n"/>
      <c r="F677" s="39" t="inlineStr">
        <is>
          <t>B_D_F_32_P8</t>
        </is>
      </c>
      <c r="G677" s="40" t="n"/>
      <c r="H677" s="41" t="n"/>
      <c r="I677" s="42">
        <f>IF($H677="","",MAX(0,$H677-N($E677)))</f>
        <v/>
      </c>
      <c r="J677" s="42">
        <f>IF($H677="","",MAX(0,$H677-N($G677)))</f>
        <v/>
      </c>
    </row>
    <row r="678" ht="19.5" customHeight="1" s="72">
      <c r="A678" s="38" t="inlineStr">
        <is>
          <t>DF-32-P08-SBA</t>
        </is>
      </c>
      <c r="B678" s="38" t="inlineStr">
        <is>
          <t>Fase 32</t>
        </is>
      </c>
      <c r="C678" s="38" t="inlineStr">
        <is>
          <t>São Bento da Abadá</t>
        </is>
      </c>
      <c r="D678" s="39" t="inlineStr">
        <is>
          <t>A_D_F_32_P8</t>
        </is>
      </c>
      <c r="E678" s="40" t="n"/>
      <c r="F678" s="39" t="inlineStr">
        <is>
          <t>B_D_F_32_P8</t>
        </is>
      </c>
      <c r="G678" s="40" t="n"/>
      <c r="H678" s="41" t="n"/>
      <c r="I678" s="42">
        <f>IF($H678="","",MAX(0,$H678-N($E678)))</f>
        <v/>
      </c>
      <c r="J678" s="42">
        <f>IF($H678="","",MAX(0,$H678-N($G678)))</f>
        <v/>
      </c>
    </row>
    <row r="679" ht="19.5" customHeight="1" s="72">
      <c r="A679" s="38" t="inlineStr">
        <is>
          <t>DF-32-P08-SIR</t>
        </is>
      </c>
      <c r="B679" s="38" t="inlineStr">
        <is>
          <t>Fase 32</t>
        </is>
      </c>
      <c r="C679" s="38" t="inlineStr">
        <is>
          <t>Siriuna</t>
        </is>
      </c>
      <c r="D679" s="39" t="inlineStr">
        <is>
          <t>A_D_F_32_P8</t>
        </is>
      </c>
      <c r="E679" s="40" t="n"/>
      <c r="F679" s="39" t="inlineStr">
        <is>
          <t>B_D_F_32_P8</t>
        </is>
      </c>
      <c r="G679" s="40" t="n"/>
      <c r="H679" s="41" t="n"/>
      <c r="I679" s="42">
        <f>IF($H679="","",MAX(0,$H679-N($E679)))</f>
        <v/>
      </c>
      <c r="J679" s="42">
        <f>IF($H679="","",MAX(0,$H679-N($G679)))</f>
        <v/>
      </c>
    </row>
    <row r="680" ht="19.5" customHeight="1" s="72">
      <c r="A680" s="38" t="inlineStr">
        <is>
          <t>DF-32-P09-BEN</t>
        </is>
      </c>
      <c r="B680" s="38" t="inlineStr">
        <is>
          <t>Fase 32</t>
        </is>
      </c>
      <c r="C680" s="38" t="inlineStr">
        <is>
          <t>Benguela</t>
        </is>
      </c>
      <c r="D680" s="39" t="inlineStr">
        <is>
          <t>A_D_F_32_P9</t>
        </is>
      </c>
      <c r="E680" s="40" t="n"/>
      <c r="F680" s="39" t="inlineStr">
        <is>
          <t>B_D_F_32_P9</t>
        </is>
      </c>
      <c r="G680" s="40" t="n"/>
      <c r="H680" s="41" t="n"/>
      <c r="I680" s="42">
        <f>IF($H680="","",MAX(0,$H680-N($E680)))</f>
        <v/>
      </c>
      <c r="J680" s="42">
        <f>IF($H680="","",MAX(0,$H680-N($G680)))</f>
        <v/>
      </c>
    </row>
    <row r="681" ht="19.5" customHeight="1" s="72">
      <c r="A681" s="38" t="inlineStr">
        <is>
          <t>DF-32-P09-SBA</t>
        </is>
      </c>
      <c r="B681" s="38" t="inlineStr">
        <is>
          <t>Fase 32</t>
        </is>
      </c>
      <c r="C681" s="38" t="inlineStr">
        <is>
          <t>São Bento da Abadá</t>
        </is>
      </c>
      <c r="D681" s="39" t="inlineStr">
        <is>
          <t>A_D_F_32_P9</t>
        </is>
      </c>
      <c r="E681" s="40" t="n"/>
      <c r="F681" s="39" t="inlineStr">
        <is>
          <t>B_D_F_32_P9</t>
        </is>
      </c>
      <c r="G681" s="40" t="n"/>
      <c r="H681" s="41" t="n"/>
      <c r="I681" s="42">
        <f>IF($H681="","",MAX(0,$H681-N($E681)))</f>
        <v/>
      </c>
      <c r="J681" s="42">
        <f>IF($H681="","",MAX(0,$H681-N($G681)))</f>
        <v/>
      </c>
    </row>
    <row r="682" ht="19.5" customHeight="1" s="72">
      <c r="A682" s="38" t="inlineStr">
        <is>
          <t>DF-32-P09-SIR</t>
        </is>
      </c>
      <c r="B682" s="38" t="inlineStr">
        <is>
          <t>Fase 32</t>
        </is>
      </c>
      <c r="C682" s="38" t="inlineStr">
        <is>
          <t>Siriuna</t>
        </is>
      </c>
      <c r="D682" s="39" t="inlineStr">
        <is>
          <t>A_D_F_32_P9</t>
        </is>
      </c>
      <c r="E682" s="40" t="n"/>
      <c r="F682" s="39" t="inlineStr">
        <is>
          <t>B_D_F_32_P9</t>
        </is>
      </c>
      <c r="G682" s="40" t="n"/>
      <c r="H682" s="41" t="n"/>
      <c r="I682" s="42">
        <f>IF($H682="","",MAX(0,$H682-N($E682)))</f>
        <v/>
      </c>
      <c r="J682" s="42">
        <f>IF($H682="","",MAX(0,$H682-N($G682)))</f>
        <v/>
      </c>
    </row>
    <row r="683" ht="19.5" customHeight="1" s="72">
      <c r="A683" s="38" t="inlineStr">
        <is>
          <t>DF-32-P10-BEN</t>
        </is>
      </c>
      <c r="B683" s="38" t="inlineStr">
        <is>
          <t>Fase 32</t>
        </is>
      </c>
      <c r="C683" s="38" t="inlineStr">
        <is>
          <t>Benguela</t>
        </is>
      </c>
      <c r="D683" s="39" t="inlineStr">
        <is>
          <t>A_D_F_32_P10</t>
        </is>
      </c>
      <c r="E683" s="40" t="n"/>
      <c r="F683" s="39" t="inlineStr">
        <is>
          <t>B_D_F_32_P10</t>
        </is>
      </c>
      <c r="G683" s="40" t="n"/>
      <c r="H683" s="41" t="n"/>
      <c r="I683" s="42">
        <f>IF($H683="","",MAX(0,$H683-N($E683)))</f>
        <v/>
      </c>
      <c r="J683" s="42">
        <f>IF($H683="","",MAX(0,$H683-N($G683)))</f>
        <v/>
      </c>
    </row>
    <row r="684" ht="19.5" customHeight="1" s="72">
      <c r="A684" s="38" t="inlineStr">
        <is>
          <t>DF-32-P10-SBA</t>
        </is>
      </c>
      <c r="B684" s="38" t="inlineStr">
        <is>
          <t>Fase 32</t>
        </is>
      </c>
      <c r="C684" s="38" t="inlineStr">
        <is>
          <t>São Bento da Abadá</t>
        </is>
      </c>
      <c r="D684" s="39" t="inlineStr">
        <is>
          <t>A_D_F_32_P10</t>
        </is>
      </c>
      <c r="E684" s="40" t="n"/>
      <c r="F684" s="39" t="inlineStr">
        <is>
          <t>B_D_F_32_P10</t>
        </is>
      </c>
      <c r="G684" s="40" t="n"/>
      <c r="H684" s="41" t="n"/>
      <c r="I684" s="42">
        <f>IF($H684="","",MAX(0,$H684-N($E684)))</f>
        <v/>
      </c>
      <c r="J684" s="42">
        <f>IF($H684="","",MAX(0,$H684-N($G684)))</f>
        <v/>
      </c>
    </row>
    <row r="685" ht="19.5" customHeight="1" s="72">
      <c r="A685" s="38" t="inlineStr">
        <is>
          <t>DF-32-P10-SIR</t>
        </is>
      </c>
      <c r="B685" s="38" t="inlineStr">
        <is>
          <t>Fase 32</t>
        </is>
      </c>
      <c r="C685" s="38" t="inlineStr">
        <is>
          <t>Siriuna</t>
        </is>
      </c>
      <c r="D685" s="39" t="inlineStr">
        <is>
          <t>A_D_F_32_P10</t>
        </is>
      </c>
      <c r="E685" s="40" t="n"/>
      <c r="F685" s="39" t="inlineStr">
        <is>
          <t>B_D_F_32_P10</t>
        </is>
      </c>
      <c r="G685" s="40" t="n"/>
      <c r="H685" s="41" t="n"/>
      <c r="I685" s="42">
        <f>IF($H685="","",MAX(0,$H685-N($E685)))</f>
        <v/>
      </c>
      <c r="J685" s="42">
        <f>IF($H685="","",MAX(0,$H685-N($G685)))</f>
        <v/>
      </c>
    </row>
    <row r="686" ht="19.5" customHeight="1" s="72">
      <c r="A686" s="38" t="inlineStr">
        <is>
          <t>DF-32-P11-BEN</t>
        </is>
      </c>
      <c r="B686" s="38" t="inlineStr">
        <is>
          <t>Fase 32</t>
        </is>
      </c>
      <c r="C686" s="38" t="inlineStr">
        <is>
          <t>Benguela</t>
        </is>
      </c>
      <c r="D686" s="39" t="inlineStr">
        <is>
          <t>A_D_F_32_P11</t>
        </is>
      </c>
      <c r="E686" s="40" t="n"/>
      <c r="F686" s="39" t="inlineStr">
        <is>
          <t>B_D_F_32_P11</t>
        </is>
      </c>
      <c r="G686" s="40" t="n"/>
      <c r="H686" s="41" t="n"/>
      <c r="I686" s="42">
        <f>IF($H686="","",MAX(0,$H686-N($E686)))</f>
        <v/>
      </c>
      <c r="J686" s="42">
        <f>IF($H686="","",MAX(0,$H686-N($G686)))</f>
        <v/>
      </c>
    </row>
    <row r="687" ht="19.5" customHeight="1" s="72">
      <c r="A687" s="38" t="inlineStr">
        <is>
          <t>DF-32-P11-SBA</t>
        </is>
      </c>
      <c r="B687" s="38" t="inlineStr">
        <is>
          <t>Fase 32</t>
        </is>
      </c>
      <c r="C687" s="38" t="inlineStr">
        <is>
          <t>São Bento da Abadá</t>
        </is>
      </c>
      <c r="D687" s="39" t="inlineStr">
        <is>
          <t>A_D_F_32_P11</t>
        </is>
      </c>
      <c r="E687" s="40" t="n"/>
      <c r="F687" s="39" t="inlineStr">
        <is>
          <t>B_D_F_32_P11</t>
        </is>
      </c>
      <c r="G687" s="40" t="n"/>
      <c r="H687" s="41" t="n"/>
      <c r="I687" s="42">
        <f>IF($H687="","",MAX(0,$H687-N($E687)))</f>
        <v/>
      </c>
      <c r="J687" s="42">
        <f>IF($H687="","",MAX(0,$H687-N($G687)))</f>
        <v/>
      </c>
    </row>
    <row r="688" ht="19.5" customHeight="1" s="72">
      <c r="A688" s="38" t="inlineStr">
        <is>
          <t>DF-32-P11-SIR</t>
        </is>
      </c>
      <c r="B688" s="38" t="inlineStr">
        <is>
          <t>Fase 32</t>
        </is>
      </c>
      <c r="C688" s="38" t="inlineStr">
        <is>
          <t>Siriuna</t>
        </is>
      </c>
      <c r="D688" s="39" t="inlineStr">
        <is>
          <t>A_D_F_32_P11</t>
        </is>
      </c>
      <c r="E688" s="40" t="n"/>
      <c r="F688" s="39" t="inlineStr">
        <is>
          <t>B_D_F_32_P11</t>
        </is>
      </c>
      <c r="G688" s="40" t="n"/>
      <c r="H688" s="41" t="n"/>
      <c r="I688" s="42">
        <f>IF($H688="","",MAX(0,$H688-N($E688)))</f>
        <v/>
      </c>
      <c r="J688" s="42">
        <f>IF($H688="","",MAX(0,$H688-N($G688)))</f>
        <v/>
      </c>
    </row>
    <row r="689" ht="19.5" customHeight="1" s="72">
      <c r="A689" s="38" t="inlineStr">
        <is>
          <t>DF-32-P12-BEN</t>
        </is>
      </c>
      <c r="B689" s="38" t="inlineStr">
        <is>
          <t>Fase 32</t>
        </is>
      </c>
      <c r="C689" s="38" t="inlineStr">
        <is>
          <t>Benguela</t>
        </is>
      </c>
      <c r="D689" s="39" t="inlineStr">
        <is>
          <t>A_D_F_32_P12</t>
        </is>
      </c>
      <c r="E689" s="40" t="n"/>
      <c r="F689" s="39" t="inlineStr">
        <is>
          <t>B_D_F_32_P12</t>
        </is>
      </c>
      <c r="G689" s="40" t="n"/>
      <c r="H689" s="41" t="n"/>
      <c r="I689" s="42">
        <f>IF($H689="","",MAX(0,$H689-N($E689)))</f>
        <v/>
      </c>
      <c r="J689" s="42">
        <f>IF($H689="","",MAX(0,$H689-N($G689)))</f>
        <v/>
      </c>
    </row>
    <row r="690" ht="19.5" customHeight="1" s="72">
      <c r="A690" s="38" t="inlineStr">
        <is>
          <t>DF-32-P12-SBA</t>
        </is>
      </c>
      <c r="B690" s="38" t="inlineStr">
        <is>
          <t>Fase 32</t>
        </is>
      </c>
      <c r="C690" s="38" t="inlineStr">
        <is>
          <t>São Bento da Abadá</t>
        </is>
      </c>
      <c r="D690" s="39" t="inlineStr">
        <is>
          <t>A_D_F_32_P12</t>
        </is>
      </c>
      <c r="E690" s="40" t="n"/>
      <c r="F690" s="39" t="inlineStr">
        <is>
          <t>B_D_F_32_P12</t>
        </is>
      </c>
      <c r="G690" s="40" t="n"/>
      <c r="H690" s="41" t="n"/>
      <c r="I690" s="42">
        <f>IF($H690="","",MAX(0,$H690-N($E690)))</f>
        <v/>
      </c>
      <c r="J690" s="42">
        <f>IF($H690="","",MAX(0,$H690-N($G690)))</f>
        <v/>
      </c>
    </row>
    <row r="691" ht="19.5" customHeight="1" s="72">
      <c r="A691" s="38" t="inlineStr">
        <is>
          <t>DF-32-P12-SIR</t>
        </is>
      </c>
      <c r="B691" s="38" t="inlineStr">
        <is>
          <t>Fase 32</t>
        </is>
      </c>
      <c r="C691" s="38" t="inlineStr">
        <is>
          <t>Siriuna</t>
        </is>
      </c>
      <c r="D691" s="39" t="inlineStr">
        <is>
          <t>A_D_F_32_P12</t>
        </is>
      </c>
      <c r="E691" s="40" t="n"/>
      <c r="F691" s="39" t="inlineStr">
        <is>
          <t>B_D_F_32_P12</t>
        </is>
      </c>
      <c r="G691" s="40" t="n"/>
      <c r="H691" s="41" t="n"/>
      <c r="I691" s="42">
        <f>IF($H691="","",MAX(0,$H691-N($E691)))</f>
        <v/>
      </c>
      <c r="J691" s="42">
        <f>IF($H691="","",MAX(0,$H691-N($G691)))</f>
        <v/>
      </c>
    </row>
    <row r="692" ht="19.5" customHeight="1" s="72">
      <c r="A692" s="38" t="inlineStr">
        <is>
          <t>DF-32-P13-BEN</t>
        </is>
      </c>
      <c r="B692" s="38" t="inlineStr">
        <is>
          <t>Fase 32</t>
        </is>
      </c>
      <c r="C692" s="38" t="inlineStr">
        <is>
          <t>Benguela</t>
        </is>
      </c>
      <c r="D692" s="39" t="inlineStr">
        <is>
          <t>A_D_F_32_P13</t>
        </is>
      </c>
      <c r="E692" s="40" t="n"/>
      <c r="F692" s="39" t="inlineStr">
        <is>
          <t>B_D_F_32_P13</t>
        </is>
      </c>
      <c r="G692" s="40" t="n"/>
      <c r="H692" s="41" t="n"/>
      <c r="I692" s="42">
        <f>IF($H692="","",MAX(0,$H692-N($E692)))</f>
        <v/>
      </c>
      <c r="J692" s="42">
        <f>IF($H692="","",MAX(0,$H692-N($G692)))</f>
        <v/>
      </c>
    </row>
    <row r="693" ht="19.5" customHeight="1" s="72">
      <c r="A693" s="38" t="inlineStr">
        <is>
          <t>DF-32-P13-SBA</t>
        </is>
      </c>
      <c r="B693" s="38" t="inlineStr">
        <is>
          <t>Fase 32</t>
        </is>
      </c>
      <c r="C693" s="38" t="inlineStr">
        <is>
          <t>São Bento da Abadá</t>
        </is>
      </c>
      <c r="D693" s="39" t="inlineStr">
        <is>
          <t>A_D_F_32_P13</t>
        </is>
      </c>
      <c r="E693" s="40" t="n"/>
      <c r="F693" s="39" t="inlineStr">
        <is>
          <t>B_D_F_32_P13</t>
        </is>
      </c>
      <c r="G693" s="40" t="n"/>
      <c r="H693" s="41" t="n"/>
      <c r="I693" s="42">
        <f>IF($H693="","",MAX(0,$H693-N($E693)))</f>
        <v/>
      </c>
      <c r="J693" s="42">
        <f>IF($H693="","",MAX(0,$H693-N($G693)))</f>
        <v/>
      </c>
    </row>
    <row r="694" ht="19.5" customHeight="1" s="72">
      <c r="A694" s="38" t="inlineStr">
        <is>
          <t>DF-32-P13-SIR</t>
        </is>
      </c>
      <c r="B694" s="38" t="inlineStr">
        <is>
          <t>Fase 32</t>
        </is>
      </c>
      <c r="C694" s="38" t="inlineStr">
        <is>
          <t>Siriuna</t>
        </is>
      </c>
      <c r="D694" s="39" t="inlineStr">
        <is>
          <t>A_D_F_32_P13</t>
        </is>
      </c>
      <c r="E694" s="40" t="n"/>
      <c r="F694" s="39" t="inlineStr">
        <is>
          <t>B_D_F_32_P13</t>
        </is>
      </c>
      <c r="G694" s="40" t="n"/>
      <c r="H694" s="41" t="n"/>
      <c r="I694" s="42">
        <f>IF($H694="","",MAX(0,$H694-N($E694)))</f>
        <v/>
      </c>
      <c r="J694" s="42">
        <f>IF($H694="","",MAX(0,$H694-N($G694)))</f>
        <v/>
      </c>
    </row>
    <row r="695" ht="19.5" customHeight="1" s="72">
      <c r="A695" s="38" t="inlineStr">
        <is>
          <t>DF-32-P14-BEN</t>
        </is>
      </c>
      <c r="B695" s="38" t="inlineStr">
        <is>
          <t>Fase 32</t>
        </is>
      </c>
      <c r="C695" s="38" t="inlineStr">
        <is>
          <t>Benguela</t>
        </is>
      </c>
      <c r="D695" s="39" t="inlineStr">
        <is>
          <t>A_D_F_32_P14</t>
        </is>
      </c>
      <c r="E695" s="40" t="n"/>
      <c r="F695" s="39" t="inlineStr">
        <is>
          <t>B_D_F_32_P14</t>
        </is>
      </c>
      <c r="G695" s="40" t="n"/>
      <c r="H695" s="41" t="n"/>
      <c r="I695" s="42">
        <f>IF($H695="","",MAX(0,$H695-N($E695)))</f>
        <v/>
      </c>
      <c r="J695" s="42">
        <f>IF($H695="","",MAX(0,$H695-N($G695)))</f>
        <v/>
      </c>
    </row>
    <row r="696" ht="19.5" customHeight="1" s="72">
      <c r="A696" s="38" t="inlineStr">
        <is>
          <t>DF-32-P14-SBA</t>
        </is>
      </c>
      <c r="B696" s="38" t="inlineStr">
        <is>
          <t>Fase 32</t>
        </is>
      </c>
      <c r="C696" s="38" t="inlineStr">
        <is>
          <t>São Bento da Abadá</t>
        </is>
      </c>
      <c r="D696" s="39" t="inlineStr">
        <is>
          <t>A_D_F_32_P14</t>
        </is>
      </c>
      <c r="E696" s="40" t="n"/>
      <c r="F696" s="39" t="inlineStr">
        <is>
          <t>B_D_F_32_P14</t>
        </is>
      </c>
      <c r="G696" s="40" t="n"/>
      <c r="H696" s="41" t="n"/>
      <c r="I696" s="42">
        <f>IF($H696="","",MAX(0,$H696-N($E696)))</f>
        <v/>
      </c>
      <c r="J696" s="42">
        <f>IF($H696="","",MAX(0,$H696-N($G696)))</f>
        <v/>
      </c>
    </row>
    <row r="697" ht="19.5" customHeight="1" s="72">
      <c r="A697" s="38" t="inlineStr">
        <is>
          <t>DF-32-P14-SIR</t>
        </is>
      </c>
      <c r="B697" s="38" t="inlineStr">
        <is>
          <t>Fase 32</t>
        </is>
      </c>
      <c r="C697" s="38" t="inlineStr">
        <is>
          <t>Siriuna</t>
        </is>
      </c>
      <c r="D697" s="39" t="inlineStr">
        <is>
          <t>A_D_F_32_P14</t>
        </is>
      </c>
      <c r="E697" s="40" t="n"/>
      <c r="F697" s="39" t="inlineStr">
        <is>
          <t>B_D_F_32_P14</t>
        </is>
      </c>
      <c r="G697" s="40" t="n"/>
      <c r="H697" s="41" t="n"/>
      <c r="I697" s="42">
        <f>IF($H697="","",MAX(0,$H697-N($E697)))</f>
        <v/>
      </c>
      <c r="J697" s="42">
        <f>IF($H697="","",MAX(0,$H697-N($G697)))</f>
        <v/>
      </c>
    </row>
    <row r="698" ht="19.5" customHeight="1" s="72">
      <c r="A698" s="38" t="inlineStr">
        <is>
          <t>DF-32-P15-BEN</t>
        </is>
      </c>
      <c r="B698" s="38" t="inlineStr">
        <is>
          <t>Fase 32</t>
        </is>
      </c>
      <c r="C698" s="38" t="inlineStr">
        <is>
          <t>Benguela</t>
        </is>
      </c>
      <c r="D698" s="39" t="inlineStr">
        <is>
          <t>A_D_F_32_P15</t>
        </is>
      </c>
      <c r="E698" s="40" t="n"/>
      <c r="F698" s="39" t="inlineStr">
        <is>
          <t>B_D_F_32_P15</t>
        </is>
      </c>
      <c r="G698" s="40" t="n"/>
      <c r="H698" s="41" t="n"/>
      <c r="I698" s="42">
        <f>IF($H698="","",MAX(0,$H698-N($E698)))</f>
        <v/>
      </c>
      <c r="J698" s="42">
        <f>IF($H698="","",MAX(0,$H698-N($G698)))</f>
        <v/>
      </c>
    </row>
    <row r="699" ht="19.5" customHeight="1" s="72">
      <c r="A699" s="38" t="inlineStr">
        <is>
          <t>DF-32-P15-SBA</t>
        </is>
      </c>
      <c r="B699" s="38" t="inlineStr">
        <is>
          <t>Fase 32</t>
        </is>
      </c>
      <c r="C699" s="38" t="inlineStr">
        <is>
          <t>São Bento da Abadá</t>
        </is>
      </c>
      <c r="D699" s="39" t="inlineStr">
        <is>
          <t>A_D_F_32_P15</t>
        </is>
      </c>
      <c r="E699" s="40" t="n"/>
      <c r="F699" s="39" t="inlineStr">
        <is>
          <t>B_D_F_32_P15</t>
        </is>
      </c>
      <c r="G699" s="40" t="n"/>
      <c r="H699" s="41" t="n"/>
      <c r="I699" s="42">
        <f>IF($H699="","",MAX(0,$H699-N($E699)))</f>
        <v/>
      </c>
      <c r="J699" s="42">
        <f>IF($H699="","",MAX(0,$H699-N($G699)))</f>
        <v/>
      </c>
    </row>
    <row r="700" ht="19.5" customHeight="1" s="72">
      <c r="A700" s="38" t="inlineStr">
        <is>
          <t>DF-32-P15-SIR</t>
        </is>
      </c>
      <c r="B700" s="38" t="inlineStr">
        <is>
          <t>Fase 32</t>
        </is>
      </c>
      <c r="C700" s="38" t="inlineStr">
        <is>
          <t>Siriuna</t>
        </is>
      </c>
      <c r="D700" s="39" t="inlineStr">
        <is>
          <t>A_D_F_32_P15</t>
        </is>
      </c>
      <c r="E700" s="40" t="n"/>
      <c r="F700" s="39" t="inlineStr">
        <is>
          <t>B_D_F_32_P15</t>
        </is>
      </c>
      <c r="G700" s="40" t="n"/>
      <c r="H700" s="41" t="n"/>
      <c r="I700" s="42">
        <f>IF($H700="","",MAX(0,$H700-N($E700)))</f>
        <v/>
      </c>
      <c r="J700" s="42">
        <f>IF($H700="","",MAX(0,$H700-N($G700)))</f>
        <v/>
      </c>
    </row>
    <row r="701" ht="19.5" customHeight="1" s="72">
      <c r="A701" s="38" t="inlineStr">
        <is>
          <t>DF-32-P16-BEN</t>
        </is>
      </c>
      <c r="B701" s="38" t="inlineStr">
        <is>
          <t>Fase 32</t>
        </is>
      </c>
      <c r="C701" s="38" t="inlineStr">
        <is>
          <t>Benguela</t>
        </is>
      </c>
      <c r="D701" s="39" t="inlineStr">
        <is>
          <t>A_D_F_32_P16</t>
        </is>
      </c>
      <c r="E701" s="40" t="n"/>
      <c r="F701" s="39" t="inlineStr">
        <is>
          <t>B_D_F_32_P16</t>
        </is>
      </c>
      <c r="G701" s="40" t="n"/>
      <c r="H701" s="41" t="n"/>
      <c r="I701" s="42">
        <f>IF($H701="","",MAX(0,$H701-N($E701)))</f>
        <v/>
      </c>
      <c r="J701" s="42">
        <f>IF($H701="","",MAX(0,$H701-N($G701)))</f>
        <v/>
      </c>
    </row>
    <row r="702" ht="19.5" customHeight="1" s="72">
      <c r="A702" s="38" t="inlineStr">
        <is>
          <t>DF-32-P16-SBA</t>
        </is>
      </c>
      <c r="B702" s="38" t="inlineStr">
        <is>
          <t>Fase 32</t>
        </is>
      </c>
      <c r="C702" s="38" t="inlineStr">
        <is>
          <t>São Bento da Abadá</t>
        </is>
      </c>
      <c r="D702" s="39" t="inlineStr">
        <is>
          <t>A_D_F_32_P16</t>
        </is>
      </c>
      <c r="E702" s="40" t="n"/>
      <c r="F702" s="39" t="inlineStr">
        <is>
          <t>B_D_F_32_P16</t>
        </is>
      </c>
      <c r="G702" s="40" t="n"/>
      <c r="H702" s="41" t="n"/>
      <c r="I702" s="42">
        <f>IF($H702="","",MAX(0,$H702-N($E702)))</f>
        <v/>
      </c>
      <c r="J702" s="42">
        <f>IF($H702="","",MAX(0,$H702-N($G702)))</f>
        <v/>
      </c>
    </row>
    <row r="703" ht="19.5" customHeight="1" s="72">
      <c r="A703" s="38" t="inlineStr">
        <is>
          <t>DF-32-P16-SIR</t>
        </is>
      </c>
      <c r="B703" s="38" t="inlineStr">
        <is>
          <t>Fase 32</t>
        </is>
      </c>
      <c r="C703" s="38" t="inlineStr">
        <is>
          <t>Siriuna</t>
        </is>
      </c>
      <c r="D703" s="39" t="inlineStr">
        <is>
          <t>A_D_F_32_P16</t>
        </is>
      </c>
      <c r="E703" s="40" t="n"/>
      <c r="F703" s="39" t="inlineStr">
        <is>
          <t>B_D_F_32_P16</t>
        </is>
      </c>
      <c r="G703" s="40" t="n"/>
      <c r="H703" s="41" t="n"/>
      <c r="I703" s="42">
        <f>IF($H703="","",MAX(0,$H703-N($E703)))</f>
        <v/>
      </c>
      <c r="J703" s="42">
        <f>IF($H703="","",MAX(0,$H703-N($G703)))</f>
        <v/>
      </c>
    </row>
    <row r="704" ht="19.5" customHeight="1" s="72">
      <c r="A704" s="38" t="inlineStr">
        <is>
          <t>DF-OCT-P01-BEN</t>
        </is>
      </c>
      <c r="B704" s="38" t="inlineStr">
        <is>
          <t>Octavas</t>
        </is>
      </c>
      <c r="C704" s="38" t="inlineStr">
        <is>
          <t>Benguela</t>
        </is>
      </c>
      <c r="D704" s="39">
        <f>IFERROR(CLASIF_D_F!$F$5,"")</f>
        <v/>
      </c>
      <c r="E704" s="40" t="n"/>
      <c r="F704" s="39">
        <f>IFERROR(CLASIF_D_F!$F$20,"")</f>
        <v/>
      </c>
      <c r="G704" s="40" t="n"/>
      <c r="H704" s="41" t="n"/>
      <c r="I704" s="42">
        <f>IF($H704="","",MAX(0,$H704-N($E704)))</f>
        <v/>
      </c>
      <c r="J704" s="42">
        <f>IF($H704="","",MAX(0,$H704-N($G704)))</f>
        <v/>
      </c>
    </row>
    <row r="705" ht="19.5" customHeight="1" s="72">
      <c r="A705" s="38" t="inlineStr">
        <is>
          <t>DF-OCT-P01-SBA</t>
        </is>
      </c>
      <c r="B705" s="38" t="inlineStr">
        <is>
          <t>Octavas</t>
        </is>
      </c>
      <c r="C705" s="38" t="inlineStr">
        <is>
          <t>São Bento da Abadá</t>
        </is>
      </c>
      <c r="D705" s="39">
        <f>IFERROR(CLASIF_D_F!$F$5,"")</f>
        <v/>
      </c>
      <c r="E705" s="40" t="n"/>
      <c r="F705" s="39">
        <f>IFERROR(CLASIF_D_F!$F$20,"")</f>
        <v/>
      </c>
      <c r="G705" s="40" t="n"/>
      <c r="H705" s="41" t="n"/>
      <c r="I705" s="42">
        <f>IF($H705="","",MAX(0,$H705-N($E705)))</f>
        <v/>
      </c>
      <c r="J705" s="42">
        <f>IF($H705="","",MAX(0,$H705-N($G705)))</f>
        <v/>
      </c>
    </row>
    <row r="706" ht="19.5" customHeight="1" s="72">
      <c r="A706" s="38" t="inlineStr">
        <is>
          <t>DF-OCT-P01-SIR</t>
        </is>
      </c>
      <c r="B706" s="38" t="inlineStr">
        <is>
          <t>Octavas</t>
        </is>
      </c>
      <c r="C706" s="38" t="inlineStr">
        <is>
          <t>Siriuna</t>
        </is>
      </c>
      <c r="D706" s="39">
        <f>IFERROR(CLASIF_D_F!$F$5,"")</f>
        <v/>
      </c>
      <c r="E706" s="40" t="n"/>
      <c r="F706" s="39">
        <f>IFERROR(CLASIF_D_F!$F$20,"")</f>
        <v/>
      </c>
      <c r="G706" s="40" t="n"/>
      <c r="H706" s="41" t="n"/>
      <c r="I706" s="42">
        <f>IF($H706="","",MAX(0,$H706-N($E706)))</f>
        <v/>
      </c>
      <c r="J706" s="42">
        <f>IF($H706="","",MAX(0,$H706-N($G706)))</f>
        <v/>
      </c>
    </row>
    <row r="707" ht="19.5" customHeight="1" s="72">
      <c r="A707" s="38" t="inlineStr">
        <is>
          <t>DF-OCT-P02-BEN</t>
        </is>
      </c>
      <c r="B707" s="38" t="inlineStr">
        <is>
          <t>Octavas</t>
        </is>
      </c>
      <c r="C707" s="38" t="inlineStr">
        <is>
          <t>Benguela</t>
        </is>
      </c>
      <c r="D707" s="39">
        <f>IFERROR(CLASIF_D_F!$F$6,"")</f>
        <v/>
      </c>
      <c r="E707" s="40" t="n"/>
      <c r="F707" s="39">
        <f>IFERROR(CLASIF_D_F!$F$19,"")</f>
        <v/>
      </c>
      <c r="G707" s="40" t="n"/>
      <c r="H707" s="41" t="n"/>
      <c r="I707" s="42">
        <f>IF($H707="","",MAX(0,$H707-N($E707)))</f>
        <v/>
      </c>
      <c r="J707" s="42">
        <f>IF($H707="","",MAX(0,$H707-N($G707)))</f>
        <v/>
      </c>
    </row>
    <row r="708" ht="19.5" customHeight="1" s="72">
      <c r="A708" s="38" t="inlineStr">
        <is>
          <t>DF-OCT-P02-SBA</t>
        </is>
      </c>
      <c r="B708" s="38" t="inlineStr">
        <is>
          <t>Octavas</t>
        </is>
      </c>
      <c r="C708" s="38" t="inlineStr">
        <is>
          <t>São Bento da Abadá</t>
        </is>
      </c>
      <c r="D708" s="39">
        <f>IFERROR(CLASIF_D_F!$F$6,"")</f>
        <v/>
      </c>
      <c r="E708" s="40" t="n"/>
      <c r="F708" s="39">
        <f>IFERROR(CLASIF_D_F!$F$19,"")</f>
        <v/>
      </c>
      <c r="G708" s="40" t="n"/>
      <c r="H708" s="41" t="n"/>
      <c r="I708" s="42">
        <f>IF($H708="","",MAX(0,$H708-N($E708)))</f>
        <v/>
      </c>
      <c r="J708" s="42">
        <f>IF($H708="","",MAX(0,$H708-N($G708)))</f>
        <v/>
      </c>
    </row>
    <row r="709" ht="19.5" customHeight="1" s="72">
      <c r="A709" s="38" t="inlineStr">
        <is>
          <t>DF-OCT-P02-SIR</t>
        </is>
      </c>
      <c r="B709" s="38" t="inlineStr">
        <is>
          <t>Octavas</t>
        </is>
      </c>
      <c r="C709" s="38" t="inlineStr">
        <is>
          <t>Siriuna</t>
        </is>
      </c>
      <c r="D709" s="39">
        <f>IFERROR(CLASIF_D_F!$F$6,"")</f>
        <v/>
      </c>
      <c r="E709" s="40" t="n"/>
      <c r="F709" s="39">
        <f>IFERROR(CLASIF_D_F!$F$19,"")</f>
        <v/>
      </c>
      <c r="G709" s="40" t="n"/>
      <c r="H709" s="41" t="n"/>
      <c r="I709" s="42">
        <f>IF($H709="","",MAX(0,$H709-N($E709)))</f>
        <v/>
      </c>
      <c r="J709" s="42">
        <f>IF($H709="","",MAX(0,$H709-N($G709)))</f>
        <v/>
      </c>
    </row>
    <row r="710" ht="19.5" customHeight="1" s="72">
      <c r="A710" s="38" t="inlineStr">
        <is>
          <t>DF-OCT-P03-BEN</t>
        </is>
      </c>
      <c r="B710" s="38" t="inlineStr">
        <is>
          <t>Octavas</t>
        </is>
      </c>
      <c r="C710" s="38" t="inlineStr">
        <is>
          <t>Benguela</t>
        </is>
      </c>
      <c r="D710" s="39">
        <f>IFERROR(CLASIF_D_F!$F$7,"")</f>
        <v/>
      </c>
      <c r="E710" s="40" t="n"/>
      <c r="F710" s="39">
        <f>IFERROR(CLASIF_D_F!$F$18,"")</f>
        <v/>
      </c>
      <c r="G710" s="40" t="n"/>
      <c r="H710" s="41" t="n"/>
      <c r="I710" s="42">
        <f>IF($H710="","",MAX(0,$H710-N($E710)))</f>
        <v/>
      </c>
      <c r="J710" s="42">
        <f>IF($H710="","",MAX(0,$H710-N($G710)))</f>
        <v/>
      </c>
    </row>
    <row r="711" ht="19.5" customHeight="1" s="72">
      <c r="A711" s="38" t="inlineStr">
        <is>
          <t>DF-OCT-P03-SBA</t>
        </is>
      </c>
      <c r="B711" s="38" t="inlineStr">
        <is>
          <t>Octavas</t>
        </is>
      </c>
      <c r="C711" s="38" t="inlineStr">
        <is>
          <t>São Bento da Abadá</t>
        </is>
      </c>
      <c r="D711" s="39">
        <f>IFERROR(CLASIF_D_F!$F$7,"")</f>
        <v/>
      </c>
      <c r="E711" s="40" t="n"/>
      <c r="F711" s="39">
        <f>IFERROR(CLASIF_D_F!$F$18,"")</f>
        <v/>
      </c>
      <c r="G711" s="40" t="n"/>
      <c r="H711" s="41" t="n"/>
      <c r="I711" s="42">
        <f>IF($H711="","",MAX(0,$H711-N($E711)))</f>
        <v/>
      </c>
      <c r="J711" s="42">
        <f>IF($H711="","",MAX(0,$H711-N($G711)))</f>
        <v/>
      </c>
    </row>
    <row r="712" ht="19.5" customHeight="1" s="72">
      <c r="A712" s="38" t="inlineStr">
        <is>
          <t>DF-OCT-P03-SIR</t>
        </is>
      </c>
      <c r="B712" s="38" t="inlineStr">
        <is>
          <t>Octavas</t>
        </is>
      </c>
      <c r="C712" s="38" t="inlineStr">
        <is>
          <t>Siriuna</t>
        </is>
      </c>
      <c r="D712" s="39">
        <f>IFERROR(CLASIF_D_F!$F$7,"")</f>
        <v/>
      </c>
      <c r="E712" s="40" t="n"/>
      <c r="F712" s="39">
        <f>IFERROR(CLASIF_D_F!$F$18,"")</f>
        <v/>
      </c>
      <c r="G712" s="40" t="n"/>
      <c r="H712" s="41" t="n"/>
      <c r="I712" s="42">
        <f>IF($H712="","",MAX(0,$H712-N($E712)))</f>
        <v/>
      </c>
      <c r="J712" s="42">
        <f>IF($H712="","",MAX(0,$H712-N($G712)))</f>
        <v/>
      </c>
    </row>
    <row r="713" ht="19.5" customHeight="1" s="72">
      <c r="A713" s="38" t="inlineStr">
        <is>
          <t>DF-OCT-P04-BEN</t>
        </is>
      </c>
      <c r="B713" s="38" t="inlineStr">
        <is>
          <t>Octavas</t>
        </is>
      </c>
      <c r="C713" s="38" t="inlineStr">
        <is>
          <t>Benguela</t>
        </is>
      </c>
      <c r="D713" s="39">
        <f>IFERROR(CLASIF_D_F!$F$8,"")</f>
        <v/>
      </c>
      <c r="E713" s="40" t="n"/>
      <c r="F713" s="39">
        <f>IFERROR(CLASIF_D_F!$F$17,"")</f>
        <v/>
      </c>
      <c r="G713" s="40" t="n"/>
      <c r="H713" s="41" t="n"/>
      <c r="I713" s="42">
        <f>IF($H713="","",MAX(0,$H713-N($E713)))</f>
        <v/>
      </c>
      <c r="J713" s="42">
        <f>IF($H713="","",MAX(0,$H713-N($G713)))</f>
        <v/>
      </c>
    </row>
    <row r="714" ht="19.5" customHeight="1" s="72">
      <c r="A714" s="38" t="inlineStr">
        <is>
          <t>DF-OCT-P04-SBA</t>
        </is>
      </c>
      <c r="B714" s="38" t="inlineStr">
        <is>
          <t>Octavas</t>
        </is>
      </c>
      <c r="C714" s="38" t="inlineStr">
        <is>
          <t>São Bento da Abadá</t>
        </is>
      </c>
      <c r="D714" s="39">
        <f>IFERROR(CLASIF_D_F!$F$8,"")</f>
        <v/>
      </c>
      <c r="E714" s="40" t="n"/>
      <c r="F714" s="39">
        <f>IFERROR(CLASIF_D_F!$F$17,"")</f>
        <v/>
      </c>
      <c r="G714" s="40" t="n"/>
      <c r="H714" s="41" t="n"/>
      <c r="I714" s="42">
        <f>IF($H714="","",MAX(0,$H714-N($E714)))</f>
        <v/>
      </c>
      <c r="J714" s="42">
        <f>IF($H714="","",MAX(0,$H714-N($G714)))</f>
        <v/>
      </c>
    </row>
    <row r="715" ht="19.5" customHeight="1" s="72">
      <c r="A715" s="38" t="inlineStr">
        <is>
          <t>DF-OCT-P04-SIR</t>
        </is>
      </c>
      <c r="B715" s="38" t="inlineStr">
        <is>
          <t>Octavas</t>
        </is>
      </c>
      <c r="C715" s="38" t="inlineStr">
        <is>
          <t>Siriuna</t>
        </is>
      </c>
      <c r="D715" s="39">
        <f>IFERROR(CLASIF_D_F!$F$8,"")</f>
        <v/>
      </c>
      <c r="E715" s="40" t="n"/>
      <c r="F715" s="39">
        <f>IFERROR(CLASIF_D_F!$F$17,"")</f>
        <v/>
      </c>
      <c r="G715" s="40" t="n"/>
      <c r="H715" s="41" t="n"/>
      <c r="I715" s="42">
        <f>IF($H715="","",MAX(0,$H715-N($E715)))</f>
        <v/>
      </c>
      <c r="J715" s="42">
        <f>IF($H715="","",MAX(0,$H715-N($G715)))</f>
        <v/>
      </c>
    </row>
    <row r="716" ht="19.5" customHeight="1" s="72">
      <c r="A716" s="38" t="inlineStr">
        <is>
          <t>DF-OCT-P05-BEN</t>
        </is>
      </c>
      <c r="B716" s="38" t="inlineStr">
        <is>
          <t>Octavas</t>
        </is>
      </c>
      <c r="C716" s="38" t="inlineStr">
        <is>
          <t>Benguela</t>
        </is>
      </c>
      <c r="D716" s="39">
        <f>IFERROR(CLASIF_D_F!$F$9,"")</f>
        <v/>
      </c>
      <c r="E716" s="40" t="n"/>
      <c r="F716" s="39">
        <f>IFERROR(CLASIF_D_F!$F$16,"")</f>
        <v/>
      </c>
      <c r="G716" s="40" t="n"/>
      <c r="H716" s="41" t="n"/>
      <c r="I716" s="42">
        <f>IF($H716="","",MAX(0,$H716-N($E716)))</f>
        <v/>
      </c>
      <c r="J716" s="42">
        <f>IF($H716="","",MAX(0,$H716-N($G716)))</f>
        <v/>
      </c>
    </row>
    <row r="717" ht="19.5" customHeight="1" s="72">
      <c r="A717" s="38" t="inlineStr">
        <is>
          <t>DF-OCT-P05-SBA</t>
        </is>
      </c>
      <c r="B717" s="38" t="inlineStr">
        <is>
          <t>Octavas</t>
        </is>
      </c>
      <c r="C717" s="38" t="inlineStr">
        <is>
          <t>São Bento da Abadá</t>
        </is>
      </c>
      <c r="D717" s="39">
        <f>IFERROR(CLASIF_D_F!$F$9,"")</f>
        <v/>
      </c>
      <c r="E717" s="40" t="n"/>
      <c r="F717" s="39">
        <f>IFERROR(CLASIF_D_F!$F$16,"")</f>
        <v/>
      </c>
      <c r="G717" s="40" t="n"/>
      <c r="H717" s="41" t="n"/>
      <c r="I717" s="42">
        <f>IF($H717="","",MAX(0,$H717-N($E717)))</f>
        <v/>
      </c>
      <c r="J717" s="42">
        <f>IF($H717="","",MAX(0,$H717-N($G717)))</f>
        <v/>
      </c>
    </row>
    <row r="718" ht="19.5" customHeight="1" s="72">
      <c r="A718" s="38" t="inlineStr">
        <is>
          <t>DF-OCT-P05-SIR</t>
        </is>
      </c>
      <c r="B718" s="38" t="inlineStr">
        <is>
          <t>Octavas</t>
        </is>
      </c>
      <c r="C718" s="38" t="inlineStr">
        <is>
          <t>Siriuna</t>
        </is>
      </c>
      <c r="D718" s="39">
        <f>IFERROR(CLASIF_D_F!$F$9,"")</f>
        <v/>
      </c>
      <c r="E718" s="40" t="n"/>
      <c r="F718" s="39">
        <f>IFERROR(CLASIF_D_F!$F$16,"")</f>
        <v/>
      </c>
      <c r="G718" s="40" t="n"/>
      <c r="H718" s="41" t="n"/>
      <c r="I718" s="42">
        <f>IF($H718="","",MAX(0,$H718-N($E718)))</f>
        <v/>
      </c>
      <c r="J718" s="42">
        <f>IF($H718="","",MAX(0,$H718-N($G718)))</f>
        <v/>
      </c>
    </row>
    <row r="719" ht="19.5" customHeight="1" s="72">
      <c r="A719" s="38" t="inlineStr">
        <is>
          <t>DF-OCT-P06-BEN</t>
        </is>
      </c>
      <c r="B719" s="38" t="inlineStr">
        <is>
          <t>Octavas</t>
        </is>
      </c>
      <c r="C719" s="38" t="inlineStr">
        <is>
          <t>Benguela</t>
        </is>
      </c>
      <c r="D719" s="39">
        <f>IFERROR(CLASIF_D_F!$F$10,"")</f>
        <v/>
      </c>
      <c r="E719" s="40" t="n"/>
      <c r="F719" s="39">
        <f>IFERROR(CLASIF_D_F!$F$15,"")</f>
        <v/>
      </c>
      <c r="G719" s="40" t="n"/>
      <c r="H719" s="41" t="n"/>
      <c r="I719" s="42">
        <f>IF($H719="","",MAX(0,$H719-N($E719)))</f>
        <v/>
      </c>
      <c r="J719" s="42">
        <f>IF($H719="","",MAX(0,$H719-N($G719)))</f>
        <v/>
      </c>
    </row>
    <row r="720" ht="19.5" customHeight="1" s="72">
      <c r="A720" s="38" t="inlineStr">
        <is>
          <t>DF-OCT-P06-SBA</t>
        </is>
      </c>
      <c r="B720" s="38" t="inlineStr">
        <is>
          <t>Octavas</t>
        </is>
      </c>
      <c r="C720" s="38" t="inlineStr">
        <is>
          <t>São Bento da Abadá</t>
        </is>
      </c>
      <c r="D720" s="39">
        <f>IFERROR(CLASIF_D_F!$F$10,"")</f>
        <v/>
      </c>
      <c r="E720" s="40" t="n"/>
      <c r="F720" s="39">
        <f>IFERROR(CLASIF_D_F!$F$15,"")</f>
        <v/>
      </c>
      <c r="G720" s="40" t="n"/>
      <c r="H720" s="41" t="n"/>
      <c r="I720" s="42">
        <f>IF($H720="","",MAX(0,$H720-N($E720)))</f>
        <v/>
      </c>
      <c r="J720" s="42">
        <f>IF($H720="","",MAX(0,$H720-N($G720)))</f>
        <v/>
      </c>
    </row>
    <row r="721" ht="19.5" customHeight="1" s="72">
      <c r="A721" s="38" t="inlineStr">
        <is>
          <t>DF-OCT-P06-SIR</t>
        </is>
      </c>
      <c r="B721" s="38" t="inlineStr">
        <is>
          <t>Octavas</t>
        </is>
      </c>
      <c r="C721" s="38" t="inlineStr">
        <is>
          <t>Siriuna</t>
        </is>
      </c>
      <c r="D721" s="39">
        <f>IFERROR(CLASIF_D_F!$F$10,"")</f>
        <v/>
      </c>
      <c r="E721" s="40" t="n"/>
      <c r="F721" s="39">
        <f>IFERROR(CLASIF_D_F!$F$15,"")</f>
        <v/>
      </c>
      <c r="G721" s="40" t="n"/>
      <c r="H721" s="41" t="n"/>
      <c r="I721" s="42">
        <f>IF($H721="","",MAX(0,$H721-N($E721)))</f>
        <v/>
      </c>
      <c r="J721" s="42">
        <f>IF($H721="","",MAX(0,$H721-N($G721)))</f>
        <v/>
      </c>
    </row>
    <row r="722" ht="19.5" customHeight="1" s="72">
      <c r="A722" s="38" t="inlineStr">
        <is>
          <t>DF-OCT-P07-BEN</t>
        </is>
      </c>
      <c r="B722" s="38" t="inlineStr">
        <is>
          <t>Octavas</t>
        </is>
      </c>
      <c r="C722" s="38" t="inlineStr">
        <is>
          <t>Benguela</t>
        </is>
      </c>
      <c r="D722" s="39">
        <f>IFERROR(CLASIF_D_F!$F$11,"")</f>
        <v/>
      </c>
      <c r="E722" s="40" t="n"/>
      <c r="F722" s="39">
        <f>IFERROR(CLASIF_D_F!$F$14,"")</f>
        <v/>
      </c>
      <c r="G722" s="40" t="n"/>
      <c r="H722" s="41" t="n"/>
      <c r="I722" s="42">
        <f>IF($H722="","",MAX(0,$H722-N($E722)))</f>
        <v/>
      </c>
      <c r="J722" s="42">
        <f>IF($H722="","",MAX(0,$H722-N($G722)))</f>
        <v/>
      </c>
    </row>
    <row r="723" ht="19.5" customHeight="1" s="72">
      <c r="A723" s="38" t="inlineStr">
        <is>
          <t>DF-OCT-P07-SBA</t>
        </is>
      </c>
      <c r="B723" s="38" t="inlineStr">
        <is>
          <t>Octavas</t>
        </is>
      </c>
      <c r="C723" s="38" t="inlineStr">
        <is>
          <t>São Bento da Abadá</t>
        </is>
      </c>
      <c r="D723" s="39">
        <f>IFERROR(CLASIF_D_F!$F$11,"")</f>
        <v/>
      </c>
      <c r="E723" s="40" t="n"/>
      <c r="F723" s="39">
        <f>IFERROR(CLASIF_D_F!$F$14,"")</f>
        <v/>
      </c>
      <c r="G723" s="40" t="n"/>
      <c r="H723" s="41" t="n"/>
      <c r="I723" s="42">
        <f>IF($H723="","",MAX(0,$H723-N($E723)))</f>
        <v/>
      </c>
      <c r="J723" s="42">
        <f>IF($H723="","",MAX(0,$H723-N($G723)))</f>
        <v/>
      </c>
    </row>
    <row r="724" ht="19.5" customHeight="1" s="72">
      <c r="A724" s="38" t="inlineStr">
        <is>
          <t>DF-OCT-P07-SIR</t>
        </is>
      </c>
      <c r="B724" s="38" t="inlineStr">
        <is>
          <t>Octavas</t>
        </is>
      </c>
      <c r="C724" s="38" t="inlineStr">
        <is>
          <t>Siriuna</t>
        </is>
      </c>
      <c r="D724" s="39">
        <f>IFERROR(CLASIF_D_F!$F$11,"")</f>
        <v/>
      </c>
      <c r="E724" s="40" t="n"/>
      <c r="F724" s="39">
        <f>IFERROR(CLASIF_D_F!$F$14,"")</f>
        <v/>
      </c>
      <c r="G724" s="40" t="n"/>
      <c r="H724" s="41" t="n"/>
      <c r="I724" s="42">
        <f>IF($H724="","",MAX(0,$H724-N($E724)))</f>
        <v/>
      </c>
      <c r="J724" s="42">
        <f>IF($H724="","",MAX(0,$H724-N($G724)))</f>
        <v/>
      </c>
    </row>
    <row r="725" ht="19.5" customHeight="1" s="72">
      <c r="A725" s="38" t="inlineStr">
        <is>
          <t>DF-OCT-P08-BEN</t>
        </is>
      </c>
      <c r="B725" s="38" t="inlineStr">
        <is>
          <t>Octavas</t>
        </is>
      </c>
      <c r="C725" s="38" t="inlineStr">
        <is>
          <t>Benguela</t>
        </is>
      </c>
      <c r="D725" s="39">
        <f>IFERROR(CLASIF_D_F!$F$12,"")</f>
        <v/>
      </c>
      <c r="E725" s="40" t="n"/>
      <c r="F725" s="39">
        <f>IFERROR(CLASIF_D_F!$F$13,"")</f>
        <v/>
      </c>
      <c r="G725" s="40" t="n"/>
      <c r="H725" s="41" t="n"/>
      <c r="I725" s="42">
        <f>IF($H725="","",MAX(0,$H725-N($E725)))</f>
        <v/>
      </c>
      <c r="J725" s="42">
        <f>IF($H725="","",MAX(0,$H725-N($G725)))</f>
        <v/>
      </c>
    </row>
    <row r="726" ht="19.5" customHeight="1" s="72">
      <c r="A726" s="38" t="inlineStr">
        <is>
          <t>DF-OCT-P08-SBA</t>
        </is>
      </c>
      <c r="B726" s="38" t="inlineStr">
        <is>
          <t>Octavas</t>
        </is>
      </c>
      <c r="C726" s="38" t="inlineStr">
        <is>
          <t>São Bento da Abadá</t>
        </is>
      </c>
      <c r="D726" s="39">
        <f>IFERROR(CLASIF_D_F!$F$12,"")</f>
        <v/>
      </c>
      <c r="E726" s="40" t="n"/>
      <c r="F726" s="39">
        <f>IFERROR(CLASIF_D_F!$F$13,"")</f>
        <v/>
      </c>
      <c r="G726" s="40" t="n"/>
      <c r="H726" s="41" t="n"/>
      <c r="I726" s="42">
        <f>IF($H726="","",MAX(0,$H726-N($E726)))</f>
        <v/>
      </c>
      <c r="J726" s="42">
        <f>IF($H726="","",MAX(0,$H726-N($G726)))</f>
        <v/>
      </c>
    </row>
    <row r="727" ht="19.5" customHeight="1" s="72">
      <c r="A727" s="38" t="inlineStr">
        <is>
          <t>DF-OCT-P08-SIR</t>
        </is>
      </c>
      <c r="B727" s="38" t="inlineStr">
        <is>
          <t>Octavas</t>
        </is>
      </c>
      <c r="C727" s="38" t="inlineStr">
        <is>
          <t>Siriuna</t>
        </is>
      </c>
      <c r="D727" s="39">
        <f>IFERROR(CLASIF_D_F!$F$12,"")</f>
        <v/>
      </c>
      <c r="E727" s="40" t="n"/>
      <c r="F727" s="39">
        <f>IFERROR(CLASIF_D_F!$F$13,"")</f>
        <v/>
      </c>
      <c r="G727" s="40" t="n"/>
      <c r="H727" s="41" t="n"/>
      <c r="I727" s="42">
        <f>IF($H727="","",MAX(0,$H727-N($E727)))</f>
        <v/>
      </c>
      <c r="J727" s="42">
        <f>IF($H727="","",MAX(0,$H727-N($G727)))</f>
        <v/>
      </c>
    </row>
    <row r="728" ht="19.5" customHeight="1" s="72">
      <c r="A728" s="38" t="inlineStr">
        <is>
          <t>DF-SEM-P01-BEN</t>
        </is>
      </c>
      <c r="B728" s="38" t="inlineStr">
        <is>
          <t>Semifinal</t>
        </is>
      </c>
      <c r="C728" s="38" t="inlineStr">
        <is>
          <t>Benguela</t>
        </is>
      </c>
      <c r="D728" s="39">
        <f>IFERROR(CLASIF_D_F!$O$5,"")</f>
        <v/>
      </c>
      <c r="E728" s="40" t="n"/>
      <c r="F728" s="39">
        <f>IFERROR(CLASIF_D_F!$O$12,"")</f>
        <v/>
      </c>
      <c r="G728" s="40" t="n"/>
      <c r="H728" s="41" t="n"/>
      <c r="I728" s="42">
        <f>IF($H728="","",MAX(0,$H728-N($E728)))</f>
        <v/>
      </c>
      <c r="J728" s="42">
        <f>IF($H728="","",MAX(0,$H728-N($G728)))</f>
        <v/>
      </c>
    </row>
    <row r="729" ht="19.5" customHeight="1" s="72">
      <c r="A729" s="38" t="inlineStr">
        <is>
          <t>DF-SEM-P01-SBA</t>
        </is>
      </c>
      <c r="B729" s="38" t="inlineStr">
        <is>
          <t>Semifinal</t>
        </is>
      </c>
      <c r="C729" s="38" t="inlineStr">
        <is>
          <t>São Bento da Abadá</t>
        </is>
      </c>
      <c r="D729" s="39">
        <f>IFERROR(CLASIF_D_F!$O$5,"")</f>
        <v/>
      </c>
      <c r="E729" s="40" t="n"/>
      <c r="F729" s="39">
        <f>IFERROR(CLASIF_D_F!$O$12,"")</f>
        <v/>
      </c>
      <c r="G729" s="40" t="n"/>
      <c r="H729" s="41" t="n"/>
      <c r="I729" s="42">
        <f>IF($H729="","",MAX(0,$H729-N($E729)))</f>
        <v/>
      </c>
      <c r="J729" s="42">
        <f>IF($H729="","",MAX(0,$H729-N($G729)))</f>
        <v/>
      </c>
    </row>
    <row r="730" ht="19.5" customHeight="1" s="72">
      <c r="A730" s="38" t="inlineStr">
        <is>
          <t>DF-SEM-P01-SIR</t>
        </is>
      </c>
      <c r="B730" s="38" t="inlineStr">
        <is>
          <t>Semifinal</t>
        </is>
      </c>
      <c r="C730" s="38" t="inlineStr">
        <is>
          <t>Siriuna</t>
        </is>
      </c>
      <c r="D730" s="39">
        <f>IFERROR(CLASIF_D_F!$O$5,"")</f>
        <v/>
      </c>
      <c r="E730" s="40" t="n"/>
      <c r="F730" s="39">
        <f>IFERROR(CLASIF_D_F!$O$12,"")</f>
        <v/>
      </c>
      <c r="G730" s="40" t="n"/>
      <c r="H730" s="41" t="n"/>
      <c r="I730" s="42">
        <f>IF($H730="","",MAX(0,$H730-N($E730)))</f>
        <v/>
      </c>
      <c r="J730" s="42">
        <f>IF($H730="","",MAX(0,$H730-N($G730)))</f>
        <v/>
      </c>
    </row>
    <row r="731" ht="19.5" customHeight="1" s="72">
      <c r="A731" s="38" t="inlineStr">
        <is>
          <t>DF-SEM-P02-BEN</t>
        </is>
      </c>
      <c r="B731" s="38" t="inlineStr">
        <is>
          <t>Semifinal</t>
        </is>
      </c>
      <c r="C731" s="38" t="inlineStr">
        <is>
          <t>Benguela</t>
        </is>
      </c>
      <c r="D731" s="39">
        <f>IFERROR(CLASIF_D_F!$O$6,"")</f>
        <v/>
      </c>
      <c r="E731" s="40" t="n"/>
      <c r="F731" s="39">
        <f>IFERROR(CLASIF_D_F!$O$11,"")</f>
        <v/>
      </c>
      <c r="G731" s="40" t="n"/>
      <c r="H731" s="41" t="n"/>
      <c r="I731" s="42">
        <f>IF($H731="","",MAX(0,$H731-N($E731)))</f>
        <v/>
      </c>
      <c r="J731" s="42">
        <f>IF($H731="","",MAX(0,$H731-N($G731)))</f>
        <v/>
      </c>
    </row>
    <row r="732" ht="19.5" customHeight="1" s="72">
      <c r="A732" s="38" t="inlineStr">
        <is>
          <t>DF-SEM-P02-SBA</t>
        </is>
      </c>
      <c r="B732" s="38" t="inlineStr">
        <is>
          <t>Semifinal</t>
        </is>
      </c>
      <c r="C732" s="38" t="inlineStr">
        <is>
          <t>São Bento da Abadá</t>
        </is>
      </c>
      <c r="D732" s="39">
        <f>IFERROR(CLASIF_D_F!$O$6,"")</f>
        <v/>
      </c>
      <c r="E732" s="40" t="n"/>
      <c r="F732" s="39">
        <f>IFERROR(CLASIF_D_F!$O$11,"")</f>
        <v/>
      </c>
      <c r="G732" s="40" t="n"/>
      <c r="H732" s="41" t="n"/>
      <c r="I732" s="42">
        <f>IF($H732="","",MAX(0,$H732-N($E732)))</f>
        <v/>
      </c>
      <c r="J732" s="42">
        <f>IF($H732="","",MAX(0,$H732-N($G732)))</f>
        <v/>
      </c>
    </row>
    <row r="733" ht="19.5" customHeight="1" s="72">
      <c r="A733" s="38" t="inlineStr">
        <is>
          <t>DF-SEM-P02-SIR</t>
        </is>
      </c>
      <c r="B733" s="38" t="inlineStr">
        <is>
          <t>Semifinal</t>
        </is>
      </c>
      <c r="C733" s="38" t="inlineStr">
        <is>
          <t>Siriuna</t>
        </is>
      </c>
      <c r="D733" s="39">
        <f>IFERROR(CLASIF_D_F!$O$6,"")</f>
        <v/>
      </c>
      <c r="E733" s="40" t="n"/>
      <c r="F733" s="39">
        <f>IFERROR(CLASIF_D_F!$O$11,"")</f>
        <v/>
      </c>
      <c r="G733" s="40" t="n"/>
      <c r="H733" s="41" t="n"/>
      <c r="I733" s="42">
        <f>IF($H733="","",MAX(0,$H733-N($E733)))</f>
        <v/>
      </c>
      <c r="J733" s="42">
        <f>IF($H733="","",MAX(0,$H733-N($G733)))</f>
        <v/>
      </c>
    </row>
    <row r="734" ht="19.5" customHeight="1" s="72">
      <c r="A734" s="38" t="inlineStr">
        <is>
          <t>DF-SEM-P03-BEN</t>
        </is>
      </c>
      <c r="B734" s="38" t="inlineStr">
        <is>
          <t>Semifinal</t>
        </is>
      </c>
      <c r="C734" s="38" t="inlineStr">
        <is>
          <t>Benguela</t>
        </is>
      </c>
      <c r="D734" s="39">
        <f>IFERROR(CLASIF_D_F!$O$7,"")</f>
        <v/>
      </c>
      <c r="E734" s="40" t="n"/>
      <c r="F734" s="39">
        <f>IFERROR(CLASIF_D_F!$O$10,"")</f>
        <v/>
      </c>
      <c r="G734" s="40" t="n"/>
      <c r="H734" s="41" t="n"/>
      <c r="I734" s="42">
        <f>IF($H734="","",MAX(0,$H734-N($E734)))</f>
        <v/>
      </c>
      <c r="J734" s="42">
        <f>IF($H734="","",MAX(0,$H734-N($G734)))</f>
        <v/>
      </c>
    </row>
    <row r="735" ht="19.5" customHeight="1" s="72">
      <c r="A735" s="38" t="inlineStr">
        <is>
          <t>DF-SEM-P03-SBA</t>
        </is>
      </c>
      <c r="B735" s="38" t="inlineStr">
        <is>
          <t>Semifinal</t>
        </is>
      </c>
      <c r="C735" s="38" t="inlineStr">
        <is>
          <t>São Bento da Abadá</t>
        </is>
      </c>
      <c r="D735" s="39">
        <f>IFERROR(CLASIF_D_F!$O$7,"")</f>
        <v/>
      </c>
      <c r="E735" s="40" t="n"/>
      <c r="F735" s="39">
        <f>IFERROR(CLASIF_D_F!$O$10,"")</f>
        <v/>
      </c>
      <c r="G735" s="40" t="n"/>
      <c r="H735" s="41" t="n"/>
      <c r="I735" s="42">
        <f>IF($H735="","",MAX(0,$H735-N($E735)))</f>
        <v/>
      </c>
      <c r="J735" s="42">
        <f>IF($H735="","",MAX(0,$H735-N($G735)))</f>
        <v/>
      </c>
    </row>
    <row r="736" ht="19.5" customHeight="1" s="72">
      <c r="A736" s="38" t="inlineStr">
        <is>
          <t>DF-SEM-P03-SIR</t>
        </is>
      </c>
      <c r="B736" s="38" t="inlineStr">
        <is>
          <t>Semifinal</t>
        </is>
      </c>
      <c r="C736" s="38" t="inlineStr">
        <is>
          <t>Siriuna</t>
        </is>
      </c>
      <c r="D736" s="39">
        <f>IFERROR(CLASIF_D_F!$O$7,"")</f>
        <v/>
      </c>
      <c r="E736" s="40" t="n"/>
      <c r="F736" s="39">
        <f>IFERROR(CLASIF_D_F!$O$10,"")</f>
        <v/>
      </c>
      <c r="G736" s="40" t="n"/>
      <c r="H736" s="41" t="n"/>
      <c r="I736" s="42">
        <f>IF($H736="","",MAX(0,$H736-N($E736)))</f>
        <v/>
      </c>
      <c r="J736" s="42">
        <f>IF($H736="","",MAX(0,$H736-N($G736)))</f>
        <v/>
      </c>
    </row>
    <row r="737" ht="19.5" customHeight="1" s="72">
      <c r="A737" s="38" t="inlineStr">
        <is>
          <t>DF-SEM-P04-BEN</t>
        </is>
      </c>
      <c r="B737" s="38" t="inlineStr">
        <is>
          <t>Semifinal</t>
        </is>
      </c>
      <c r="C737" s="38" t="inlineStr">
        <is>
          <t>Benguela</t>
        </is>
      </c>
      <c r="D737" s="39">
        <f>IFERROR(CLASIF_D_F!$O$8,"")</f>
        <v/>
      </c>
      <c r="E737" s="40" t="n"/>
      <c r="F737" s="39">
        <f>IFERROR(CLASIF_D_F!$O$9,"")</f>
        <v/>
      </c>
      <c r="G737" s="40" t="n"/>
      <c r="H737" s="41" t="n"/>
      <c r="I737" s="42">
        <f>IF($H737="","",MAX(0,$H737-N($E737)))</f>
        <v/>
      </c>
      <c r="J737" s="42">
        <f>IF($H737="","",MAX(0,$H737-N($G737)))</f>
        <v/>
      </c>
    </row>
    <row r="738" ht="19.5" customHeight="1" s="72">
      <c r="A738" s="38" t="inlineStr">
        <is>
          <t>DF-SEM-P04-SBA</t>
        </is>
      </c>
      <c r="B738" s="38" t="inlineStr">
        <is>
          <t>Semifinal</t>
        </is>
      </c>
      <c r="C738" s="38" t="inlineStr">
        <is>
          <t>São Bento da Abadá</t>
        </is>
      </c>
      <c r="D738" s="39">
        <f>IFERROR(CLASIF_D_F!$O$8,"")</f>
        <v/>
      </c>
      <c r="E738" s="40" t="n"/>
      <c r="F738" s="39">
        <f>IFERROR(CLASIF_D_F!$O$9,"")</f>
        <v/>
      </c>
      <c r="G738" s="40" t="n"/>
      <c r="H738" s="41" t="n"/>
      <c r="I738" s="42">
        <f>IF($H738="","",MAX(0,$H738-N($E738)))</f>
        <v/>
      </c>
      <c r="J738" s="42">
        <f>IF($H738="","",MAX(0,$H738-N($G738)))</f>
        <v/>
      </c>
    </row>
    <row r="739" ht="19.5" customHeight="1" s="72">
      <c r="A739" s="38" t="inlineStr">
        <is>
          <t>DF-SEM-P04-SIR</t>
        </is>
      </c>
      <c r="B739" s="38" t="inlineStr">
        <is>
          <t>Semifinal</t>
        </is>
      </c>
      <c r="C739" s="38" t="inlineStr">
        <is>
          <t>Siriuna</t>
        </is>
      </c>
      <c r="D739" s="39">
        <f>IFERROR(CLASIF_D_F!$O$8,"")</f>
        <v/>
      </c>
      <c r="E739" s="40" t="n"/>
      <c r="F739" s="39">
        <f>IFERROR(CLASIF_D_F!$O$9,"")</f>
        <v/>
      </c>
      <c r="G739" s="40" t="n"/>
      <c r="H739" s="41" t="n"/>
      <c r="I739" s="42">
        <f>IF($H739="","",MAX(0,$H739-N($E739)))</f>
        <v/>
      </c>
      <c r="J739" s="42">
        <f>IF($H739="","",MAX(0,$H739-N($G739)))</f>
        <v/>
      </c>
    </row>
    <row r="740" ht="19.5" customHeight="1" s="72">
      <c r="A740" s="38" t="inlineStr">
        <is>
          <t>DF-FIN-P01-BEN</t>
        </is>
      </c>
      <c r="B740" s="38" t="inlineStr">
        <is>
          <t>Final</t>
        </is>
      </c>
      <c r="C740" s="38" t="inlineStr">
        <is>
          <t>Benguela</t>
        </is>
      </c>
      <c r="D740" s="39">
        <f>IFERROR(CLASIF_D_F!$X$5,"")</f>
        <v/>
      </c>
      <c r="E740" s="40" t="n"/>
      <c r="F740" s="39">
        <f>IFERROR(CLASIF_D_F!$X$8,"")</f>
        <v/>
      </c>
      <c r="G740" s="40" t="n"/>
      <c r="H740" s="41" t="n"/>
      <c r="I740" s="42">
        <f>IF($H740="","",MAX(0,$H740-N($E740)))</f>
        <v/>
      </c>
      <c r="J740" s="42">
        <f>IF($H740="","",MAX(0,$H740-N($G740)))</f>
        <v/>
      </c>
    </row>
    <row r="741" ht="19.5" customHeight="1" s="72">
      <c r="A741" s="38" t="inlineStr">
        <is>
          <t>DF-FIN-P01-SBA</t>
        </is>
      </c>
      <c r="B741" s="38" t="inlineStr">
        <is>
          <t>Final</t>
        </is>
      </c>
      <c r="C741" s="38" t="inlineStr">
        <is>
          <t>São Bento da Abadá</t>
        </is>
      </c>
      <c r="D741" s="39">
        <f>IFERROR(CLASIF_D_F!$X$5,"")</f>
        <v/>
      </c>
      <c r="E741" s="40" t="n"/>
      <c r="F741" s="39">
        <f>IFERROR(CLASIF_D_F!$X$8,"")</f>
        <v/>
      </c>
      <c r="G741" s="40" t="n"/>
      <c r="H741" s="41" t="n"/>
      <c r="I741" s="42">
        <f>IF($H741="","",MAX(0,$H741-N($E741)))</f>
        <v/>
      </c>
      <c r="J741" s="42">
        <f>IF($H741="","",MAX(0,$H741-N($G741)))</f>
        <v/>
      </c>
    </row>
    <row r="742" ht="19.5" customHeight="1" s="72">
      <c r="A742" s="38" t="inlineStr">
        <is>
          <t>DF-FIN-P01-SIR</t>
        </is>
      </c>
      <c r="B742" s="38" t="inlineStr">
        <is>
          <t>Final</t>
        </is>
      </c>
      <c r="C742" s="38" t="inlineStr">
        <is>
          <t>Siriuna</t>
        </is>
      </c>
      <c r="D742" s="39">
        <f>IFERROR(CLASIF_D_F!$X$5,"")</f>
        <v/>
      </c>
      <c r="E742" s="40" t="n"/>
      <c r="F742" s="39">
        <f>IFERROR(CLASIF_D_F!$X$8,"")</f>
        <v/>
      </c>
      <c r="G742" s="40" t="n"/>
      <c r="H742" s="41" t="n"/>
      <c r="I742" s="42">
        <f>IF($H742="","",MAX(0,$H742-N($E742)))</f>
        <v/>
      </c>
      <c r="J742" s="42">
        <f>IF($H742="","",MAX(0,$H742-N($G742)))</f>
        <v/>
      </c>
    </row>
    <row r="743" ht="19.5" customHeight="1" s="72">
      <c r="A743" s="38" t="inlineStr">
        <is>
          <t>DF-FIN-P02-BEN</t>
        </is>
      </c>
      <c r="B743" s="38" t="inlineStr">
        <is>
          <t>Final</t>
        </is>
      </c>
      <c r="C743" s="38" t="inlineStr">
        <is>
          <t>Benguela</t>
        </is>
      </c>
      <c r="D743" s="39">
        <f>IFERROR(CLASIF_D_F!$X$6,"")</f>
        <v/>
      </c>
      <c r="E743" s="40" t="n"/>
      <c r="F743" s="39">
        <f>IFERROR(CLASIF_D_F!$X$7,"")</f>
        <v/>
      </c>
      <c r="G743" s="40" t="n"/>
      <c r="H743" s="41" t="n"/>
      <c r="I743" s="42">
        <f>IF($H743="","",MAX(0,$H743-N($E743)))</f>
        <v/>
      </c>
      <c r="J743" s="42">
        <f>IF($H743="","",MAX(0,$H743-N($G743)))</f>
        <v/>
      </c>
    </row>
    <row r="744" ht="19.5" customHeight="1" s="72">
      <c r="A744" s="38" t="inlineStr">
        <is>
          <t>DF-FIN-P02-SBA</t>
        </is>
      </c>
      <c r="B744" s="38" t="inlineStr">
        <is>
          <t>Final</t>
        </is>
      </c>
      <c r="C744" s="38" t="inlineStr">
        <is>
          <t>São Bento da Abadá</t>
        </is>
      </c>
      <c r="D744" s="39">
        <f>IFERROR(CLASIF_D_F!$X$6,"")</f>
        <v/>
      </c>
      <c r="E744" s="40" t="n"/>
      <c r="F744" s="39">
        <f>IFERROR(CLASIF_D_F!$X$7,"")</f>
        <v/>
      </c>
      <c r="G744" s="40" t="n"/>
      <c r="H744" s="41" t="n"/>
      <c r="I744" s="42">
        <f>IF($H744="","",MAX(0,$H744-N($E744)))</f>
        <v/>
      </c>
      <c r="J744" s="42">
        <f>IF($H744="","",MAX(0,$H744-N($G744)))</f>
        <v/>
      </c>
    </row>
    <row r="745" ht="19.5" customHeight="1" s="72">
      <c r="A745" s="38" t="inlineStr">
        <is>
          <t>DF-FIN-P02-SIR</t>
        </is>
      </c>
      <c r="B745" s="38" t="inlineStr">
        <is>
          <t>Final</t>
        </is>
      </c>
      <c r="C745" s="38" t="inlineStr">
        <is>
          <t>Siriuna</t>
        </is>
      </c>
      <c r="D745" s="39">
        <f>IFERROR(CLASIF_D_F!$X$6,"")</f>
        <v/>
      </c>
      <c r="E745" s="40" t="n"/>
      <c r="F745" s="39">
        <f>IFERROR(CLASIF_D_F!$X$7,"")</f>
        <v/>
      </c>
      <c r="G745" s="40" t="n"/>
      <c r="H745" s="41" t="n"/>
      <c r="I745" s="42">
        <f>IF($H745="","",MAX(0,$H745-N($E745)))</f>
        <v/>
      </c>
      <c r="J745" s="42">
        <f>IF($H745="","",MAX(0,$H745-N($G745)))</f>
        <v/>
      </c>
    </row>
    <row r="746" ht="19.5" customHeight="1" s="72">
      <c r="A746" s="43" t="n"/>
      <c r="B746" s="43" t="n"/>
      <c r="C746" s="43" t="n"/>
      <c r="D746" s="43" t="n"/>
      <c r="E746" s="43" t="n"/>
      <c r="F746" s="43" t="n"/>
      <c r="G746" s="43" t="n"/>
      <c r="H746" s="44" t="n"/>
      <c r="I746" s="43">
        <f>IF($H746="","",MAX(0,$H746-N($E746)))</f>
        <v/>
      </c>
      <c r="J746" s="43">
        <f>IF($H746="","",MAX(0,$H746-N($G746)))</f>
        <v/>
      </c>
    </row>
    <row r="747" ht="19.5" customHeight="1" s="72">
      <c r="A747" s="84" t="inlineStr">
        <is>
          <t>═══ CATEGORÍA E · Masculino · Naranja (Alumnos) · Toques: São Bento da Abadá, Benguela ═══</t>
        </is>
      </c>
    </row>
    <row r="748" ht="19.5" customHeight="1" s="72">
      <c r="A748" s="8" t="inlineStr">
        <is>
          <t>Jogo</t>
        </is>
      </c>
      <c r="B748" s="8" t="inlineStr">
        <is>
          <t>Fase</t>
        </is>
      </c>
      <c r="C748" s="8" t="inlineStr">
        <is>
          <t>Toque</t>
        </is>
      </c>
      <c r="D748" s="8" t="inlineStr">
        <is>
          <t>Jugador A</t>
        </is>
      </c>
      <c r="E748" s="8" t="inlineStr">
        <is>
          <t>Quita A</t>
        </is>
      </c>
      <c r="F748" s="8" t="inlineStr">
        <is>
          <t>Jugador B</t>
        </is>
      </c>
      <c r="G748" s="8" t="inlineStr">
        <is>
          <t>Quita B</t>
        </is>
      </c>
      <c r="H748" s="8" t="inlineStr">
        <is>
          <t>NOTA (0-5)</t>
        </is>
      </c>
      <c r="I748" s="8">
        <f>IF($H748="","",MAX(0,$H748-N($E748)))</f>
        <v/>
      </c>
      <c r="J748" s="8">
        <f>IF($H748="","",MAX(0,$H748-N($G748)))</f>
        <v/>
      </c>
    </row>
    <row r="749" ht="19.5" customHeight="1" s="72">
      <c r="A749" s="38" t="inlineStr">
        <is>
          <t>EM-32-P01-SBA</t>
        </is>
      </c>
      <c r="B749" s="38" t="inlineStr">
        <is>
          <t>Fase 32</t>
        </is>
      </c>
      <c r="C749" s="38" t="inlineStr">
        <is>
          <t>São Bento da Abadá</t>
        </is>
      </c>
      <c r="D749" s="39" t="inlineStr">
        <is>
          <t>A_E_M_32_P1</t>
        </is>
      </c>
      <c r="E749" s="40" t="n"/>
      <c r="F749" s="39" t="inlineStr">
        <is>
          <t>B_E_M_32_P1</t>
        </is>
      </c>
      <c r="G749" s="40" t="n"/>
      <c r="H749" s="41" t="n"/>
      <c r="I749" s="42">
        <f>IF($H749="","",MAX(0,$H749-N($E749)))</f>
        <v/>
      </c>
      <c r="J749" s="42">
        <f>IF($H749="","",MAX(0,$H749-N($G749)))</f>
        <v/>
      </c>
    </row>
    <row r="750" ht="19.5" customHeight="1" s="72">
      <c r="A750" s="38" t="inlineStr">
        <is>
          <t>EM-32-P01-BEN</t>
        </is>
      </c>
      <c r="B750" s="38" t="inlineStr">
        <is>
          <t>Fase 32</t>
        </is>
      </c>
      <c r="C750" s="38" t="inlineStr">
        <is>
          <t>Benguela</t>
        </is>
      </c>
      <c r="D750" s="39" t="inlineStr">
        <is>
          <t>A_E_M_32_P1</t>
        </is>
      </c>
      <c r="E750" s="40" t="n"/>
      <c r="F750" s="39" t="inlineStr">
        <is>
          <t>B_E_M_32_P1</t>
        </is>
      </c>
      <c r="G750" s="40" t="n"/>
      <c r="H750" s="41" t="n"/>
      <c r="I750" s="42">
        <f>IF($H750="","",MAX(0,$H750-N($E750)))</f>
        <v/>
      </c>
      <c r="J750" s="42">
        <f>IF($H750="","",MAX(0,$H750-N($G750)))</f>
        <v/>
      </c>
    </row>
    <row r="751" ht="19.5" customHeight="1" s="72">
      <c r="A751" s="38" t="inlineStr">
        <is>
          <t>EM-32-P02-SBA</t>
        </is>
      </c>
      <c r="B751" s="38" t="inlineStr">
        <is>
          <t>Fase 32</t>
        </is>
      </c>
      <c r="C751" s="38" t="inlineStr">
        <is>
          <t>São Bento da Abadá</t>
        </is>
      </c>
      <c r="D751" s="39" t="inlineStr">
        <is>
          <t>A_E_M_32_P2</t>
        </is>
      </c>
      <c r="E751" s="40" t="n"/>
      <c r="F751" s="39" t="inlineStr">
        <is>
          <t>B_E_M_32_P2</t>
        </is>
      </c>
      <c r="G751" s="40" t="n"/>
      <c r="H751" s="41" t="n"/>
      <c r="I751" s="42">
        <f>IF($H751="","",MAX(0,$H751-N($E751)))</f>
        <v/>
      </c>
      <c r="J751" s="42">
        <f>IF($H751="","",MAX(0,$H751-N($G751)))</f>
        <v/>
      </c>
    </row>
    <row r="752" ht="19.5" customHeight="1" s="72">
      <c r="A752" s="38" t="inlineStr">
        <is>
          <t>EM-32-P02-BEN</t>
        </is>
      </c>
      <c r="B752" s="38" t="inlineStr">
        <is>
          <t>Fase 32</t>
        </is>
      </c>
      <c r="C752" s="38" t="inlineStr">
        <is>
          <t>Benguela</t>
        </is>
      </c>
      <c r="D752" s="39" t="inlineStr">
        <is>
          <t>A_E_M_32_P2</t>
        </is>
      </c>
      <c r="E752" s="40" t="n"/>
      <c r="F752" s="39" t="inlineStr">
        <is>
          <t>B_E_M_32_P2</t>
        </is>
      </c>
      <c r="G752" s="40" t="n"/>
      <c r="H752" s="41" t="n"/>
      <c r="I752" s="42">
        <f>IF($H752="","",MAX(0,$H752-N($E752)))</f>
        <v/>
      </c>
      <c r="J752" s="42">
        <f>IF($H752="","",MAX(0,$H752-N($G752)))</f>
        <v/>
      </c>
    </row>
    <row r="753" ht="19.5" customHeight="1" s="72">
      <c r="A753" s="38" t="inlineStr">
        <is>
          <t>EM-32-P03-SBA</t>
        </is>
      </c>
      <c r="B753" s="38" t="inlineStr">
        <is>
          <t>Fase 32</t>
        </is>
      </c>
      <c r="C753" s="38" t="inlineStr">
        <is>
          <t>São Bento da Abadá</t>
        </is>
      </c>
      <c r="D753" s="39" t="inlineStr">
        <is>
          <t>A_E_M_32_P3</t>
        </is>
      </c>
      <c r="E753" s="40" t="n"/>
      <c r="F753" s="39" t="inlineStr">
        <is>
          <t>B_E_M_32_P3</t>
        </is>
      </c>
      <c r="G753" s="40" t="n"/>
      <c r="H753" s="41" t="n"/>
      <c r="I753" s="42">
        <f>IF($H753="","",MAX(0,$H753-N($E753)))</f>
        <v/>
      </c>
      <c r="J753" s="42">
        <f>IF($H753="","",MAX(0,$H753-N($G753)))</f>
        <v/>
      </c>
    </row>
    <row r="754" ht="19.5" customHeight="1" s="72">
      <c r="A754" s="38" t="inlineStr">
        <is>
          <t>EM-32-P03-BEN</t>
        </is>
      </c>
      <c r="B754" s="38" t="inlineStr">
        <is>
          <t>Fase 32</t>
        </is>
      </c>
      <c r="C754" s="38" t="inlineStr">
        <is>
          <t>Benguela</t>
        </is>
      </c>
      <c r="D754" s="39" t="inlineStr">
        <is>
          <t>A_E_M_32_P3</t>
        </is>
      </c>
      <c r="E754" s="40" t="n"/>
      <c r="F754" s="39" t="inlineStr">
        <is>
          <t>B_E_M_32_P3</t>
        </is>
      </c>
      <c r="G754" s="40" t="n"/>
      <c r="H754" s="41" t="n"/>
      <c r="I754" s="42">
        <f>IF($H754="","",MAX(0,$H754-N($E754)))</f>
        <v/>
      </c>
      <c r="J754" s="42">
        <f>IF($H754="","",MAX(0,$H754-N($G754)))</f>
        <v/>
      </c>
    </row>
    <row r="755" ht="19.5" customHeight="1" s="72">
      <c r="A755" s="38" t="inlineStr">
        <is>
          <t>EM-32-P04-SBA</t>
        </is>
      </c>
      <c r="B755" s="38" t="inlineStr">
        <is>
          <t>Fase 32</t>
        </is>
      </c>
      <c r="C755" s="38" t="inlineStr">
        <is>
          <t>São Bento da Abadá</t>
        </is>
      </c>
      <c r="D755" s="39" t="inlineStr">
        <is>
          <t>A_E_M_32_P4</t>
        </is>
      </c>
      <c r="E755" s="40" t="n"/>
      <c r="F755" s="39" t="inlineStr">
        <is>
          <t>B_E_M_32_P4</t>
        </is>
      </c>
      <c r="G755" s="40" t="n"/>
      <c r="H755" s="41" t="n"/>
      <c r="I755" s="42">
        <f>IF($H755="","",MAX(0,$H755-N($E755)))</f>
        <v/>
      </c>
      <c r="J755" s="42">
        <f>IF($H755="","",MAX(0,$H755-N($G755)))</f>
        <v/>
      </c>
    </row>
    <row r="756" ht="19.5" customHeight="1" s="72">
      <c r="A756" s="38" t="inlineStr">
        <is>
          <t>EM-32-P04-BEN</t>
        </is>
      </c>
      <c r="B756" s="38" t="inlineStr">
        <is>
          <t>Fase 32</t>
        </is>
      </c>
      <c r="C756" s="38" t="inlineStr">
        <is>
          <t>Benguela</t>
        </is>
      </c>
      <c r="D756" s="39" t="inlineStr">
        <is>
          <t>A_E_M_32_P4</t>
        </is>
      </c>
      <c r="E756" s="40" t="n"/>
      <c r="F756" s="39" t="inlineStr">
        <is>
          <t>B_E_M_32_P4</t>
        </is>
      </c>
      <c r="G756" s="40" t="n"/>
      <c r="H756" s="41" t="n"/>
      <c r="I756" s="42">
        <f>IF($H756="","",MAX(0,$H756-N($E756)))</f>
        <v/>
      </c>
      <c r="J756" s="42">
        <f>IF($H756="","",MAX(0,$H756-N($G756)))</f>
        <v/>
      </c>
    </row>
    <row r="757" ht="19.5" customHeight="1" s="72">
      <c r="A757" s="38" t="inlineStr">
        <is>
          <t>EM-32-P05-SBA</t>
        </is>
      </c>
      <c r="B757" s="38" t="inlineStr">
        <is>
          <t>Fase 32</t>
        </is>
      </c>
      <c r="C757" s="38" t="inlineStr">
        <is>
          <t>São Bento da Abadá</t>
        </is>
      </c>
      <c r="D757" s="39" t="inlineStr">
        <is>
          <t>A_E_M_32_P5</t>
        </is>
      </c>
      <c r="E757" s="40" t="n"/>
      <c r="F757" s="39" t="inlineStr">
        <is>
          <t>B_E_M_32_P5</t>
        </is>
      </c>
      <c r="G757" s="40" t="n"/>
      <c r="H757" s="41" t="n"/>
      <c r="I757" s="42">
        <f>IF($H757="","",MAX(0,$H757-N($E757)))</f>
        <v/>
      </c>
      <c r="J757" s="42">
        <f>IF($H757="","",MAX(0,$H757-N($G757)))</f>
        <v/>
      </c>
    </row>
    <row r="758" ht="19.5" customHeight="1" s="72">
      <c r="A758" s="38" t="inlineStr">
        <is>
          <t>EM-32-P05-BEN</t>
        </is>
      </c>
      <c r="B758" s="38" t="inlineStr">
        <is>
          <t>Fase 32</t>
        </is>
      </c>
      <c r="C758" s="38" t="inlineStr">
        <is>
          <t>Benguela</t>
        </is>
      </c>
      <c r="D758" s="39" t="inlineStr">
        <is>
          <t>A_E_M_32_P5</t>
        </is>
      </c>
      <c r="E758" s="40" t="n"/>
      <c r="F758" s="39" t="inlineStr">
        <is>
          <t>B_E_M_32_P5</t>
        </is>
      </c>
      <c r="G758" s="40" t="n"/>
      <c r="H758" s="41" t="n"/>
      <c r="I758" s="42">
        <f>IF($H758="","",MAX(0,$H758-N($E758)))</f>
        <v/>
      </c>
      <c r="J758" s="42">
        <f>IF($H758="","",MAX(0,$H758-N($G758)))</f>
        <v/>
      </c>
    </row>
    <row r="759" ht="19.5" customHeight="1" s="72">
      <c r="A759" s="38" t="inlineStr">
        <is>
          <t>EM-32-P06-SBA</t>
        </is>
      </c>
      <c r="B759" s="38" t="inlineStr">
        <is>
          <t>Fase 32</t>
        </is>
      </c>
      <c r="C759" s="38" t="inlineStr">
        <is>
          <t>São Bento da Abadá</t>
        </is>
      </c>
      <c r="D759" s="39" t="inlineStr">
        <is>
          <t>A_E_M_32_P6</t>
        </is>
      </c>
      <c r="E759" s="40" t="n"/>
      <c r="F759" s="39" t="inlineStr">
        <is>
          <t>B_E_M_32_P6</t>
        </is>
      </c>
      <c r="G759" s="40" t="n"/>
      <c r="H759" s="41" t="n"/>
      <c r="I759" s="42">
        <f>IF($H759="","",MAX(0,$H759-N($E759)))</f>
        <v/>
      </c>
      <c r="J759" s="42">
        <f>IF($H759="","",MAX(0,$H759-N($G759)))</f>
        <v/>
      </c>
    </row>
    <row r="760" ht="19.5" customHeight="1" s="72">
      <c r="A760" s="38" t="inlineStr">
        <is>
          <t>EM-32-P06-BEN</t>
        </is>
      </c>
      <c r="B760" s="38" t="inlineStr">
        <is>
          <t>Fase 32</t>
        </is>
      </c>
      <c r="C760" s="38" t="inlineStr">
        <is>
          <t>Benguela</t>
        </is>
      </c>
      <c r="D760" s="39" t="inlineStr">
        <is>
          <t>A_E_M_32_P6</t>
        </is>
      </c>
      <c r="E760" s="40" t="n"/>
      <c r="F760" s="39" t="inlineStr">
        <is>
          <t>B_E_M_32_P6</t>
        </is>
      </c>
      <c r="G760" s="40" t="n"/>
      <c r="H760" s="41" t="n"/>
      <c r="I760" s="42">
        <f>IF($H760="","",MAX(0,$H760-N($E760)))</f>
        <v/>
      </c>
      <c r="J760" s="42">
        <f>IF($H760="","",MAX(0,$H760-N($G760)))</f>
        <v/>
      </c>
    </row>
    <row r="761" ht="19.5" customHeight="1" s="72">
      <c r="A761" s="38" t="inlineStr">
        <is>
          <t>EM-32-P07-SBA</t>
        </is>
      </c>
      <c r="B761" s="38" t="inlineStr">
        <is>
          <t>Fase 32</t>
        </is>
      </c>
      <c r="C761" s="38" t="inlineStr">
        <is>
          <t>São Bento da Abadá</t>
        </is>
      </c>
      <c r="D761" s="39" t="inlineStr">
        <is>
          <t>A_E_M_32_P7</t>
        </is>
      </c>
      <c r="E761" s="40" t="n"/>
      <c r="F761" s="39" t="inlineStr">
        <is>
          <t>B_E_M_32_P7</t>
        </is>
      </c>
      <c r="G761" s="40" t="n"/>
      <c r="H761" s="41" t="n"/>
      <c r="I761" s="42">
        <f>IF($H761="","",MAX(0,$H761-N($E761)))</f>
        <v/>
      </c>
      <c r="J761" s="42">
        <f>IF($H761="","",MAX(0,$H761-N($G761)))</f>
        <v/>
      </c>
    </row>
    <row r="762" ht="19.5" customHeight="1" s="72">
      <c r="A762" s="38" t="inlineStr">
        <is>
          <t>EM-32-P07-BEN</t>
        </is>
      </c>
      <c r="B762" s="38" t="inlineStr">
        <is>
          <t>Fase 32</t>
        </is>
      </c>
      <c r="C762" s="38" t="inlineStr">
        <is>
          <t>Benguela</t>
        </is>
      </c>
      <c r="D762" s="39" t="inlineStr">
        <is>
          <t>A_E_M_32_P7</t>
        </is>
      </c>
      <c r="E762" s="40" t="n"/>
      <c r="F762" s="39" t="inlineStr">
        <is>
          <t>B_E_M_32_P7</t>
        </is>
      </c>
      <c r="G762" s="40" t="n"/>
      <c r="H762" s="41" t="n"/>
      <c r="I762" s="42">
        <f>IF($H762="","",MAX(0,$H762-N($E762)))</f>
        <v/>
      </c>
      <c r="J762" s="42">
        <f>IF($H762="","",MAX(0,$H762-N($G762)))</f>
        <v/>
      </c>
    </row>
    <row r="763" ht="19.5" customHeight="1" s="72">
      <c r="A763" s="38" t="inlineStr">
        <is>
          <t>EM-32-P08-SBA</t>
        </is>
      </c>
      <c r="B763" s="38" t="inlineStr">
        <is>
          <t>Fase 32</t>
        </is>
      </c>
      <c r="C763" s="38" t="inlineStr">
        <is>
          <t>São Bento da Abadá</t>
        </is>
      </c>
      <c r="D763" s="39" t="inlineStr">
        <is>
          <t>A_E_M_32_P8</t>
        </is>
      </c>
      <c r="E763" s="40" t="n"/>
      <c r="F763" s="39" t="inlineStr">
        <is>
          <t>B_E_M_32_P8</t>
        </is>
      </c>
      <c r="G763" s="40" t="n"/>
      <c r="H763" s="41" t="n"/>
      <c r="I763" s="42">
        <f>IF($H763="","",MAX(0,$H763-N($E763)))</f>
        <v/>
      </c>
      <c r="J763" s="42">
        <f>IF($H763="","",MAX(0,$H763-N($G763)))</f>
        <v/>
      </c>
    </row>
    <row r="764" ht="19.5" customHeight="1" s="72">
      <c r="A764" s="38" t="inlineStr">
        <is>
          <t>EM-32-P08-BEN</t>
        </is>
      </c>
      <c r="B764" s="38" t="inlineStr">
        <is>
          <t>Fase 32</t>
        </is>
      </c>
      <c r="C764" s="38" t="inlineStr">
        <is>
          <t>Benguela</t>
        </is>
      </c>
      <c r="D764" s="39" t="inlineStr">
        <is>
          <t>A_E_M_32_P8</t>
        </is>
      </c>
      <c r="E764" s="40" t="n"/>
      <c r="F764" s="39" t="inlineStr">
        <is>
          <t>B_E_M_32_P8</t>
        </is>
      </c>
      <c r="G764" s="40" t="n"/>
      <c r="H764" s="41" t="n"/>
      <c r="I764" s="42">
        <f>IF($H764="","",MAX(0,$H764-N($E764)))</f>
        <v/>
      </c>
      <c r="J764" s="42">
        <f>IF($H764="","",MAX(0,$H764-N($G764)))</f>
        <v/>
      </c>
    </row>
    <row r="765" ht="19.5" customHeight="1" s="72">
      <c r="A765" s="38" t="inlineStr">
        <is>
          <t>EM-32-P09-SBA</t>
        </is>
      </c>
      <c r="B765" s="38" t="inlineStr">
        <is>
          <t>Fase 32</t>
        </is>
      </c>
      <c r="C765" s="38" t="inlineStr">
        <is>
          <t>São Bento da Abadá</t>
        </is>
      </c>
      <c r="D765" s="39" t="inlineStr">
        <is>
          <t>A_E_M_32_P9</t>
        </is>
      </c>
      <c r="E765" s="40" t="n"/>
      <c r="F765" s="39" t="inlineStr">
        <is>
          <t>B_E_M_32_P9</t>
        </is>
      </c>
      <c r="G765" s="40" t="n"/>
      <c r="H765" s="41" t="n"/>
      <c r="I765" s="42">
        <f>IF($H765="","",MAX(0,$H765-N($E765)))</f>
        <v/>
      </c>
      <c r="J765" s="42">
        <f>IF($H765="","",MAX(0,$H765-N($G765)))</f>
        <v/>
      </c>
    </row>
    <row r="766" ht="19.5" customHeight="1" s="72">
      <c r="A766" s="38" t="inlineStr">
        <is>
          <t>EM-32-P09-BEN</t>
        </is>
      </c>
      <c r="B766" s="38" t="inlineStr">
        <is>
          <t>Fase 32</t>
        </is>
      </c>
      <c r="C766" s="38" t="inlineStr">
        <is>
          <t>Benguela</t>
        </is>
      </c>
      <c r="D766" s="39" t="inlineStr">
        <is>
          <t>A_E_M_32_P9</t>
        </is>
      </c>
      <c r="E766" s="40" t="n"/>
      <c r="F766" s="39" t="inlineStr">
        <is>
          <t>B_E_M_32_P9</t>
        </is>
      </c>
      <c r="G766" s="40" t="n"/>
      <c r="H766" s="41" t="n"/>
      <c r="I766" s="42">
        <f>IF($H766="","",MAX(0,$H766-N($E766)))</f>
        <v/>
      </c>
      <c r="J766" s="42">
        <f>IF($H766="","",MAX(0,$H766-N($G766)))</f>
        <v/>
      </c>
    </row>
    <row r="767" ht="19.5" customHeight="1" s="72">
      <c r="A767" s="38" t="inlineStr">
        <is>
          <t>EM-32-P10-SBA</t>
        </is>
      </c>
      <c r="B767" s="38" t="inlineStr">
        <is>
          <t>Fase 32</t>
        </is>
      </c>
      <c r="C767" s="38" t="inlineStr">
        <is>
          <t>São Bento da Abadá</t>
        </is>
      </c>
      <c r="D767" s="39" t="inlineStr">
        <is>
          <t>A_E_M_32_P10</t>
        </is>
      </c>
      <c r="E767" s="40" t="n"/>
      <c r="F767" s="39" t="inlineStr">
        <is>
          <t>B_E_M_32_P10</t>
        </is>
      </c>
      <c r="G767" s="40" t="n"/>
      <c r="H767" s="41" t="n"/>
      <c r="I767" s="42">
        <f>IF($H767="","",MAX(0,$H767-N($E767)))</f>
        <v/>
      </c>
      <c r="J767" s="42">
        <f>IF($H767="","",MAX(0,$H767-N($G767)))</f>
        <v/>
      </c>
    </row>
    <row r="768" ht="19.5" customHeight="1" s="72">
      <c r="A768" s="38" t="inlineStr">
        <is>
          <t>EM-32-P10-BEN</t>
        </is>
      </c>
      <c r="B768" s="38" t="inlineStr">
        <is>
          <t>Fase 32</t>
        </is>
      </c>
      <c r="C768" s="38" t="inlineStr">
        <is>
          <t>Benguela</t>
        </is>
      </c>
      <c r="D768" s="39" t="inlineStr">
        <is>
          <t>A_E_M_32_P10</t>
        </is>
      </c>
      <c r="E768" s="40" t="n"/>
      <c r="F768" s="39" t="inlineStr">
        <is>
          <t>B_E_M_32_P10</t>
        </is>
      </c>
      <c r="G768" s="40" t="n"/>
      <c r="H768" s="41" t="n"/>
      <c r="I768" s="42">
        <f>IF($H768="","",MAX(0,$H768-N($E768)))</f>
        <v/>
      </c>
      <c r="J768" s="42">
        <f>IF($H768="","",MAX(0,$H768-N($G768)))</f>
        <v/>
      </c>
    </row>
    <row r="769" ht="19.5" customHeight="1" s="72">
      <c r="A769" s="38" t="inlineStr">
        <is>
          <t>EM-32-P11-SBA</t>
        </is>
      </c>
      <c r="B769" s="38" t="inlineStr">
        <is>
          <t>Fase 32</t>
        </is>
      </c>
      <c r="C769" s="38" t="inlineStr">
        <is>
          <t>São Bento da Abadá</t>
        </is>
      </c>
      <c r="D769" s="39" t="inlineStr">
        <is>
          <t>A_E_M_32_P11</t>
        </is>
      </c>
      <c r="E769" s="40" t="n"/>
      <c r="F769" s="39" t="inlineStr">
        <is>
          <t>B_E_M_32_P11</t>
        </is>
      </c>
      <c r="G769" s="40" t="n"/>
      <c r="H769" s="41" t="n"/>
      <c r="I769" s="42">
        <f>IF($H769="","",MAX(0,$H769-N($E769)))</f>
        <v/>
      </c>
      <c r="J769" s="42">
        <f>IF($H769="","",MAX(0,$H769-N($G769)))</f>
        <v/>
      </c>
    </row>
    <row r="770" ht="19.5" customHeight="1" s="72">
      <c r="A770" s="38" t="inlineStr">
        <is>
          <t>EM-32-P11-BEN</t>
        </is>
      </c>
      <c r="B770" s="38" t="inlineStr">
        <is>
          <t>Fase 32</t>
        </is>
      </c>
      <c r="C770" s="38" t="inlineStr">
        <is>
          <t>Benguela</t>
        </is>
      </c>
      <c r="D770" s="39" t="inlineStr">
        <is>
          <t>A_E_M_32_P11</t>
        </is>
      </c>
      <c r="E770" s="40" t="n"/>
      <c r="F770" s="39" t="inlineStr">
        <is>
          <t>B_E_M_32_P11</t>
        </is>
      </c>
      <c r="G770" s="40" t="n"/>
      <c r="H770" s="41" t="n"/>
      <c r="I770" s="42">
        <f>IF($H770="","",MAX(0,$H770-N($E770)))</f>
        <v/>
      </c>
      <c r="J770" s="42">
        <f>IF($H770="","",MAX(0,$H770-N($G770)))</f>
        <v/>
      </c>
    </row>
    <row r="771" ht="19.5" customHeight="1" s="72">
      <c r="A771" s="38" t="inlineStr">
        <is>
          <t>EM-32-P12-SBA</t>
        </is>
      </c>
      <c r="B771" s="38" t="inlineStr">
        <is>
          <t>Fase 32</t>
        </is>
      </c>
      <c r="C771" s="38" t="inlineStr">
        <is>
          <t>São Bento da Abadá</t>
        </is>
      </c>
      <c r="D771" s="39" t="inlineStr">
        <is>
          <t>A_E_M_32_P12</t>
        </is>
      </c>
      <c r="E771" s="40" t="n"/>
      <c r="F771" s="39" t="inlineStr">
        <is>
          <t>B_E_M_32_P12</t>
        </is>
      </c>
      <c r="G771" s="40" t="n"/>
      <c r="H771" s="41" t="n"/>
      <c r="I771" s="42">
        <f>IF($H771="","",MAX(0,$H771-N($E771)))</f>
        <v/>
      </c>
      <c r="J771" s="42">
        <f>IF($H771="","",MAX(0,$H771-N($G771)))</f>
        <v/>
      </c>
    </row>
    <row r="772" ht="19.5" customHeight="1" s="72">
      <c r="A772" s="38" t="inlineStr">
        <is>
          <t>EM-32-P12-BEN</t>
        </is>
      </c>
      <c r="B772" s="38" t="inlineStr">
        <is>
          <t>Fase 32</t>
        </is>
      </c>
      <c r="C772" s="38" t="inlineStr">
        <is>
          <t>Benguela</t>
        </is>
      </c>
      <c r="D772" s="39" t="inlineStr">
        <is>
          <t>A_E_M_32_P12</t>
        </is>
      </c>
      <c r="E772" s="40" t="n"/>
      <c r="F772" s="39" t="inlineStr">
        <is>
          <t>B_E_M_32_P12</t>
        </is>
      </c>
      <c r="G772" s="40" t="n"/>
      <c r="H772" s="41" t="n"/>
      <c r="I772" s="42">
        <f>IF($H772="","",MAX(0,$H772-N($E772)))</f>
        <v/>
      </c>
      <c r="J772" s="42">
        <f>IF($H772="","",MAX(0,$H772-N($G772)))</f>
        <v/>
      </c>
    </row>
    <row r="773" ht="19.5" customHeight="1" s="72">
      <c r="A773" s="38" t="inlineStr">
        <is>
          <t>EM-32-P13-SBA</t>
        </is>
      </c>
      <c r="B773" s="38" t="inlineStr">
        <is>
          <t>Fase 32</t>
        </is>
      </c>
      <c r="C773" s="38" t="inlineStr">
        <is>
          <t>São Bento da Abadá</t>
        </is>
      </c>
      <c r="D773" s="39" t="inlineStr">
        <is>
          <t>A_E_M_32_P13</t>
        </is>
      </c>
      <c r="E773" s="40" t="n"/>
      <c r="F773" s="39" t="inlineStr">
        <is>
          <t>B_E_M_32_P13</t>
        </is>
      </c>
      <c r="G773" s="40" t="n"/>
      <c r="H773" s="41" t="n"/>
      <c r="I773" s="42">
        <f>IF($H773="","",MAX(0,$H773-N($E773)))</f>
        <v/>
      </c>
      <c r="J773" s="42">
        <f>IF($H773="","",MAX(0,$H773-N($G773)))</f>
        <v/>
      </c>
    </row>
    <row r="774" ht="19.5" customHeight="1" s="72">
      <c r="A774" s="38" t="inlineStr">
        <is>
          <t>EM-32-P13-BEN</t>
        </is>
      </c>
      <c r="B774" s="38" t="inlineStr">
        <is>
          <t>Fase 32</t>
        </is>
      </c>
      <c r="C774" s="38" t="inlineStr">
        <is>
          <t>Benguela</t>
        </is>
      </c>
      <c r="D774" s="39" t="inlineStr">
        <is>
          <t>A_E_M_32_P13</t>
        </is>
      </c>
      <c r="E774" s="40" t="n"/>
      <c r="F774" s="39" t="inlineStr">
        <is>
          <t>B_E_M_32_P13</t>
        </is>
      </c>
      <c r="G774" s="40" t="n"/>
      <c r="H774" s="41" t="n"/>
      <c r="I774" s="42">
        <f>IF($H774="","",MAX(0,$H774-N($E774)))</f>
        <v/>
      </c>
      <c r="J774" s="42">
        <f>IF($H774="","",MAX(0,$H774-N($G774)))</f>
        <v/>
      </c>
    </row>
    <row r="775" ht="19.5" customHeight="1" s="72">
      <c r="A775" s="38" t="inlineStr">
        <is>
          <t>EM-32-P14-SBA</t>
        </is>
      </c>
      <c r="B775" s="38" t="inlineStr">
        <is>
          <t>Fase 32</t>
        </is>
      </c>
      <c r="C775" s="38" t="inlineStr">
        <is>
          <t>São Bento da Abadá</t>
        </is>
      </c>
      <c r="D775" s="39" t="inlineStr">
        <is>
          <t>A_E_M_32_P14</t>
        </is>
      </c>
      <c r="E775" s="40" t="n"/>
      <c r="F775" s="39" t="inlineStr">
        <is>
          <t>B_E_M_32_P14</t>
        </is>
      </c>
      <c r="G775" s="40" t="n"/>
      <c r="H775" s="41" t="n"/>
      <c r="I775" s="42">
        <f>IF($H775="","",MAX(0,$H775-N($E775)))</f>
        <v/>
      </c>
      <c r="J775" s="42">
        <f>IF($H775="","",MAX(0,$H775-N($G775)))</f>
        <v/>
      </c>
    </row>
    <row r="776" ht="19.5" customHeight="1" s="72">
      <c r="A776" s="38" t="inlineStr">
        <is>
          <t>EM-32-P14-BEN</t>
        </is>
      </c>
      <c r="B776" s="38" t="inlineStr">
        <is>
          <t>Fase 32</t>
        </is>
      </c>
      <c r="C776" s="38" t="inlineStr">
        <is>
          <t>Benguela</t>
        </is>
      </c>
      <c r="D776" s="39" t="inlineStr">
        <is>
          <t>A_E_M_32_P14</t>
        </is>
      </c>
      <c r="E776" s="40" t="n"/>
      <c r="F776" s="39" t="inlineStr">
        <is>
          <t>B_E_M_32_P14</t>
        </is>
      </c>
      <c r="G776" s="40" t="n"/>
      <c r="H776" s="41" t="n"/>
      <c r="I776" s="42">
        <f>IF($H776="","",MAX(0,$H776-N($E776)))</f>
        <v/>
      </c>
      <c r="J776" s="42">
        <f>IF($H776="","",MAX(0,$H776-N($G776)))</f>
        <v/>
      </c>
    </row>
    <row r="777" ht="19.5" customHeight="1" s="72">
      <c r="A777" s="38" t="inlineStr">
        <is>
          <t>EM-32-P15-SBA</t>
        </is>
      </c>
      <c r="B777" s="38" t="inlineStr">
        <is>
          <t>Fase 32</t>
        </is>
      </c>
      <c r="C777" s="38" t="inlineStr">
        <is>
          <t>São Bento da Abadá</t>
        </is>
      </c>
      <c r="D777" s="39" t="inlineStr">
        <is>
          <t>A_E_M_32_P15</t>
        </is>
      </c>
      <c r="E777" s="40" t="n"/>
      <c r="F777" s="39" t="inlineStr">
        <is>
          <t>B_E_M_32_P15</t>
        </is>
      </c>
      <c r="G777" s="40" t="n"/>
      <c r="H777" s="41" t="n"/>
      <c r="I777" s="42">
        <f>IF($H777="","",MAX(0,$H777-N($E777)))</f>
        <v/>
      </c>
      <c r="J777" s="42">
        <f>IF($H777="","",MAX(0,$H777-N($G777)))</f>
        <v/>
      </c>
    </row>
    <row r="778" ht="19.5" customHeight="1" s="72">
      <c r="A778" s="38" t="inlineStr">
        <is>
          <t>EM-32-P15-BEN</t>
        </is>
      </c>
      <c r="B778" s="38" t="inlineStr">
        <is>
          <t>Fase 32</t>
        </is>
      </c>
      <c r="C778" s="38" t="inlineStr">
        <is>
          <t>Benguela</t>
        </is>
      </c>
      <c r="D778" s="39" t="inlineStr">
        <is>
          <t>A_E_M_32_P15</t>
        </is>
      </c>
      <c r="E778" s="40" t="n"/>
      <c r="F778" s="39" t="inlineStr">
        <is>
          <t>B_E_M_32_P15</t>
        </is>
      </c>
      <c r="G778" s="40" t="n"/>
      <c r="H778" s="41" t="n"/>
      <c r="I778" s="42">
        <f>IF($H778="","",MAX(0,$H778-N($E778)))</f>
        <v/>
      </c>
      <c r="J778" s="42">
        <f>IF($H778="","",MAX(0,$H778-N($G778)))</f>
        <v/>
      </c>
    </row>
    <row r="779" ht="19.5" customHeight="1" s="72">
      <c r="A779" s="38" t="inlineStr">
        <is>
          <t>EM-32-P16-SBA</t>
        </is>
      </c>
      <c r="B779" s="38" t="inlineStr">
        <is>
          <t>Fase 32</t>
        </is>
      </c>
      <c r="C779" s="38" t="inlineStr">
        <is>
          <t>São Bento da Abadá</t>
        </is>
      </c>
      <c r="D779" s="39" t="inlineStr">
        <is>
          <t>A_E_M_32_P16</t>
        </is>
      </c>
      <c r="E779" s="40" t="n"/>
      <c r="F779" s="39" t="inlineStr">
        <is>
          <t>B_E_M_32_P16</t>
        </is>
      </c>
      <c r="G779" s="40" t="n"/>
      <c r="H779" s="41" t="n"/>
      <c r="I779" s="42">
        <f>IF($H779="","",MAX(0,$H779-N($E779)))</f>
        <v/>
      </c>
      <c r="J779" s="42">
        <f>IF($H779="","",MAX(0,$H779-N($G779)))</f>
        <v/>
      </c>
    </row>
    <row r="780" ht="19.5" customHeight="1" s="72">
      <c r="A780" s="38" t="inlineStr">
        <is>
          <t>EM-32-P16-BEN</t>
        </is>
      </c>
      <c r="B780" s="38" t="inlineStr">
        <is>
          <t>Fase 32</t>
        </is>
      </c>
      <c r="C780" s="38" t="inlineStr">
        <is>
          <t>Benguela</t>
        </is>
      </c>
      <c r="D780" s="39" t="inlineStr">
        <is>
          <t>A_E_M_32_P16</t>
        </is>
      </c>
      <c r="E780" s="40" t="n"/>
      <c r="F780" s="39" t="inlineStr">
        <is>
          <t>B_E_M_32_P16</t>
        </is>
      </c>
      <c r="G780" s="40" t="n"/>
      <c r="H780" s="41" t="n"/>
      <c r="I780" s="42">
        <f>IF($H780="","",MAX(0,$H780-N($E780)))</f>
        <v/>
      </c>
      <c r="J780" s="42">
        <f>IF($H780="","",MAX(0,$H780-N($G780)))</f>
        <v/>
      </c>
    </row>
    <row r="781" ht="19.5" customHeight="1" s="72">
      <c r="A781" s="38" t="inlineStr">
        <is>
          <t>EM-OCT-P01-SBA</t>
        </is>
      </c>
      <c r="B781" s="38" t="inlineStr">
        <is>
          <t>Octavas</t>
        </is>
      </c>
      <c r="C781" s="38" t="inlineStr">
        <is>
          <t>São Bento da Abadá</t>
        </is>
      </c>
      <c r="D781" s="39">
        <f>IFERROR(CLASIF_E_M!$F$5,"")</f>
        <v/>
      </c>
      <c r="E781" s="40" t="n"/>
      <c r="F781" s="39">
        <f>IFERROR(CLASIF_E_M!$F$20,"")</f>
        <v/>
      </c>
      <c r="G781" s="40" t="n"/>
      <c r="H781" s="41" t="n"/>
      <c r="I781" s="42">
        <f>IF($H781="","",MAX(0,$H781-N($E781)))</f>
        <v/>
      </c>
      <c r="J781" s="42">
        <f>IF($H781="","",MAX(0,$H781-N($G781)))</f>
        <v/>
      </c>
    </row>
    <row r="782" ht="19.5" customHeight="1" s="72">
      <c r="A782" s="38" t="inlineStr">
        <is>
          <t>EM-OCT-P01-BEN</t>
        </is>
      </c>
      <c r="B782" s="38" t="inlineStr">
        <is>
          <t>Octavas</t>
        </is>
      </c>
      <c r="C782" s="38" t="inlineStr">
        <is>
          <t>Benguela</t>
        </is>
      </c>
      <c r="D782" s="39">
        <f>IFERROR(CLASIF_E_M!$F$5,"")</f>
        <v/>
      </c>
      <c r="E782" s="40" t="n"/>
      <c r="F782" s="39">
        <f>IFERROR(CLASIF_E_M!$F$20,"")</f>
        <v/>
      </c>
      <c r="G782" s="40" t="n"/>
      <c r="H782" s="41" t="n"/>
      <c r="I782" s="42">
        <f>IF($H782="","",MAX(0,$H782-N($E782)))</f>
        <v/>
      </c>
      <c r="J782" s="42">
        <f>IF($H782="","",MAX(0,$H782-N($G782)))</f>
        <v/>
      </c>
    </row>
    <row r="783" ht="19.5" customHeight="1" s="72">
      <c r="A783" s="38" t="inlineStr">
        <is>
          <t>EM-OCT-P02-SBA</t>
        </is>
      </c>
      <c r="B783" s="38" t="inlineStr">
        <is>
          <t>Octavas</t>
        </is>
      </c>
      <c r="C783" s="38" t="inlineStr">
        <is>
          <t>São Bento da Abadá</t>
        </is>
      </c>
      <c r="D783" s="39">
        <f>IFERROR(CLASIF_E_M!$F$6,"")</f>
        <v/>
      </c>
      <c r="E783" s="40" t="n"/>
      <c r="F783" s="39">
        <f>IFERROR(CLASIF_E_M!$F$19,"")</f>
        <v/>
      </c>
      <c r="G783" s="40" t="n"/>
      <c r="H783" s="41" t="n"/>
      <c r="I783" s="42">
        <f>IF($H783="","",MAX(0,$H783-N($E783)))</f>
        <v/>
      </c>
      <c r="J783" s="42">
        <f>IF($H783="","",MAX(0,$H783-N($G783)))</f>
        <v/>
      </c>
    </row>
    <row r="784" ht="19.5" customHeight="1" s="72">
      <c r="A784" s="38" t="inlineStr">
        <is>
          <t>EM-OCT-P02-BEN</t>
        </is>
      </c>
      <c r="B784" s="38" t="inlineStr">
        <is>
          <t>Octavas</t>
        </is>
      </c>
      <c r="C784" s="38" t="inlineStr">
        <is>
          <t>Benguela</t>
        </is>
      </c>
      <c r="D784" s="39">
        <f>IFERROR(CLASIF_E_M!$F$6,"")</f>
        <v/>
      </c>
      <c r="E784" s="40" t="n"/>
      <c r="F784" s="39">
        <f>IFERROR(CLASIF_E_M!$F$19,"")</f>
        <v/>
      </c>
      <c r="G784" s="40" t="n"/>
      <c r="H784" s="41" t="n"/>
      <c r="I784" s="42">
        <f>IF($H784="","",MAX(0,$H784-N($E784)))</f>
        <v/>
      </c>
      <c r="J784" s="42">
        <f>IF($H784="","",MAX(0,$H784-N($G784)))</f>
        <v/>
      </c>
    </row>
    <row r="785" ht="19.5" customHeight="1" s="72">
      <c r="A785" s="38" t="inlineStr">
        <is>
          <t>EM-OCT-P03-SBA</t>
        </is>
      </c>
      <c r="B785" s="38" t="inlineStr">
        <is>
          <t>Octavas</t>
        </is>
      </c>
      <c r="C785" s="38" t="inlineStr">
        <is>
          <t>São Bento da Abadá</t>
        </is>
      </c>
      <c r="D785" s="39">
        <f>IFERROR(CLASIF_E_M!$F$7,"")</f>
        <v/>
      </c>
      <c r="E785" s="40" t="n"/>
      <c r="F785" s="39">
        <f>IFERROR(CLASIF_E_M!$F$18,"")</f>
        <v/>
      </c>
      <c r="G785" s="40" t="n"/>
      <c r="H785" s="41" t="n"/>
      <c r="I785" s="42">
        <f>IF($H785="","",MAX(0,$H785-N($E785)))</f>
        <v/>
      </c>
      <c r="J785" s="42">
        <f>IF($H785="","",MAX(0,$H785-N($G785)))</f>
        <v/>
      </c>
    </row>
    <row r="786" ht="19.5" customHeight="1" s="72">
      <c r="A786" s="38" t="inlineStr">
        <is>
          <t>EM-OCT-P03-BEN</t>
        </is>
      </c>
      <c r="B786" s="38" t="inlineStr">
        <is>
          <t>Octavas</t>
        </is>
      </c>
      <c r="C786" s="38" t="inlineStr">
        <is>
          <t>Benguela</t>
        </is>
      </c>
      <c r="D786" s="39">
        <f>IFERROR(CLASIF_E_M!$F$7,"")</f>
        <v/>
      </c>
      <c r="E786" s="40" t="n"/>
      <c r="F786" s="39">
        <f>IFERROR(CLASIF_E_M!$F$18,"")</f>
        <v/>
      </c>
      <c r="G786" s="40" t="n"/>
      <c r="H786" s="41" t="n"/>
      <c r="I786" s="42">
        <f>IF($H786="","",MAX(0,$H786-N($E786)))</f>
        <v/>
      </c>
      <c r="J786" s="42">
        <f>IF($H786="","",MAX(0,$H786-N($G786)))</f>
        <v/>
      </c>
    </row>
    <row r="787" ht="19.5" customHeight="1" s="72">
      <c r="A787" s="38" t="inlineStr">
        <is>
          <t>EM-OCT-P04-SBA</t>
        </is>
      </c>
      <c r="B787" s="38" t="inlineStr">
        <is>
          <t>Octavas</t>
        </is>
      </c>
      <c r="C787" s="38" t="inlineStr">
        <is>
          <t>São Bento da Abadá</t>
        </is>
      </c>
      <c r="D787" s="39">
        <f>IFERROR(CLASIF_E_M!$F$8,"")</f>
        <v/>
      </c>
      <c r="E787" s="40" t="n"/>
      <c r="F787" s="39">
        <f>IFERROR(CLASIF_E_M!$F$17,"")</f>
        <v/>
      </c>
      <c r="G787" s="40" t="n"/>
      <c r="H787" s="41" t="n"/>
      <c r="I787" s="42">
        <f>IF($H787="","",MAX(0,$H787-N($E787)))</f>
        <v/>
      </c>
      <c r="J787" s="42">
        <f>IF($H787="","",MAX(0,$H787-N($G787)))</f>
        <v/>
      </c>
    </row>
    <row r="788" ht="19.5" customHeight="1" s="72">
      <c r="A788" s="38" t="inlineStr">
        <is>
          <t>EM-OCT-P04-BEN</t>
        </is>
      </c>
      <c r="B788" s="38" t="inlineStr">
        <is>
          <t>Octavas</t>
        </is>
      </c>
      <c r="C788" s="38" t="inlineStr">
        <is>
          <t>Benguela</t>
        </is>
      </c>
      <c r="D788" s="39">
        <f>IFERROR(CLASIF_E_M!$F$8,"")</f>
        <v/>
      </c>
      <c r="E788" s="40" t="n"/>
      <c r="F788" s="39">
        <f>IFERROR(CLASIF_E_M!$F$17,"")</f>
        <v/>
      </c>
      <c r="G788" s="40" t="n"/>
      <c r="H788" s="41" t="n"/>
      <c r="I788" s="42">
        <f>IF($H788="","",MAX(0,$H788-N($E788)))</f>
        <v/>
      </c>
      <c r="J788" s="42">
        <f>IF($H788="","",MAX(0,$H788-N($G788)))</f>
        <v/>
      </c>
    </row>
    <row r="789" ht="19.5" customHeight="1" s="72">
      <c r="A789" s="38" t="inlineStr">
        <is>
          <t>EM-OCT-P05-SBA</t>
        </is>
      </c>
      <c r="B789" s="38" t="inlineStr">
        <is>
          <t>Octavas</t>
        </is>
      </c>
      <c r="C789" s="38" t="inlineStr">
        <is>
          <t>São Bento da Abadá</t>
        </is>
      </c>
      <c r="D789" s="39">
        <f>IFERROR(CLASIF_E_M!$F$9,"")</f>
        <v/>
      </c>
      <c r="E789" s="40" t="n"/>
      <c r="F789" s="39">
        <f>IFERROR(CLASIF_E_M!$F$16,"")</f>
        <v/>
      </c>
      <c r="G789" s="40" t="n"/>
      <c r="H789" s="41" t="n"/>
      <c r="I789" s="42">
        <f>IF($H789="","",MAX(0,$H789-N($E789)))</f>
        <v/>
      </c>
      <c r="J789" s="42">
        <f>IF($H789="","",MAX(0,$H789-N($G789)))</f>
        <v/>
      </c>
    </row>
    <row r="790" ht="19.5" customHeight="1" s="72">
      <c r="A790" s="38" t="inlineStr">
        <is>
          <t>EM-OCT-P05-BEN</t>
        </is>
      </c>
      <c r="B790" s="38" t="inlineStr">
        <is>
          <t>Octavas</t>
        </is>
      </c>
      <c r="C790" s="38" t="inlineStr">
        <is>
          <t>Benguela</t>
        </is>
      </c>
      <c r="D790" s="39">
        <f>IFERROR(CLASIF_E_M!$F$9,"")</f>
        <v/>
      </c>
      <c r="E790" s="40" t="n"/>
      <c r="F790" s="39">
        <f>IFERROR(CLASIF_E_M!$F$16,"")</f>
        <v/>
      </c>
      <c r="G790" s="40" t="n"/>
      <c r="H790" s="41" t="n"/>
      <c r="I790" s="42">
        <f>IF($H790="","",MAX(0,$H790-N($E790)))</f>
        <v/>
      </c>
      <c r="J790" s="42">
        <f>IF($H790="","",MAX(0,$H790-N($G790)))</f>
        <v/>
      </c>
    </row>
    <row r="791" ht="19.5" customHeight="1" s="72">
      <c r="A791" s="38" t="inlineStr">
        <is>
          <t>EM-OCT-P06-SBA</t>
        </is>
      </c>
      <c r="B791" s="38" t="inlineStr">
        <is>
          <t>Octavas</t>
        </is>
      </c>
      <c r="C791" s="38" t="inlineStr">
        <is>
          <t>São Bento da Abadá</t>
        </is>
      </c>
      <c r="D791" s="39">
        <f>IFERROR(CLASIF_E_M!$F$10,"")</f>
        <v/>
      </c>
      <c r="E791" s="40" t="n"/>
      <c r="F791" s="39">
        <f>IFERROR(CLASIF_E_M!$F$15,"")</f>
        <v/>
      </c>
      <c r="G791" s="40" t="n"/>
      <c r="H791" s="41" t="n"/>
      <c r="I791" s="42">
        <f>IF($H791="","",MAX(0,$H791-N($E791)))</f>
        <v/>
      </c>
      <c r="J791" s="42">
        <f>IF($H791="","",MAX(0,$H791-N($G791)))</f>
        <v/>
      </c>
    </row>
    <row r="792" ht="19.5" customHeight="1" s="72">
      <c r="A792" s="38" t="inlineStr">
        <is>
          <t>EM-OCT-P06-BEN</t>
        </is>
      </c>
      <c r="B792" s="38" t="inlineStr">
        <is>
          <t>Octavas</t>
        </is>
      </c>
      <c r="C792" s="38" t="inlineStr">
        <is>
          <t>Benguela</t>
        </is>
      </c>
      <c r="D792" s="39">
        <f>IFERROR(CLASIF_E_M!$F$10,"")</f>
        <v/>
      </c>
      <c r="E792" s="40" t="n"/>
      <c r="F792" s="39">
        <f>IFERROR(CLASIF_E_M!$F$15,"")</f>
        <v/>
      </c>
      <c r="G792" s="40" t="n"/>
      <c r="H792" s="41" t="n"/>
      <c r="I792" s="42">
        <f>IF($H792="","",MAX(0,$H792-N($E792)))</f>
        <v/>
      </c>
      <c r="J792" s="42">
        <f>IF($H792="","",MAX(0,$H792-N($G792)))</f>
        <v/>
      </c>
    </row>
    <row r="793" ht="19.5" customHeight="1" s="72">
      <c r="A793" s="38" t="inlineStr">
        <is>
          <t>EM-OCT-P07-SBA</t>
        </is>
      </c>
      <c r="B793" s="38" t="inlineStr">
        <is>
          <t>Octavas</t>
        </is>
      </c>
      <c r="C793" s="38" t="inlineStr">
        <is>
          <t>São Bento da Abadá</t>
        </is>
      </c>
      <c r="D793" s="39">
        <f>IFERROR(CLASIF_E_M!$F$11,"")</f>
        <v/>
      </c>
      <c r="E793" s="40" t="n"/>
      <c r="F793" s="39">
        <f>IFERROR(CLASIF_E_M!$F$14,"")</f>
        <v/>
      </c>
      <c r="G793" s="40" t="n"/>
      <c r="H793" s="41" t="n"/>
      <c r="I793" s="42">
        <f>IF($H793="","",MAX(0,$H793-N($E793)))</f>
        <v/>
      </c>
      <c r="J793" s="42">
        <f>IF($H793="","",MAX(0,$H793-N($G793)))</f>
        <v/>
      </c>
    </row>
    <row r="794" ht="19.5" customHeight="1" s="72">
      <c r="A794" s="38" t="inlineStr">
        <is>
          <t>EM-OCT-P07-BEN</t>
        </is>
      </c>
      <c r="B794" s="38" t="inlineStr">
        <is>
          <t>Octavas</t>
        </is>
      </c>
      <c r="C794" s="38" t="inlineStr">
        <is>
          <t>Benguela</t>
        </is>
      </c>
      <c r="D794" s="39">
        <f>IFERROR(CLASIF_E_M!$F$11,"")</f>
        <v/>
      </c>
      <c r="E794" s="40" t="n"/>
      <c r="F794" s="39">
        <f>IFERROR(CLASIF_E_M!$F$14,"")</f>
        <v/>
      </c>
      <c r="G794" s="40" t="n"/>
      <c r="H794" s="41" t="n"/>
      <c r="I794" s="42">
        <f>IF($H794="","",MAX(0,$H794-N($E794)))</f>
        <v/>
      </c>
      <c r="J794" s="42">
        <f>IF($H794="","",MAX(0,$H794-N($G794)))</f>
        <v/>
      </c>
    </row>
    <row r="795" ht="19.5" customHeight="1" s="72">
      <c r="A795" s="38" t="inlineStr">
        <is>
          <t>EM-OCT-P08-SBA</t>
        </is>
      </c>
      <c r="B795" s="38" t="inlineStr">
        <is>
          <t>Octavas</t>
        </is>
      </c>
      <c r="C795" s="38" t="inlineStr">
        <is>
          <t>São Bento da Abadá</t>
        </is>
      </c>
      <c r="D795" s="39">
        <f>IFERROR(CLASIF_E_M!$F$12,"")</f>
        <v/>
      </c>
      <c r="E795" s="40" t="n"/>
      <c r="F795" s="39">
        <f>IFERROR(CLASIF_E_M!$F$13,"")</f>
        <v/>
      </c>
      <c r="G795" s="40" t="n"/>
      <c r="H795" s="41" t="n"/>
      <c r="I795" s="42">
        <f>IF($H795="","",MAX(0,$H795-N($E795)))</f>
        <v/>
      </c>
      <c r="J795" s="42">
        <f>IF($H795="","",MAX(0,$H795-N($G795)))</f>
        <v/>
      </c>
    </row>
    <row r="796" ht="19.5" customHeight="1" s="72">
      <c r="A796" s="38" t="inlineStr">
        <is>
          <t>EM-OCT-P08-BEN</t>
        </is>
      </c>
      <c r="B796" s="38" t="inlineStr">
        <is>
          <t>Octavas</t>
        </is>
      </c>
      <c r="C796" s="38" t="inlineStr">
        <is>
          <t>Benguela</t>
        </is>
      </c>
      <c r="D796" s="39">
        <f>IFERROR(CLASIF_E_M!$F$12,"")</f>
        <v/>
      </c>
      <c r="E796" s="40" t="n"/>
      <c r="F796" s="39">
        <f>IFERROR(CLASIF_E_M!$F$13,"")</f>
        <v/>
      </c>
      <c r="G796" s="40" t="n"/>
      <c r="H796" s="41" t="n"/>
      <c r="I796" s="42">
        <f>IF($H796="","",MAX(0,$H796-N($E796)))</f>
        <v/>
      </c>
      <c r="J796" s="42">
        <f>IF($H796="","",MAX(0,$H796-N($G796)))</f>
        <v/>
      </c>
    </row>
    <row r="797" ht="19.5" customHeight="1" s="72">
      <c r="A797" s="38" t="inlineStr">
        <is>
          <t>EM-SEM-P01-SBA</t>
        </is>
      </c>
      <c r="B797" s="38" t="inlineStr">
        <is>
          <t>Semifinal</t>
        </is>
      </c>
      <c r="C797" s="38" t="inlineStr">
        <is>
          <t>São Bento da Abadá</t>
        </is>
      </c>
      <c r="D797" s="39">
        <f>IFERROR(CLASIF_E_M!$O$5,"")</f>
        <v/>
      </c>
      <c r="E797" s="40" t="n"/>
      <c r="F797" s="39">
        <f>IFERROR(CLASIF_E_M!$O$12,"")</f>
        <v/>
      </c>
      <c r="G797" s="40" t="n"/>
      <c r="H797" s="41" t="n"/>
      <c r="I797" s="42">
        <f>IF($H797="","",MAX(0,$H797-N($E797)))</f>
        <v/>
      </c>
      <c r="J797" s="42">
        <f>IF($H797="","",MAX(0,$H797-N($G797)))</f>
        <v/>
      </c>
    </row>
    <row r="798" ht="19.5" customHeight="1" s="72">
      <c r="A798" s="38" t="inlineStr">
        <is>
          <t>EM-SEM-P01-BEN</t>
        </is>
      </c>
      <c r="B798" s="38" t="inlineStr">
        <is>
          <t>Semifinal</t>
        </is>
      </c>
      <c r="C798" s="38" t="inlineStr">
        <is>
          <t>Benguela</t>
        </is>
      </c>
      <c r="D798" s="39">
        <f>IFERROR(CLASIF_E_M!$O$5,"")</f>
        <v/>
      </c>
      <c r="E798" s="40" t="n"/>
      <c r="F798" s="39">
        <f>IFERROR(CLASIF_E_M!$O$12,"")</f>
        <v/>
      </c>
      <c r="G798" s="40" t="n"/>
      <c r="H798" s="41" t="n"/>
      <c r="I798" s="42">
        <f>IF($H798="","",MAX(0,$H798-N($E798)))</f>
        <v/>
      </c>
      <c r="J798" s="42">
        <f>IF($H798="","",MAX(0,$H798-N($G798)))</f>
        <v/>
      </c>
    </row>
    <row r="799" ht="19.5" customHeight="1" s="72">
      <c r="A799" s="38" t="inlineStr">
        <is>
          <t>EM-SEM-P02-SBA</t>
        </is>
      </c>
      <c r="B799" s="38" t="inlineStr">
        <is>
          <t>Semifinal</t>
        </is>
      </c>
      <c r="C799" s="38" t="inlineStr">
        <is>
          <t>São Bento da Abadá</t>
        </is>
      </c>
      <c r="D799" s="39">
        <f>IFERROR(CLASIF_E_M!$O$6,"")</f>
        <v/>
      </c>
      <c r="E799" s="40" t="n"/>
      <c r="F799" s="39">
        <f>IFERROR(CLASIF_E_M!$O$11,"")</f>
        <v/>
      </c>
      <c r="G799" s="40" t="n"/>
      <c r="H799" s="41" t="n"/>
      <c r="I799" s="42">
        <f>IF($H799="","",MAX(0,$H799-N($E799)))</f>
        <v/>
      </c>
      <c r="J799" s="42">
        <f>IF($H799="","",MAX(0,$H799-N($G799)))</f>
        <v/>
      </c>
    </row>
    <row r="800" ht="19.5" customHeight="1" s="72">
      <c r="A800" s="38" t="inlineStr">
        <is>
          <t>EM-SEM-P02-BEN</t>
        </is>
      </c>
      <c r="B800" s="38" t="inlineStr">
        <is>
          <t>Semifinal</t>
        </is>
      </c>
      <c r="C800" s="38" t="inlineStr">
        <is>
          <t>Benguela</t>
        </is>
      </c>
      <c r="D800" s="39">
        <f>IFERROR(CLASIF_E_M!$O$6,"")</f>
        <v/>
      </c>
      <c r="E800" s="40" t="n"/>
      <c r="F800" s="39">
        <f>IFERROR(CLASIF_E_M!$O$11,"")</f>
        <v/>
      </c>
      <c r="G800" s="40" t="n"/>
      <c r="H800" s="41" t="n"/>
      <c r="I800" s="42">
        <f>IF($H800="","",MAX(0,$H800-N($E800)))</f>
        <v/>
      </c>
      <c r="J800" s="42">
        <f>IF($H800="","",MAX(0,$H800-N($G800)))</f>
        <v/>
      </c>
    </row>
    <row r="801" ht="19.5" customHeight="1" s="72">
      <c r="A801" s="38" t="inlineStr">
        <is>
          <t>EM-SEM-P03-SBA</t>
        </is>
      </c>
      <c r="B801" s="38" t="inlineStr">
        <is>
          <t>Semifinal</t>
        </is>
      </c>
      <c r="C801" s="38" t="inlineStr">
        <is>
          <t>São Bento da Abadá</t>
        </is>
      </c>
      <c r="D801" s="39">
        <f>IFERROR(CLASIF_E_M!$O$7,"")</f>
        <v/>
      </c>
      <c r="E801" s="40" t="n"/>
      <c r="F801" s="39">
        <f>IFERROR(CLASIF_E_M!$O$10,"")</f>
        <v/>
      </c>
      <c r="G801" s="40" t="n"/>
      <c r="H801" s="41" t="n"/>
      <c r="I801" s="42">
        <f>IF($H801="","",MAX(0,$H801-N($E801)))</f>
        <v/>
      </c>
      <c r="J801" s="42">
        <f>IF($H801="","",MAX(0,$H801-N($G801)))</f>
        <v/>
      </c>
    </row>
    <row r="802" ht="19.5" customHeight="1" s="72">
      <c r="A802" s="38" t="inlineStr">
        <is>
          <t>EM-SEM-P03-BEN</t>
        </is>
      </c>
      <c r="B802" s="38" t="inlineStr">
        <is>
          <t>Semifinal</t>
        </is>
      </c>
      <c r="C802" s="38" t="inlineStr">
        <is>
          <t>Benguela</t>
        </is>
      </c>
      <c r="D802" s="39">
        <f>IFERROR(CLASIF_E_M!$O$7,"")</f>
        <v/>
      </c>
      <c r="E802" s="40" t="n"/>
      <c r="F802" s="39">
        <f>IFERROR(CLASIF_E_M!$O$10,"")</f>
        <v/>
      </c>
      <c r="G802" s="40" t="n"/>
      <c r="H802" s="41" t="n"/>
      <c r="I802" s="42">
        <f>IF($H802="","",MAX(0,$H802-N($E802)))</f>
        <v/>
      </c>
      <c r="J802" s="42">
        <f>IF($H802="","",MAX(0,$H802-N($G802)))</f>
        <v/>
      </c>
    </row>
    <row r="803" ht="19.5" customHeight="1" s="72">
      <c r="A803" s="38" t="inlineStr">
        <is>
          <t>EM-SEM-P04-SBA</t>
        </is>
      </c>
      <c r="B803" s="38" t="inlineStr">
        <is>
          <t>Semifinal</t>
        </is>
      </c>
      <c r="C803" s="38" t="inlineStr">
        <is>
          <t>São Bento da Abadá</t>
        </is>
      </c>
      <c r="D803" s="39">
        <f>IFERROR(CLASIF_E_M!$O$8,"")</f>
        <v/>
      </c>
      <c r="E803" s="40" t="n"/>
      <c r="F803" s="39">
        <f>IFERROR(CLASIF_E_M!$O$9,"")</f>
        <v/>
      </c>
      <c r="G803" s="40" t="n"/>
      <c r="H803" s="41" t="n"/>
      <c r="I803" s="42">
        <f>IF($H803="","",MAX(0,$H803-N($E803)))</f>
        <v/>
      </c>
      <c r="J803" s="42">
        <f>IF($H803="","",MAX(0,$H803-N($G803)))</f>
        <v/>
      </c>
    </row>
    <row r="804" ht="19.5" customHeight="1" s="72">
      <c r="A804" s="38" t="inlineStr">
        <is>
          <t>EM-SEM-P04-BEN</t>
        </is>
      </c>
      <c r="B804" s="38" t="inlineStr">
        <is>
          <t>Semifinal</t>
        </is>
      </c>
      <c r="C804" s="38" t="inlineStr">
        <is>
          <t>Benguela</t>
        </is>
      </c>
      <c r="D804" s="39">
        <f>IFERROR(CLASIF_E_M!$O$8,"")</f>
        <v/>
      </c>
      <c r="E804" s="40" t="n"/>
      <c r="F804" s="39">
        <f>IFERROR(CLASIF_E_M!$O$9,"")</f>
        <v/>
      </c>
      <c r="G804" s="40" t="n"/>
      <c r="H804" s="41" t="n"/>
      <c r="I804" s="42">
        <f>IF($H804="","",MAX(0,$H804-N($E804)))</f>
        <v/>
      </c>
      <c r="J804" s="42">
        <f>IF($H804="","",MAX(0,$H804-N($G804)))</f>
        <v/>
      </c>
    </row>
    <row r="805" ht="19.5" customHeight="1" s="72">
      <c r="A805" s="38" t="inlineStr">
        <is>
          <t>EM-FIN-P01-SBA</t>
        </is>
      </c>
      <c r="B805" s="38" t="inlineStr">
        <is>
          <t>Final</t>
        </is>
      </c>
      <c r="C805" s="38" t="inlineStr">
        <is>
          <t>São Bento da Abadá</t>
        </is>
      </c>
      <c r="D805" s="39">
        <f>IFERROR(CLASIF_E_M!$X$5,"")</f>
        <v/>
      </c>
      <c r="E805" s="40" t="n"/>
      <c r="F805" s="39">
        <f>IFERROR(CLASIF_E_M!$X$8,"")</f>
        <v/>
      </c>
      <c r="G805" s="40" t="n"/>
      <c r="H805" s="41" t="n"/>
      <c r="I805" s="42">
        <f>IF($H805="","",MAX(0,$H805-N($E805)))</f>
        <v/>
      </c>
      <c r="J805" s="42">
        <f>IF($H805="","",MAX(0,$H805-N($G805)))</f>
        <v/>
      </c>
    </row>
    <row r="806" ht="19.5" customHeight="1" s="72">
      <c r="A806" s="38" t="inlineStr">
        <is>
          <t>EM-FIN-P01-BEN</t>
        </is>
      </c>
      <c r="B806" s="38" t="inlineStr">
        <is>
          <t>Final</t>
        </is>
      </c>
      <c r="C806" s="38" t="inlineStr">
        <is>
          <t>Benguela</t>
        </is>
      </c>
      <c r="D806" s="39">
        <f>IFERROR(CLASIF_E_M!$X$5,"")</f>
        <v/>
      </c>
      <c r="E806" s="40" t="n"/>
      <c r="F806" s="39">
        <f>IFERROR(CLASIF_E_M!$X$8,"")</f>
        <v/>
      </c>
      <c r="G806" s="40" t="n"/>
      <c r="H806" s="41" t="n"/>
      <c r="I806" s="42">
        <f>IF($H806="","",MAX(0,$H806-N($E806)))</f>
        <v/>
      </c>
      <c r="J806" s="42">
        <f>IF($H806="","",MAX(0,$H806-N($G806)))</f>
        <v/>
      </c>
    </row>
    <row r="807" ht="19.5" customHeight="1" s="72">
      <c r="A807" s="38" t="inlineStr">
        <is>
          <t>EM-FIN-P02-SBA</t>
        </is>
      </c>
      <c r="B807" s="38" t="inlineStr">
        <is>
          <t>Final</t>
        </is>
      </c>
      <c r="C807" s="38" t="inlineStr">
        <is>
          <t>São Bento da Abadá</t>
        </is>
      </c>
      <c r="D807" s="39">
        <f>IFERROR(CLASIF_E_M!$X$6,"")</f>
        <v/>
      </c>
      <c r="E807" s="40" t="n"/>
      <c r="F807" s="39">
        <f>IFERROR(CLASIF_E_M!$X$7,"")</f>
        <v/>
      </c>
      <c r="G807" s="40" t="n"/>
      <c r="H807" s="41" t="n"/>
      <c r="I807" s="42">
        <f>IF($H807="","",MAX(0,$H807-N($E807)))</f>
        <v/>
      </c>
      <c r="J807" s="42">
        <f>IF($H807="","",MAX(0,$H807-N($G807)))</f>
        <v/>
      </c>
    </row>
    <row r="808" ht="19.5" customHeight="1" s="72">
      <c r="A808" s="38" t="inlineStr">
        <is>
          <t>EM-FIN-P02-BEN</t>
        </is>
      </c>
      <c r="B808" s="38" t="inlineStr">
        <is>
          <t>Final</t>
        </is>
      </c>
      <c r="C808" s="38" t="inlineStr">
        <is>
          <t>Benguela</t>
        </is>
      </c>
      <c r="D808" s="39">
        <f>IFERROR(CLASIF_E_M!$X$6,"")</f>
        <v/>
      </c>
      <c r="E808" s="40" t="n"/>
      <c r="F808" s="39">
        <f>IFERROR(CLASIF_E_M!$X$7,"")</f>
        <v/>
      </c>
      <c r="G808" s="40" t="n"/>
      <c r="H808" s="41" t="n"/>
      <c r="I808" s="42">
        <f>IF($H808="","",MAX(0,$H808-N($E808)))</f>
        <v/>
      </c>
      <c r="J808" s="42">
        <f>IF($H808="","",MAX(0,$H808-N($G808)))</f>
        <v/>
      </c>
    </row>
    <row r="809" ht="19.5" customHeight="1" s="72">
      <c r="A809" s="43" t="n"/>
      <c r="B809" s="43" t="n"/>
      <c r="C809" s="43" t="n"/>
      <c r="D809" s="43" t="n"/>
      <c r="E809" s="43" t="n"/>
      <c r="F809" s="43" t="n"/>
      <c r="G809" s="43" t="n"/>
      <c r="H809" s="44" t="n"/>
      <c r="I809" s="43">
        <f>IF($H809="","",MAX(0,$H809-N($E809)))</f>
        <v/>
      </c>
      <c r="J809" s="43">
        <f>IF($H809="","",MAX(0,$H809-N($G809)))</f>
        <v/>
      </c>
    </row>
    <row r="810" ht="19.5" customHeight="1" s="72">
      <c r="A810" s="84" t="inlineStr">
        <is>
          <t>═══ CATEGORÍA E · Femenino · Naranja (Alumnos) · Toques: São Bento da Abadá, Benguela ═══</t>
        </is>
      </c>
    </row>
    <row r="811" ht="19.5" customHeight="1" s="72">
      <c r="A811" s="45" t="inlineStr">
        <is>
          <t>Jogo</t>
        </is>
      </c>
      <c r="B811" s="45" t="inlineStr">
        <is>
          <t>Fase</t>
        </is>
      </c>
      <c r="C811" s="45" t="inlineStr">
        <is>
          <t>Toque</t>
        </is>
      </c>
      <c r="D811" s="45" t="inlineStr">
        <is>
          <t>Jugador A</t>
        </is>
      </c>
      <c r="E811" s="45" t="inlineStr">
        <is>
          <t>Quita A</t>
        </is>
      </c>
      <c r="F811" s="45" t="inlineStr">
        <is>
          <t>Jugador B</t>
        </is>
      </c>
      <c r="G811" s="45" t="inlineStr">
        <is>
          <t>Quita B</t>
        </is>
      </c>
      <c r="H811" s="45" t="inlineStr">
        <is>
          <t>NOTA (0-5)</t>
        </is>
      </c>
      <c r="I811" s="45">
        <f>IF($H811="","",MAX(0,$H811-N($E811)))</f>
        <v/>
      </c>
      <c r="J811" s="45">
        <f>IF($H811="","",MAX(0,$H811-N($G811)))</f>
        <v/>
      </c>
    </row>
    <row r="812" ht="19.5" customHeight="1" s="72">
      <c r="A812" s="38" t="inlineStr">
        <is>
          <t>EF-32-P01-SBA</t>
        </is>
      </c>
      <c r="B812" s="38" t="inlineStr">
        <is>
          <t>Fase 32</t>
        </is>
      </c>
      <c r="C812" s="38" t="inlineStr">
        <is>
          <t>São Bento da Abadá</t>
        </is>
      </c>
      <c r="D812" s="39" t="inlineStr">
        <is>
          <t>A_E_F_32_P1</t>
        </is>
      </c>
      <c r="E812" s="40" t="n"/>
      <c r="F812" s="39" t="inlineStr">
        <is>
          <t>B_E_F_32_P1</t>
        </is>
      </c>
      <c r="G812" s="40" t="n"/>
      <c r="H812" s="41" t="n"/>
      <c r="I812" s="42">
        <f>IF($H812="","",MAX(0,$H812-N($E812)))</f>
        <v/>
      </c>
      <c r="J812" s="42">
        <f>IF($H812="","",MAX(0,$H812-N($G812)))</f>
        <v/>
      </c>
    </row>
    <row r="813" ht="19.5" customHeight="1" s="72">
      <c r="A813" s="38" t="inlineStr">
        <is>
          <t>EF-32-P01-BEN</t>
        </is>
      </c>
      <c r="B813" s="38" t="inlineStr">
        <is>
          <t>Fase 32</t>
        </is>
      </c>
      <c r="C813" s="38" t="inlineStr">
        <is>
          <t>Benguela</t>
        </is>
      </c>
      <c r="D813" s="39" t="inlineStr">
        <is>
          <t>A_E_F_32_P1</t>
        </is>
      </c>
      <c r="E813" s="40" t="n"/>
      <c r="F813" s="39" t="inlineStr">
        <is>
          <t>B_E_F_32_P1</t>
        </is>
      </c>
      <c r="G813" s="40" t="n"/>
      <c r="H813" s="41" t="n"/>
      <c r="I813" s="42">
        <f>IF($H813="","",MAX(0,$H813-N($E813)))</f>
        <v/>
      </c>
      <c r="J813" s="42">
        <f>IF($H813="","",MAX(0,$H813-N($G813)))</f>
        <v/>
      </c>
    </row>
    <row r="814" ht="19.5" customHeight="1" s="72">
      <c r="A814" s="38" t="inlineStr">
        <is>
          <t>EF-32-P02-SBA</t>
        </is>
      </c>
      <c r="B814" s="38" t="inlineStr">
        <is>
          <t>Fase 32</t>
        </is>
      </c>
      <c r="C814" s="38" t="inlineStr">
        <is>
          <t>São Bento da Abadá</t>
        </is>
      </c>
      <c r="D814" s="39" t="inlineStr">
        <is>
          <t>A_E_F_32_P2</t>
        </is>
      </c>
      <c r="E814" s="40" t="n"/>
      <c r="F814" s="39" t="inlineStr">
        <is>
          <t>B_E_F_32_P2</t>
        </is>
      </c>
      <c r="G814" s="40" t="n"/>
      <c r="H814" s="41" t="n"/>
      <c r="I814" s="42">
        <f>IF($H814="","",MAX(0,$H814-N($E814)))</f>
        <v/>
      </c>
      <c r="J814" s="42">
        <f>IF($H814="","",MAX(0,$H814-N($G814)))</f>
        <v/>
      </c>
    </row>
    <row r="815" ht="19.5" customHeight="1" s="72">
      <c r="A815" s="38" t="inlineStr">
        <is>
          <t>EF-32-P02-BEN</t>
        </is>
      </c>
      <c r="B815" s="38" t="inlineStr">
        <is>
          <t>Fase 32</t>
        </is>
      </c>
      <c r="C815" s="38" t="inlineStr">
        <is>
          <t>Benguela</t>
        </is>
      </c>
      <c r="D815" s="39" t="inlineStr">
        <is>
          <t>A_E_F_32_P2</t>
        </is>
      </c>
      <c r="E815" s="40" t="n"/>
      <c r="F815" s="39" t="inlineStr">
        <is>
          <t>B_E_F_32_P2</t>
        </is>
      </c>
      <c r="G815" s="40" t="n"/>
      <c r="H815" s="41" t="n"/>
      <c r="I815" s="42">
        <f>IF($H815="","",MAX(0,$H815-N($E815)))</f>
        <v/>
      </c>
      <c r="J815" s="42">
        <f>IF($H815="","",MAX(0,$H815-N($G815)))</f>
        <v/>
      </c>
    </row>
    <row r="816" ht="19.5" customHeight="1" s="72">
      <c r="A816" s="38" t="inlineStr">
        <is>
          <t>EF-32-P03-SBA</t>
        </is>
      </c>
      <c r="B816" s="38" t="inlineStr">
        <is>
          <t>Fase 32</t>
        </is>
      </c>
      <c r="C816" s="38" t="inlineStr">
        <is>
          <t>São Bento da Abadá</t>
        </is>
      </c>
      <c r="D816" s="39" t="inlineStr">
        <is>
          <t>A_E_F_32_P3</t>
        </is>
      </c>
      <c r="E816" s="40" t="n"/>
      <c r="F816" s="39" t="inlineStr">
        <is>
          <t>B_E_F_32_P3</t>
        </is>
      </c>
      <c r="G816" s="40" t="n"/>
      <c r="H816" s="41" t="n"/>
      <c r="I816" s="42">
        <f>IF($H816="","",MAX(0,$H816-N($E816)))</f>
        <v/>
      </c>
      <c r="J816" s="42">
        <f>IF($H816="","",MAX(0,$H816-N($G816)))</f>
        <v/>
      </c>
    </row>
    <row r="817" ht="19.5" customHeight="1" s="72">
      <c r="A817" s="38" t="inlineStr">
        <is>
          <t>EF-32-P03-BEN</t>
        </is>
      </c>
      <c r="B817" s="38" t="inlineStr">
        <is>
          <t>Fase 32</t>
        </is>
      </c>
      <c r="C817" s="38" t="inlineStr">
        <is>
          <t>Benguela</t>
        </is>
      </c>
      <c r="D817" s="39" t="inlineStr">
        <is>
          <t>A_E_F_32_P3</t>
        </is>
      </c>
      <c r="E817" s="40" t="n"/>
      <c r="F817" s="39" t="inlineStr">
        <is>
          <t>B_E_F_32_P3</t>
        </is>
      </c>
      <c r="G817" s="40" t="n"/>
      <c r="H817" s="41" t="n"/>
      <c r="I817" s="42">
        <f>IF($H817="","",MAX(0,$H817-N($E817)))</f>
        <v/>
      </c>
      <c r="J817" s="42">
        <f>IF($H817="","",MAX(0,$H817-N($G817)))</f>
        <v/>
      </c>
    </row>
    <row r="818" ht="19.5" customHeight="1" s="72">
      <c r="A818" s="38" t="inlineStr">
        <is>
          <t>EF-32-P04-SBA</t>
        </is>
      </c>
      <c r="B818" s="38" t="inlineStr">
        <is>
          <t>Fase 32</t>
        </is>
      </c>
      <c r="C818" s="38" t="inlineStr">
        <is>
          <t>São Bento da Abadá</t>
        </is>
      </c>
      <c r="D818" s="39" t="inlineStr">
        <is>
          <t>A_E_F_32_P4</t>
        </is>
      </c>
      <c r="E818" s="40" t="n"/>
      <c r="F818" s="39" t="inlineStr">
        <is>
          <t>B_E_F_32_P4</t>
        </is>
      </c>
      <c r="G818" s="40" t="n"/>
      <c r="H818" s="41" t="n"/>
      <c r="I818" s="42">
        <f>IF($H818="","",MAX(0,$H818-N($E818)))</f>
        <v/>
      </c>
      <c r="J818" s="42">
        <f>IF($H818="","",MAX(0,$H818-N($G818)))</f>
        <v/>
      </c>
    </row>
    <row r="819" ht="19.5" customHeight="1" s="72">
      <c r="A819" s="38" t="inlineStr">
        <is>
          <t>EF-32-P04-BEN</t>
        </is>
      </c>
      <c r="B819" s="38" t="inlineStr">
        <is>
          <t>Fase 32</t>
        </is>
      </c>
      <c r="C819" s="38" t="inlineStr">
        <is>
          <t>Benguela</t>
        </is>
      </c>
      <c r="D819" s="39" t="inlineStr">
        <is>
          <t>A_E_F_32_P4</t>
        </is>
      </c>
      <c r="E819" s="40" t="n"/>
      <c r="F819" s="39" t="inlineStr">
        <is>
          <t>B_E_F_32_P4</t>
        </is>
      </c>
      <c r="G819" s="40" t="n"/>
      <c r="H819" s="41" t="n"/>
      <c r="I819" s="42">
        <f>IF($H819="","",MAX(0,$H819-N($E819)))</f>
        <v/>
      </c>
      <c r="J819" s="42">
        <f>IF($H819="","",MAX(0,$H819-N($G819)))</f>
        <v/>
      </c>
    </row>
    <row r="820" ht="19.5" customHeight="1" s="72">
      <c r="A820" s="38" t="inlineStr">
        <is>
          <t>EF-32-P05-SBA</t>
        </is>
      </c>
      <c r="B820" s="38" t="inlineStr">
        <is>
          <t>Fase 32</t>
        </is>
      </c>
      <c r="C820" s="38" t="inlineStr">
        <is>
          <t>São Bento da Abadá</t>
        </is>
      </c>
      <c r="D820" s="39" t="inlineStr">
        <is>
          <t>A_E_F_32_P5</t>
        </is>
      </c>
      <c r="E820" s="40" t="n"/>
      <c r="F820" s="39" t="inlineStr">
        <is>
          <t>B_E_F_32_P5</t>
        </is>
      </c>
      <c r="G820" s="40" t="n"/>
      <c r="H820" s="41" t="n"/>
      <c r="I820" s="42">
        <f>IF($H820="","",MAX(0,$H820-N($E820)))</f>
        <v/>
      </c>
      <c r="J820" s="42">
        <f>IF($H820="","",MAX(0,$H820-N($G820)))</f>
        <v/>
      </c>
    </row>
    <row r="821" ht="19.5" customHeight="1" s="72">
      <c r="A821" s="38" t="inlineStr">
        <is>
          <t>EF-32-P05-BEN</t>
        </is>
      </c>
      <c r="B821" s="38" t="inlineStr">
        <is>
          <t>Fase 32</t>
        </is>
      </c>
      <c r="C821" s="38" t="inlineStr">
        <is>
          <t>Benguela</t>
        </is>
      </c>
      <c r="D821" s="39" t="inlineStr">
        <is>
          <t>A_E_F_32_P5</t>
        </is>
      </c>
      <c r="E821" s="40" t="n"/>
      <c r="F821" s="39" t="inlineStr">
        <is>
          <t>B_E_F_32_P5</t>
        </is>
      </c>
      <c r="G821" s="40" t="n"/>
      <c r="H821" s="41" t="n"/>
      <c r="I821" s="42">
        <f>IF($H821="","",MAX(0,$H821-N($E821)))</f>
        <v/>
      </c>
      <c r="J821" s="42">
        <f>IF($H821="","",MAX(0,$H821-N($G821)))</f>
        <v/>
      </c>
    </row>
    <row r="822" ht="19.5" customHeight="1" s="72">
      <c r="A822" s="38" t="inlineStr">
        <is>
          <t>EF-32-P06-SBA</t>
        </is>
      </c>
      <c r="B822" s="38" t="inlineStr">
        <is>
          <t>Fase 32</t>
        </is>
      </c>
      <c r="C822" s="38" t="inlineStr">
        <is>
          <t>São Bento da Abadá</t>
        </is>
      </c>
      <c r="D822" s="39" t="inlineStr">
        <is>
          <t>A_E_F_32_P6</t>
        </is>
      </c>
      <c r="E822" s="40" t="n"/>
      <c r="F822" s="39" t="inlineStr">
        <is>
          <t>B_E_F_32_P6</t>
        </is>
      </c>
      <c r="G822" s="40" t="n"/>
      <c r="H822" s="41" t="n"/>
      <c r="I822" s="42">
        <f>IF($H822="","",MAX(0,$H822-N($E822)))</f>
        <v/>
      </c>
      <c r="J822" s="42">
        <f>IF($H822="","",MAX(0,$H822-N($G822)))</f>
        <v/>
      </c>
    </row>
    <row r="823" ht="19.5" customHeight="1" s="72">
      <c r="A823" s="38" t="inlineStr">
        <is>
          <t>EF-32-P06-BEN</t>
        </is>
      </c>
      <c r="B823" s="38" t="inlineStr">
        <is>
          <t>Fase 32</t>
        </is>
      </c>
      <c r="C823" s="38" t="inlineStr">
        <is>
          <t>Benguela</t>
        </is>
      </c>
      <c r="D823" s="39" t="inlineStr">
        <is>
          <t>A_E_F_32_P6</t>
        </is>
      </c>
      <c r="E823" s="40" t="n"/>
      <c r="F823" s="39" t="inlineStr">
        <is>
          <t>B_E_F_32_P6</t>
        </is>
      </c>
      <c r="G823" s="40" t="n"/>
      <c r="H823" s="41" t="n"/>
      <c r="I823" s="42">
        <f>IF($H823="","",MAX(0,$H823-N($E823)))</f>
        <v/>
      </c>
      <c r="J823" s="42">
        <f>IF($H823="","",MAX(0,$H823-N($G823)))</f>
        <v/>
      </c>
    </row>
    <row r="824" ht="19.5" customHeight="1" s="72">
      <c r="A824" s="38" t="inlineStr">
        <is>
          <t>EF-32-P07-SBA</t>
        </is>
      </c>
      <c r="B824" s="38" t="inlineStr">
        <is>
          <t>Fase 32</t>
        </is>
      </c>
      <c r="C824" s="38" t="inlineStr">
        <is>
          <t>São Bento da Abadá</t>
        </is>
      </c>
      <c r="D824" s="39" t="inlineStr">
        <is>
          <t>A_E_F_32_P7</t>
        </is>
      </c>
      <c r="E824" s="40" t="n"/>
      <c r="F824" s="39" t="inlineStr">
        <is>
          <t>B_E_F_32_P7</t>
        </is>
      </c>
      <c r="G824" s="40" t="n"/>
      <c r="H824" s="41" t="n"/>
      <c r="I824" s="42">
        <f>IF($H824="","",MAX(0,$H824-N($E824)))</f>
        <v/>
      </c>
      <c r="J824" s="42">
        <f>IF($H824="","",MAX(0,$H824-N($G824)))</f>
        <v/>
      </c>
    </row>
    <row r="825" ht="19.5" customHeight="1" s="72">
      <c r="A825" s="38" t="inlineStr">
        <is>
          <t>EF-32-P07-BEN</t>
        </is>
      </c>
      <c r="B825" s="38" t="inlineStr">
        <is>
          <t>Fase 32</t>
        </is>
      </c>
      <c r="C825" s="38" t="inlineStr">
        <is>
          <t>Benguela</t>
        </is>
      </c>
      <c r="D825" s="39" t="inlineStr">
        <is>
          <t>A_E_F_32_P7</t>
        </is>
      </c>
      <c r="E825" s="40" t="n"/>
      <c r="F825" s="39" t="inlineStr">
        <is>
          <t>B_E_F_32_P7</t>
        </is>
      </c>
      <c r="G825" s="40" t="n"/>
      <c r="H825" s="41" t="n"/>
      <c r="I825" s="42">
        <f>IF($H825="","",MAX(0,$H825-N($E825)))</f>
        <v/>
      </c>
      <c r="J825" s="42">
        <f>IF($H825="","",MAX(0,$H825-N($G825)))</f>
        <v/>
      </c>
    </row>
    <row r="826" ht="19.5" customHeight="1" s="72">
      <c r="A826" s="38" t="inlineStr">
        <is>
          <t>EF-32-P08-SBA</t>
        </is>
      </c>
      <c r="B826" s="38" t="inlineStr">
        <is>
          <t>Fase 32</t>
        </is>
      </c>
      <c r="C826" s="38" t="inlineStr">
        <is>
          <t>São Bento da Abadá</t>
        </is>
      </c>
      <c r="D826" s="39" t="inlineStr">
        <is>
          <t>A_E_F_32_P8</t>
        </is>
      </c>
      <c r="E826" s="40" t="n"/>
      <c r="F826" s="39" t="inlineStr">
        <is>
          <t>B_E_F_32_P8</t>
        </is>
      </c>
      <c r="G826" s="40" t="n"/>
      <c r="H826" s="41" t="n"/>
      <c r="I826" s="42">
        <f>IF($H826="","",MAX(0,$H826-N($E826)))</f>
        <v/>
      </c>
      <c r="J826" s="42">
        <f>IF($H826="","",MAX(0,$H826-N($G826)))</f>
        <v/>
      </c>
    </row>
    <row r="827" ht="19.5" customHeight="1" s="72">
      <c r="A827" s="38" t="inlineStr">
        <is>
          <t>EF-32-P08-BEN</t>
        </is>
      </c>
      <c r="B827" s="38" t="inlineStr">
        <is>
          <t>Fase 32</t>
        </is>
      </c>
      <c r="C827" s="38" t="inlineStr">
        <is>
          <t>Benguela</t>
        </is>
      </c>
      <c r="D827" s="39" t="inlineStr">
        <is>
          <t>A_E_F_32_P8</t>
        </is>
      </c>
      <c r="E827" s="40" t="n"/>
      <c r="F827" s="39" t="inlineStr">
        <is>
          <t>B_E_F_32_P8</t>
        </is>
      </c>
      <c r="G827" s="40" t="n"/>
      <c r="H827" s="41" t="n"/>
      <c r="I827" s="42">
        <f>IF($H827="","",MAX(0,$H827-N($E827)))</f>
        <v/>
      </c>
      <c r="J827" s="42">
        <f>IF($H827="","",MAX(0,$H827-N($G827)))</f>
        <v/>
      </c>
    </row>
    <row r="828" ht="19.5" customHeight="1" s="72">
      <c r="A828" s="38" t="inlineStr">
        <is>
          <t>EF-32-P09-SBA</t>
        </is>
      </c>
      <c r="B828" s="38" t="inlineStr">
        <is>
          <t>Fase 32</t>
        </is>
      </c>
      <c r="C828" s="38" t="inlineStr">
        <is>
          <t>São Bento da Abadá</t>
        </is>
      </c>
      <c r="D828" s="39" t="inlineStr">
        <is>
          <t>A_E_F_32_P9</t>
        </is>
      </c>
      <c r="E828" s="40" t="n"/>
      <c r="F828" s="39" t="inlineStr">
        <is>
          <t>B_E_F_32_P9</t>
        </is>
      </c>
      <c r="G828" s="40" t="n"/>
      <c r="H828" s="41" t="n"/>
      <c r="I828" s="42">
        <f>IF($H828="","",MAX(0,$H828-N($E828)))</f>
        <v/>
      </c>
      <c r="J828" s="42">
        <f>IF($H828="","",MAX(0,$H828-N($G828)))</f>
        <v/>
      </c>
    </row>
    <row r="829" ht="19.5" customHeight="1" s="72">
      <c r="A829" s="38" t="inlineStr">
        <is>
          <t>EF-32-P09-BEN</t>
        </is>
      </c>
      <c r="B829" s="38" t="inlineStr">
        <is>
          <t>Fase 32</t>
        </is>
      </c>
      <c r="C829" s="38" t="inlineStr">
        <is>
          <t>Benguela</t>
        </is>
      </c>
      <c r="D829" s="39" t="inlineStr">
        <is>
          <t>A_E_F_32_P9</t>
        </is>
      </c>
      <c r="E829" s="40" t="n"/>
      <c r="F829" s="39" t="inlineStr">
        <is>
          <t>B_E_F_32_P9</t>
        </is>
      </c>
      <c r="G829" s="40" t="n"/>
      <c r="H829" s="41" t="n"/>
      <c r="I829" s="42">
        <f>IF($H829="","",MAX(0,$H829-N($E829)))</f>
        <v/>
      </c>
      <c r="J829" s="42">
        <f>IF($H829="","",MAX(0,$H829-N($G829)))</f>
        <v/>
      </c>
    </row>
    <row r="830" ht="19.5" customHeight="1" s="72">
      <c r="A830" s="38" t="inlineStr">
        <is>
          <t>EF-32-P10-SBA</t>
        </is>
      </c>
      <c r="B830" s="38" t="inlineStr">
        <is>
          <t>Fase 32</t>
        </is>
      </c>
      <c r="C830" s="38" t="inlineStr">
        <is>
          <t>São Bento da Abadá</t>
        </is>
      </c>
      <c r="D830" s="39" t="inlineStr">
        <is>
          <t>A_E_F_32_P10</t>
        </is>
      </c>
      <c r="E830" s="40" t="n"/>
      <c r="F830" s="39" t="inlineStr">
        <is>
          <t>B_E_F_32_P10</t>
        </is>
      </c>
      <c r="G830" s="40" t="n"/>
      <c r="H830" s="41" t="n"/>
      <c r="I830" s="42">
        <f>IF($H830="","",MAX(0,$H830-N($E830)))</f>
        <v/>
      </c>
      <c r="J830" s="42">
        <f>IF($H830="","",MAX(0,$H830-N($G830)))</f>
        <v/>
      </c>
    </row>
    <row r="831" ht="19.5" customHeight="1" s="72">
      <c r="A831" s="38" t="inlineStr">
        <is>
          <t>EF-32-P10-BEN</t>
        </is>
      </c>
      <c r="B831" s="38" t="inlineStr">
        <is>
          <t>Fase 32</t>
        </is>
      </c>
      <c r="C831" s="38" t="inlineStr">
        <is>
          <t>Benguela</t>
        </is>
      </c>
      <c r="D831" s="39" t="inlineStr">
        <is>
          <t>A_E_F_32_P10</t>
        </is>
      </c>
      <c r="E831" s="40" t="n"/>
      <c r="F831" s="39" t="inlineStr">
        <is>
          <t>B_E_F_32_P10</t>
        </is>
      </c>
      <c r="G831" s="40" t="n"/>
      <c r="H831" s="41" t="n"/>
      <c r="I831" s="42">
        <f>IF($H831="","",MAX(0,$H831-N($E831)))</f>
        <v/>
      </c>
      <c r="J831" s="42">
        <f>IF($H831="","",MAX(0,$H831-N($G831)))</f>
        <v/>
      </c>
    </row>
    <row r="832" ht="19.5" customHeight="1" s="72">
      <c r="A832" s="38" t="inlineStr">
        <is>
          <t>EF-32-P11-SBA</t>
        </is>
      </c>
      <c r="B832" s="38" t="inlineStr">
        <is>
          <t>Fase 32</t>
        </is>
      </c>
      <c r="C832" s="38" t="inlineStr">
        <is>
          <t>São Bento da Abadá</t>
        </is>
      </c>
      <c r="D832" s="39" t="inlineStr">
        <is>
          <t>A_E_F_32_P11</t>
        </is>
      </c>
      <c r="E832" s="40" t="n"/>
      <c r="F832" s="39" t="inlineStr">
        <is>
          <t>B_E_F_32_P11</t>
        </is>
      </c>
      <c r="G832" s="40" t="n"/>
      <c r="H832" s="41" t="n"/>
      <c r="I832" s="42">
        <f>IF($H832="","",MAX(0,$H832-N($E832)))</f>
        <v/>
      </c>
      <c r="J832" s="42">
        <f>IF($H832="","",MAX(0,$H832-N($G832)))</f>
        <v/>
      </c>
    </row>
    <row r="833" ht="19.5" customHeight="1" s="72">
      <c r="A833" s="38" t="inlineStr">
        <is>
          <t>EF-32-P11-BEN</t>
        </is>
      </c>
      <c r="B833" s="38" t="inlineStr">
        <is>
          <t>Fase 32</t>
        </is>
      </c>
      <c r="C833" s="38" t="inlineStr">
        <is>
          <t>Benguela</t>
        </is>
      </c>
      <c r="D833" s="39" t="inlineStr">
        <is>
          <t>A_E_F_32_P11</t>
        </is>
      </c>
      <c r="E833" s="40" t="n"/>
      <c r="F833" s="39" t="inlineStr">
        <is>
          <t>B_E_F_32_P11</t>
        </is>
      </c>
      <c r="G833" s="40" t="n"/>
      <c r="H833" s="41" t="n"/>
      <c r="I833" s="42">
        <f>IF($H833="","",MAX(0,$H833-N($E833)))</f>
        <v/>
      </c>
      <c r="J833" s="42">
        <f>IF($H833="","",MAX(0,$H833-N($G833)))</f>
        <v/>
      </c>
    </row>
    <row r="834" ht="19.5" customHeight="1" s="72">
      <c r="A834" s="38" t="inlineStr">
        <is>
          <t>EF-32-P12-SBA</t>
        </is>
      </c>
      <c r="B834" s="38" t="inlineStr">
        <is>
          <t>Fase 32</t>
        </is>
      </c>
      <c r="C834" s="38" t="inlineStr">
        <is>
          <t>São Bento da Abadá</t>
        </is>
      </c>
      <c r="D834" s="39" t="inlineStr">
        <is>
          <t>A_E_F_32_P12</t>
        </is>
      </c>
      <c r="E834" s="40" t="n"/>
      <c r="F834" s="39" t="inlineStr">
        <is>
          <t>B_E_F_32_P12</t>
        </is>
      </c>
      <c r="G834" s="40" t="n"/>
      <c r="H834" s="41" t="n"/>
      <c r="I834" s="42">
        <f>IF($H834="","",MAX(0,$H834-N($E834)))</f>
        <v/>
      </c>
      <c r="J834" s="42">
        <f>IF($H834="","",MAX(0,$H834-N($G834)))</f>
        <v/>
      </c>
    </row>
    <row r="835" ht="19.5" customHeight="1" s="72">
      <c r="A835" s="38" t="inlineStr">
        <is>
          <t>EF-32-P12-BEN</t>
        </is>
      </c>
      <c r="B835" s="38" t="inlineStr">
        <is>
          <t>Fase 32</t>
        </is>
      </c>
      <c r="C835" s="38" t="inlineStr">
        <is>
          <t>Benguela</t>
        </is>
      </c>
      <c r="D835" s="39" t="inlineStr">
        <is>
          <t>A_E_F_32_P12</t>
        </is>
      </c>
      <c r="E835" s="40" t="n"/>
      <c r="F835" s="39" t="inlineStr">
        <is>
          <t>B_E_F_32_P12</t>
        </is>
      </c>
      <c r="G835" s="40" t="n"/>
      <c r="H835" s="41" t="n"/>
      <c r="I835" s="42">
        <f>IF($H835="","",MAX(0,$H835-N($E835)))</f>
        <v/>
      </c>
      <c r="J835" s="42">
        <f>IF($H835="","",MAX(0,$H835-N($G835)))</f>
        <v/>
      </c>
    </row>
    <row r="836" ht="19.5" customHeight="1" s="72">
      <c r="A836" s="38" t="inlineStr">
        <is>
          <t>EF-32-P13-SBA</t>
        </is>
      </c>
      <c r="B836" s="38" t="inlineStr">
        <is>
          <t>Fase 32</t>
        </is>
      </c>
      <c r="C836" s="38" t="inlineStr">
        <is>
          <t>São Bento da Abadá</t>
        </is>
      </c>
      <c r="D836" s="39" t="inlineStr">
        <is>
          <t>A_E_F_32_P13</t>
        </is>
      </c>
      <c r="E836" s="40" t="n"/>
      <c r="F836" s="39" t="inlineStr">
        <is>
          <t>B_E_F_32_P13</t>
        </is>
      </c>
      <c r="G836" s="40" t="n"/>
      <c r="H836" s="41" t="n"/>
      <c r="I836" s="42">
        <f>IF($H836="","",MAX(0,$H836-N($E836)))</f>
        <v/>
      </c>
      <c r="J836" s="42">
        <f>IF($H836="","",MAX(0,$H836-N($G836)))</f>
        <v/>
      </c>
    </row>
    <row r="837" ht="19.5" customHeight="1" s="72">
      <c r="A837" s="38" t="inlineStr">
        <is>
          <t>EF-32-P13-BEN</t>
        </is>
      </c>
      <c r="B837" s="38" t="inlineStr">
        <is>
          <t>Fase 32</t>
        </is>
      </c>
      <c r="C837" s="38" t="inlineStr">
        <is>
          <t>Benguela</t>
        </is>
      </c>
      <c r="D837" s="39" t="inlineStr">
        <is>
          <t>A_E_F_32_P13</t>
        </is>
      </c>
      <c r="E837" s="40" t="n"/>
      <c r="F837" s="39" t="inlineStr">
        <is>
          <t>B_E_F_32_P13</t>
        </is>
      </c>
      <c r="G837" s="40" t="n"/>
      <c r="H837" s="41" t="n"/>
      <c r="I837" s="42">
        <f>IF($H837="","",MAX(0,$H837-N($E837)))</f>
        <v/>
      </c>
      <c r="J837" s="42">
        <f>IF($H837="","",MAX(0,$H837-N($G837)))</f>
        <v/>
      </c>
    </row>
    <row r="838" ht="19.5" customHeight="1" s="72">
      <c r="A838" s="38" t="inlineStr">
        <is>
          <t>EF-32-P14-SBA</t>
        </is>
      </c>
      <c r="B838" s="38" t="inlineStr">
        <is>
          <t>Fase 32</t>
        </is>
      </c>
      <c r="C838" s="38" t="inlineStr">
        <is>
          <t>São Bento da Abadá</t>
        </is>
      </c>
      <c r="D838" s="39" t="inlineStr">
        <is>
          <t>A_E_F_32_P14</t>
        </is>
      </c>
      <c r="E838" s="40" t="n"/>
      <c r="F838" s="39" t="inlineStr">
        <is>
          <t>B_E_F_32_P14</t>
        </is>
      </c>
      <c r="G838" s="40" t="n"/>
      <c r="H838" s="41" t="n"/>
      <c r="I838" s="42">
        <f>IF($H838="","",MAX(0,$H838-N($E838)))</f>
        <v/>
      </c>
      <c r="J838" s="42">
        <f>IF($H838="","",MAX(0,$H838-N($G838)))</f>
        <v/>
      </c>
    </row>
    <row r="839" ht="19.5" customHeight="1" s="72">
      <c r="A839" s="38" t="inlineStr">
        <is>
          <t>EF-32-P14-BEN</t>
        </is>
      </c>
      <c r="B839" s="38" t="inlineStr">
        <is>
          <t>Fase 32</t>
        </is>
      </c>
      <c r="C839" s="38" t="inlineStr">
        <is>
          <t>Benguela</t>
        </is>
      </c>
      <c r="D839" s="39" t="inlineStr">
        <is>
          <t>A_E_F_32_P14</t>
        </is>
      </c>
      <c r="E839" s="40" t="n"/>
      <c r="F839" s="39" t="inlineStr">
        <is>
          <t>B_E_F_32_P14</t>
        </is>
      </c>
      <c r="G839" s="40" t="n"/>
      <c r="H839" s="41" t="n"/>
      <c r="I839" s="42">
        <f>IF($H839="","",MAX(0,$H839-N($E839)))</f>
        <v/>
      </c>
      <c r="J839" s="42">
        <f>IF($H839="","",MAX(0,$H839-N($G839)))</f>
        <v/>
      </c>
    </row>
    <row r="840" ht="19.5" customHeight="1" s="72">
      <c r="A840" s="38" t="inlineStr">
        <is>
          <t>EF-32-P15-SBA</t>
        </is>
      </c>
      <c r="B840" s="38" t="inlineStr">
        <is>
          <t>Fase 32</t>
        </is>
      </c>
      <c r="C840" s="38" t="inlineStr">
        <is>
          <t>São Bento da Abadá</t>
        </is>
      </c>
      <c r="D840" s="39" t="inlineStr">
        <is>
          <t>A_E_F_32_P15</t>
        </is>
      </c>
      <c r="E840" s="40" t="n"/>
      <c r="F840" s="39" t="inlineStr">
        <is>
          <t>B_E_F_32_P15</t>
        </is>
      </c>
      <c r="G840" s="40" t="n"/>
      <c r="H840" s="41" t="n"/>
      <c r="I840" s="42">
        <f>IF($H840="","",MAX(0,$H840-N($E840)))</f>
        <v/>
      </c>
      <c r="J840" s="42">
        <f>IF($H840="","",MAX(0,$H840-N($G840)))</f>
        <v/>
      </c>
    </row>
    <row r="841" ht="19.5" customHeight="1" s="72">
      <c r="A841" s="38" t="inlineStr">
        <is>
          <t>EF-32-P15-BEN</t>
        </is>
      </c>
      <c r="B841" s="38" t="inlineStr">
        <is>
          <t>Fase 32</t>
        </is>
      </c>
      <c r="C841" s="38" t="inlineStr">
        <is>
          <t>Benguela</t>
        </is>
      </c>
      <c r="D841" s="39" t="inlineStr">
        <is>
          <t>A_E_F_32_P15</t>
        </is>
      </c>
      <c r="E841" s="40" t="n"/>
      <c r="F841" s="39" t="inlineStr">
        <is>
          <t>B_E_F_32_P15</t>
        </is>
      </c>
      <c r="G841" s="40" t="n"/>
      <c r="H841" s="41" t="n"/>
      <c r="I841" s="42">
        <f>IF($H841="","",MAX(0,$H841-N($E841)))</f>
        <v/>
      </c>
      <c r="J841" s="42">
        <f>IF($H841="","",MAX(0,$H841-N($G841)))</f>
        <v/>
      </c>
    </row>
    <row r="842" ht="19.5" customHeight="1" s="72">
      <c r="A842" s="38" t="inlineStr">
        <is>
          <t>EF-32-P16-SBA</t>
        </is>
      </c>
      <c r="B842" s="38" t="inlineStr">
        <is>
          <t>Fase 32</t>
        </is>
      </c>
      <c r="C842" s="38" t="inlineStr">
        <is>
          <t>São Bento da Abadá</t>
        </is>
      </c>
      <c r="D842" s="39" t="inlineStr">
        <is>
          <t>A_E_F_32_P16</t>
        </is>
      </c>
      <c r="E842" s="40" t="n"/>
      <c r="F842" s="39" t="inlineStr">
        <is>
          <t>B_E_F_32_P16</t>
        </is>
      </c>
      <c r="G842" s="40" t="n"/>
      <c r="H842" s="41" t="n"/>
      <c r="I842" s="42">
        <f>IF($H842="","",MAX(0,$H842-N($E842)))</f>
        <v/>
      </c>
      <c r="J842" s="42">
        <f>IF($H842="","",MAX(0,$H842-N($G842)))</f>
        <v/>
      </c>
    </row>
    <row r="843" ht="19.5" customHeight="1" s="72">
      <c r="A843" s="38" t="inlineStr">
        <is>
          <t>EF-32-P16-BEN</t>
        </is>
      </c>
      <c r="B843" s="38" t="inlineStr">
        <is>
          <t>Fase 32</t>
        </is>
      </c>
      <c r="C843" s="38" t="inlineStr">
        <is>
          <t>Benguela</t>
        </is>
      </c>
      <c r="D843" s="39" t="inlineStr">
        <is>
          <t>A_E_F_32_P16</t>
        </is>
      </c>
      <c r="E843" s="40" t="n"/>
      <c r="F843" s="39" t="inlineStr">
        <is>
          <t>B_E_F_32_P16</t>
        </is>
      </c>
      <c r="G843" s="40" t="n"/>
      <c r="H843" s="41" t="n"/>
      <c r="I843" s="42">
        <f>IF($H843="","",MAX(0,$H843-N($E843)))</f>
        <v/>
      </c>
      <c r="J843" s="42">
        <f>IF($H843="","",MAX(0,$H843-N($G843)))</f>
        <v/>
      </c>
    </row>
    <row r="844" ht="19.5" customHeight="1" s="72">
      <c r="A844" s="38" t="inlineStr">
        <is>
          <t>EF-OCT-P01-SBA</t>
        </is>
      </c>
      <c r="B844" s="38" t="inlineStr">
        <is>
          <t>Octavas</t>
        </is>
      </c>
      <c r="C844" s="38" t="inlineStr">
        <is>
          <t>São Bento da Abadá</t>
        </is>
      </c>
      <c r="D844" s="39">
        <f>IFERROR(CLASIF_E_F!$F$5,"")</f>
        <v/>
      </c>
      <c r="E844" s="40" t="n"/>
      <c r="F844" s="39">
        <f>IFERROR(CLASIF_E_F!$F$20,"")</f>
        <v/>
      </c>
      <c r="G844" s="40" t="n"/>
      <c r="H844" s="41" t="n"/>
      <c r="I844" s="42">
        <f>IF($H844="","",MAX(0,$H844-N($E844)))</f>
        <v/>
      </c>
      <c r="J844" s="42">
        <f>IF($H844="","",MAX(0,$H844-N($G844)))</f>
        <v/>
      </c>
    </row>
    <row r="845" ht="19.5" customHeight="1" s="72">
      <c r="A845" s="38" t="inlineStr">
        <is>
          <t>EF-OCT-P01-BEN</t>
        </is>
      </c>
      <c r="B845" s="38" t="inlineStr">
        <is>
          <t>Octavas</t>
        </is>
      </c>
      <c r="C845" s="38" t="inlineStr">
        <is>
          <t>Benguela</t>
        </is>
      </c>
      <c r="D845" s="39">
        <f>IFERROR(CLASIF_E_F!$F$5,"")</f>
        <v/>
      </c>
      <c r="E845" s="40" t="n"/>
      <c r="F845" s="39">
        <f>IFERROR(CLASIF_E_F!$F$20,"")</f>
        <v/>
      </c>
      <c r="G845" s="40" t="n"/>
      <c r="H845" s="41" t="n"/>
      <c r="I845" s="42">
        <f>IF($H845="","",MAX(0,$H845-N($E845)))</f>
        <v/>
      </c>
      <c r="J845" s="42">
        <f>IF($H845="","",MAX(0,$H845-N($G845)))</f>
        <v/>
      </c>
    </row>
    <row r="846" ht="19.5" customHeight="1" s="72">
      <c r="A846" s="38" t="inlineStr">
        <is>
          <t>EF-OCT-P02-SBA</t>
        </is>
      </c>
      <c r="B846" s="38" t="inlineStr">
        <is>
          <t>Octavas</t>
        </is>
      </c>
      <c r="C846" s="38" t="inlineStr">
        <is>
          <t>São Bento da Abadá</t>
        </is>
      </c>
      <c r="D846" s="39">
        <f>IFERROR(CLASIF_E_F!$F$6,"")</f>
        <v/>
      </c>
      <c r="E846" s="40" t="n"/>
      <c r="F846" s="39">
        <f>IFERROR(CLASIF_E_F!$F$19,"")</f>
        <v/>
      </c>
      <c r="G846" s="40" t="n"/>
      <c r="H846" s="41" t="n"/>
      <c r="I846" s="42">
        <f>IF($H846="","",MAX(0,$H846-N($E846)))</f>
        <v/>
      </c>
      <c r="J846" s="42">
        <f>IF($H846="","",MAX(0,$H846-N($G846)))</f>
        <v/>
      </c>
    </row>
    <row r="847" ht="19.5" customHeight="1" s="72">
      <c r="A847" s="38" t="inlineStr">
        <is>
          <t>EF-OCT-P02-BEN</t>
        </is>
      </c>
      <c r="B847" s="38" t="inlineStr">
        <is>
          <t>Octavas</t>
        </is>
      </c>
      <c r="C847" s="38" t="inlineStr">
        <is>
          <t>Benguela</t>
        </is>
      </c>
      <c r="D847" s="39">
        <f>IFERROR(CLASIF_E_F!$F$6,"")</f>
        <v/>
      </c>
      <c r="E847" s="40" t="n"/>
      <c r="F847" s="39">
        <f>IFERROR(CLASIF_E_F!$F$19,"")</f>
        <v/>
      </c>
      <c r="G847" s="40" t="n"/>
      <c r="H847" s="41" t="n"/>
      <c r="I847" s="42">
        <f>IF($H847="","",MAX(0,$H847-N($E847)))</f>
        <v/>
      </c>
      <c r="J847" s="42">
        <f>IF($H847="","",MAX(0,$H847-N($G847)))</f>
        <v/>
      </c>
    </row>
    <row r="848" ht="19.5" customHeight="1" s="72">
      <c r="A848" s="38" t="inlineStr">
        <is>
          <t>EF-OCT-P03-SBA</t>
        </is>
      </c>
      <c r="B848" s="38" t="inlineStr">
        <is>
          <t>Octavas</t>
        </is>
      </c>
      <c r="C848" s="38" t="inlineStr">
        <is>
          <t>São Bento da Abadá</t>
        </is>
      </c>
      <c r="D848" s="39">
        <f>IFERROR(CLASIF_E_F!$F$7,"")</f>
        <v/>
      </c>
      <c r="E848" s="40" t="n"/>
      <c r="F848" s="39">
        <f>IFERROR(CLASIF_E_F!$F$18,"")</f>
        <v/>
      </c>
      <c r="G848" s="40" t="n"/>
      <c r="H848" s="41" t="n"/>
      <c r="I848" s="42">
        <f>IF($H848="","",MAX(0,$H848-N($E848)))</f>
        <v/>
      </c>
      <c r="J848" s="42">
        <f>IF($H848="","",MAX(0,$H848-N($G848)))</f>
        <v/>
      </c>
    </row>
    <row r="849" ht="19.5" customHeight="1" s="72">
      <c r="A849" s="38" t="inlineStr">
        <is>
          <t>EF-OCT-P03-BEN</t>
        </is>
      </c>
      <c r="B849" s="38" t="inlineStr">
        <is>
          <t>Octavas</t>
        </is>
      </c>
      <c r="C849" s="38" t="inlineStr">
        <is>
          <t>Benguela</t>
        </is>
      </c>
      <c r="D849" s="39">
        <f>IFERROR(CLASIF_E_F!$F$7,"")</f>
        <v/>
      </c>
      <c r="E849" s="40" t="n"/>
      <c r="F849" s="39">
        <f>IFERROR(CLASIF_E_F!$F$18,"")</f>
        <v/>
      </c>
      <c r="G849" s="40" t="n"/>
      <c r="H849" s="41" t="n"/>
      <c r="I849" s="42">
        <f>IF($H849="","",MAX(0,$H849-N($E849)))</f>
        <v/>
      </c>
      <c r="J849" s="42">
        <f>IF($H849="","",MAX(0,$H849-N($G849)))</f>
        <v/>
      </c>
    </row>
    <row r="850" ht="19.5" customHeight="1" s="72">
      <c r="A850" s="38" t="inlineStr">
        <is>
          <t>EF-OCT-P04-SBA</t>
        </is>
      </c>
      <c r="B850" s="38" t="inlineStr">
        <is>
          <t>Octavas</t>
        </is>
      </c>
      <c r="C850" s="38" t="inlineStr">
        <is>
          <t>São Bento da Abadá</t>
        </is>
      </c>
      <c r="D850" s="39">
        <f>IFERROR(CLASIF_E_F!$F$8,"")</f>
        <v/>
      </c>
      <c r="E850" s="40" t="n"/>
      <c r="F850" s="39">
        <f>IFERROR(CLASIF_E_F!$F$17,"")</f>
        <v/>
      </c>
      <c r="G850" s="40" t="n"/>
      <c r="H850" s="41" t="n"/>
      <c r="I850" s="42">
        <f>IF($H850="","",MAX(0,$H850-N($E850)))</f>
        <v/>
      </c>
      <c r="J850" s="42">
        <f>IF($H850="","",MAX(0,$H850-N($G850)))</f>
        <v/>
      </c>
    </row>
    <row r="851" ht="19.5" customHeight="1" s="72">
      <c r="A851" s="38" t="inlineStr">
        <is>
          <t>EF-OCT-P04-BEN</t>
        </is>
      </c>
      <c r="B851" s="38" t="inlineStr">
        <is>
          <t>Octavas</t>
        </is>
      </c>
      <c r="C851" s="38" t="inlineStr">
        <is>
          <t>Benguela</t>
        </is>
      </c>
      <c r="D851" s="39">
        <f>IFERROR(CLASIF_E_F!$F$8,"")</f>
        <v/>
      </c>
      <c r="E851" s="40" t="n"/>
      <c r="F851" s="39">
        <f>IFERROR(CLASIF_E_F!$F$17,"")</f>
        <v/>
      </c>
      <c r="G851" s="40" t="n"/>
      <c r="H851" s="41" t="n"/>
      <c r="I851" s="42">
        <f>IF($H851="","",MAX(0,$H851-N($E851)))</f>
        <v/>
      </c>
      <c r="J851" s="42">
        <f>IF($H851="","",MAX(0,$H851-N($G851)))</f>
        <v/>
      </c>
    </row>
    <row r="852" ht="19.5" customHeight="1" s="72">
      <c r="A852" s="38" t="inlineStr">
        <is>
          <t>EF-OCT-P05-SBA</t>
        </is>
      </c>
      <c r="B852" s="38" t="inlineStr">
        <is>
          <t>Octavas</t>
        </is>
      </c>
      <c r="C852" s="38" t="inlineStr">
        <is>
          <t>São Bento da Abadá</t>
        </is>
      </c>
      <c r="D852" s="39">
        <f>IFERROR(CLASIF_E_F!$F$9,"")</f>
        <v/>
      </c>
      <c r="E852" s="40" t="n"/>
      <c r="F852" s="39">
        <f>IFERROR(CLASIF_E_F!$F$16,"")</f>
        <v/>
      </c>
      <c r="G852" s="40" t="n"/>
      <c r="H852" s="41" t="n"/>
      <c r="I852" s="42">
        <f>IF($H852="","",MAX(0,$H852-N($E852)))</f>
        <v/>
      </c>
      <c r="J852" s="42">
        <f>IF($H852="","",MAX(0,$H852-N($G852)))</f>
        <v/>
      </c>
    </row>
    <row r="853" ht="19.5" customHeight="1" s="72">
      <c r="A853" s="38" t="inlineStr">
        <is>
          <t>EF-OCT-P05-BEN</t>
        </is>
      </c>
      <c r="B853" s="38" t="inlineStr">
        <is>
          <t>Octavas</t>
        </is>
      </c>
      <c r="C853" s="38" t="inlineStr">
        <is>
          <t>Benguela</t>
        </is>
      </c>
      <c r="D853" s="39">
        <f>IFERROR(CLASIF_E_F!$F$9,"")</f>
        <v/>
      </c>
      <c r="E853" s="40" t="n"/>
      <c r="F853" s="39">
        <f>IFERROR(CLASIF_E_F!$F$16,"")</f>
        <v/>
      </c>
      <c r="G853" s="40" t="n"/>
      <c r="H853" s="41" t="n"/>
      <c r="I853" s="42">
        <f>IF($H853="","",MAX(0,$H853-N($E853)))</f>
        <v/>
      </c>
      <c r="J853" s="42">
        <f>IF($H853="","",MAX(0,$H853-N($G853)))</f>
        <v/>
      </c>
    </row>
    <row r="854" ht="19.5" customHeight="1" s="72">
      <c r="A854" s="38" t="inlineStr">
        <is>
          <t>EF-OCT-P06-SBA</t>
        </is>
      </c>
      <c r="B854" s="38" t="inlineStr">
        <is>
          <t>Octavas</t>
        </is>
      </c>
      <c r="C854" s="38" t="inlineStr">
        <is>
          <t>São Bento da Abadá</t>
        </is>
      </c>
      <c r="D854" s="39">
        <f>IFERROR(CLASIF_E_F!$F$10,"")</f>
        <v/>
      </c>
      <c r="E854" s="40" t="n"/>
      <c r="F854" s="39">
        <f>IFERROR(CLASIF_E_F!$F$15,"")</f>
        <v/>
      </c>
      <c r="G854" s="40" t="n"/>
      <c r="H854" s="41" t="n"/>
      <c r="I854" s="42">
        <f>IF($H854="","",MAX(0,$H854-N($E854)))</f>
        <v/>
      </c>
      <c r="J854" s="42">
        <f>IF($H854="","",MAX(0,$H854-N($G854)))</f>
        <v/>
      </c>
    </row>
    <row r="855" ht="19.5" customHeight="1" s="72">
      <c r="A855" s="38" t="inlineStr">
        <is>
          <t>EF-OCT-P06-BEN</t>
        </is>
      </c>
      <c r="B855" s="38" t="inlineStr">
        <is>
          <t>Octavas</t>
        </is>
      </c>
      <c r="C855" s="38" t="inlineStr">
        <is>
          <t>Benguela</t>
        </is>
      </c>
      <c r="D855" s="39">
        <f>IFERROR(CLASIF_E_F!$F$10,"")</f>
        <v/>
      </c>
      <c r="E855" s="40" t="n"/>
      <c r="F855" s="39">
        <f>IFERROR(CLASIF_E_F!$F$15,"")</f>
        <v/>
      </c>
      <c r="G855" s="40" t="n"/>
      <c r="H855" s="41" t="n"/>
      <c r="I855" s="42">
        <f>IF($H855="","",MAX(0,$H855-N($E855)))</f>
        <v/>
      </c>
      <c r="J855" s="42">
        <f>IF($H855="","",MAX(0,$H855-N($G855)))</f>
        <v/>
      </c>
    </row>
    <row r="856" ht="19.5" customHeight="1" s="72">
      <c r="A856" s="38" t="inlineStr">
        <is>
          <t>EF-OCT-P07-SBA</t>
        </is>
      </c>
      <c r="B856" s="38" t="inlineStr">
        <is>
          <t>Octavas</t>
        </is>
      </c>
      <c r="C856" s="38" t="inlineStr">
        <is>
          <t>São Bento da Abadá</t>
        </is>
      </c>
      <c r="D856" s="39">
        <f>IFERROR(CLASIF_E_F!$F$11,"")</f>
        <v/>
      </c>
      <c r="E856" s="40" t="n"/>
      <c r="F856" s="39">
        <f>IFERROR(CLASIF_E_F!$F$14,"")</f>
        <v/>
      </c>
      <c r="G856" s="40" t="n"/>
      <c r="H856" s="41" t="n"/>
      <c r="I856" s="42">
        <f>IF($H856="","",MAX(0,$H856-N($E856)))</f>
        <v/>
      </c>
      <c r="J856" s="42">
        <f>IF($H856="","",MAX(0,$H856-N($G856)))</f>
        <v/>
      </c>
    </row>
    <row r="857" ht="19.5" customHeight="1" s="72">
      <c r="A857" s="38" t="inlineStr">
        <is>
          <t>EF-OCT-P07-BEN</t>
        </is>
      </c>
      <c r="B857" s="38" t="inlineStr">
        <is>
          <t>Octavas</t>
        </is>
      </c>
      <c r="C857" s="38" t="inlineStr">
        <is>
          <t>Benguela</t>
        </is>
      </c>
      <c r="D857" s="39">
        <f>IFERROR(CLASIF_E_F!$F$11,"")</f>
        <v/>
      </c>
      <c r="E857" s="40" t="n"/>
      <c r="F857" s="39">
        <f>IFERROR(CLASIF_E_F!$F$14,"")</f>
        <v/>
      </c>
      <c r="G857" s="40" t="n"/>
      <c r="H857" s="41" t="n"/>
      <c r="I857" s="42">
        <f>IF($H857="","",MAX(0,$H857-N($E857)))</f>
        <v/>
      </c>
      <c r="J857" s="42">
        <f>IF($H857="","",MAX(0,$H857-N($G857)))</f>
        <v/>
      </c>
    </row>
    <row r="858" ht="19.5" customHeight="1" s="72">
      <c r="A858" s="38" t="inlineStr">
        <is>
          <t>EF-OCT-P08-SBA</t>
        </is>
      </c>
      <c r="B858" s="38" t="inlineStr">
        <is>
          <t>Octavas</t>
        </is>
      </c>
      <c r="C858" s="38" t="inlineStr">
        <is>
          <t>São Bento da Abadá</t>
        </is>
      </c>
      <c r="D858" s="39">
        <f>IFERROR(CLASIF_E_F!$F$12,"")</f>
        <v/>
      </c>
      <c r="E858" s="40" t="n"/>
      <c r="F858" s="39">
        <f>IFERROR(CLASIF_E_F!$F$13,"")</f>
        <v/>
      </c>
      <c r="G858" s="40" t="n"/>
      <c r="H858" s="41" t="n"/>
      <c r="I858" s="42">
        <f>IF($H858="","",MAX(0,$H858-N($E858)))</f>
        <v/>
      </c>
      <c r="J858" s="42">
        <f>IF($H858="","",MAX(0,$H858-N($G858)))</f>
        <v/>
      </c>
    </row>
    <row r="859" ht="19.5" customHeight="1" s="72">
      <c r="A859" s="38" t="inlineStr">
        <is>
          <t>EF-OCT-P08-BEN</t>
        </is>
      </c>
      <c r="B859" s="38" t="inlineStr">
        <is>
          <t>Octavas</t>
        </is>
      </c>
      <c r="C859" s="38" t="inlineStr">
        <is>
          <t>Benguela</t>
        </is>
      </c>
      <c r="D859" s="39">
        <f>IFERROR(CLASIF_E_F!$F$12,"")</f>
        <v/>
      </c>
      <c r="E859" s="40" t="n"/>
      <c r="F859" s="39">
        <f>IFERROR(CLASIF_E_F!$F$13,"")</f>
        <v/>
      </c>
      <c r="G859" s="40" t="n"/>
      <c r="H859" s="41" t="n"/>
      <c r="I859" s="42">
        <f>IF($H859="","",MAX(0,$H859-N($E859)))</f>
        <v/>
      </c>
      <c r="J859" s="42">
        <f>IF($H859="","",MAX(0,$H859-N($G859)))</f>
        <v/>
      </c>
    </row>
    <row r="860" ht="19.5" customHeight="1" s="72">
      <c r="A860" s="38" t="inlineStr">
        <is>
          <t>EF-SEM-P01-SBA</t>
        </is>
      </c>
      <c r="B860" s="38" t="inlineStr">
        <is>
          <t>Semifinal</t>
        </is>
      </c>
      <c r="C860" s="38" t="inlineStr">
        <is>
          <t>São Bento da Abadá</t>
        </is>
      </c>
      <c r="D860" s="39">
        <f>IFERROR(CLASIF_E_F!$O$5,"")</f>
        <v/>
      </c>
      <c r="E860" s="40" t="n"/>
      <c r="F860" s="39">
        <f>IFERROR(CLASIF_E_F!$O$12,"")</f>
        <v/>
      </c>
      <c r="G860" s="40" t="n"/>
      <c r="H860" s="41" t="n"/>
      <c r="I860" s="42">
        <f>IF($H860="","",MAX(0,$H860-N($E860)))</f>
        <v/>
      </c>
      <c r="J860" s="42">
        <f>IF($H860="","",MAX(0,$H860-N($G860)))</f>
        <v/>
      </c>
    </row>
    <row r="861" ht="19.5" customHeight="1" s="72">
      <c r="A861" s="38" t="inlineStr">
        <is>
          <t>EF-SEM-P01-BEN</t>
        </is>
      </c>
      <c r="B861" s="38" t="inlineStr">
        <is>
          <t>Semifinal</t>
        </is>
      </c>
      <c r="C861" s="38" t="inlineStr">
        <is>
          <t>Benguela</t>
        </is>
      </c>
      <c r="D861" s="39">
        <f>IFERROR(CLASIF_E_F!$O$5,"")</f>
        <v/>
      </c>
      <c r="E861" s="40" t="n"/>
      <c r="F861" s="39">
        <f>IFERROR(CLASIF_E_F!$O$12,"")</f>
        <v/>
      </c>
      <c r="G861" s="40" t="n"/>
      <c r="H861" s="41" t="n"/>
      <c r="I861" s="42">
        <f>IF($H861="","",MAX(0,$H861-N($E861)))</f>
        <v/>
      </c>
      <c r="J861" s="42">
        <f>IF($H861="","",MAX(0,$H861-N($G861)))</f>
        <v/>
      </c>
    </row>
    <row r="862" ht="19.5" customHeight="1" s="72">
      <c r="A862" s="38" t="inlineStr">
        <is>
          <t>EF-SEM-P02-SBA</t>
        </is>
      </c>
      <c r="B862" s="38" t="inlineStr">
        <is>
          <t>Semifinal</t>
        </is>
      </c>
      <c r="C862" s="38" t="inlineStr">
        <is>
          <t>São Bento da Abadá</t>
        </is>
      </c>
      <c r="D862" s="39">
        <f>IFERROR(CLASIF_E_F!$O$6,"")</f>
        <v/>
      </c>
      <c r="E862" s="40" t="n"/>
      <c r="F862" s="39">
        <f>IFERROR(CLASIF_E_F!$O$11,"")</f>
        <v/>
      </c>
      <c r="G862" s="40" t="n"/>
      <c r="H862" s="41" t="n"/>
      <c r="I862" s="42">
        <f>IF($H862="","",MAX(0,$H862-N($E862)))</f>
        <v/>
      </c>
      <c r="J862" s="42">
        <f>IF($H862="","",MAX(0,$H862-N($G862)))</f>
        <v/>
      </c>
    </row>
    <row r="863" ht="19.5" customHeight="1" s="72">
      <c r="A863" s="38" t="inlineStr">
        <is>
          <t>EF-SEM-P02-BEN</t>
        </is>
      </c>
      <c r="B863" s="38" t="inlineStr">
        <is>
          <t>Semifinal</t>
        </is>
      </c>
      <c r="C863" s="38" t="inlineStr">
        <is>
          <t>Benguela</t>
        </is>
      </c>
      <c r="D863" s="39">
        <f>IFERROR(CLASIF_E_F!$O$6,"")</f>
        <v/>
      </c>
      <c r="E863" s="40" t="n"/>
      <c r="F863" s="39">
        <f>IFERROR(CLASIF_E_F!$O$11,"")</f>
        <v/>
      </c>
      <c r="G863" s="40" t="n"/>
      <c r="H863" s="41" t="n"/>
      <c r="I863" s="42">
        <f>IF($H863="","",MAX(0,$H863-N($E863)))</f>
        <v/>
      </c>
      <c r="J863" s="42">
        <f>IF($H863="","",MAX(0,$H863-N($G863)))</f>
        <v/>
      </c>
    </row>
    <row r="864" ht="19.5" customHeight="1" s="72">
      <c r="A864" s="38" t="inlineStr">
        <is>
          <t>EF-SEM-P03-SBA</t>
        </is>
      </c>
      <c r="B864" s="38" t="inlineStr">
        <is>
          <t>Semifinal</t>
        </is>
      </c>
      <c r="C864" s="38" t="inlineStr">
        <is>
          <t>São Bento da Abadá</t>
        </is>
      </c>
      <c r="D864" s="39">
        <f>IFERROR(CLASIF_E_F!$O$7,"")</f>
        <v/>
      </c>
      <c r="E864" s="40" t="n"/>
      <c r="F864" s="39">
        <f>IFERROR(CLASIF_E_F!$O$10,"")</f>
        <v/>
      </c>
      <c r="G864" s="40" t="n"/>
      <c r="H864" s="41" t="n"/>
      <c r="I864" s="42">
        <f>IF($H864="","",MAX(0,$H864-N($E864)))</f>
        <v/>
      </c>
      <c r="J864" s="42">
        <f>IF($H864="","",MAX(0,$H864-N($G864)))</f>
        <v/>
      </c>
    </row>
    <row r="865" ht="19.5" customHeight="1" s="72">
      <c r="A865" s="38" t="inlineStr">
        <is>
          <t>EF-SEM-P03-BEN</t>
        </is>
      </c>
      <c r="B865" s="38" t="inlineStr">
        <is>
          <t>Semifinal</t>
        </is>
      </c>
      <c r="C865" s="38" t="inlineStr">
        <is>
          <t>Benguela</t>
        </is>
      </c>
      <c r="D865" s="39">
        <f>IFERROR(CLASIF_E_F!$O$7,"")</f>
        <v/>
      </c>
      <c r="E865" s="40" t="n"/>
      <c r="F865" s="39">
        <f>IFERROR(CLASIF_E_F!$O$10,"")</f>
        <v/>
      </c>
      <c r="G865" s="40" t="n"/>
      <c r="H865" s="41" t="n"/>
      <c r="I865" s="42">
        <f>IF($H865="","",MAX(0,$H865-N($E865)))</f>
        <v/>
      </c>
      <c r="J865" s="42">
        <f>IF($H865="","",MAX(0,$H865-N($G865)))</f>
        <v/>
      </c>
    </row>
    <row r="866" ht="19.5" customHeight="1" s="72">
      <c r="A866" s="38" t="inlineStr">
        <is>
          <t>EF-SEM-P04-SBA</t>
        </is>
      </c>
      <c r="B866" s="38" t="inlineStr">
        <is>
          <t>Semifinal</t>
        </is>
      </c>
      <c r="C866" s="38" t="inlineStr">
        <is>
          <t>São Bento da Abadá</t>
        </is>
      </c>
      <c r="D866" s="39">
        <f>IFERROR(CLASIF_E_F!$O$8,"")</f>
        <v/>
      </c>
      <c r="E866" s="40" t="n"/>
      <c r="F866" s="39">
        <f>IFERROR(CLASIF_E_F!$O$9,"")</f>
        <v/>
      </c>
      <c r="G866" s="40" t="n"/>
      <c r="H866" s="41" t="n"/>
      <c r="I866" s="42">
        <f>IF($H866="","",MAX(0,$H866-N($E866)))</f>
        <v/>
      </c>
      <c r="J866" s="42">
        <f>IF($H866="","",MAX(0,$H866-N($G866)))</f>
        <v/>
      </c>
    </row>
    <row r="867" ht="19.5" customHeight="1" s="72">
      <c r="A867" s="38" t="inlineStr">
        <is>
          <t>EF-SEM-P04-BEN</t>
        </is>
      </c>
      <c r="B867" s="38" t="inlineStr">
        <is>
          <t>Semifinal</t>
        </is>
      </c>
      <c r="C867" s="38" t="inlineStr">
        <is>
          <t>Benguela</t>
        </is>
      </c>
      <c r="D867" s="39">
        <f>IFERROR(CLASIF_E_F!$O$8,"")</f>
        <v/>
      </c>
      <c r="E867" s="40" t="n"/>
      <c r="F867" s="39">
        <f>IFERROR(CLASIF_E_F!$O$9,"")</f>
        <v/>
      </c>
      <c r="G867" s="40" t="n"/>
      <c r="H867" s="41" t="n"/>
      <c r="I867" s="42">
        <f>IF($H867="","",MAX(0,$H867-N($E867)))</f>
        <v/>
      </c>
      <c r="J867" s="42">
        <f>IF($H867="","",MAX(0,$H867-N($G867)))</f>
        <v/>
      </c>
    </row>
    <row r="868" ht="19.5" customHeight="1" s="72">
      <c r="A868" s="38" t="inlineStr">
        <is>
          <t>EF-FIN-P01-SBA</t>
        </is>
      </c>
      <c r="B868" s="38" t="inlineStr">
        <is>
          <t>Final</t>
        </is>
      </c>
      <c r="C868" s="38" t="inlineStr">
        <is>
          <t>São Bento da Abadá</t>
        </is>
      </c>
      <c r="D868" s="39">
        <f>IFERROR(CLASIF_E_F!$X$5,"")</f>
        <v/>
      </c>
      <c r="E868" s="40" t="n"/>
      <c r="F868" s="39">
        <f>IFERROR(CLASIF_E_F!$X$8,"")</f>
        <v/>
      </c>
      <c r="G868" s="40" t="n"/>
      <c r="H868" s="41" t="n"/>
      <c r="I868" s="42">
        <f>IF($H868="","",MAX(0,$H868-N($E868)))</f>
        <v/>
      </c>
      <c r="J868" s="42">
        <f>IF($H868="","",MAX(0,$H868-N($G868)))</f>
        <v/>
      </c>
    </row>
    <row r="869" ht="19.5" customHeight="1" s="72">
      <c r="A869" s="38" t="inlineStr">
        <is>
          <t>EF-FIN-P01-BEN</t>
        </is>
      </c>
      <c r="B869" s="38" t="inlineStr">
        <is>
          <t>Final</t>
        </is>
      </c>
      <c r="C869" s="38" t="inlineStr">
        <is>
          <t>Benguela</t>
        </is>
      </c>
      <c r="D869" s="39">
        <f>IFERROR(CLASIF_E_F!$X$5,"")</f>
        <v/>
      </c>
      <c r="E869" s="40" t="n"/>
      <c r="F869" s="39">
        <f>IFERROR(CLASIF_E_F!$X$8,"")</f>
        <v/>
      </c>
      <c r="G869" s="40" t="n"/>
      <c r="H869" s="41" t="n"/>
      <c r="I869" s="42">
        <f>IF($H869="","",MAX(0,$H869-N($E869)))</f>
        <v/>
      </c>
      <c r="J869" s="42">
        <f>IF($H869="","",MAX(0,$H869-N($G869)))</f>
        <v/>
      </c>
    </row>
    <row r="870" ht="19.5" customHeight="1" s="72">
      <c r="A870" s="38" t="inlineStr">
        <is>
          <t>EF-FIN-P02-SBA</t>
        </is>
      </c>
      <c r="B870" s="38" t="inlineStr">
        <is>
          <t>Final</t>
        </is>
      </c>
      <c r="C870" s="38" t="inlineStr">
        <is>
          <t>São Bento da Abadá</t>
        </is>
      </c>
      <c r="D870" s="39">
        <f>IFERROR(CLASIF_E_F!$X$6,"")</f>
        <v/>
      </c>
      <c r="E870" s="40" t="n"/>
      <c r="F870" s="39">
        <f>IFERROR(CLASIF_E_F!$X$7,"")</f>
        <v/>
      </c>
      <c r="G870" s="40" t="n"/>
      <c r="H870" s="41" t="n"/>
      <c r="I870" s="42">
        <f>IF($H870="","",MAX(0,$H870-N($E870)))</f>
        <v/>
      </c>
      <c r="J870" s="42">
        <f>IF($H870="","",MAX(0,$H870-N($G870)))</f>
        <v/>
      </c>
    </row>
    <row r="871" ht="19.5" customHeight="1" s="72">
      <c r="A871" s="38" t="inlineStr">
        <is>
          <t>EF-FIN-P02-BEN</t>
        </is>
      </c>
      <c r="B871" s="38" t="inlineStr">
        <is>
          <t>Final</t>
        </is>
      </c>
      <c r="C871" s="38" t="inlineStr">
        <is>
          <t>Benguela</t>
        </is>
      </c>
      <c r="D871" s="39">
        <f>IFERROR(CLASIF_E_F!$X$6,"")</f>
        <v/>
      </c>
      <c r="E871" s="40" t="n"/>
      <c r="F871" s="39">
        <f>IFERROR(CLASIF_E_F!$X$7,"")</f>
        <v/>
      </c>
      <c r="G871" s="40" t="n"/>
      <c r="H871" s="41" t="n"/>
      <c r="I871" s="42">
        <f>IF($H871="","",MAX(0,$H871-N($E871)))</f>
        <v/>
      </c>
      <c r="J871" s="42">
        <f>IF($H871="","",MAX(0,$H871-N($G871)))</f>
        <v/>
      </c>
    </row>
    <row r="872" ht="19.5" customHeight="1" s="72">
      <c r="A872" s="43" t="n"/>
      <c r="B872" s="43" t="n"/>
      <c r="C872" s="43" t="n"/>
      <c r="D872" s="43" t="n"/>
      <c r="E872" s="43" t="n"/>
      <c r="F872" s="43" t="n"/>
      <c r="G872" s="43" t="n"/>
      <c r="H872" s="44" t="n"/>
      <c r="I872" s="43">
        <f>IF($H872="","",MAX(0,$H872-N($E872)))</f>
        <v/>
      </c>
      <c r="J872" s="43">
        <f>IF($H872="","",MAX(0,$H872-N($G872)))</f>
        <v/>
      </c>
    </row>
    <row r="873" ht="19.5" customHeight="1" s="72">
      <c r="A873" s="85" t="inlineStr">
        <is>
          <t>═══ CATEGORÍA Baobá · Masculino · +45 años · Toques: São Bento da Abadá, Benguela, Siriuna ═══</t>
        </is>
      </c>
    </row>
    <row r="874" ht="19.5" customHeight="1" s="72">
      <c r="A874" s="8" t="inlineStr">
        <is>
          <t>Jogo</t>
        </is>
      </c>
      <c r="B874" s="8" t="inlineStr">
        <is>
          <t>Fase</t>
        </is>
      </c>
      <c r="C874" s="8" t="inlineStr">
        <is>
          <t>Toque</t>
        </is>
      </c>
      <c r="D874" s="8" t="inlineStr">
        <is>
          <t>Jugador A</t>
        </is>
      </c>
      <c r="E874" s="8" t="inlineStr">
        <is>
          <t>Quita A</t>
        </is>
      </c>
      <c r="F874" s="8" t="inlineStr">
        <is>
          <t>Jugador B</t>
        </is>
      </c>
      <c r="G874" s="8" t="inlineStr">
        <is>
          <t>Quita B</t>
        </is>
      </c>
      <c r="H874" s="8" t="inlineStr">
        <is>
          <t>NOTA (0-5)</t>
        </is>
      </c>
      <c r="I874" s="8">
        <f>IF($H874="","",MAX(0,$H874-N($E874)))</f>
        <v/>
      </c>
      <c r="J874" s="8">
        <f>IF($H874="","",MAX(0,$H874-N($G874)))</f>
        <v/>
      </c>
    </row>
    <row r="875" ht="19.5" customHeight="1" s="72">
      <c r="A875" s="38" t="inlineStr">
        <is>
          <t>BaobáM-32-P01-SBA</t>
        </is>
      </c>
      <c r="B875" s="38" t="inlineStr">
        <is>
          <t>Fase 32</t>
        </is>
      </c>
      <c r="C875" s="38" t="inlineStr">
        <is>
          <t>São Bento da Abadá</t>
        </is>
      </c>
      <c r="D875" s="39" t="inlineStr">
        <is>
          <t>A_Baobá_M_32_P1</t>
        </is>
      </c>
      <c r="E875" s="40" t="n"/>
      <c r="F875" s="39" t="inlineStr">
        <is>
          <t>B_Baobá_M_32_P1</t>
        </is>
      </c>
      <c r="G875" s="40" t="n"/>
      <c r="H875" s="41" t="n"/>
      <c r="I875" s="42">
        <f>IF($H875="","",MAX(0,$H875-N($E875)))</f>
        <v/>
      </c>
      <c r="J875" s="42">
        <f>IF($H875="","",MAX(0,$H875-N($G875)))</f>
        <v/>
      </c>
    </row>
    <row r="876" ht="19.5" customHeight="1" s="72">
      <c r="A876" s="38" t="inlineStr">
        <is>
          <t>BaobáM-32-P01-BEN</t>
        </is>
      </c>
      <c r="B876" s="38" t="inlineStr">
        <is>
          <t>Fase 32</t>
        </is>
      </c>
      <c r="C876" s="38" t="inlineStr">
        <is>
          <t>Benguela</t>
        </is>
      </c>
      <c r="D876" s="39" t="inlineStr">
        <is>
          <t>A_Baobá_M_32_P1</t>
        </is>
      </c>
      <c r="E876" s="40" t="n"/>
      <c r="F876" s="39" t="inlineStr">
        <is>
          <t>B_Baobá_M_32_P1</t>
        </is>
      </c>
      <c r="G876" s="40" t="n"/>
      <c r="H876" s="41" t="n"/>
      <c r="I876" s="42">
        <f>IF($H876="","",MAX(0,$H876-N($E876)))</f>
        <v/>
      </c>
      <c r="J876" s="42">
        <f>IF($H876="","",MAX(0,$H876-N($G876)))</f>
        <v/>
      </c>
    </row>
    <row r="877" ht="19.5" customHeight="1" s="72">
      <c r="A877" s="38" t="inlineStr">
        <is>
          <t>BaobáM-32-P01-SIR</t>
        </is>
      </c>
      <c r="B877" s="38" t="inlineStr">
        <is>
          <t>Fase 32</t>
        </is>
      </c>
      <c r="C877" s="38" t="inlineStr">
        <is>
          <t>Siriuna</t>
        </is>
      </c>
      <c r="D877" s="39" t="inlineStr">
        <is>
          <t>A_Baobá_M_32_P1</t>
        </is>
      </c>
      <c r="E877" s="40" t="n"/>
      <c r="F877" s="39" t="inlineStr">
        <is>
          <t>B_Baobá_M_32_P1</t>
        </is>
      </c>
      <c r="G877" s="40" t="n"/>
      <c r="H877" s="41" t="n"/>
      <c r="I877" s="42">
        <f>IF($H877="","",MAX(0,$H877-N($E877)))</f>
        <v/>
      </c>
      <c r="J877" s="42">
        <f>IF($H877="","",MAX(0,$H877-N($G877)))</f>
        <v/>
      </c>
    </row>
    <row r="878" ht="19.5" customHeight="1" s="72">
      <c r="A878" s="38" t="inlineStr">
        <is>
          <t>BaobáM-32-P02-SBA</t>
        </is>
      </c>
      <c r="B878" s="38" t="inlineStr">
        <is>
          <t>Fase 32</t>
        </is>
      </c>
      <c r="C878" s="38" t="inlineStr">
        <is>
          <t>São Bento da Abadá</t>
        </is>
      </c>
      <c r="D878" s="39" t="inlineStr">
        <is>
          <t>A_Baobá_M_32_P2</t>
        </is>
      </c>
      <c r="E878" s="40" t="n"/>
      <c r="F878" s="39" t="inlineStr">
        <is>
          <t>B_Baobá_M_32_P2</t>
        </is>
      </c>
      <c r="G878" s="40" t="n"/>
      <c r="H878" s="41" t="n"/>
      <c r="I878" s="42">
        <f>IF($H878="","",MAX(0,$H878-N($E878)))</f>
        <v/>
      </c>
      <c r="J878" s="42">
        <f>IF($H878="","",MAX(0,$H878-N($G878)))</f>
        <v/>
      </c>
    </row>
    <row r="879" ht="19.5" customHeight="1" s="72">
      <c r="A879" s="38" t="inlineStr">
        <is>
          <t>BaobáM-32-P02-BEN</t>
        </is>
      </c>
      <c r="B879" s="38" t="inlineStr">
        <is>
          <t>Fase 32</t>
        </is>
      </c>
      <c r="C879" s="38" t="inlineStr">
        <is>
          <t>Benguela</t>
        </is>
      </c>
      <c r="D879" s="39" t="inlineStr">
        <is>
          <t>A_Baobá_M_32_P2</t>
        </is>
      </c>
      <c r="E879" s="40" t="n"/>
      <c r="F879" s="39" t="inlineStr">
        <is>
          <t>B_Baobá_M_32_P2</t>
        </is>
      </c>
      <c r="G879" s="40" t="n"/>
      <c r="H879" s="41" t="n"/>
      <c r="I879" s="42">
        <f>IF($H879="","",MAX(0,$H879-N($E879)))</f>
        <v/>
      </c>
      <c r="J879" s="42">
        <f>IF($H879="","",MAX(0,$H879-N($G879)))</f>
        <v/>
      </c>
    </row>
    <row r="880" ht="19.5" customHeight="1" s="72">
      <c r="A880" s="38" t="inlineStr">
        <is>
          <t>BaobáM-32-P02-SIR</t>
        </is>
      </c>
      <c r="B880" s="38" t="inlineStr">
        <is>
          <t>Fase 32</t>
        </is>
      </c>
      <c r="C880" s="38" t="inlineStr">
        <is>
          <t>Siriuna</t>
        </is>
      </c>
      <c r="D880" s="39" t="inlineStr">
        <is>
          <t>A_Baobá_M_32_P2</t>
        </is>
      </c>
      <c r="E880" s="40" t="n"/>
      <c r="F880" s="39" t="inlineStr">
        <is>
          <t>B_Baobá_M_32_P2</t>
        </is>
      </c>
      <c r="G880" s="40" t="n"/>
      <c r="H880" s="41" t="n"/>
      <c r="I880" s="42">
        <f>IF($H880="","",MAX(0,$H880-N($E880)))</f>
        <v/>
      </c>
      <c r="J880" s="42">
        <f>IF($H880="","",MAX(0,$H880-N($G880)))</f>
        <v/>
      </c>
    </row>
    <row r="881" ht="19.5" customHeight="1" s="72">
      <c r="A881" s="38" t="inlineStr">
        <is>
          <t>BaobáM-32-P03-SBA</t>
        </is>
      </c>
      <c r="B881" s="38" t="inlineStr">
        <is>
          <t>Fase 32</t>
        </is>
      </c>
      <c r="C881" s="38" t="inlineStr">
        <is>
          <t>São Bento da Abadá</t>
        </is>
      </c>
      <c r="D881" s="39" t="inlineStr">
        <is>
          <t>A_Baobá_M_32_P3</t>
        </is>
      </c>
      <c r="E881" s="40" t="n"/>
      <c r="F881" s="39" t="inlineStr">
        <is>
          <t>B_Baobá_M_32_P3</t>
        </is>
      </c>
      <c r="G881" s="40" t="n"/>
      <c r="H881" s="41" t="n"/>
      <c r="I881" s="42">
        <f>IF($H881="","",MAX(0,$H881-N($E881)))</f>
        <v/>
      </c>
      <c r="J881" s="42">
        <f>IF($H881="","",MAX(0,$H881-N($G881)))</f>
        <v/>
      </c>
    </row>
    <row r="882" ht="19.5" customHeight="1" s="72">
      <c r="A882" s="38" t="inlineStr">
        <is>
          <t>BaobáM-32-P03-BEN</t>
        </is>
      </c>
      <c r="B882" s="38" t="inlineStr">
        <is>
          <t>Fase 32</t>
        </is>
      </c>
      <c r="C882" s="38" t="inlineStr">
        <is>
          <t>Benguela</t>
        </is>
      </c>
      <c r="D882" s="39" t="inlineStr">
        <is>
          <t>A_Baobá_M_32_P3</t>
        </is>
      </c>
      <c r="E882" s="40" t="n"/>
      <c r="F882" s="39" t="inlineStr">
        <is>
          <t>B_Baobá_M_32_P3</t>
        </is>
      </c>
      <c r="G882" s="40" t="n"/>
      <c r="H882" s="41" t="n"/>
      <c r="I882" s="42">
        <f>IF($H882="","",MAX(0,$H882-N($E882)))</f>
        <v/>
      </c>
      <c r="J882" s="42">
        <f>IF($H882="","",MAX(0,$H882-N($G882)))</f>
        <v/>
      </c>
    </row>
    <row r="883" ht="19.5" customHeight="1" s="72">
      <c r="A883" s="38" t="inlineStr">
        <is>
          <t>BaobáM-32-P03-SIR</t>
        </is>
      </c>
      <c r="B883" s="38" t="inlineStr">
        <is>
          <t>Fase 32</t>
        </is>
      </c>
      <c r="C883" s="38" t="inlineStr">
        <is>
          <t>Siriuna</t>
        </is>
      </c>
      <c r="D883" s="39" t="inlineStr">
        <is>
          <t>A_Baobá_M_32_P3</t>
        </is>
      </c>
      <c r="E883" s="40" t="n"/>
      <c r="F883" s="39" t="inlineStr">
        <is>
          <t>B_Baobá_M_32_P3</t>
        </is>
      </c>
      <c r="G883" s="40" t="n"/>
      <c r="H883" s="41" t="n"/>
      <c r="I883" s="42">
        <f>IF($H883="","",MAX(0,$H883-N($E883)))</f>
        <v/>
      </c>
      <c r="J883" s="42">
        <f>IF($H883="","",MAX(0,$H883-N($G883)))</f>
        <v/>
      </c>
    </row>
    <row r="884" ht="19.5" customHeight="1" s="72">
      <c r="A884" s="38" t="inlineStr">
        <is>
          <t>BaobáM-32-P04-SBA</t>
        </is>
      </c>
      <c r="B884" s="38" t="inlineStr">
        <is>
          <t>Fase 32</t>
        </is>
      </c>
      <c r="C884" s="38" t="inlineStr">
        <is>
          <t>São Bento da Abadá</t>
        </is>
      </c>
      <c r="D884" s="39" t="inlineStr">
        <is>
          <t>A_Baobá_M_32_P4</t>
        </is>
      </c>
      <c r="E884" s="40" t="n"/>
      <c r="F884" s="39" t="inlineStr">
        <is>
          <t>B_Baobá_M_32_P4</t>
        </is>
      </c>
      <c r="G884" s="40" t="n"/>
      <c r="H884" s="41" t="n"/>
      <c r="I884" s="42">
        <f>IF($H884="","",MAX(0,$H884-N($E884)))</f>
        <v/>
      </c>
      <c r="J884" s="42">
        <f>IF($H884="","",MAX(0,$H884-N($G884)))</f>
        <v/>
      </c>
    </row>
    <row r="885" ht="19.5" customHeight="1" s="72">
      <c r="A885" s="38" t="inlineStr">
        <is>
          <t>BaobáM-32-P04-BEN</t>
        </is>
      </c>
      <c r="B885" s="38" t="inlineStr">
        <is>
          <t>Fase 32</t>
        </is>
      </c>
      <c r="C885" s="38" t="inlineStr">
        <is>
          <t>Benguela</t>
        </is>
      </c>
      <c r="D885" s="39" t="inlineStr">
        <is>
          <t>A_Baobá_M_32_P4</t>
        </is>
      </c>
      <c r="E885" s="40" t="n"/>
      <c r="F885" s="39" t="inlineStr">
        <is>
          <t>B_Baobá_M_32_P4</t>
        </is>
      </c>
      <c r="G885" s="40" t="n"/>
      <c r="H885" s="41" t="n"/>
      <c r="I885" s="42">
        <f>IF($H885="","",MAX(0,$H885-N($E885)))</f>
        <v/>
      </c>
      <c r="J885" s="42">
        <f>IF($H885="","",MAX(0,$H885-N($G885)))</f>
        <v/>
      </c>
    </row>
    <row r="886" ht="19.5" customHeight="1" s="72">
      <c r="A886" s="38" t="inlineStr">
        <is>
          <t>BaobáM-32-P04-SIR</t>
        </is>
      </c>
      <c r="B886" s="38" t="inlineStr">
        <is>
          <t>Fase 32</t>
        </is>
      </c>
      <c r="C886" s="38" t="inlineStr">
        <is>
          <t>Siriuna</t>
        </is>
      </c>
      <c r="D886" s="39" t="inlineStr">
        <is>
          <t>A_Baobá_M_32_P4</t>
        </is>
      </c>
      <c r="E886" s="40" t="n"/>
      <c r="F886" s="39" t="inlineStr">
        <is>
          <t>B_Baobá_M_32_P4</t>
        </is>
      </c>
      <c r="G886" s="40" t="n"/>
      <c r="H886" s="41" t="n"/>
      <c r="I886" s="42">
        <f>IF($H886="","",MAX(0,$H886-N($E886)))</f>
        <v/>
      </c>
      <c r="J886" s="42">
        <f>IF($H886="","",MAX(0,$H886-N($G886)))</f>
        <v/>
      </c>
    </row>
    <row r="887" ht="19.5" customHeight="1" s="72">
      <c r="A887" s="38" t="inlineStr">
        <is>
          <t>BaobáM-32-P05-SBA</t>
        </is>
      </c>
      <c r="B887" s="38" t="inlineStr">
        <is>
          <t>Fase 32</t>
        </is>
      </c>
      <c r="C887" s="38" t="inlineStr">
        <is>
          <t>São Bento da Abadá</t>
        </is>
      </c>
      <c r="D887" s="39" t="inlineStr">
        <is>
          <t>A_Baobá_M_32_P5</t>
        </is>
      </c>
      <c r="E887" s="40" t="n"/>
      <c r="F887" s="39" t="inlineStr">
        <is>
          <t>B_Baobá_M_32_P5</t>
        </is>
      </c>
      <c r="G887" s="40" t="n"/>
      <c r="H887" s="41" t="n"/>
      <c r="I887" s="42">
        <f>IF($H887="","",MAX(0,$H887-N($E887)))</f>
        <v/>
      </c>
      <c r="J887" s="42">
        <f>IF($H887="","",MAX(0,$H887-N($G887)))</f>
        <v/>
      </c>
    </row>
    <row r="888" ht="19.5" customHeight="1" s="72">
      <c r="A888" s="38" t="inlineStr">
        <is>
          <t>BaobáM-32-P05-BEN</t>
        </is>
      </c>
      <c r="B888" s="38" t="inlineStr">
        <is>
          <t>Fase 32</t>
        </is>
      </c>
      <c r="C888" s="38" t="inlineStr">
        <is>
          <t>Benguela</t>
        </is>
      </c>
      <c r="D888" s="39" t="inlineStr">
        <is>
          <t>A_Baobá_M_32_P5</t>
        </is>
      </c>
      <c r="E888" s="40" t="n"/>
      <c r="F888" s="39" t="inlineStr">
        <is>
          <t>B_Baobá_M_32_P5</t>
        </is>
      </c>
      <c r="G888" s="40" t="n"/>
      <c r="H888" s="41" t="n"/>
      <c r="I888" s="42">
        <f>IF($H888="","",MAX(0,$H888-N($E888)))</f>
        <v/>
      </c>
      <c r="J888" s="42">
        <f>IF($H888="","",MAX(0,$H888-N($G888)))</f>
        <v/>
      </c>
    </row>
    <row r="889" ht="19.5" customHeight="1" s="72">
      <c r="A889" s="38" t="inlineStr">
        <is>
          <t>BaobáM-32-P05-SIR</t>
        </is>
      </c>
      <c r="B889" s="38" t="inlineStr">
        <is>
          <t>Fase 32</t>
        </is>
      </c>
      <c r="C889" s="38" t="inlineStr">
        <is>
          <t>Siriuna</t>
        </is>
      </c>
      <c r="D889" s="39" t="inlineStr">
        <is>
          <t>A_Baobá_M_32_P5</t>
        </is>
      </c>
      <c r="E889" s="40" t="n"/>
      <c r="F889" s="39" t="inlineStr">
        <is>
          <t>B_Baobá_M_32_P5</t>
        </is>
      </c>
      <c r="G889" s="40" t="n"/>
      <c r="H889" s="41" t="n"/>
      <c r="I889" s="42">
        <f>IF($H889="","",MAX(0,$H889-N($E889)))</f>
        <v/>
      </c>
      <c r="J889" s="42">
        <f>IF($H889="","",MAX(0,$H889-N($G889)))</f>
        <v/>
      </c>
    </row>
    <row r="890" ht="19.5" customHeight="1" s="72">
      <c r="A890" s="38" t="inlineStr">
        <is>
          <t>BaobáM-32-P06-SBA</t>
        </is>
      </c>
      <c r="B890" s="38" t="inlineStr">
        <is>
          <t>Fase 32</t>
        </is>
      </c>
      <c r="C890" s="38" t="inlineStr">
        <is>
          <t>São Bento da Abadá</t>
        </is>
      </c>
      <c r="D890" s="39" t="inlineStr">
        <is>
          <t>A_Baobá_M_32_P6</t>
        </is>
      </c>
      <c r="E890" s="40" t="n"/>
      <c r="F890" s="39" t="inlineStr">
        <is>
          <t>B_Baobá_M_32_P6</t>
        </is>
      </c>
      <c r="G890" s="40" t="n"/>
      <c r="H890" s="41" t="n"/>
      <c r="I890" s="42">
        <f>IF($H890="","",MAX(0,$H890-N($E890)))</f>
        <v/>
      </c>
      <c r="J890" s="42">
        <f>IF($H890="","",MAX(0,$H890-N($G890)))</f>
        <v/>
      </c>
    </row>
    <row r="891" ht="19.5" customHeight="1" s="72">
      <c r="A891" s="38" t="inlineStr">
        <is>
          <t>BaobáM-32-P06-BEN</t>
        </is>
      </c>
      <c r="B891" s="38" t="inlineStr">
        <is>
          <t>Fase 32</t>
        </is>
      </c>
      <c r="C891" s="38" t="inlineStr">
        <is>
          <t>Benguela</t>
        </is>
      </c>
      <c r="D891" s="39" t="inlineStr">
        <is>
          <t>A_Baobá_M_32_P6</t>
        </is>
      </c>
      <c r="E891" s="40" t="n"/>
      <c r="F891" s="39" t="inlineStr">
        <is>
          <t>B_Baobá_M_32_P6</t>
        </is>
      </c>
      <c r="G891" s="40" t="n"/>
      <c r="H891" s="41" t="n"/>
      <c r="I891" s="42">
        <f>IF($H891="","",MAX(0,$H891-N($E891)))</f>
        <v/>
      </c>
      <c r="J891" s="42">
        <f>IF($H891="","",MAX(0,$H891-N($G891)))</f>
        <v/>
      </c>
    </row>
    <row r="892" ht="19.5" customHeight="1" s="72">
      <c r="A892" s="38" t="inlineStr">
        <is>
          <t>BaobáM-32-P06-SIR</t>
        </is>
      </c>
      <c r="B892" s="38" t="inlineStr">
        <is>
          <t>Fase 32</t>
        </is>
      </c>
      <c r="C892" s="38" t="inlineStr">
        <is>
          <t>Siriuna</t>
        </is>
      </c>
      <c r="D892" s="39" t="inlineStr">
        <is>
          <t>A_Baobá_M_32_P6</t>
        </is>
      </c>
      <c r="E892" s="40" t="n"/>
      <c r="F892" s="39" t="inlineStr">
        <is>
          <t>B_Baobá_M_32_P6</t>
        </is>
      </c>
      <c r="G892" s="40" t="n"/>
      <c r="H892" s="41" t="n"/>
      <c r="I892" s="42">
        <f>IF($H892="","",MAX(0,$H892-N($E892)))</f>
        <v/>
      </c>
      <c r="J892" s="42">
        <f>IF($H892="","",MAX(0,$H892-N($G892)))</f>
        <v/>
      </c>
    </row>
    <row r="893" ht="19.5" customHeight="1" s="72">
      <c r="A893" s="38" t="inlineStr">
        <is>
          <t>BaobáM-32-P07-SBA</t>
        </is>
      </c>
      <c r="B893" s="38" t="inlineStr">
        <is>
          <t>Fase 32</t>
        </is>
      </c>
      <c r="C893" s="38" t="inlineStr">
        <is>
          <t>São Bento da Abadá</t>
        </is>
      </c>
      <c r="D893" s="39" t="inlineStr">
        <is>
          <t>A_Baobá_M_32_P7</t>
        </is>
      </c>
      <c r="E893" s="40" t="n"/>
      <c r="F893" s="39" t="inlineStr">
        <is>
          <t>B_Baobá_M_32_P7</t>
        </is>
      </c>
      <c r="G893" s="40" t="n"/>
      <c r="H893" s="41" t="n"/>
      <c r="I893" s="42">
        <f>IF($H893="","",MAX(0,$H893-N($E893)))</f>
        <v/>
      </c>
      <c r="J893" s="42">
        <f>IF($H893="","",MAX(0,$H893-N($G893)))</f>
        <v/>
      </c>
    </row>
    <row r="894" ht="19.5" customHeight="1" s="72">
      <c r="A894" s="38" t="inlineStr">
        <is>
          <t>BaobáM-32-P07-BEN</t>
        </is>
      </c>
      <c r="B894" s="38" t="inlineStr">
        <is>
          <t>Fase 32</t>
        </is>
      </c>
      <c r="C894" s="38" t="inlineStr">
        <is>
          <t>Benguela</t>
        </is>
      </c>
      <c r="D894" s="39" t="inlineStr">
        <is>
          <t>A_Baobá_M_32_P7</t>
        </is>
      </c>
      <c r="E894" s="40" t="n"/>
      <c r="F894" s="39" t="inlineStr">
        <is>
          <t>B_Baobá_M_32_P7</t>
        </is>
      </c>
      <c r="G894" s="40" t="n"/>
      <c r="H894" s="41" t="n"/>
      <c r="I894" s="42">
        <f>IF($H894="","",MAX(0,$H894-N($E894)))</f>
        <v/>
      </c>
      <c r="J894" s="42">
        <f>IF($H894="","",MAX(0,$H894-N($G894)))</f>
        <v/>
      </c>
    </row>
    <row r="895" ht="19.5" customHeight="1" s="72">
      <c r="A895" s="38" t="inlineStr">
        <is>
          <t>BaobáM-32-P07-SIR</t>
        </is>
      </c>
      <c r="B895" s="38" t="inlineStr">
        <is>
          <t>Fase 32</t>
        </is>
      </c>
      <c r="C895" s="38" t="inlineStr">
        <is>
          <t>Siriuna</t>
        </is>
      </c>
      <c r="D895" s="39" t="inlineStr">
        <is>
          <t>A_Baobá_M_32_P7</t>
        </is>
      </c>
      <c r="E895" s="40" t="n"/>
      <c r="F895" s="39" t="inlineStr">
        <is>
          <t>B_Baobá_M_32_P7</t>
        </is>
      </c>
      <c r="G895" s="40" t="n"/>
      <c r="H895" s="41" t="n"/>
      <c r="I895" s="42">
        <f>IF($H895="","",MAX(0,$H895-N($E895)))</f>
        <v/>
      </c>
      <c r="J895" s="42">
        <f>IF($H895="","",MAX(0,$H895-N($G895)))</f>
        <v/>
      </c>
    </row>
    <row r="896" ht="19.5" customHeight="1" s="72">
      <c r="A896" s="38" t="inlineStr">
        <is>
          <t>BaobáM-32-P08-SBA</t>
        </is>
      </c>
      <c r="B896" s="38" t="inlineStr">
        <is>
          <t>Fase 32</t>
        </is>
      </c>
      <c r="C896" s="38" t="inlineStr">
        <is>
          <t>São Bento da Abadá</t>
        </is>
      </c>
      <c r="D896" s="39" t="inlineStr">
        <is>
          <t>A_Baobá_M_32_P8</t>
        </is>
      </c>
      <c r="E896" s="40" t="n"/>
      <c r="F896" s="39" t="inlineStr">
        <is>
          <t>B_Baobá_M_32_P8</t>
        </is>
      </c>
      <c r="G896" s="40" t="n"/>
      <c r="H896" s="41" t="n"/>
      <c r="I896" s="42">
        <f>IF($H896="","",MAX(0,$H896-N($E896)))</f>
        <v/>
      </c>
      <c r="J896" s="42">
        <f>IF($H896="","",MAX(0,$H896-N($G896)))</f>
        <v/>
      </c>
    </row>
    <row r="897" ht="19.5" customHeight="1" s="72">
      <c r="A897" s="38" t="inlineStr">
        <is>
          <t>BaobáM-32-P08-BEN</t>
        </is>
      </c>
      <c r="B897" s="38" t="inlineStr">
        <is>
          <t>Fase 32</t>
        </is>
      </c>
      <c r="C897" s="38" t="inlineStr">
        <is>
          <t>Benguela</t>
        </is>
      </c>
      <c r="D897" s="39" t="inlineStr">
        <is>
          <t>A_Baobá_M_32_P8</t>
        </is>
      </c>
      <c r="E897" s="40" t="n"/>
      <c r="F897" s="39" t="inlineStr">
        <is>
          <t>B_Baobá_M_32_P8</t>
        </is>
      </c>
      <c r="G897" s="40" t="n"/>
      <c r="H897" s="41" t="n"/>
      <c r="I897" s="42">
        <f>IF($H897="","",MAX(0,$H897-N($E897)))</f>
        <v/>
      </c>
      <c r="J897" s="42">
        <f>IF($H897="","",MAX(0,$H897-N($G897)))</f>
        <v/>
      </c>
    </row>
    <row r="898" ht="19.5" customHeight="1" s="72">
      <c r="A898" s="38" t="inlineStr">
        <is>
          <t>BaobáM-32-P08-SIR</t>
        </is>
      </c>
      <c r="B898" s="38" t="inlineStr">
        <is>
          <t>Fase 32</t>
        </is>
      </c>
      <c r="C898" s="38" t="inlineStr">
        <is>
          <t>Siriuna</t>
        </is>
      </c>
      <c r="D898" s="39" t="inlineStr">
        <is>
          <t>A_Baobá_M_32_P8</t>
        </is>
      </c>
      <c r="E898" s="40" t="n"/>
      <c r="F898" s="39" t="inlineStr">
        <is>
          <t>B_Baobá_M_32_P8</t>
        </is>
      </c>
      <c r="G898" s="40" t="n"/>
      <c r="H898" s="41" t="n"/>
      <c r="I898" s="42">
        <f>IF($H898="","",MAX(0,$H898-N($E898)))</f>
        <v/>
      </c>
      <c r="J898" s="42">
        <f>IF($H898="","",MAX(0,$H898-N($G898)))</f>
        <v/>
      </c>
    </row>
    <row r="899" ht="19.5" customHeight="1" s="72">
      <c r="A899" s="38" t="inlineStr">
        <is>
          <t>BaobáM-32-P09-SBA</t>
        </is>
      </c>
      <c r="B899" s="38" t="inlineStr">
        <is>
          <t>Fase 32</t>
        </is>
      </c>
      <c r="C899" s="38" t="inlineStr">
        <is>
          <t>São Bento da Abadá</t>
        </is>
      </c>
      <c r="D899" s="39" t="inlineStr">
        <is>
          <t>A_Baobá_M_32_P9</t>
        </is>
      </c>
      <c r="E899" s="40" t="n"/>
      <c r="F899" s="39" t="inlineStr">
        <is>
          <t>B_Baobá_M_32_P9</t>
        </is>
      </c>
      <c r="G899" s="40" t="n"/>
      <c r="H899" s="41" t="n"/>
      <c r="I899" s="42">
        <f>IF($H899="","",MAX(0,$H899-N($E899)))</f>
        <v/>
      </c>
      <c r="J899" s="42">
        <f>IF($H899="","",MAX(0,$H899-N($G899)))</f>
        <v/>
      </c>
    </row>
    <row r="900" ht="19.5" customHeight="1" s="72">
      <c r="A900" s="38" t="inlineStr">
        <is>
          <t>BaobáM-32-P09-BEN</t>
        </is>
      </c>
      <c r="B900" s="38" t="inlineStr">
        <is>
          <t>Fase 32</t>
        </is>
      </c>
      <c r="C900" s="38" t="inlineStr">
        <is>
          <t>Benguela</t>
        </is>
      </c>
      <c r="D900" s="39" t="inlineStr">
        <is>
          <t>A_Baobá_M_32_P9</t>
        </is>
      </c>
      <c r="E900" s="40" t="n"/>
      <c r="F900" s="39" t="inlineStr">
        <is>
          <t>B_Baobá_M_32_P9</t>
        </is>
      </c>
      <c r="G900" s="40" t="n"/>
      <c r="H900" s="41" t="n"/>
      <c r="I900" s="42">
        <f>IF($H900="","",MAX(0,$H900-N($E900)))</f>
        <v/>
      </c>
      <c r="J900" s="42">
        <f>IF($H900="","",MAX(0,$H900-N($G900)))</f>
        <v/>
      </c>
    </row>
    <row r="901" ht="19.5" customHeight="1" s="72">
      <c r="A901" s="38" t="inlineStr">
        <is>
          <t>BaobáM-32-P09-SIR</t>
        </is>
      </c>
      <c r="B901" s="38" t="inlineStr">
        <is>
          <t>Fase 32</t>
        </is>
      </c>
      <c r="C901" s="38" t="inlineStr">
        <is>
          <t>Siriuna</t>
        </is>
      </c>
      <c r="D901" s="39" t="inlineStr">
        <is>
          <t>A_Baobá_M_32_P9</t>
        </is>
      </c>
      <c r="E901" s="40" t="n"/>
      <c r="F901" s="39" t="inlineStr">
        <is>
          <t>B_Baobá_M_32_P9</t>
        </is>
      </c>
      <c r="G901" s="40" t="n"/>
      <c r="H901" s="41" t="n"/>
      <c r="I901" s="42">
        <f>IF($H901="","",MAX(0,$H901-N($E901)))</f>
        <v/>
      </c>
      <c r="J901" s="42">
        <f>IF($H901="","",MAX(0,$H901-N($G901)))</f>
        <v/>
      </c>
    </row>
    <row r="902" ht="19.5" customHeight="1" s="72">
      <c r="A902" s="38" t="inlineStr">
        <is>
          <t>BaobáM-32-P10-SBA</t>
        </is>
      </c>
      <c r="B902" s="38" t="inlineStr">
        <is>
          <t>Fase 32</t>
        </is>
      </c>
      <c r="C902" s="38" t="inlineStr">
        <is>
          <t>São Bento da Abadá</t>
        </is>
      </c>
      <c r="D902" s="39" t="inlineStr">
        <is>
          <t>A_Baobá_M_32_P10</t>
        </is>
      </c>
      <c r="E902" s="40" t="n"/>
      <c r="F902" s="39" t="inlineStr">
        <is>
          <t>B_Baobá_M_32_P10</t>
        </is>
      </c>
      <c r="G902" s="40" t="n"/>
      <c r="H902" s="41" t="n"/>
      <c r="I902" s="42">
        <f>IF($H902="","",MAX(0,$H902-N($E902)))</f>
        <v/>
      </c>
      <c r="J902" s="42">
        <f>IF($H902="","",MAX(0,$H902-N($G902)))</f>
        <v/>
      </c>
    </row>
    <row r="903" ht="19.5" customHeight="1" s="72">
      <c r="A903" s="38" t="inlineStr">
        <is>
          <t>BaobáM-32-P10-BEN</t>
        </is>
      </c>
      <c r="B903" s="38" t="inlineStr">
        <is>
          <t>Fase 32</t>
        </is>
      </c>
      <c r="C903" s="38" t="inlineStr">
        <is>
          <t>Benguela</t>
        </is>
      </c>
      <c r="D903" s="39" t="inlineStr">
        <is>
          <t>A_Baobá_M_32_P10</t>
        </is>
      </c>
      <c r="E903" s="40" t="n"/>
      <c r="F903" s="39" t="inlineStr">
        <is>
          <t>B_Baobá_M_32_P10</t>
        </is>
      </c>
      <c r="G903" s="40" t="n"/>
      <c r="H903" s="41" t="n"/>
      <c r="I903" s="42">
        <f>IF($H903="","",MAX(0,$H903-N($E903)))</f>
        <v/>
      </c>
      <c r="J903" s="42">
        <f>IF($H903="","",MAX(0,$H903-N($G903)))</f>
        <v/>
      </c>
    </row>
    <row r="904" ht="19.5" customHeight="1" s="72">
      <c r="A904" s="38" t="inlineStr">
        <is>
          <t>BaobáM-32-P10-SIR</t>
        </is>
      </c>
      <c r="B904" s="38" t="inlineStr">
        <is>
          <t>Fase 32</t>
        </is>
      </c>
      <c r="C904" s="38" t="inlineStr">
        <is>
          <t>Siriuna</t>
        </is>
      </c>
      <c r="D904" s="39" t="inlineStr">
        <is>
          <t>A_Baobá_M_32_P10</t>
        </is>
      </c>
      <c r="E904" s="40" t="n"/>
      <c r="F904" s="39" t="inlineStr">
        <is>
          <t>B_Baobá_M_32_P10</t>
        </is>
      </c>
      <c r="G904" s="40" t="n"/>
      <c r="H904" s="41" t="n"/>
      <c r="I904" s="42">
        <f>IF($H904="","",MAX(0,$H904-N($E904)))</f>
        <v/>
      </c>
      <c r="J904" s="42">
        <f>IF($H904="","",MAX(0,$H904-N($G904)))</f>
        <v/>
      </c>
    </row>
    <row r="905" ht="19.5" customHeight="1" s="72">
      <c r="A905" s="38" t="inlineStr">
        <is>
          <t>BaobáM-32-P11-SBA</t>
        </is>
      </c>
      <c r="B905" s="38" t="inlineStr">
        <is>
          <t>Fase 32</t>
        </is>
      </c>
      <c r="C905" s="38" t="inlineStr">
        <is>
          <t>São Bento da Abadá</t>
        </is>
      </c>
      <c r="D905" s="39" t="inlineStr">
        <is>
          <t>A_Baobá_M_32_P11</t>
        </is>
      </c>
      <c r="E905" s="40" t="n"/>
      <c r="F905" s="39" t="inlineStr">
        <is>
          <t>B_Baobá_M_32_P11</t>
        </is>
      </c>
      <c r="G905" s="40" t="n"/>
      <c r="H905" s="41" t="n"/>
      <c r="I905" s="42">
        <f>IF($H905="","",MAX(0,$H905-N($E905)))</f>
        <v/>
      </c>
      <c r="J905" s="42">
        <f>IF($H905="","",MAX(0,$H905-N($G905)))</f>
        <v/>
      </c>
    </row>
    <row r="906" ht="19.5" customHeight="1" s="72">
      <c r="A906" s="38" t="inlineStr">
        <is>
          <t>BaobáM-32-P11-BEN</t>
        </is>
      </c>
      <c r="B906" s="38" t="inlineStr">
        <is>
          <t>Fase 32</t>
        </is>
      </c>
      <c r="C906" s="38" t="inlineStr">
        <is>
          <t>Benguela</t>
        </is>
      </c>
      <c r="D906" s="39" t="inlineStr">
        <is>
          <t>A_Baobá_M_32_P11</t>
        </is>
      </c>
      <c r="E906" s="40" t="n"/>
      <c r="F906" s="39" t="inlineStr">
        <is>
          <t>B_Baobá_M_32_P11</t>
        </is>
      </c>
      <c r="G906" s="40" t="n"/>
      <c r="H906" s="41" t="n"/>
      <c r="I906" s="42">
        <f>IF($H906="","",MAX(0,$H906-N($E906)))</f>
        <v/>
      </c>
      <c r="J906" s="42">
        <f>IF($H906="","",MAX(0,$H906-N($G906)))</f>
        <v/>
      </c>
    </row>
    <row r="907" ht="19.5" customHeight="1" s="72">
      <c r="A907" s="38" t="inlineStr">
        <is>
          <t>BaobáM-32-P11-SIR</t>
        </is>
      </c>
      <c r="B907" s="38" t="inlineStr">
        <is>
          <t>Fase 32</t>
        </is>
      </c>
      <c r="C907" s="38" t="inlineStr">
        <is>
          <t>Siriuna</t>
        </is>
      </c>
      <c r="D907" s="39" t="inlineStr">
        <is>
          <t>A_Baobá_M_32_P11</t>
        </is>
      </c>
      <c r="E907" s="40" t="n"/>
      <c r="F907" s="39" t="inlineStr">
        <is>
          <t>B_Baobá_M_32_P11</t>
        </is>
      </c>
      <c r="G907" s="40" t="n"/>
      <c r="H907" s="41" t="n"/>
      <c r="I907" s="42">
        <f>IF($H907="","",MAX(0,$H907-N($E907)))</f>
        <v/>
      </c>
      <c r="J907" s="42">
        <f>IF($H907="","",MAX(0,$H907-N($G907)))</f>
        <v/>
      </c>
    </row>
    <row r="908" ht="19.5" customHeight="1" s="72">
      <c r="A908" s="38" t="inlineStr">
        <is>
          <t>BaobáM-32-P12-SBA</t>
        </is>
      </c>
      <c r="B908" s="38" t="inlineStr">
        <is>
          <t>Fase 32</t>
        </is>
      </c>
      <c r="C908" s="38" t="inlineStr">
        <is>
          <t>São Bento da Abadá</t>
        </is>
      </c>
      <c r="D908" s="39" t="inlineStr">
        <is>
          <t>A_Baobá_M_32_P12</t>
        </is>
      </c>
      <c r="E908" s="40" t="n"/>
      <c r="F908" s="39" t="inlineStr">
        <is>
          <t>B_Baobá_M_32_P12</t>
        </is>
      </c>
      <c r="G908" s="40" t="n"/>
      <c r="H908" s="41" t="n"/>
      <c r="I908" s="42">
        <f>IF($H908="","",MAX(0,$H908-N($E908)))</f>
        <v/>
      </c>
      <c r="J908" s="42">
        <f>IF($H908="","",MAX(0,$H908-N($G908)))</f>
        <v/>
      </c>
    </row>
    <row r="909" ht="19.5" customHeight="1" s="72">
      <c r="A909" s="38" t="inlineStr">
        <is>
          <t>BaobáM-32-P12-BEN</t>
        </is>
      </c>
      <c r="B909" s="38" t="inlineStr">
        <is>
          <t>Fase 32</t>
        </is>
      </c>
      <c r="C909" s="38" t="inlineStr">
        <is>
          <t>Benguela</t>
        </is>
      </c>
      <c r="D909" s="39" t="inlineStr">
        <is>
          <t>A_Baobá_M_32_P12</t>
        </is>
      </c>
      <c r="E909" s="40" t="n"/>
      <c r="F909" s="39" t="inlineStr">
        <is>
          <t>B_Baobá_M_32_P12</t>
        </is>
      </c>
      <c r="G909" s="40" t="n"/>
      <c r="H909" s="41" t="n"/>
      <c r="I909" s="42">
        <f>IF($H909="","",MAX(0,$H909-N($E909)))</f>
        <v/>
      </c>
      <c r="J909" s="42">
        <f>IF($H909="","",MAX(0,$H909-N($G909)))</f>
        <v/>
      </c>
    </row>
    <row r="910" ht="19.5" customHeight="1" s="72">
      <c r="A910" s="38" t="inlineStr">
        <is>
          <t>BaobáM-32-P12-SIR</t>
        </is>
      </c>
      <c r="B910" s="38" t="inlineStr">
        <is>
          <t>Fase 32</t>
        </is>
      </c>
      <c r="C910" s="38" t="inlineStr">
        <is>
          <t>Siriuna</t>
        </is>
      </c>
      <c r="D910" s="39" t="inlineStr">
        <is>
          <t>A_Baobá_M_32_P12</t>
        </is>
      </c>
      <c r="E910" s="40" t="n"/>
      <c r="F910" s="39" t="inlineStr">
        <is>
          <t>B_Baobá_M_32_P12</t>
        </is>
      </c>
      <c r="G910" s="40" t="n"/>
      <c r="H910" s="41" t="n"/>
      <c r="I910" s="42">
        <f>IF($H910="","",MAX(0,$H910-N($E910)))</f>
        <v/>
      </c>
      <c r="J910" s="42">
        <f>IF($H910="","",MAX(0,$H910-N($G910)))</f>
        <v/>
      </c>
    </row>
    <row r="911" ht="19.5" customHeight="1" s="72">
      <c r="A911" s="38" t="inlineStr">
        <is>
          <t>BaobáM-32-P13-SBA</t>
        </is>
      </c>
      <c r="B911" s="38" t="inlineStr">
        <is>
          <t>Fase 32</t>
        </is>
      </c>
      <c r="C911" s="38" t="inlineStr">
        <is>
          <t>São Bento da Abadá</t>
        </is>
      </c>
      <c r="D911" s="39" t="inlineStr">
        <is>
          <t>A_Baobá_M_32_P13</t>
        </is>
      </c>
      <c r="E911" s="40" t="n"/>
      <c r="F911" s="39" t="inlineStr">
        <is>
          <t>B_Baobá_M_32_P13</t>
        </is>
      </c>
      <c r="G911" s="40" t="n"/>
      <c r="H911" s="41" t="n"/>
      <c r="I911" s="42">
        <f>IF($H911="","",MAX(0,$H911-N($E911)))</f>
        <v/>
      </c>
      <c r="J911" s="42">
        <f>IF($H911="","",MAX(0,$H911-N($G911)))</f>
        <v/>
      </c>
    </row>
    <row r="912" ht="19.5" customHeight="1" s="72">
      <c r="A912" s="38" t="inlineStr">
        <is>
          <t>BaobáM-32-P13-BEN</t>
        </is>
      </c>
      <c r="B912" s="38" t="inlineStr">
        <is>
          <t>Fase 32</t>
        </is>
      </c>
      <c r="C912" s="38" t="inlineStr">
        <is>
          <t>Benguela</t>
        </is>
      </c>
      <c r="D912" s="39" t="inlineStr">
        <is>
          <t>A_Baobá_M_32_P13</t>
        </is>
      </c>
      <c r="E912" s="40" t="n"/>
      <c r="F912" s="39" t="inlineStr">
        <is>
          <t>B_Baobá_M_32_P13</t>
        </is>
      </c>
      <c r="G912" s="40" t="n"/>
      <c r="H912" s="41" t="n"/>
      <c r="I912" s="42">
        <f>IF($H912="","",MAX(0,$H912-N($E912)))</f>
        <v/>
      </c>
      <c r="J912" s="42">
        <f>IF($H912="","",MAX(0,$H912-N($G912)))</f>
        <v/>
      </c>
    </row>
    <row r="913" ht="19.5" customHeight="1" s="72">
      <c r="A913" s="38" t="inlineStr">
        <is>
          <t>BaobáM-32-P13-SIR</t>
        </is>
      </c>
      <c r="B913" s="38" t="inlineStr">
        <is>
          <t>Fase 32</t>
        </is>
      </c>
      <c r="C913" s="38" t="inlineStr">
        <is>
          <t>Siriuna</t>
        </is>
      </c>
      <c r="D913" s="39" t="inlineStr">
        <is>
          <t>A_Baobá_M_32_P13</t>
        </is>
      </c>
      <c r="E913" s="40" t="n"/>
      <c r="F913" s="39" t="inlineStr">
        <is>
          <t>B_Baobá_M_32_P13</t>
        </is>
      </c>
      <c r="G913" s="40" t="n"/>
      <c r="H913" s="41" t="n"/>
      <c r="I913" s="42">
        <f>IF($H913="","",MAX(0,$H913-N($E913)))</f>
        <v/>
      </c>
      <c r="J913" s="42">
        <f>IF($H913="","",MAX(0,$H913-N($G913)))</f>
        <v/>
      </c>
    </row>
    <row r="914" ht="19.5" customHeight="1" s="72">
      <c r="A914" s="38" t="inlineStr">
        <is>
          <t>BaobáM-32-P14-SBA</t>
        </is>
      </c>
      <c r="B914" s="38" t="inlineStr">
        <is>
          <t>Fase 32</t>
        </is>
      </c>
      <c r="C914" s="38" t="inlineStr">
        <is>
          <t>São Bento da Abadá</t>
        </is>
      </c>
      <c r="D914" s="39" t="inlineStr">
        <is>
          <t>A_Baobá_M_32_P14</t>
        </is>
      </c>
      <c r="E914" s="40" t="n"/>
      <c r="F914" s="39" t="inlineStr">
        <is>
          <t>B_Baobá_M_32_P14</t>
        </is>
      </c>
      <c r="G914" s="40" t="n"/>
      <c r="H914" s="41" t="n"/>
      <c r="I914" s="42">
        <f>IF($H914="","",MAX(0,$H914-N($E914)))</f>
        <v/>
      </c>
      <c r="J914" s="42">
        <f>IF($H914="","",MAX(0,$H914-N($G914)))</f>
        <v/>
      </c>
    </row>
    <row r="915" ht="19.5" customHeight="1" s="72">
      <c r="A915" s="38" t="inlineStr">
        <is>
          <t>BaobáM-32-P14-BEN</t>
        </is>
      </c>
      <c r="B915" s="38" t="inlineStr">
        <is>
          <t>Fase 32</t>
        </is>
      </c>
      <c r="C915" s="38" t="inlineStr">
        <is>
          <t>Benguela</t>
        </is>
      </c>
      <c r="D915" s="39" t="inlineStr">
        <is>
          <t>A_Baobá_M_32_P14</t>
        </is>
      </c>
      <c r="E915" s="40" t="n"/>
      <c r="F915" s="39" t="inlineStr">
        <is>
          <t>B_Baobá_M_32_P14</t>
        </is>
      </c>
      <c r="G915" s="40" t="n"/>
      <c r="H915" s="41" t="n"/>
      <c r="I915" s="42">
        <f>IF($H915="","",MAX(0,$H915-N($E915)))</f>
        <v/>
      </c>
      <c r="J915" s="42">
        <f>IF($H915="","",MAX(0,$H915-N($G915)))</f>
        <v/>
      </c>
    </row>
    <row r="916" ht="19.5" customHeight="1" s="72">
      <c r="A916" s="38" t="inlineStr">
        <is>
          <t>BaobáM-32-P14-SIR</t>
        </is>
      </c>
      <c r="B916" s="38" t="inlineStr">
        <is>
          <t>Fase 32</t>
        </is>
      </c>
      <c r="C916" s="38" t="inlineStr">
        <is>
          <t>Siriuna</t>
        </is>
      </c>
      <c r="D916" s="39" t="inlineStr">
        <is>
          <t>A_Baobá_M_32_P14</t>
        </is>
      </c>
      <c r="E916" s="40" t="n"/>
      <c r="F916" s="39" t="inlineStr">
        <is>
          <t>B_Baobá_M_32_P14</t>
        </is>
      </c>
      <c r="G916" s="40" t="n"/>
      <c r="H916" s="41" t="n"/>
      <c r="I916" s="42">
        <f>IF($H916="","",MAX(0,$H916-N($E916)))</f>
        <v/>
      </c>
      <c r="J916" s="42">
        <f>IF($H916="","",MAX(0,$H916-N($G916)))</f>
        <v/>
      </c>
    </row>
    <row r="917" ht="19.5" customHeight="1" s="72">
      <c r="A917" s="38" t="inlineStr">
        <is>
          <t>BaobáM-32-P15-SBA</t>
        </is>
      </c>
      <c r="B917" s="38" t="inlineStr">
        <is>
          <t>Fase 32</t>
        </is>
      </c>
      <c r="C917" s="38" t="inlineStr">
        <is>
          <t>São Bento da Abadá</t>
        </is>
      </c>
      <c r="D917" s="39" t="inlineStr">
        <is>
          <t>A_Baobá_M_32_P15</t>
        </is>
      </c>
      <c r="E917" s="40" t="n"/>
      <c r="F917" s="39" t="inlineStr">
        <is>
          <t>B_Baobá_M_32_P15</t>
        </is>
      </c>
      <c r="G917" s="40" t="n"/>
      <c r="H917" s="41" t="n"/>
      <c r="I917" s="42">
        <f>IF($H917="","",MAX(0,$H917-N($E917)))</f>
        <v/>
      </c>
      <c r="J917" s="42">
        <f>IF($H917="","",MAX(0,$H917-N($G917)))</f>
        <v/>
      </c>
    </row>
    <row r="918" ht="19.5" customHeight="1" s="72">
      <c r="A918" s="38" t="inlineStr">
        <is>
          <t>BaobáM-32-P15-BEN</t>
        </is>
      </c>
      <c r="B918" s="38" t="inlineStr">
        <is>
          <t>Fase 32</t>
        </is>
      </c>
      <c r="C918" s="38" t="inlineStr">
        <is>
          <t>Benguela</t>
        </is>
      </c>
      <c r="D918" s="39" t="inlineStr">
        <is>
          <t>A_Baobá_M_32_P15</t>
        </is>
      </c>
      <c r="E918" s="40" t="n"/>
      <c r="F918" s="39" t="inlineStr">
        <is>
          <t>B_Baobá_M_32_P15</t>
        </is>
      </c>
      <c r="G918" s="40" t="n"/>
      <c r="H918" s="41" t="n"/>
      <c r="I918" s="42">
        <f>IF($H918="","",MAX(0,$H918-N($E918)))</f>
        <v/>
      </c>
      <c r="J918" s="42">
        <f>IF($H918="","",MAX(0,$H918-N($G918)))</f>
        <v/>
      </c>
    </row>
    <row r="919" ht="19.5" customHeight="1" s="72">
      <c r="A919" s="38" t="inlineStr">
        <is>
          <t>BaobáM-32-P15-SIR</t>
        </is>
      </c>
      <c r="B919" s="38" t="inlineStr">
        <is>
          <t>Fase 32</t>
        </is>
      </c>
      <c r="C919" s="38" t="inlineStr">
        <is>
          <t>Siriuna</t>
        </is>
      </c>
      <c r="D919" s="39" t="inlineStr">
        <is>
          <t>A_Baobá_M_32_P15</t>
        </is>
      </c>
      <c r="E919" s="40" t="n"/>
      <c r="F919" s="39" t="inlineStr">
        <is>
          <t>B_Baobá_M_32_P15</t>
        </is>
      </c>
      <c r="G919" s="40" t="n"/>
      <c r="H919" s="41" t="n"/>
      <c r="I919" s="42">
        <f>IF($H919="","",MAX(0,$H919-N($E919)))</f>
        <v/>
      </c>
      <c r="J919" s="42">
        <f>IF($H919="","",MAX(0,$H919-N($G919)))</f>
        <v/>
      </c>
    </row>
    <row r="920" ht="19.5" customHeight="1" s="72">
      <c r="A920" s="38" t="inlineStr">
        <is>
          <t>BaobáM-32-P16-SBA</t>
        </is>
      </c>
      <c r="B920" s="38" t="inlineStr">
        <is>
          <t>Fase 32</t>
        </is>
      </c>
      <c r="C920" s="38" t="inlineStr">
        <is>
          <t>São Bento da Abadá</t>
        </is>
      </c>
      <c r="D920" s="39" t="inlineStr">
        <is>
          <t>A_Baobá_M_32_P16</t>
        </is>
      </c>
      <c r="E920" s="40" t="n"/>
      <c r="F920" s="39" t="inlineStr">
        <is>
          <t>B_Baobá_M_32_P16</t>
        </is>
      </c>
      <c r="G920" s="40" t="n"/>
      <c r="H920" s="41" t="n"/>
      <c r="I920" s="42">
        <f>IF($H920="","",MAX(0,$H920-N($E920)))</f>
        <v/>
      </c>
      <c r="J920" s="42">
        <f>IF($H920="","",MAX(0,$H920-N($G920)))</f>
        <v/>
      </c>
    </row>
    <row r="921" ht="19.5" customHeight="1" s="72">
      <c r="A921" s="38" t="inlineStr">
        <is>
          <t>BaobáM-32-P16-BEN</t>
        </is>
      </c>
      <c r="B921" s="38" t="inlineStr">
        <is>
          <t>Fase 32</t>
        </is>
      </c>
      <c r="C921" s="38" t="inlineStr">
        <is>
          <t>Benguela</t>
        </is>
      </c>
      <c r="D921" s="39" t="inlineStr">
        <is>
          <t>A_Baobá_M_32_P16</t>
        </is>
      </c>
      <c r="E921" s="40" t="n"/>
      <c r="F921" s="39" t="inlineStr">
        <is>
          <t>B_Baobá_M_32_P16</t>
        </is>
      </c>
      <c r="G921" s="40" t="n"/>
      <c r="H921" s="41" t="n"/>
      <c r="I921" s="42">
        <f>IF($H921="","",MAX(0,$H921-N($E921)))</f>
        <v/>
      </c>
      <c r="J921" s="42">
        <f>IF($H921="","",MAX(0,$H921-N($G921)))</f>
        <v/>
      </c>
    </row>
    <row r="922" ht="19.5" customHeight="1" s="72">
      <c r="A922" s="38" t="inlineStr">
        <is>
          <t>BaobáM-32-P16-SIR</t>
        </is>
      </c>
      <c r="B922" s="38" t="inlineStr">
        <is>
          <t>Fase 32</t>
        </is>
      </c>
      <c r="C922" s="38" t="inlineStr">
        <is>
          <t>Siriuna</t>
        </is>
      </c>
      <c r="D922" s="39" t="inlineStr">
        <is>
          <t>A_Baobá_M_32_P16</t>
        </is>
      </c>
      <c r="E922" s="40" t="n"/>
      <c r="F922" s="39" t="inlineStr">
        <is>
          <t>B_Baobá_M_32_P16</t>
        </is>
      </c>
      <c r="G922" s="40" t="n"/>
      <c r="H922" s="41" t="n"/>
      <c r="I922" s="42">
        <f>IF($H922="","",MAX(0,$H922-N($E922)))</f>
        <v/>
      </c>
      <c r="J922" s="42">
        <f>IF($H922="","",MAX(0,$H922-N($G922)))</f>
        <v/>
      </c>
    </row>
    <row r="923" ht="19.5" customHeight="1" s="72">
      <c r="A923" s="38" t="inlineStr">
        <is>
          <t>BaobáM-OCT-P01-SBA</t>
        </is>
      </c>
      <c r="B923" s="38" t="inlineStr">
        <is>
          <t>Octavas</t>
        </is>
      </c>
      <c r="C923" s="38" t="inlineStr">
        <is>
          <t>São Bento da Abadá</t>
        </is>
      </c>
      <c r="D923" s="39">
        <f>IFERROR('CLASIF_Baobá_M'!$F$5,"")</f>
        <v/>
      </c>
      <c r="E923" s="40" t="n"/>
      <c r="F923" s="39">
        <f>IFERROR('CLASIF_Baobá_M'!$F$20,"")</f>
        <v/>
      </c>
      <c r="G923" s="40" t="n"/>
      <c r="H923" s="41" t="n"/>
      <c r="I923" s="42">
        <f>IF($H923="","",MAX(0,$H923-N($E923)))</f>
        <v/>
      </c>
      <c r="J923" s="42">
        <f>IF($H923="","",MAX(0,$H923-N($G923)))</f>
        <v/>
      </c>
    </row>
    <row r="924" ht="19.5" customHeight="1" s="72">
      <c r="A924" s="38" t="inlineStr">
        <is>
          <t>BaobáM-OCT-P01-BEN</t>
        </is>
      </c>
      <c r="B924" s="38" t="inlineStr">
        <is>
          <t>Octavas</t>
        </is>
      </c>
      <c r="C924" s="38" t="inlineStr">
        <is>
          <t>Benguela</t>
        </is>
      </c>
      <c r="D924" s="39">
        <f>IFERROR('CLASIF_Baobá_M'!$F$5,"")</f>
        <v/>
      </c>
      <c r="E924" s="40" t="n"/>
      <c r="F924" s="39">
        <f>IFERROR('CLASIF_Baobá_M'!$F$20,"")</f>
        <v/>
      </c>
      <c r="G924" s="40" t="n"/>
      <c r="H924" s="41" t="n"/>
      <c r="I924" s="42">
        <f>IF($H924="","",MAX(0,$H924-N($E924)))</f>
        <v/>
      </c>
      <c r="J924" s="42">
        <f>IF($H924="","",MAX(0,$H924-N($G924)))</f>
        <v/>
      </c>
    </row>
    <row r="925" ht="19.5" customHeight="1" s="72">
      <c r="A925" s="38" t="inlineStr">
        <is>
          <t>BaobáM-OCT-P01-SIR</t>
        </is>
      </c>
      <c r="B925" s="38" t="inlineStr">
        <is>
          <t>Octavas</t>
        </is>
      </c>
      <c r="C925" s="38" t="inlineStr">
        <is>
          <t>Siriuna</t>
        </is>
      </c>
      <c r="D925" s="39">
        <f>IFERROR('CLASIF_Baobá_M'!$F$5,"")</f>
        <v/>
      </c>
      <c r="E925" s="40" t="n"/>
      <c r="F925" s="39">
        <f>IFERROR('CLASIF_Baobá_M'!$F$20,"")</f>
        <v/>
      </c>
      <c r="G925" s="40" t="n"/>
      <c r="H925" s="41" t="n"/>
      <c r="I925" s="42">
        <f>IF($H925="","",MAX(0,$H925-N($E925)))</f>
        <v/>
      </c>
      <c r="J925" s="42">
        <f>IF($H925="","",MAX(0,$H925-N($G925)))</f>
        <v/>
      </c>
    </row>
    <row r="926" ht="19.5" customHeight="1" s="72">
      <c r="A926" s="38" t="inlineStr">
        <is>
          <t>BaobáM-OCT-P02-SBA</t>
        </is>
      </c>
      <c r="B926" s="38" t="inlineStr">
        <is>
          <t>Octavas</t>
        </is>
      </c>
      <c r="C926" s="38" t="inlineStr">
        <is>
          <t>São Bento da Abadá</t>
        </is>
      </c>
      <c r="D926" s="39">
        <f>IFERROR('CLASIF_Baobá_M'!$F$6,"")</f>
        <v/>
      </c>
      <c r="E926" s="40" t="n"/>
      <c r="F926" s="39">
        <f>IFERROR('CLASIF_Baobá_M'!$F$19,"")</f>
        <v/>
      </c>
      <c r="G926" s="40" t="n"/>
      <c r="H926" s="41" t="n"/>
      <c r="I926" s="42">
        <f>IF($H926="","",MAX(0,$H926-N($E926)))</f>
        <v/>
      </c>
      <c r="J926" s="42">
        <f>IF($H926="","",MAX(0,$H926-N($G926)))</f>
        <v/>
      </c>
    </row>
    <row r="927" ht="19.5" customHeight="1" s="72">
      <c r="A927" s="38" t="inlineStr">
        <is>
          <t>BaobáM-OCT-P02-BEN</t>
        </is>
      </c>
      <c r="B927" s="38" t="inlineStr">
        <is>
          <t>Octavas</t>
        </is>
      </c>
      <c r="C927" s="38" t="inlineStr">
        <is>
          <t>Benguela</t>
        </is>
      </c>
      <c r="D927" s="39">
        <f>IFERROR('CLASIF_Baobá_M'!$F$6,"")</f>
        <v/>
      </c>
      <c r="E927" s="40" t="n"/>
      <c r="F927" s="39">
        <f>IFERROR('CLASIF_Baobá_M'!$F$19,"")</f>
        <v/>
      </c>
      <c r="G927" s="40" t="n"/>
      <c r="H927" s="41" t="n"/>
      <c r="I927" s="42">
        <f>IF($H927="","",MAX(0,$H927-N($E927)))</f>
        <v/>
      </c>
      <c r="J927" s="42">
        <f>IF($H927="","",MAX(0,$H927-N($G927)))</f>
        <v/>
      </c>
    </row>
    <row r="928" ht="19.5" customHeight="1" s="72">
      <c r="A928" s="38" t="inlineStr">
        <is>
          <t>BaobáM-OCT-P02-SIR</t>
        </is>
      </c>
      <c r="B928" s="38" t="inlineStr">
        <is>
          <t>Octavas</t>
        </is>
      </c>
      <c r="C928" s="38" t="inlineStr">
        <is>
          <t>Siriuna</t>
        </is>
      </c>
      <c r="D928" s="39">
        <f>IFERROR('CLASIF_Baobá_M'!$F$6,"")</f>
        <v/>
      </c>
      <c r="E928" s="40" t="n"/>
      <c r="F928" s="39">
        <f>IFERROR('CLASIF_Baobá_M'!$F$19,"")</f>
        <v/>
      </c>
      <c r="G928" s="40" t="n"/>
      <c r="H928" s="41" t="n"/>
      <c r="I928" s="42">
        <f>IF($H928="","",MAX(0,$H928-N($E928)))</f>
        <v/>
      </c>
      <c r="J928" s="42">
        <f>IF($H928="","",MAX(0,$H928-N($G928)))</f>
        <v/>
      </c>
    </row>
    <row r="929" ht="19.5" customHeight="1" s="72">
      <c r="A929" s="38" t="inlineStr">
        <is>
          <t>BaobáM-OCT-P03-SBA</t>
        </is>
      </c>
      <c r="B929" s="38" t="inlineStr">
        <is>
          <t>Octavas</t>
        </is>
      </c>
      <c r="C929" s="38" t="inlineStr">
        <is>
          <t>São Bento da Abadá</t>
        </is>
      </c>
      <c r="D929" s="39">
        <f>IFERROR('CLASIF_Baobá_M'!$F$7,"")</f>
        <v/>
      </c>
      <c r="E929" s="40" t="n"/>
      <c r="F929" s="39">
        <f>IFERROR('CLASIF_Baobá_M'!$F$18,"")</f>
        <v/>
      </c>
      <c r="G929" s="40" t="n"/>
      <c r="H929" s="41" t="n"/>
      <c r="I929" s="42">
        <f>IF($H929="","",MAX(0,$H929-N($E929)))</f>
        <v/>
      </c>
      <c r="J929" s="42">
        <f>IF($H929="","",MAX(0,$H929-N($G929)))</f>
        <v/>
      </c>
    </row>
    <row r="930" ht="19.5" customHeight="1" s="72">
      <c r="A930" s="38" t="inlineStr">
        <is>
          <t>BaobáM-OCT-P03-BEN</t>
        </is>
      </c>
      <c r="B930" s="38" t="inlineStr">
        <is>
          <t>Octavas</t>
        </is>
      </c>
      <c r="C930" s="38" t="inlineStr">
        <is>
          <t>Benguela</t>
        </is>
      </c>
      <c r="D930" s="39">
        <f>IFERROR('CLASIF_Baobá_M'!$F$7,"")</f>
        <v/>
      </c>
      <c r="E930" s="40" t="n"/>
      <c r="F930" s="39">
        <f>IFERROR('CLASIF_Baobá_M'!$F$18,"")</f>
        <v/>
      </c>
      <c r="G930" s="40" t="n"/>
      <c r="H930" s="41" t="n"/>
      <c r="I930" s="42">
        <f>IF($H930="","",MAX(0,$H930-N($E930)))</f>
        <v/>
      </c>
      <c r="J930" s="42">
        <f>IF($H930="","",MAX(0,$H930-N($G930)))</f>
        <v/>
      </c>
    </row>
    <row r="931" ht="19.5" customHeight="1" s="72">
      <c r="A931" s="38" t="inlineStr">
        <is>
          <t>BaobáM-OCT-P03-SIR</t>
        </is>
      </c>
      <c r="B931" s="38" t="inlineStr">
        <is>
          <t>Octavas</t>
        </is>
      </c>
      <c r="C931" s="38" t="inlineStr">
        <is>
          <t>Siriuna</t>
        </is>
      </c>
      <c r="D931" s="39">
        <f>IFERROR('CLASIF_Baobá_M'!$F$7,"")</f>
        <v/>
      </c>
      <c r="E931" s="40" t="n"/>
      <c r="F931" s="39">
        <f>IFERROR('CLASIF_Baobá_M'!$F$18,"")</f>
        <v/>
      </c>
      <c r="G931" s="40" t="n"/>
      <c r="H931" s="41" t="n"/>
      <c r="I931" s="42">
        <f>IF($H931="","",MAX(0,$H931-N($E931)))</f>
        <v/>
      </c>
      <c r="J931" s="42">
        <f>IF($H931="","",MAX(0,$H931-N($G931)))</f>
        <v/>
      </c>
    </row>
    <row r="932" ht="19.5" customHeight="1" s="72">
      <c r="A932" s="38" t="inlineStr">
        <is>
          <t>BaobáM-OCT-P04-SBA</t>
        </is>
      </c>
      <c r="B932" s="38" t="inlineStr">
        <is>
          <t>Octavas</t>
        </is>
      </c>
      <c r="C932" s="38" t="inlineStr">
        <is>
          <t>São Bento da Abadá</t>
        </is>
      </c>
      <c r="D932" s="39">
        <f>IFERROR('CLASIF_Baobá_M'!$F$8,"")</f>
        <v/>
      </c>
      <c r="E932" s="40" t="n"/>
      <c r="F932" s="39">
        <f>IFERROR('CLASIF_Baobá_M'!$F$17,"")</f>
        <v/>
      </c>
      <c r="G932" s="40" t="n"/>
      <c r="H932" s="41" t="n"/>
      <c r="I932" s="42">
        <f>IF($H932="","",MAX(0,$H932-N($E932)))</f>
        <v/>
      </c>
      <c r="J932" s="42">
        <f>IF($H932="","",MAX(0,$H932-N($G932)))</f>
        <v/>
      </c>
    </row>
    <row r="933" ht="19.5" customHeight="1" s="72">
      <c r="A933" s="38" t="inlineStr">
        <is>
          <t>BaobáM-OCT-P04-BEN</t>
        </is>
      </c>
      <c r="B933" s="38" t="inlineStr">
        <is>
          <t>Octavas</t>
        </is>
      </c>
      <c r="C933" s="38" t="inlineStr">
        <is>
          <t>Benguela</t>
        </is>
      </c>
      <c r="D933" s="39">
        <f>IFERROR('CLASIF_Baobá_M'!$F$8,"")</f>
        <v/>
      </c>
      <c r="E933" s="40" t="n"/>
      <c r="F933" s="39">
        <f>IFERROR('CLASIF_Baobá_M'!$F$17,"")</f>
        <v/>
      </c>
      <c r="G933" s="40" t="n"/>
      <c r="H933" s="41" t="n"/>
      <c r="I933" s="42">
        <f>IF($H933="","",MAX(0,$H933-N($E933)))</f>
        <v/>
      </c>
      <c r="J933" s="42">
        <f>IF($H933="","",MAX(0,$H933-N($G933)))</f>
        <v/>
      </c>
    </row>
    <row r="934" ht="19.5" customHeight="1" s="72">
      <c r="A934" s="38" t="inlineStr">
        <is>
          <t>BaobáM-OCT-P04-SIR</t>
        </is>
      </c>
      <c r="B934" s="38" t="inlineStr">
        <is>
          <t>Octavas</t>
        </is>
      </c>
      <c r="C934" s="38" t="inlineStr">
        <is>
          <t>Siriuna</t>
        </is>
      </c>
      <c r="D934" s="39">
        <f>IFERROR('CLASIF_Baobá_M'!$F$8,"")</f>
        <v/>
      </c>
      <c r="E934" s="40" t="n"/>
      <c r="F934" s="39">
        <f>IFERROR('CLASIF_Baobá_M'!$F$17,"")</f>
        <v/>
      </c>
      <c r="G934" s="40" t="n"/>
      <c r="H934" s="41" t="n"/>
      <c r="I934" s="42">
        <f>IF($H934="","",MAX(0,$H934-N($E934)))</f>
        <v/>
      </c>
      <c r="J934" s="42">
        <f>IF($H934="","",MAX(0,$H934-N($G934)))</f>
        <v/>
      </c>
    </row>
    <row r="935" ht="19.5" customHeight="1" s="72">
      <c r="A935" s="38" t="inlineStr">
        <is>
          <t>BaobáM-OCT-P05-SBA</t>
        </is>
      </c>
      <c r="B935" s="38" t="inlineStr">
        <is>
          <t>Octavas</t>
        </is>
      </c>
      <c r="C935" s="38" t="inlineStr">
        <is>
          <t>São Bento da Abadá</t>
        </is>
      </c>
      <c r="D935" s="39">
        <f>IFERROR('CLASIF_Baobá_M'!$F$9,"")</f>
        <v/>
      </c>
      <c r="E935" s="40" t="n"/>
      <c r="F935" s="39">
        <f>IFERROR('CLASIF_Baobá_M'!$F$16,"")</f>
        <v/>
      </c>
      <c r="G935" s="40" t="n"/>
      <c r="H935" s="41" t="n"/>
      <c r="I935" s="42">
        <f>IF($H935="","",MAX(0,$H935-N($E935)))</f>
        <v/>
      </c>
      <c r="J935" s="42">
        <f>IF($H935="","",MAX(0,$H935-N($G935)))</f>
        <v/>
      </c>
    </row>
    <row r="936" ht="19.5" customHeight="1" s="72">
      <c r="A936" s="38" t="inlineStr">
        <is>
          <t>BaobáM-OCT-P05-BEN</t>
        </is>
      </c>
      <c r="B936" s="38" t="inlineStr">
        <is>
          <t>Octavas</t>
        </is>
      </c>
      <c r="C936" s="38" t="inlineStr">
        <is>
          <t>Benguela</t>
        </is>
      </c>
      <c r="D936" s="39">
        <f>IFERROR('CLASIF_Baobá_M'!$F$9,"")</f>
        <v/>
      </c>
      <c r="E936" s="40" t="n"/>
      <c r="F936" s="39">
        <f>IFERROR('CLASIF_Baobá_M'!$F$16,"")</f>
        <v/>
      </c>
      <c r="G936" s="40" t="n"/>
      <c r="H936" s="41" t="n"/>
      <c r="I936" s="42">
        <f>IF($H936="","",MAX(0,$H936-N($E936)))</f>
        <v/>
      </c>
      <c r="J936" s="42">
        <f>IF($H936="","",MAX(0,$H936-N($G936)))</f>
        <v/>
      </c>
    </row>
    <row r="937" ht="19.5" customHeight="1" s="72">
      <c r="A937" s="38" t="inlineStr">
        <is>
          <t>BaobáM-OCT-P05-SIR</t>
        </is>
      </c>
      <c r="B937" s="38" t="inlineStr">
        <is>
          <t>Octavas</t>
        </is>
      </c>
      <c r="C937" s="38" t="inlineStr">
        <is>
          <t>Siriuna</t>
        </is>
      </c>
      <c r="D937" s="39">
        <f>IFERROR('CLASIF_Baobá_M'!$F$9,"")</f>
        <v/>
      </c>
      <c r="E937" s="40" t="n"/>
      <c r="F937" s="39">
        <f>IFERROR('CLASIF_Baobá_M'!$F$16,"")</f>
        <v/>
      </c>
      <c r="G937" s="40" t="n"/>
      <c r="H937" s="41" t="n"/>
      <c r="I937" s="42">
        <f>IF($H937="","",MAX(0,$H937-N($E937)))</f>
        <v/>
      </c>
      <c r="J937" s="42">
        <f>IF($H937="","",MAX(0,$H937-N($G937)))</f>
        <v/>
      </c>
    </row>
    <row r="938" ht="19.5" customHeight="1" s="72">
      <c r="A938" s="38" t="inlineStr">
        <is>
          <t>BaobáM-OCT-P06-SBA</t>
        </is>
      </c>
      <c r="B938" s="38" t="inlineStr">
        <is>
          <t>Octavas</t>
        </is>
      </c>
      <c r="C938" s="38" t="inlineStr">
        <is>
          <t>São Bento da Abadá</t>
        </is>
      </c>
      <c r="D938" s="39">
        <f>IFERROR('CLASIF_Baobá_M'!$F$10,"")</f>
        <v/>
      </c>
      <c r="E938" s="40" t="n"/>
      <c r="F938" s="39">
        <f>IFERROR('CLASIF_Baobá_M'!$F$15,"")</f>
        <v/>
      </c>
      <c r="G938" s="40" t="n"/>
      <c r="H938" s="41" t="n"/>
      <c r="I938" s="42">
        <f>IF($H938="","",MAX(0,$H938-N($E938)))</f>
        <v/>
      </c>
      <c r="J938" s="42">
        <f>IF($H938="","",MAX(0,$H938-N($G938)))</f>
        <v/>
      </c>
    </row>
    <row r="939" ht="19.5" customHeight="1" s="72">
      <c r="A939" s="38" t="inlineStr">
        <is>
          <t>BaobáM-OCT-P06-BEN</t>
        </is>
      </c>
      <c r="B939" s="38" t="inlineStr">
        <is>
          <t>Octavas</t>
        </is>
      </c>
      <c r="C939" s="38" t="inlineStr">
        <is>
          <t>Benguela</t>
        </is>
      </c>
      <c r="D939" s="39">
        <f>IFERROR('CLASIF_Baobá_M'!$F$10,"")</f>
        <v/>
      </c>
      <c r="E939" s="40" t="n"/>
      <c r="F939" s="39">
        <f>IFERROR('CLASIF_Baobá_M'!$F$15,"")</f>
        <v/>
      </c>
      <c r="G939" s="40" t="n"/>
      <c r="H939" s="41" t="n"/>
      <c r="I939" s="42">
        <f>IF($H939="","",MAX(0,$H939-N($E939)))</f>
        <v/>
      </c>
      <c r="J939" s="42">
        <f>IF($H939="","",MAX(0,$H939-N($G939)))</f>
        <v/>
      </c>
    </row>
    <row r="940" ht="19.5" customHeight="1" s="72">
      <c r="A940" s="38" t="inlineStr">
        <is>
          <t>BaobáM-OCT-P06-SIR</t>
        </is>
      </c>
      <c r="B940" s="38" t="inlineStr">
        <is>
          <t>Octavas</t>
        </is>
      </c>
      <c r="C940" s="38" t="inlineStr">
        <is>
          <t>Siriuna</t>
        </is>
      </c>
      <c r="D940" s="39">
        <f>IFERROR('CLASIF_Baobá_M'!$F$10,"")</f>
        <v/>
      </c>
      <c r="E940" s="40" t="n"/>
      <c r="F940" s="39">
        <f>IFERROR('CLASIF_Baobá_M'!$F$15,"")</f>
        <v/>
      </c>
      <c r="G940" s="40" t="n"/>
      <c r="H940" s="41" t="n"/>
      <c r="I940" s="42">
        <f>IF($H940="","",MAX(0,$H940-N($E940)))</f>
        <v/>
      </c>
      <c r="J940" s="42">
        <f>IF($H940="","",MAX(0,$H940-N($G940)))</f>
        <v/>
      </c>
    </row>
    <row r="941" ht="19.5" customHeight="1" s="72">
      <c r="A941" s="38" t="inlineStr">
        <is>
          <t>BaobáM-OCT-P07-SBA</t>
        </is>
      </c>
      <c r="B941" s="38" t="inlineStr">
        <is>
          <t>Octavas</t>
        </is>
      </c>
      <c r="C941" s="38" t="inlineStr">
        <is>
          <t>São Bento da Abadá</t>
        </is>
      </c>
      <c r="D941" s="39">
        <f>IFERROR('CLASIF_Baobá_M'!$F$11,"")</f>
        <v/>
      </c>
      <c r="E941" s="40" t="n"/>
      <c r="F941" s="39">
        <f>IFERROR('CLASIF_Baobá_M'!$F$14,"")</f>
        <v/>
      </c>
      <c r="G941" s="40" t="n"/>
      <c r="H941" s="41" t="n"/>
      <c r="I941" s="42">
        <f>IF($H941="","",MAX(0,$H941-N($E941)))</f>
        <v/>
      </c>
      <c r="J941" s="42">
        <f>IF($H941="","",MAX(0,$H941-N($G941)))</f>
        <v/>
      </c>
    </row>
    <row r="942" ht="19.5" customHeight="1" s="72">
      <c r="A942" s="38" t="inlineStr">
        <is>
          <t>BaobáM-OCT-P07-BEN</t>
        </is>
      </c>
      <c r="B942" s="38" t="inlineStr">
        <is>
          <t>Octavas</t>
        </is>
      </c>
      <c r="C942" s="38" t="inlineStr">
        <is>
          <t>Benguela</t>
        </is>
      </c>
      <c r="D942" s="39">
        <f>IFERROR('CLASIF_Baobá_M'!$F$11,"")</f>
        <v/>
      </c>
      <c r="E942" s="40" t="n"/>
      <c r="F942" s="39">
        <f>IFERROR('CLASIF_Baobá_M'!$F$14,"")</f>
        <v/>
      </c>
      <c r="G942" s="40" t="n"/>
      <c r="H942" s="41" t="n"/>
      <c r="I942" s="42">
        <f>IF($H942="","",MAX(0,$H942-N($E942)))</f>
        <v/>
      </c>
      <c r="J942" s="42">
        <f>IF($H942="","",MAX(0,$H942-N($G942)))</f>
        <v/>
      </c>
    </row>
    <row r="943" ht="19.5" customHeight="1" s="72">
      <c r="A943" s="38" t="inlineStr">
        <is>
          <t>BaobáM-OCT-P07-SIR</t>
        </is>
      </c>
      <c r="B943" s="38" t="inlineStr">
        <is>
          <t>Octavas</t>
        </is>
      </c>
      <c r="C943" s="38" t="inlineStr">
        <is>
          <t>Siriuna</t>
        </is>
      </c>
      <c r="D943" s="39">
        <f>IFERROR('CLASIF_Baobá_M'!$F$11,"")</f>
        <v/>
      </c>
      <c r="E943" s="40" t="n"/>
      <c r="F943" s="39">
        <f>IFERROR('CLASIF_Baobá_M'!$F$14,"")</f>
        <v/>
      </c>
      <c r="G943" s="40" t="n"/>
      <c r="H943" s="41" t="n"/>
      <c r="I943" s="42">
        <f>IF($H943="","",MAX(0,$H943-N($E943)))</f>
        <v/>
      </c>
      <c r="J943" s="42">
        <f>IF($H943="","",MAX(0,$H943-N($G943)))</f>
        <v/>
      </c>
    </row>
    <row r="944" ht="19.5" customHeight="1" s="72">
      <c r="A944" s="38" t="inlineStr">
        <is>
          <t>BaobáM-OCT-P08-SBA</t>
        </is>
      </c>
      <c r="B944" s="38" t="inlineStr">
        <is>
          <t>Octavas</t>
        </is>
      </c>
      <c r="C944" s="38" t="inlineStr">
        <is>
          <t>São Bento da Abadá</t>
        </is>
      </c>
      <c r="D944" s="39">
        <f>IFERROR('CLASIF_Baobá_M'!$F$12,"")</f>
        <v/>
      </c>
      <c r="E944" s="40" t="n"/>
      <c r="F944" s="39">
        <f>IFERROR('CLASIF_Baobá_M'!$F$13,"")</f>
        <v/>
      </c>
      <c r="G944" s="40" t="n"/>
      <c r="H944" s="41" t="n"/>
      <c r="I944" s="42">
        <f>IF($H944="","",MAX(0,$H944-N($E944)))</f>
        <v/>
      </c>
      <c r="J944" s="42">
        <f>IF($H944="","",MAX(0,$H944-N($G944)))</f>
        <v/>
      </c>
    </row>
    <row r="945" ht="19.5" customHeight="1" s="72">
      <c r="A945" s="38" t="inlineStr">
        <is>
          <t>BaobáM-OCT-P08-BEN</t>
        </is>
      </c>
      <c r="B945" s="38" t="inlineStr">
        <is>
          <t>Octavas</t>
        </is>
      </c>
      <c r="C945" s="38" t="inlineStr">
        <is>
          <t>Benguela</t>
        </is>
      </c>
      <c r="D945" s="39">
        <f>IFERROR('CLASIF_Baobá_M'!$F$12,"")</f>
        <v/>
      </c>
      <c r="E945" s="40" t="n"/>
      <c r="F945" s="39">
        <f>IFERROR('CLASIF_Baobá_M'!$F$13,"")</f>
        <v/>
      </c>
      <c r="G945" s="40" t="n"/>
      <c r="H945" s="41" t="n"/>
      <c r="I945" s="42">
        <f>IF($H945="","",MAX(0,$H945-N($E945)))</f>
        <v/>
      </c>
      <c r="J945" s="42">
        <f>IF($H945="","",MAX(0,$H945-N($G945)))</f>
        <v/>
      </c>
    </row>
    <row r="946" ht="19.5" customHeight="1" s="72">
      <c r="A946" s="38" t="inlineStr">
        <is>
          <t>BaobáM-OCT-P08-SIR</t>
        </is>
      </c>
      <c r="B946" s="38" t="inlineStr">
        <is>
          <t>Octavas</t>
        </is>
      </c>
      <c r="C946" s="38" t="inlineStr">
        <is>
          <t>Siriuna</t>
        </is>
      </c>
      <c r="D946" s="39">
        <f>IFERROR('CLASIF_Baobá_M'!$F$12,"")</f>
        <v/>
      </c>
      <c r="E946" s="40" t="n"/>
      <c r="F946" s="39">
        <f>IFERROR('CLASIF_Baobá_M'!$F$13,"")</f>
        <v/>
      </c>
      <c r="G946" s="40" t="n"/>
      <c r="H946" s="41" t="n"/>
      <c r="I946" s="42">
        <f>IF($H946="","",MAX(0,$H946-N($E946)))</f>
        <v/>
      </c>
      <c r="J946" s="42">
        <f>IF($H946="","",MAX(0,$H946-N($G946)))</f>
        <v/>
      </c>
    </row>
    <row r="947" ht="19.5" customHeight="1" s="72">
      <c r="A947" s="38" t="inlineStr">
        <is>
          <t>BaobáM-SEM-P01-SBA</t>
        </is>
      </c>
      <c r="B947" s="38" t="inlineStr">
        <is>
          <t>Semifinal</t>
        </is>
      </c>
      <c r="C947" s="38" t="inlineStr">
        <is>
          <t>São Bento da Abadá</t>
        </is>
      </c>
      <c r="D947" s="39">
        <f>IFERROR('CLASIF_Baobá_M'!$O$5,"")</f>
        <v/>
      </c>
      <c r="E947" s="40" t="n"/>
      <c r="F947" s="39">
        <f>IFERROR('CLASIF_Baobá_M'!$O$12,"")</f>
        <v/>
      </c>
      <c r="G947" s="40" t="n"/>
      <c r="H947" s="41" t="n"/>
      <c r="I947" s="42">
        <f>IF($H947="","",MAX(0,$H947-N($E947)))</f>
        <v/>
      </c>
      <c r="J947" s="42">
        <f>IF($H947="","",MAX(0,$H947-N($G947)))</f>
        <v/>
      </c>
    </row>
    <row r="948" ht="19.5" customHeight="1" s="72">
      <c r="A948" s="38" t="inlineStr">
        <is>
          <t>BaobáM-SEM-P01-BEN</t>
        </is>
      </c>
      <c r="B948" s="38" t="inlineStr">
        <is>
          <t>Semifinal</t>
        </is>
      </c>
      <c r="C948" s="38" t="inlineStr">
        <is>
          <t>Benguela</t>
        </is>
      </c>
      <c r="D948" s="39">
        <f>IFERROR('CLASIF_Baobá_M'!$O$5,"")</f>
        <v/>
      </c>
      <c r="E948" s="40" t="n"/>
      <c r="F948" s="39">
        <f>IFERROR('CLASIF_Baobá_M'!$O$12,"")</f>
        <v/>
      </c>
      <c r="G948" s="40" t="n"/>
      <c r="H948" s="41" t="n"/>
      <c r="I948" s="42">
        <f>IF($H948="","",MAX(0,$H948-N($E948)))</f>
        <v/>
      </c>
      <c r="J948" s="42">
        <f>IF($H948="","",MAX(0,$H948-N($G948)))</f>
        <v/>
      </c>
    </row>
    <row r="949" ht="19.5" customHeight="1" s="72">
      <c r="A949" s="38" t="inlineStr">
        <is>
          <t>BaobáM-SEM-P01-SIR</t>
        </is>
      </c>
      <c r="B949" s="38" t="inlineStr">
        <is>
          <t>Semifinal</t>
        </is>
      </c>
      <c r="C949" s="38" t="inlineStr">
        <is>
          <t>Siriuna</t>
        </is>
      </c>
      <c r="D949" s="39">
        <f>IFERROR('CLASIF_Baobá_M'!$O$5,"")</f>
        <v/>
      </c>
      <c r="E949" s="40" t="n"/>
      <c r="F949" s="39">
        <f>IFERROR('CLASIF_Baobá_M'!$O$12,"")</f>
        <v/>
      </c>
      <c r="G949" s="40" t="n"/>
      <c r="H949" s="41" t="n"/>
      <c r="I949" s="42">
        <f>IF($H949="","",MAX(0,$H949-N($E949)))</f>
        <v/>
      </c>
      <c r="J949" s="42">
        <f>IF($H949="","",MAX(0,$H949-N($G949)))</f>
        <v/>
      </c>
    </row>
    <row r="950" ht="19.5" customHeight="1" s="72">
      <c r="A950" s="38" t="inlineStr">
        <is>
          <t>BaobáM-SEM-P02-SBA</t>
        </is>
      </c>
      <c r="B950" s="38" t="inlineStr">
        <is>
          <t>Semifinal</t>
        </is>
      </c>
      <c r="C950" s="38" t="inlineStr">
        <is>
          <t>São Bento da Abadá</t>
        </is>
      </c>
      <c r="D950" s="39">
        <f>IFERROR('CLASIF_Baobá_M'!$O$6,"")</f>
        <v/>
      </c>
      <c r="E950" s="40" t="n"/>
      <c r="F950" s="39">
        <f>IFERROR('CLASIF_Baobá_M'!$O$11,"")</f>
        <v/>
      </c>
      <c r="G950" s="40" t="n"/>
      <c r="H950" s="41" t="n"/>
      <c r="I950" s="42">
        <f>IF($H950="","",MAX(0,$H950-N($E950)))</f>
        <v/>
      </c>
      <c r="J950" s="42">
        <f>IF($H950="","",MAX(0,$H950-N($G950)))</f>
        <v/>
      </c>
    </row>
    <row r="951" ht="19.5" customHeight="1" s="72">
      <c r="A951" s="38" t="inlineStr">
        <is>
          <t>BaobáM-SEM-P02-BEN</t>
        </is>
      </c>
      <c r="B951" s="38" t="inlineStr">
        <is>
          <t>Semifinal</t>
        </is>
      </c>
      <c r="C951" s="38" t="inlineStr">
        <is>
          <t>Benguela</t>
        </is>
      </c>
      <c r="D951" s="39">
        <f>IFERROR('CLASIF_Baobá_M'!$O$6,"")</f>
        <v/>
      </c>
      <c r="E951" s="40" t="n"/>
      <c r="F951" s="39">
        <f>IFERROR('CLASIF_Baobá_M'!$O$11,"")</f>
        <v/>
      </c>
      <c r="G951" s="40" t="n"/>
      <c r="H951" s="41" t="n"/>
      <c r="I951" s="42">
        <f>IF($H951="","",MAX(0,$H951-N($E951)))</f>
        <v/>
      </c>
      <c r="J951" s="42">
        <f>IF($H951="","",MAX(0,$H951-N($G951)))</f>
        <v/>
      </c>
    </row>
    <row r="952" ht="19.5" customHeight="1" s="72">
      <c r="A952" s="38" t="inlineStr">
        <is>
          <t>BaobáM-SEM-P02-SIR</t>
        </is>
      </c>
      <c r="B952" s="38" t="inlineStr">
        <is>
          <t>Semifinal</t>
        </is>
      </c>
      <c r="C952" s="38" t="inlineStr">
        <is>
          <t>Siriuna</t>
        </is>
      </c>
      <c r="D952" s="39">
        <f>IFERROR('CLASIF_Baobá_M'!$O$6,"")</f>
        <v/>
      </c>
      <c r="E952" s="40" t="n"/>
      <c r="F952" s="39">
        <f>IFERROR('CLASIF_Baobá_M'!$O$11,"")</f>
        <v/>
      </c>
      <c r="G952" s="40" t="n"/>
      <c r="H952" s="41" t="n"/>
      <c r="I952" s="42">
        <f>IF($H952="","",MAX(0,$H952-N($E952)))</f>
        <v/>
      </c>
      <c r="J952" s="42">
        <f>IF($H952="","",MAX(0,$H952-N($G952)))</f>
        <v/>
      </c>
    </row>
    <row r="953" ht="19.5" customHeight="1" s="72">
      <c r="A953" s="38" t="inlineStr">
        <is>
          <t>BaobáM-SEM-P03-SBA</t>
        </is>
      </c>
      <c r="B953" s="38" t="inlineStr">
        <is>
          <t>Semifinal</t>
        </is>
      </c>
      <c r="C953" s="38" t="inlineStr">
        <is>
          <t>São Bento da Abadá</t>
        </is>
      </c>
      <c r="D953" s="39">
        <f>IFERROR('CLASIF_Baobá_M'!$O$7,"")</f>
        <v/>
      </c>
      <c r="E953" s="40" t="n"/>
      <c r="F953" s="39">
        <f>IFERROR('CLASIF_Baobá_M'!$O$10,"")</f>
        <v/>
      </c>
      <c r="G953" s="40" t="n"/>
      <c r="H953" s="41" t="n"/>
      <c r="I953" s="42">
        <f>IF($H953="","",MAX(0,$H953-N($E953)))</f>
        <v/>
      </c>
      <c r="J953" s="42">
        <f>IF($H953="","",MAX(0,$H953-N($G953)))</f>
        <v/>
      </c>
    </row>
    <row r="954" ht="19.5" customHeight="1" s="72">
      <c r="A954" s="38" t="inlineStr">
        <is>
          <t>BaobáM-SEM-P03-BEN</t>
        </is>
      </c>
      <c r="B954" s="38" t="inlineStr">
        <is>
          <t>Semifinal</t>
        </is>
      </c>
      <c r="C954" s="38" t="inlineStr">
        <is>
          <t>Benguela</t>
        </is>
      </c>
      <c r="D954" s="39">
        <f>IFERROR('CLASIF_Baobá_M'!$O$7,"")</f>
        <v/>
      </c>
      <c r="E954" s="40" t="n"/>
      <c r="F954" s="39">
        <f>IFERROR('CLASIF_Baobá_M'!$O$10,"")</f>
        <v/>
      </c>
      <c r="G954" s="40" t="n"/>
      <c r="H954" s="41" t="n"/>
      <c r="I954" s="42">
        <f>IF($H954="","",MAX(0,$H954-N($E954)))</f>
        <v/>
      </c>
      <c r="J954" s="42">
        <f>IF($H954="","",MAX(0,$H954-N($G954)))</f>
        <v/>
      </c>
    </row>
    <row r="955" ht="19.5" customHeight="1" s="72">
      <c r="A955" s="38" t="inlineStr">
        <is>
          <t>BaobáM-SEM-P03-SIR</t>
        </is>
      </c>
      <c r="B955" s="38" t="inlineStr">
        <is>
          <t>Semifinal</t>
        </is>
      </c>
      <c r="C955" s="38" t="inlineStr">
        <is>
          <t>Siriuna</t>
        </is>
      </c>
      <c r="D955" s="39">
        <f>IFERROR('CLASIF_Baobá_M'!$O$7,"")</f>
        <v/>
      </c>
      <c r="E955" s="40" t="n"/>
      <c r="F955" s="39">
        <f>IFERROR('CLASIF_Baobá_M'!$O$10,"")</f>
        <v/>
      </c>
      <c r="G955" s="40" t="n"/>
      <c r="H955" s="41" t="n"/>
      <c r="I955" s="42">
        <f>IF($H955="","",MAX(0,$H955-N($E955)))</f>
        <v/>
      </c>
      <c r="J955" s="42">
        <f>IF($H955="","",MAX(0,$H955-N($G955)))</f>
        <v/>
      </c>
    </row>
    <row r="956" ht="19.5" customHeight="1" s="72">
      <c r="A956" s="38" t="inlineStr">
        <is>
          <t>BaobáM-SEM-P04-SBA</t>
        </is>
      </c>
      <c r="B956" s="38" t="inlineStr">
        <is>
          <t>Semifinal</t>
        </is>
      </c>
      <c r="C956" s="38" t="inlineStr">
        <is>
          <t>São Bento da Abadá</t>
        </is>
      </c>
      <c r="D956" s="39">
        <f>IFERROR('CLASIF_Baobá_M'!$O$8,"")</f>
        <v/>
      </c>
      <c r="E956" s="40" t="n"/>
      <c r="F956" s="39">
        <f>IFERROR('CLASIF_Baobá_M'!$O$9,"")</f>
        <v/>
      </c>
      <c r="G956" s="40" t="n"/>
      <c r="H956" s="41" t="n"/>
      <c r="I956" s="42">
        <f>IF($H956="","",MAX(0,$H956-N($E956)))</f>
        <v/>
      </c>
      <c r="J956" s="42">
        <f>IF($H956="","",MAX(0,$H956-N($G956)))</f>
        <v/>
      </c>
    </row>
    <row r="957" ht="19.5" customHeight="1" s="72">
      <c r="A957" s="38" t="inlineStr">
        <is>
          <t>BaobáM-SEM-P04-BEN</t>
        </is>
      </c>
      <c r="B957" s="38" t="inlineStr">
        <is>
          <t>Semifinal</t>
        </is>
      </c>
      <c r="C957" s="38" t="inlineStr">
        <is>
          <t>Benguela</t>
        </is>
      </c>
      <c r="D957" s="39">
        <f>IFERROR('CLASIF_Baobá_M'!$O$8,"")</f>
        <v/>
      </c>
      <c r="E957" s="40" t="n"/>
      <c r="F957" s="39">
        <f>IFERROR('CLASIF_Baobá_M'!$O$9,"")</f>
        <v/>
      </c>
      <c r="G957" s="40" t="n"/>
      <c r="H957" s="41" t="n"/>
      <c r="I957" s="42">
        <f>IF($H957="","",MAX(0,$H957-N($E957)))</f>
        <v/>
      </c>
      <c r="J957" s="42">
        <f>IF($H957="","",MAX(0,$H957-N($G957)))</f>
        <v/>
      </c>
    </row>
    <row r="958" ht="19.5" customHeight="1" s="72">
      <c r="A958" s="38" t="inlineStr">
        <is>
          <t>BaobáM-SEM-P04-SIR</t>
        </is>
      </c>
      <c r="B958" s="38" t="inlineStr">
        <is>
          <t>Semifinal</t>
        </is>
      </c>
      <c r="C958" s="38" t="inlineStr">
        <is>
          <t>Siriuna</t>
        </is>
      </c>
      <c r="D958" s="39">
        <f>IFERROR('CLASIF_Baobá_M'!$O$8,"")</f>
        <v/>
      </c>
      <c r="E958" s="40" t="n"/>
      <c r="F958" s="39">
        <f>IFERROR('CLASIF_Baobá_M'!$O$9,"")</f>
        <v/>
      </c>
      <c r="G958" s="40" t="n"/>
      <c r="H958" s="41" t="n"/>
      <c r="I958" s="42">
        <f>IF($H958="","",MAX(0,$H958-N($E958)))</f>
        <v/>
      </c>
      <c r="J958" s="42">
        <f>IF($H958="","",MAX(0,$H958-N($G958)))</f>
        <v/>
      </c>
    </row>
    <row r="959" ht="19.5" customHeight="1" s="72">
      <c r="A959" s="38" t="inlineStr">
        <is>
          <t>BaobáM-FIN-P01-SBA</t>
        </is>
      </c>
      <c r="B959" s="38" t="inlineStr">
        <is>
          <t>Final</t>
        </is>
      </c>
      <c r="C959" s="38" t="inlineStr">
        <is>
          <t>São Bento da Abadá</t>
        </is>
      </c>
      <c r="D959" s="39">
        <f>IFERROR('CLASIF_Baobá_M'!$X$5,"")</f>
        <v/>
      </c>
      <c r="E959" s="40" t="n"/>
      <c r="F959" s="39">
        <f>IFERROR('CLASIF_Baobá_M'!$X$8,"")</f>
        <v/>
      </c>
      <c r="G959" s="40" t="n"/>
      <c r="H959" s="41" t="n"/>
      <c r="I959" s="42">
        <f>IF($H959="","",MAX(0,$H959-N($E959)))</f>
        <v/>
      </c>
      <c r="J959" s="42">
        <f>IF($H959="","",MAX(0,$H959-N($G959)))</f>
        <v/>
      </c>
    </row>
    <row r="960" ht="19.5" customHeight="1" s="72">
      <c r="A960" s="38" t="inlineStr">
        <is>
          <t>BaobáM-FIN-P01-BEN</t>
        </is>
      </c>
      <c r="B960" s="38" t="inlineStr">
        <is>
          <t>Final</t>
        </is>
      </c>
      <c r="C960" s="38" t="inlineStr">
        <is>
          <t>Benguela</t>
        </is>
      </c>
      <c r="D960" s="39">
        <f>IFERROR('CLASIF_Baobá_M'!$X$5,"")</f>
        <v/>
      </c>
      <c r="E960" s="40" t="n"/>
      <c r="F960" s="39">
        <f>IFERROR('CLASIF_Baobá_M'!$X$8,"")</f>
        <v/>
      </c>
      <c r="G960" s="40" t="n"/>
      <c r="H960" s="41" t="n"/>
      <c r="I960" s="42">
        <f>IF($H960="","",MAX(0,$H960-N($E960)))</f>
        <v/>
      </c>
      <c r="J960" s="42">
        <f>IF($H960="","",MAX(0,$H960-N($G960)))</f>
        <v/>
      </c>
    </row>
    <row r="961" ht="19.5" customHeight="1" s="72">
      <c r="A961" s="38" t="inlineStr">
        <is>
          <t>BaobáM-FIN-P01-SIR</t>
        </is>
      </c>
      <c r="B961" s="38" t="inlineStr">
        <is>
          <t>Final</t>
        </is>
      </c>
      <c r="C961" s="38" t="inlineStr">
        <is>
          <t>Siriuna</t>
        </is>
      </c>
      <c r="D961" s="39">
        <f>IFERROR('CLASIF_Baobá_M'!$X$5,"")</f>
        <v/>
      </c>
      <c r="E961" s="40" t="n"/>
      <c r="F961" s="39">
        <f>IFERROR('CLASIF_Baobá_M'!$X$8,"")</f>
        <v/>
      </c>
      <c r="G961" s="40" t="n"/>
      <c r="H961" s="41" t="n"/>
      <c r="I961" s="42">
        <f>IF($H961="","",MAX(0,$H961-N($E961)))</f>
        <v/>
      </c>
      <c r="J961" s="42">
        <f>IF($H961="","",MAX(0,$H961-N($G961)))</f>
        <v/>
      </c>
    </row>
    <row r="962" ht="19.5" customHeight="1" s="72">
      <c r="A962" s="38" t="inlineStr">
        <is>
          <t>BaobáM-FIN-P02-SBA</t>
        </is>
      </c>
      <c r="B962" s="38" t="inlineStr">
        <is>
          <t>Final</t>
        </is>
      </c>
      <c r="C962" s="38" t="inlineStr">
        <is>
          <t>São Bento da Abadá</t>
        </is>
      </c>
      <c r="D962" s="39">
        <f>IFERROR('CLASIF_Baobá_M'!$X$6,"")</f>
        <v/>
      </c>
      <c r="E962" s="40" t="n"/>
      <c r="F962" s="39">
        <f>IFERROR('CLASIF_Baobá_M'!$X$7,"")</f>
        <v/>
      </c>
      <c r="G962" s="40" t="n"/>
      <c r="H962" s="41" t="n"/>
      <c r="I962" s="42">
        <f>IF($H962="","",MAX(0,$H962-N($E962)))</f>
        <v/>
      </c>
      <c r="J962" s="42">
        <f>IF($H962="","",MAX(0,$H962-N($G962)))</f>
        <v/>
      </c>
    </row>
    <row r="963" ht="19.5" customHeight="1" s="72">
      <c r="A963" s="38" t="inlineStr">
        <is>
          <t>BaobáM-FIN-P02-BEN</t>
        </is>
      </c>
      <c r="B963" s="38" t="inlineStr">
        <is>
          <t>Final</t>
        </is>
      </c>
      <c r="C963" s="38" t="inlineStr">
        <is>
          <t>Benguela</t>
        </is>
      </c>
      <c r="D963" s="39">
        <f>IFERROR('CLASIF_Baobá_M'!$X$6,"")</f>
        <v/>
      </c>
      <c r="E963" s="40" t="n"/>
      <c r="F963" s="39">
        <f>IFERROR('CLASIF_Baobá_M'!$X$7,"")</f>
        <v/>
      </c>
      <c r="G963" s="40" t="n"/>
      <c r="H963" s="41" t="n"/>
      <c r="I963" s="42">
        <f>IF($H963="","",MAX(0,$H963-N($E963)))</f>
        <v/>
      </c>
      <c r="J963" s="42">
        <f>IF($H963="","",MAX(0,$H963-N($G963)))</f>
        <v/>
      </c>
    </row>
    <row r="964" ht="19.5" customHeight="1" s="72">
      <c r="A964" s="38" t="inlineStr">
        <is>
          <t>BaobáM-FIN-P02-SIR</t>
        </is>
      </c>
      <c r="B964" s="38" t="inlineStr">
        <is>
          <t>Final</t>
        </is>
      </c>
      <c r="C964" s="38" t="inlineStr">
        <is>
          <t>Siriuna</t>
        </is>
      </c>
      <c r="D964" s="39">
        <f>IFERROR('CLASIF_Baobá_M'!$X$6,"")</f>
        <v/>
      </c>
      <c r="E964" s="40" t="n"/>
      <c r="F964" s="39">
        <f>IFERROR('CLASIF_Baobá_M'!$X$7,"")</f>
        <v/>
      </c>
      <c r="G964" s="40" t="n"/>
      <c r="H964" s="41" t="n"/>
      <c r="I964" s="42">
        <f>IF($H964="","",MAX(0,$H964-N($E964)))</f>
        <v/>
      </c>
      <c r="J964" s="42">
        <f>IF($H964="","",MAX(0,$H964-N($G964)))</f>
        <v/>
      </c>
    </row>
    <row r="965" ht="19.5" customHeight="1" s="72">
      <c r="A965" s="43" t="n"/>
      <c r="B965" s="43" t="n"/>
      <c r="C965" s="43" t="n"/>
      <c r="D965" s="43" t="n"/>
      <c r="E965" s="43" t="n"/>
      <c r="F965" s="43" t="n"/>
      <c r="G965" s="43" t="n"/>
      <c r="H965" s="44" t="n"/>
      <c r="I965" s="43">
        <f>IF($H965="","",MAX(0,$H965-N($E965)))</f>
        <v/>
      </c>
      <c r="J965" s="43">
        <f>IF($H965="","",MAX(0,$H965-N($G965)))</f>
        <v/>
      </c>
    </row>
    <row r="966" ht="19.5" customHeight="1" s="72">
      <c r="A966" s="85" t="inlineStr">
        <is>
          <t>═══ CATEGORÍA Baobá · Femenino · +45 años · Toques: São Bento da Abadá, Benguela, Siriuna ═══</t>
        </is>
      </c>
    </row>
    <row r="967" ht="19.5" customHeight="1" s="72">
      <c r="A967" s="45" t="inlineStr">
        <is>
          <t>Jogo</t>
        </is>
      </c>
      <c r="B967" s="45" t="inlineStr">
        <is>
          <t>Fase</t>
        </is>
      </c>
      <c r="C967" s="45" t="inlineStr">
        <is>
          <t>Toque</t>
        </is>
      </c>
      <c r="D967" s="45" t="inlineStr">
        <is>
          <t>Jugador A</t>
        </is>
      </c>
      <c r="E967" s="45" t="inlineStr">
        <is>
          <t>Quita A</t>
        </is>
      </c>
      <c r="F967" s="45" t="inlineStr">
        <is>
          <t>Jugador B</t>
        </is>
      </c>
      <c r="G967" s="45" t="inlineStr">
        <is>
          <t>Quita B</t>
        </is>
      </c>
      <c r="H967" s="45" t="inlineStr">
        <is>
          <t>NOTA (0-5)</t>
        </is>
      </c>
      <c r="I967" s="45">
        <f>IF($H967="","",MAX(0,$H967-N($E967)))</f>
        <v/>
      </c>
      <c r="J967" s="45">
        <f>IF($H967="","",MAX(0,$H967-N($G967)))</f>
        <v/>
      </c>
    </row>
    <row r="968" ht="19.5" customHeight="1" s="72">
      <c r="A968" s="38" t="inlineStr">
        <is>
          <t>BaobáF-32-P01-SBA</t>
        </is>
      </c>
      <c r="B968" s="38" t="inlineStr">
        <is>
          <t>Fase 32</t>
        </is>
      </c>
      <c r="C968" s="38" t="inlineStr">
        <is>
          <t>São Bento da Abadá</t>
        </is>
      </c>
      <c r="D968" s="39" t="inlineStr">
        <is>
          <t>A_Baobá_F_32_P1</t>
        </is>
      </c>
      <c r="E968" s="40" t="n"/>
      <c r="F968" s="39" t="inlineStr">
        <is>
          <t>B_Baobá_F_32_P1</t>
        </is>
      </c>
      <c r="G968" s="40" t="n"/>
      <c r="H968" s="41" t="n"/>
      <c r="I968" s="42">
        <f>IF($H968="","",MAX(0,$H968-N($E968)))</f>
        <v/>
      </c>
      <c r="J968" s="42">
        <f>IF($H968="","",MAX(0,$H968-N($G968)))</f>
        <v/>
      </c>
    </row>
    <row r="969" ht="19.5" customHeight="1" s="72">
      <c r="A969" s="38" t="inlineStr">
        <is>
          <t>BaobáF-32-P01-BEN</t>
        </is>
      </c>
      <c r="B969" s="38" t="inlineStr">
        <is>
          <t>Fase 32</t>
        </is>
      </c>
      <c r="C969" s="38" t="inlineStr">
        <is>
          <t>Benguela</t>
        </is>
      </c>
      <c r="D969" s="39" t="inlineStr">
        <is>
          <t>A_Baobá_F_32_P1</t>
        </is>
      </c>
      <c r="E969" s="40" t="n"/>
      <c r="F969" s="39" t="inlineStr">
        <is>
          <t>B_Baobá_F_32_P1</t>
        </is>
      </c>
      <c r="G969" s="40" t="n"/>
      <c r="H969" s="41" t="n"/>
      <c r="I969" s="42">
        <f>IF($H969="","",MAX(0,$H969-N($E969)))</f>
        <v/>
      </c>
      <c r="J969" s="42">
        <f>IF($H969="","",MAX(0,$H969-N($G969)))</f>
        <v/>
      </c>
    </row>
    <row r="970" ht="19.5" customHeight="1" s="72">
      <c r="A970" s="38" t="inlineStr">
        <is>
          <t>BaobáF-32-P01-SIR</t>
        </is>
      </c>
      <c r="B970" s="38" t="inlineStr">
        <is>
          <t>Fase 32</t>
        </is>
      </c>
      <c r="C970" s="38" t="inlineStr">
        <is>
          <t>Siriuna</t>
        </is>
      </c>
      <c r="D970" s="39" t="inlineStr">
        <is>
          <t>A_Baobá_F_32_P1</t>
        </is>
      </c>
      <c r="E970" s="40" t="n"/>
      <c r="F970" s="39" t="inlineStr">
        <is>
          <t>B_Baobá_F_32_P1</t>
        </is>
      </c>
      <c r="G970" s="40" t="n"/>
      <c r="H970" s="41" t="n"/>
      <c r="I970" s="42">
        <f>IF($H970="","",MAX(0,$H970-N($E970)))</f>
        <v/>
      </c>
      <c r="J970" s="42">
        <f>IF($H970="","",MAX(0,$H970-N($G970)))</f>
        <v/>
      </c>
    </row>
    <row r="971" ht="19.5" customHeight="1" s="72">
      <c r="A971" s="38" t="inlineStr">
        <is>
          <t>BaobáF-32-P02-SBA</t>
        </is>
      </c>
      <c r="B971" s="38" t="inlineStr">
        <is>
          <t>Fase 32</t>
        </is>
      </c>
      <c r="C971" s="38" t="inlineStr">
        <is>
          <t>São Bento da Abadá</t>
        </is>
      </c>
      <c r="D971" s="39" t="inlineStr">
        <is>
          <t>A_Baobá_F_32_P2</t>
        </is>
      </c>
      <c r="E971" s="40" t="n"/>
      <c r="F971" s="39" t="inlineStr">
        <is>
          <t>B_Baobá_F_32_P2</t>
        </is>
      </c>
      <c r="G971" s="40" t="n"/>
      <c r="H971" s="41" t="n"/>
      <c r="I971" s="42">
        <f>IF($H971="","",MAX(0,$H971-N($E971)))</f>
        <v/>
      </c>
      <c r="J971" s="42">
        <f>IF($H971="","",MAX(0,$H971-N($G971)))</f>
        <v/>
      </c>
    </row>
    <row r="972" ht="19.5" customHeight="1" s="72">
      <c r="A972" s="38" t="inlineStr">
        <is>
          <t>BaobáF-32-P02-BEN</t>
        </is>
      </c>
      <c r="B972" s="38" t="inlineStr">
        <is>
          <t>Fase 32</t>
        </is>
      </c>
      <c r="C972" s="38" t="inlineStr">
        <is>
          <t>Benguela</t>
        </is>
      </c>
      <c r="D972" s="39" t="inlineStr">
        <is>
          <t>A_Baobá_F_32_P2</t>
        </is>
      </c>
      <c r="E972" s="40" t="n"/>
      <c r="F972" s="39" t="inlineStr">
        <is>
          <t>B_Baobá_F_32_P2</t>
        </is>
      </c>
      <c r="G972" s="40" t="n"/>
      <c r="H972" s="41" t="n"/>
      <c r="I972" s="42">
        <f>IF($H972="","",MAX(0,$H972-N($E972)))</f>
        <v/>
      </c>
      <c r="J972" s="42">
        <f>IF($H972="","",MAX(0,$H972-N($G972)))</f>
        <v/>
      </c>
    </row>
    <row r="973" ht="19.5" customHeight="1" s="72">
      <c r="A973" s="38" t="inlineStr">
        <is>
          <t>BaobáF-32-P02-SIR</t>
        </is>
      </c>
      <c r="B973" s="38" t="inlineStr">
        <is>
          <t>Fase 32</t>
        </is>
      </c>
      <c r="C973" s="38" t="inlineStr">
        <is>
          <t>Siriuna</t>
        </is>
      </c>
      <c r="D973" s="39" t="inlineStr">
        <is>
          <t>A_Baobá_F_32_P2</t>
        </is>
      </c>
      <c r="E973" s="40" t="n"/>
      <c r="F973" s="39" t="inlineStr">
        <is>
          <t>B_Baobá_F_32_P2</t>
        </is>
      </c>
      <c r="G973" s="40" t="n"/>
      <c r="H973" s="41" t="n"/>
      <c r="I973" s="42">
        <f>IF($H973="","",MAX(0,$H973-N($E973)))</f>
        <v/>
      </c>
      <c r="J973" s="42">
        <f>IF($H973="","",MAX(0,$H973-N($G973)))</f>
        <v/>
      </c>
    </row>
    <row r="974" ht="19.5" customHeight="1" s="72">
      <c r="A974" s="38" t="inlineStr">
        <is>
          <t>BaobáF-32-P03-SBA</t>
        </is>
      </c>
      <c r="B974" s="38" t="inlineStr">
        <is>
          <t>Fase 32</t>
        </is>
      </c>
      <c r="C974" s="38" t="inlineStr">
        <is>
          <t>São Bento da Abadá</t>
        </is>
      </c>
      <c r="D974" s="39" t="inlineStr">
        <is>
          <t>A_Baobá_F_32_P3</t>
        </is>
      </c>
      <c r="E974" s="40" t="n"/>
      <c r="F974" s="39" t="inlineStr">
        <is>
          <t>B_Baobá_F_32_P3</t>
        </is>
      </c>
      <c r="G974" s="40" t="n"/>
      <c r="H974" s="41" t="n"/>
      <c r="I974" s="42">
        <f>IF($H974="","",MAX(0,$H974-N($E974)))</f>
        <v/>
      </c>
      <c r="J974" s="42">
        <f>IF($H974="","",MAX(0,$H974-N($G974)))</f>
        <v/>
      </c>
    </row>
    <row r="975" ht="19.5" customHeight="1" s="72">
      <c r="A975" s="38" t="inlineStr">
        <is>
          <t>BaobáF-32-P03-BEN</t>
        </is>
      </c>
      <c r="B975" s="38" t="inlineStr">
        <is>
          <t>Fase 32</t>
        </is>
      </c>
      <c r="C975" s="38" t="inlineStr">
        <is>
          <t>Benguela</t>
        </is>
      </c>
      <c r="D975" s="39" t="inlineStr">
        <is>
          <t>A_Baobá_F_32_P3</t>
        </is>
      </c>
      <c r="E975" s="40" t="n"/>
      <c r="F975" s="39" t="inlineStr">
        <is>
          <t>B_Baobá_F_32_P3</t>
        </is>
      </c>
      <c r="G975" s="40" t="n"/>
      <c r="H975" s="41" t="n"/>
      <c r="I975" s="42">
        <f>IF($H975="","",MAX(0,$H975-N($E975)))</f>
        <v/>
      </c>
      <c r="J975" s="42">
        <f>IF($H975="","",MAX(0,$H975-N($G975)))</f>
        <v/>
      </c>
    </row>
    <row r="976" ht="19.5" customHeight="1" s="72">
      <c r="A976" s="38" t="inlineStr">
        <is>
          <t>BaobáF-32-P03-SIR</t>
        </is>
      </c>
      <c r="B976" s="38" t="inlineStr">
        <is>
          <t>Fase 32</t>
        </is>
      </c>
      <c r="C976" s="38" t="inlineStr">
        <is>
          <t>Siriuna</t>
        </is>
      </c>
      <c r="D976" s="39" t="inlineStr">
        <is>
          <t>A_Baobá_F_32_P3</t>
        </is>
      </c>
      <c r="E976" s="40" t="n"/>
      <c r="F976" s="39" t="inlineStr">
        <is>
          <t>B_Baobá_F_32_P3</t>
        </is>
      </c>
      <c r="G976" s="40" t="n"/>
      <c r="H976" s="41" t="n"/>
      <c r="I976" s="42">
        <f>IF($H976="","",MAX(0,$H976-N($E976)))</f>
        <v/>
      </c>
      <c r="J976" s="42">
        <f>IF($H976="","",MAX(0,$H976-N($G976)))</f>
        <v/>
      </c>
    </row>
    <row r="977" ht="19.5" customHeight="1" s="72">
      <c r="A977" s="38" t="inlineStr">
        <is>
          <t>BaobáF-32-P04-SBA</t>
        </is>
      </c>
      <c r="B977" s="38" t="inlineStr">
        <is>
          <t>Fase 32</t>
        </is>
      </c>
      <c r="C977" s="38" t="inlineStr">
        <is>
          <t>São Bento da Abadá</t>
        </is>
      </c>
      <c r="D977" s="39" t="inlineStr">
        <is>
          <t>A_Baobá_F_32_P4</t>
        </is>
      </c>
      <c r="E977" s="40" t="n"/>
      <c r="F977" s="39" t="inlineStr">
        <is>
          <t>B_Baobá_F_32_P4</t>
        </is>
      </c>
      <c r="G977" s="40" t="n"/>
      <c r="H977" s="41" t="n"/>
      <c r="I977" s="42">
        <f>IF($H977="","",MAX(0,$H977-N($E977)))</f>
        <v/>
      </c>
      <c r="J977" s="42">
        <f>IF($H977="","",MAX(0,$H977-N($G977)))</f>
        <v/>
      </c>
    </row>
    <row r="978" ht="19.5" customHeight="1" s="72">
      <c r="A978" s="38" t="inlineStr">
        <is>
          <t>BaobáF-32-P04-BEN</t>
        </is>
      </c>
      <c r="B978" s="38" t="inlineStr">
        <is>
          <t>Fase 32</t>
        </is>
      </c>
      <c r="C978" s="38" t="inlineStr">
        <is>
          <t>Benguela</t>
        </is>
      </c>
      <c r="D978" s="39" t="inlineStr">
        <is>
          <t>A_Baobá_F_32_P4</t>
        </is>
      </c>
      <c r="E978" s="40" t="n"/>
      <c r="F978" s="39" t="inlineStr">
        <is>
          <t>B_Baobá_F_32_P4</t>
        </is>
      </c>
      <c r="G978" s="40" t="n"/>
      <c r="H978" s="41" t="n"/>
      <c r="I978" s="42">
        <f>IF($H978="","",MAX(0,$H978-N($E978)))</f>
        <v/>
      </c>
      <c r="J978" s="42">
        <f>IF($H978="","",MAX(0,$H978-N($G978)))</f>
        <v/>
      </c>
    </row>
    <row r="979" ht="19.5" customHeight="1" s="72">
      <c r="A979" s="38" t="inlineStr">
        <is>
          <t>BaobáF-32-P04-SIR</t>
        </is>
      </c>
      <c r="B979" s="38" t="inlineStr">
        <is>
          <t>Fase 32</t>
        </is>
      </c>
      <c r="C979" s="38" t="inlineStr">
        <is>
          <t>Siriuna</t>
        </is>
      </c>
      <c r="D979" s="39" t="inlineStr">
        <is>
          <t>A_Baobá_F_32_P4</t>
        </is>
      </c>
      <c r="E979" s="40" t="n"/>
      <c r="F979" s="39" t="inlineStr">
        <is>
          <t>B_Baobá_F_32_P4</t>
        </is>
      </c>
      <c r="G979" s="40" t="n"/>
      <c r="H979" s="41" t="n"/>
      <c r="I979" s="42">
        <f>IF($H979="","",MAX(0,$H979-N($E979)))</f>
        <v/>
      </c>
      <c r="J979" s="42">
        <f>IF($H979="","",MAX(0,$H979-N($G979)))</f>
        <v/>
      </c>
    </row>
    <row r="980" ht="19.5" customHeight="1" s="72">
      <c r="A980" s="38" t="inlineStr">
        <is>
          <t>BaobáF-32-P05-SBA</t>
        </is>
      </c>
      <c r="B980" s="38" t="inlineStr">
        <is>
          <t>Fase 32</t>
        </is>
      </c>
      <c r="C980" s="38" t="inlineStr">
        <is>
          <t>São Bento da Abadá</t>
        </is>
      </c>
      <c r="D980" s="39" t="inlineStr">
        <is>
          <t>A_Baobá_F_32_P5</t>
        </is>
      </c>
      <c r="E980" s="40" t="n"/>
      <c r="F980" s="39" t="inlineStr">
        <is>
          <t>B_Baobá_F_32_P5</t>
        </is>
      </c>
      <c r="G980" s="40" t="n"/>
      <c r="H980" s="41" t="n"/>
      <c r="I980" s="42">
        <f>IF($H980="","",MAX(0,$H980-N($E980)))</f>
        <v/>
      </c>
      <c r="J980" s="42">
        <f>IF($H980="","",MAX(0,$H980-N($G980)))</f>
        <v/>
      </c>
    </row>
    <row r="981" ht="19.5" customHeight="1" s="72">
      <c r="A981" s="38" t="inlineStr">
        <is>
          <t>BaobáF-32-P05-BEN</t>
        </is>
      </c>
      <c r="B981" s="38" t="inlineStr">
        <is>
          <t>Fase 32</t>
        </is>
      </c>
      <c r="C981" s="38" t="inlineStr">
        <is>
          <t>Benguela</t>
        </is>
      </c>
      <c r="D981" s="39" t="inlineStr">
        <is>
          <t>A_Baobá_F_32_P5</t>
        </is>
      </c>
      <c r="E981" s="40" t="n"/>
      <c r="F981" s="39" t="inlineStr">
        <is>
          <t>B_Baobá_F_32_P5</t>
        </is>
      </c>
      <c r="G981" s="40" t="n"/>
      <c r="H981" s="41" t="n"/>
      <c r="I981" s="42">
        <f>IF($H981="","",MAX(0,$H981-N($E981)))</f>
        <v/>
      </c>
      <c r="J981" s="42">
        <f>IF($H981="","",MAX(0,$H981-N($G981)))</f>
        <v/>
      </c>
    </row>
    <row r="982" ht="19.5" customHeight="1" s="72">
      <c r="A982" s="38" t="inlineStr">
        <is>
          <t>BaobáF-32-P05-SIR</t>
        </is>
      </c>
      <c r="B982" s="38" t="inlineStr">
        <is>
          <t>Fase 32</t>
        </is>
      </c>
      <c r="C982" s="38" t="inlineStr">
        <is>
          <t>Siriuna</t>
        </is>
      </c>
      <c r="D982" s="39" t="inlineStr">
        <is>
          <t>A_Baobá_F_32_P5</t>
        </is>
      </c>
      <c r="E982" s="40" t="n"/>
      <c r="F982" s="39" t="inlineStr">
        <is>
          <t>B_Baobá_F_32_P5</t>
        </is>
      </c>
      <c r="G982" s="40" t="n"/>
      <c r="H982" s="41" t="n"/>
      <c r="I982" s="42">
        <f>IF($H982="","",MAX(0,$H982-N($E982)))</f>
        <v/>
      </c>
      <c r="J982" s="42">
        <f>IF($H982="","",MAX(0,$H982-N($G982)))</f>
        <v/>
      </c>
    </row>
    <row r="983" ht="19.5" customHeight="1" s="72">
      <c r="A983" s="38" t="inlineStr">
        <is>
          <t>BaobáF-32-P06-SBA</t>
        </is>
      </c>
      <c r="B983" s="38" t="inlineStr">
        <is>
          <t>Fase 32</t>
        </is>
      </c>
      <c r="C983" s="38" t="inlineStr">
        <is>
          <t>São Bento da Abadá</t>
        </is>
      </c>
      <c r="D983" s="39" t="inlineStr">
        <is>
          <t>A_Baobá_F_32_P6</t>
        </is>
      </c>
      <c r="E983" s="40" t="n"/>
      <c r="F983" s="39" t="inlineStr">
        <is>
          <t>B_Baobá_F_32_P6</t>
        </is>
      </c>
      <c r="G983" s="40" t="n"/>
      <c r="H983" s="41" t="n"/>
      <c r="I983" s="42">
        <f>IF($H983="","",MAX(0,$H983-N($E983)))</f>
        <v/>
      </c>
      <c r="J983" s="42">
        <f>IF($H983="","",MAX(0,$H983-N($G983)))</f>
        <v/>
      </c>
    </row>
    <row r="984" ht="19.5" customHeight="1" s="72">
      <c r="A984" s="38" t="inlineStr">
        <is>
          <t>BaobáF-32-P06-BEN</t>
        </is>
      </c>
      <c r="B984" s="38" t="inlineStr">
        <is>
          <t>Fase 32</t>
        </is>
      </c>
      <c r="C984" s="38" t="inlineStr">
        <is>
          <t>Benguela</t>
        </is>
      </c>
      <c r="D984" s="39" t="inlineStr">
        <is>
          <t>A_Baobá_F_32_P6</t>
        </is>
      </c>
      <c r="E984" s="40" t="n"/>
      <c r="F984" s="39" t="inlineStr">
        <is>
          <t>B_Baobá_F_32_P6</t>
        </is>
      </c>
      <c r="G984" s="40" t="n"/>
      <c r="H984" s="41" t="n"/>
      <c r="I984" s="42">
        <f>IF($H984="","",MAX(0,$H984-N($E984)))</f>
        <v/>
      </c>
      <c r="J984" s="42">
        <f>IF($H984="","",MAX(0,$H984-N($G984)))</f>
        <v/>
      </c>
    </row>
    <row r="985" ht="19.5" customHeight="1" s="72">
      <c r="A985" s="38" t="inlineStr">
        <is>
          <t>BaobáF-32-P06-SIR</t>
        </is>
      </c>
      <c r="B985" s="38" t="inlineStr">
        <is>
          <t>Fase 32</t>
        </is>
      </c>
      <c r="C985" s="38" t="inlineStr">
        <is>
          <t>Siriuna</t>
        </is>
      </c>
      <c r="D985" s="39" t="inlineStr">
        <is>
          <t>A_Baobá_F_32_P6</t>
        </is>
      </c>
      <c r="E985" s="40" t="n"/>
      <c r="F985" s="39" t="inlineStr">
        <is>
          <t>B_Baobá_F_32_P6</t>
        </is>
      </c>
      <c r="G985" s="40" t="n"/>
      <c r="H985" s="41" t="n"/>
      <c r="I985" s="42">
        <f>IF($H985="","",MAX(0,$H985-N($E985)))</f>
        <v/>
      </c>
      <c r="J985" s="42">
        <f>IF($H985="","",MAX(0,$H985-N($G985)))</f>
        <v/>
      </c>
    </row>
    <row r="986" ht="19.5" customHeight="1" s="72">
      <c r="A986" s="38" t="inlineStr">
        <is>
          <t>BaobáF-32-P07-SBA</t>
        </is>
      </c>
      <c r="B986" s="38" t="inlineStr">
        <is>
          <t>Fase 32</t>
        </is>
      </c>
      <c r="C986" s="38" t="inlineStr">
        <is>
          <t>São Bento da Abadá</t>
        </is>
      </c>
      <c r="D986" s="39" t="inlineStr">
        <is>
          <t>A_Baobá_F_32_P7</t>
        </is>
      </c>
      <c r="E986" s="40" t="n"/>
      <c r="F986" s="39" t="inlineStr">
        <is>
          <t>B_Baobá_F_32_P7</t>
        </is>
      </c>
      <c r="G986" s="40" t="n"/>
      <c r="H986" s="41" t="n"/>
      <c r="I986" s="42">
        <f>IF($H986="","",MAX(0,$H986-N($E986)))</f>
        <v/>
      </c>
      <c r="J986" s="42">
        <f>IF($H986="","",MAX(0,$H986-N($G986)))</f>
        <v/>
      </c>
    </row>
    <row r="987" ht="19.5" customHeight="1" s="72">
      <c r="A987" s="38" t="inlineStr">
        <is>
          <t>BaobáF-32-P07-BEN</t>
        </is>
      </c>
      <c r="B987" s="38" t="inlineStr">
        <is>
          <t>Fase 32</t>
        </is>
      </c>
      <c r="C987" s="38" t="inlineStr">
        <is>
          <t>Benguela</t>
        </is>
      </c>
      <c r="D987" s="39" t="inlineStr">
        <is>
          <t>A_Baobá_F_32_P7</t>
        </is>
      </c>
      <c r="E987" s="40" t="n"/>
      <c r="F987" s="39" t="inlineStr">
        <is>
          <t>B_Baobá_F_32_P7</t>
        </is>
      </c>
      <c r="G987" s="40" t="n"/>
      <c r="H987" s="41" t="n"/>
      <c r="I987" s="42">
        <f>IF($H987="","",MAX(0,$H987-N($E987)))</f>
        <v/>
      </c>
      <c r="J987" s="42">
        <f>IF($H987="","",MAX(0,$H987-N($G987)))</f>
        <v/>
      </c>
    </row>
    <row r="988" ht="19.5" customHeight="1" s="72">
      <c r="A988" s="38" t="inlineStr">
        <is>
          <t>BaobáF-32-P07-SIR</t>
        </is>
      </c>
      <c r="B988" s="38" t="inlineStr">
        <is>
          <t>Fase 32</t>
        </is>
      </c>
      <c r="C988" s="38" t="inlineStr">
        <is>
          <t>Siriuna</t>
        </is>
      </c>
      <c r="D988" s="39" t="inlineStr">
        <is>
          <t>A_Baobá_F_32_P7</t>
        </is>
      </c>
      <c r="E988" s="40" t="n"/>
      <c r="F988" s="39" t="inlineStr">
        <is>
          <t>B_Baobá_F_32_P7</t>
        </is>
      </c>
      <c r="G988" s="40" t="n"/>
      <c r="H988" s="41" t="n"/>
      <c r="I988" s="42">
        <f>IF($H988="","",MAX(0,$H988-N($E988)))</f>
        <v/>
      </c>
      <c r="J988" s="42">
        <f>IF($H988="","",MAX(0,$H988-N($G988)))</f>
        <v/>
      </c>
    </row>
    <row r="989" ht="19.5" customHeight="1" s="72">
      <c r="A989" s="38" t="inlineStr">
        <is>
          <t>BaobáF-32-P08-SBA</t>
        </is>
      </c>
      <c r="B989" s="38" t="inlineStr">
        <is>
          <t>Fase 32</t>
        </is>
      </c>
      <c r="C989" s="38" t="inlineStr">
        <is>
          <t>São Bento da Abadá</t>
        </is>
      </c>
      <c r="D989" s="39" t="inlineStr">
        <is>
          <t>A_Baobá_F_32_P8</t>
        </is>
      </c>
      <c r="E989" s="40" t="n"/>
      <c r="F989" s="39" t="inlineStr">
        <is>
          <t>B_Baobá_F_32_P8</t>
        </is>
      </c>
      <c r="G989" s="40" t="n"/>
      <c r="H989" s="41" t="n"/>
      <c r="I989" s="42">
        <f>IF($H989="","",MAX(0,$H989-N($E989)))</f>
        <v/>
      </c>
      <c r="J989" s="42">
        <f>IF($H989="","",MAX(0,$H989-N($G989)))</f>
        <v/>
      </c>
    </row>
    <row r="990" ht="19.5" customHeight="1" s="72">
      <c r="A990" s="38" t="inlineStr">
        <is>
          <t>BaobáF-32-P08-BEN</t>
        </is>
      </c>
      <c r="B990" s="38" t="inlineStr">
        <is>
          <t>Fase 32</t>
        </is>
      </c>
      <c r="C990" s="38" t="inlineStr">
        <is>
          <t>Benguela</t>
        </is>
      </c>
      <c r="D990" s="39" t="inlineStr">
        <is>
          <t>A_Baobá_F_32_P8</t>
        </is>
      </c>
      <c r="E990" s="40" t="n"/>
      <c r="F990" s="39" t="inlineStr">
        <is>
          <t>B_Baobá_F_32_P8</t>
        </is>
      </c>
      <c r="G990" s="40" t="n"/>
      <c r="H990" s="41" t="n"/>
      <c r="I990" s="42">
        <f>IF($H990="","",MAX(0,$H990-N($E990)))</f>
        <v/>
      </c>
      <c r="J990" s="42">
        <f>IF($H990="","",MAX(0,$H990-N($G990)))</f>
        <v/>
      </c>
    </row>
    <row r="991" ht="19.5" customHeight="1" s="72">
      <c r="A991" s="38" t="inlineStr">
        <is>
          <t>BaobáF-32-P08-SIR</t>
        </is>
      </c>
      <c r="B991" s="38" t="inlineStr">
        <is>
          <t>Fase 32</t>
        </is>
      </c>
      <c r="C991" s="38" t="inlineStr">
        <is>
          <t>Siriuna</t>
        </is>
      </c>
      <c r="D991" s="39" t="inlineStr">
        <is>
          <t>A_Baobá_F_32_P8</t>
        </is>
      </c>
      <c r="E991" s="40" t="n"/>
      <c r="F991" s="39" t="inlineStr">
        <is>
          <t>B_Baobá_F_32_P8</t>
        </is>
      </c>
      <c r="G991" s="40" t="n"/>
      <c r="H991" s="41" t="n"/>
      <c r="I991" s="42">
        <f>IF($H991="","",MAX(0,$H991-N($E991)))</f>
        <v/>
      </c>
      <c r="J991" s="42">
        <f>IF($H991="","",MAX(0,$H991-N($G991)))</f>
        <v/>
      </c>
    </row>
    <row r="992" ht="19.5" customHeight="1" s="72">
      <c r="A992" s="38" t="inlineStr">
        <is>
          <t>BaobáF-32-P09-SBA</t>
        </is>
      </c>
      <c r="B992" s="38" t="inlineStr">
        <is>
          <t>Fase 32</t>
        </is>
      </c>
      <c r="C992" s="38" t="inlineStr">
        <is>
          <t>São Bento da Abadá</t>
        </is>
      </c>
      <c r="D992" s="39" t="inlineStr">
        <is>
          <t>A_Baobá_F_32_P9</t>
        </is>
      </c>
      <c r="E992" s="40" t="n"/>
      <c r="F992" s="39" t="inlineStr">
        <is>
          <t>B_Baobá_F_32_P9</t>
        </is>
      </c>
      <c r="G992" s="40" t="n"/>
      <c r="H992" s="41" t="n"/>
      <c r="I992" s="42">
        <f>IF($H992="","",MAX(0,$H992-N($E992)))</f>
        <v/>
      </c>
      <c r="J992" s="42">
        <f>IF($H992="","",MAX(0,$H992-N($G992)))</f>
        <v/>
      </c>
    </row>
    <row r="993" ht="19.5" customHeight="1" s="72">
      <c r="A993" s="38" t="inlineStr">
        <is>
          <t>BaobáF-32-P09-BEN</t>
        </is>
      </c>
      <c r="B993" s="38" t="inlineStr">
        <is>
          <t>Fase 32</t>
        </is>
      </c>
      <c r="C993" s="38" t="inlineStr">
        <is>
          <t>Benguela</t>
        </is>
      </c>
      <c r="D993" s="39" t="inlineStr">
        <is>
          <t>A_Baobá_F_32_P9</t>
        </is>
      </c>
      <c r="E993" s="40" t="n"/>
      <c r="F993" s="39" t="inlineStr">
        <is>
          <t>B_Baobá_F_32_P9</t>
        </is>
      </c>
      <c r="G993" s="40" t="n"/>
      <c r="H993" s="41" t="n"/>
      <c r="I993" s="42">
        <f>IF($H993="","",MAX(0,$H993-N($E993)))</f>
        <v/>
      </c>
      <c r="J993" s="42">
        <f>IF($H993="","",MAX(0,$H993-N($G993)))</f>
        <v/>
      </c>
    </row>
    <row r="994" ht="19.5" customHeight="1" s="72">
      <c r="A994" s="38" t="inlineStr">
        <is>
          <t>BaobáF-32-P09-SIR</t>
        </is>
      </c>
      <c r="B994" s="38" t="inlineStr">
        <is>
          <t>Fase 32</t>
        </is>
      </c>
      <c r="C994" s="38" t="inlineStr">
        <is>
          <t>Siriuna</t>
        </is>
      </c>
      <c r="D994" s="39" t="inlineStr">
        <is>
          <t>A_Baobá_F_32_P9</t>
        </is>
      </c>
      <c r="E994" s="40" t="n"/>
      <c r="F994" s="39" t="inlineStr">
        <is>
          <t>B_Baobá_F_32_P9</t>
        </is>
      </c>
      <c r="G994" s="40" t="n"/>
      <c r="H994" s="41" t="n"/>
      <c r="I994" s="42">
        <f>IF($H994="","",MAX(0,$H994-N($E994)))</f>
        <v/>
      </c>
      <c r="J994" s="42">
        <f>IF($H994="","",MAX(0,$H994-N($G994)))</f>
        <v/>
      </c>
    </row>
    <row r="995" ht="19.5" customHeight="1" s="72">
      <c r="A995" s="38" t="inlineStr">
        <is>
          <t>BaobáF-32-P10-SBA</t>
        </is>
      </c>
      <c r="B995" s="38" t="inlineStr">
        <is>
          <t>Fase 32</t>
        </is>
      </c>
      <c r="C995" s="38" t="inlineStr">
        <is>
          <t>São Bento da Abadá</t>
        </is>
      </c>
      <c r="D995" s="39" t="inlineStr">
        <is>
          <t>A_Baobá_F_32_P10</t>
        </is>
      </c>
      <c r="E995" s="40" t="n"/>
      <c r="F995" s="39" t="inlineStr">
        <is>
          <t>B_Baobá_F_32_P10</t>
        </is>
      </c>
      <c r="G995" s="40" t="n"/>
      <c r="H995" s="41" t="n"/>
      <c r="I995" s="42">
        <f>IF($H995="","",MAX(0,$H995-N($E995)))</f>
        <v/>
      </c>
      <c r="J995" s="42">
        <f>IF($H995="","",MAX(0,$H995-N($G995)))</f>
        <v/>
      </c>
    </row>
    <row r="996" ht="19.5" customHeight="1" s="72">
      <c r="A996" s="38" t="inlineStr">
        <is>
          <t>BaobáF-32-P10-BEN</t>
        </is>
      </c>
      <c r="B996" s="38" t="inlineStr">
        <is>
          <t>Fase 32</t>
        </is>
      </c>
      <c r="C996" s="38" t="inlineStr">
        <is>
          <t>Benguela</t>
        </is>
      </c>
      <c r="D996" s="39" t="inlineStr">
        <is>
          <t>A_Baobá_F_32_P10</t>
        </is>
      </c>
      <c r="E996" s="40" t="n"/>
      <c r="F996" s="39" t="inlineStr">
        <is>
          <t>B_Baobá_F_32_P10</t>
        </is>
      </c>
      <c r="G996" s="40" t="n"/>
      <c r="H996" s="41" t="n"/>
      <c r="I996" s="42">
        <f>IF($H996="","",MAX(0,$H996-N($E996)))</f>
        <v/>
      </c>
      <c r="J996" s="42">
        <f>IF($H996="","",MAX(0,$H996-N($G996)))</f>
        <v/>
      </c>
    </row>
    <row r="997" ht="19.5" customHeight="1" s="72">
      <c r="A997" s="38" t="inlineStr">
        <is>
          <t>BaobáF-32-P10-SIR</t>
        </is>
      </c>
      <c r="B997" s="38" t="inlineStr">
        <is>
          <t>Fase 32</t>
        </is>
      </c>
      <c r="C997" s="38" t="inlineStr">
        <is>
          <t>Siriuna</t>
        </is>
      </c>
      <c r="D997" s="39" t="inlineStr">
        <is>
          <t>A_Baobá_F_32_P10</t>
        </is>
      </c>
      <c r="E997" s="40" t="n"/>
      <c r="F997" s="39" t="inlineStr">
        <is>
          <t>B_Baobá_F_32_P10</t>
        </is>
      </c>
      <c r="G997" s="40" t="n"/>
      <c r="H997" s="41" t="n"/>
      <c r="I997" s="42">
        <f>IF($H997="","",MAX(0,$H997-N($E997)))</f>
        <v/>
      </c>
      <c r="J997" s="42">
        <f>IF($H997="","",MAX(0,$H997-N($G997)))</f>
        <v/>
      </c>
    </row>
    <row r="998" ht="19.5" customHeight="1" s="72">
      <c r="A998" s="38" t="inlineStr">
        <is>
          <t>BaobáF-32-P11-SBA</t>
        </is>
      </c>
      <c r="B998" s="38" t="inlineStr">
        <is>
          <t>Fase 32</t>
        </is>
      </c>
      <c r="C998" s="38" t="inlineStr">
        <is>
          <t>São Bento da Abadá</t>
        </is>
      </c>
      <c r="D998" s="39" t="inlineStr">
        <is>
          <t>A_Baobá_F_32_P11</t>
        </is>
      </c>
      <c r="E998" s="40" t="n"/>
      <c r="F998" s="39" t="inlineStr">
        <is>
          <t>B_Baobá_F_32_P11</t>
        </is>
      </c>
      <c r="G998" s="40" t="n"/>
      <c r="H998" s="41" t="n"/>
      <c r="I998" s="42">
        <f>IF($H998="","",MAX(0,$H998-N($E998)))</f>
        <v/>
      </c>
      <c r="J998" s="42">
        <f>IF($H998="","",MAX(0,$H998-N($G998)))</f>
        <v/>
      </c>
    </row>
    <row r="999" ht="19.5" customHeight="1" s="72">
      <c r="A999" s="38" t="inlineStr">
        <is>
          <t>BaobáF-32-P11-BEN</t>
        </is>
      </c>
      <c r="B999" s="38" t="inlineStr">
        <is>
          <t>Fase 32</t>
        </is>
      </c>
      <c r="C999" s="38" t="inlineStr">
        <is>
          <t>Benguela</t>
        </is>
      </c>
      <c r="D999" s="39" t="inlineStr">
        <is>
          <t>A_Baobá_F_32_P11</t>
        </is>
      </c>
      <c r="E999" s="40" t="n"/>
      <c r="F999" s="39" t="inlineStr">
        <is>
          <t>B_Baobá_F_32_P11</t>
        </is>
      </c>
      <c r="G999" s="40" t="n"/>
      <c r="H999" s="41" t="n"/>
      <c r="I999" s="42">
        <f>IF($H999="","",MAX(0,$H999-N($E999)))</f>
        <v/>
      </c>
      <c r="J999" s="42">
        <f>IF($H999="","",MAX(0,$H999-N($G999)))</f>
        <v/>
      </c>
    </row>
    <row r="1000" ht="19.5" customHeight="1" s="72">
      <c r="A1000" s="38" t="inlineStr">
        <is>
          <t>BaobáF-32-P11-SIR</t>
        </is>
      </c>
      <c r="B1000" s="38" t="inlineStr">
        <is>
          <t>Fase 32</t>
        </is>
      </c>
      <c r="C1000" s="38" t="inlineStr">
        <is>
          <t>Siriuna</t>
        </is>
      </c>
      <c r="D1000" s="39" t="inlineStr">
        <is>
          <t>A_Baobá_F_32_P11</t>
        </is>
      </c>
      <c r="E1000" s="40" t="n"/>
      <c r="F1000" s="39" t="inlineStr">
        <is>
          <t>B_Baobá_F_32_P11</t>
        </is>
      </c>
      <c r="G1000" s="40" t="n"/>
      <c r="H1000" s="41" t="n"/>
      <c r="I1000" s="42">
        <f>IF($H1000="","",MAX(0,$H1000-N($E1000)))</f>
        <v/>
      </c>
      <c r="J1000" s="42">
        <f>IF($H1000="","",MAX(0,$H1000-N($G1000)))</f>
        <v/>
      </c>
    </row>
    <row r="1001" ht="19.5" customHeight="1" s="72">
      <c r="A1001" s="38" t="inlineStr">
        <is>
          <t>BaobáF-32-P12-SBA</t>
        </is>
      </c>
      <c r="B1001" s="38" t="inlineStr">
        <is>
          <t>Fase 32</t>
        </is>
      </c>
      <c r="C1001" s="38" t="inlineStr">
        <is>
          <t>São Bento da Abadá</t>
        </is>
      </c>
      <c r="D1001" s="39" t="inlineStr">
        <is>
          <t>A_Baobá_F_32_P12</t>
        </is>
      </c>
      <c r="E1001" s="40" t="n"/>
      <c r="F1001" s="39" t="inlineStr">
        <is>
          <t>B_Baobá_F_32_P12</t>
        </is>
      </c>
      <c r="G1001" s="40" t="n"/>
      <c r="H1001" s="41" t="n"/>
      <c r="I1001" s="42">
        <f>IF($H1001="","",MAX(0,$H1001-N($E1001)))</f>
        <v/>
      </c>
      <c r="J1001" s="42">
        <f>IF($H1001="","",MAX(0,$H1001-N($G1001)))</f>
        <v/>
      </c>
    </row>
    <row r="1002" ht="19.5" customHeight="1" s="72">
      <c r="A1002" s="38" t="inlineStr">
        <is>
          <t>BaobáF-32-P12-BEN</t>
        </is>
      </c>
      <c r="B1002" s="38" t="inlineStr">
        <is>
          <t>Fase 32</t>
        </is>
      </c>
      <c r="C1002" s="38" t="inlineStr">
        <is>
          <t>Benguela</t>
        </is>
      </c>
      <c r="D1002" s="39" t="inlineStr">
        <is>
          <t>A_Baobá_F_32_P12</t>
        </is>
      </c>
      <c r="E1002" s="40" t="n"/>
      <c r="F1002" s="39" t="inlineStr">
        <is>
          <t>B_Baobá_F_32_P12</t>
        </is>
      </c>
      <c r="G1002" s="40" t="n"/>
      <c r="H1002" s="41" t="n"/>
      <c r="I1002" s="42">
        <f>IF($H1002="","",MAX(0,$H1002-N($E1002)))</f>
        <v/>
      </c>
      <c r="J1002" s="42">
        <f>IF($H1002="","",MAX(0,$H1002-N($G1002)))</f>
        <v/>
      </c>
    </row>
    <row r="1003" ht="19.5" customHeight="1" s="72">
      <c r="A1003" s="38" t="inlineStr">
        <is>
          <t>BaobáF-32-P12-SIR</t>
        </is>
      </c>
      <c r="B1003" s="38" t="inlineStr">
        <is>
          <t>Fase 32</t>
        </is>
      </c>
      <c r="C1003" s="38" t="inlineStr">
        <is>
          <t>Siriuna</t>
        </is>
      </c>
      <c r="D1003" s="39" t="inlineStr">
        <is>
          <t>A_Baobá_F_32_P12</t>
        </is>
      </c>
      <c r="E1003" s="40" t="n"/>
      <c r="F1003" s="39" t="inlineStr">
        <is>
          <t>B_Baobá_F_32_P12</t>
        </is>
      </c>
      <c r="G1003" s="40" t="n"/>
      <c r="H1003" s="41" t="n"/>
      <c r="I1003" s="42">
        <f>IF($H1003="","",MAX(0,$H1003-N($E1003)))</f>
        <v/>
      </c>
      <c r="J1003" s="42">
        <f>IF($H1003="","",MAX(0,$H1003-N($G1003)))</f>
        <v/>
      </c>
    </row>
    <row r="1004" ht="19.5" customHeight="1" s="72">
      <c r="A1004" s="38" t="inlineStr">
        <is>
          <t>BaobáF-32-P13-SBA</t>
        </is>
      </c>
      <c r="B1004" s="38" t="inlineStr">
        <is>
          <t>Fase 32</t>
        </is>
      </c>
      <c r="C1004" s="38" t="inlineStr">
        <is>
          <t>São Bento da Abadá</t>
        </is>
      </c>
      <c r="D1004" s="39" t="inlineStr">
        <is>
          <t>A_Baobá_F_32_P13</t>
        </is>
      </c>
      <c r="E1004" s="40" t="n"/>
      <c r="F1004" s="39" t="inlineStr">
        <is>
          <t>B_Baobá_F_32_P13</t>
        </is>
      </c>
      <c r="G1004" s="40" t="n"/>
      <c r="H1004" s="41" t="n"/>
      <c r="I1004" s="42">
        <f>IF($H1004="","",MAX(0,$H1004-N($E1004)))</f>
        <v/>
      </c>
      <c r="J1004" s="42">
        <f>IF($H1004="","",MAX(0,$H1004-N($G1004)))</f>
        <v/>
      </c>
    </row>
    <row r="1005" ht="19.5" customHeight="1" s="72">
      <c r="A1005" s="38" t="inlineStr">
        <is>
          <t>BaobáF-32-P13-BEN</t>
        </is>
      </c>
      <c r="B1005" s="38" t="inlineStr">
        <is>
          <t>Fase 32</t>
        </is>
      </c>
      <c r="C1005" s="38" t="inlineStr">
        <is>
          <t>Benguela</t>
        </is>
      </c>
      <c r="D1005" s="39" t="inlineStr">
        <is>
          <t>A_Baobá_F_32_P13</t>
        </is>
      </c>
      <c r="E1005" s="40" t="n"/>
      <c r="F1005" s="39" t="inlineStr">
        <is>
          <t>B_Baobá_F_32_P13</t>
        </is>
      </c>
      <c r="G1005" s="40" t="n"/>
      <c r="H1005" s="41" t="n"/>
      <c r="I1005" s="42">
        <f>IF($H1005="","",MAX(0,$H1005-N($E1005)))</f>
        <v/>
      </c>
      <c r="J1005" s="42">
        <f>IF($H1005="","",MAX(0,$H1005-N($G1005)))</f>
        <v/>
      </c>
    </row>
    <row r="1006" ht="19.5" customHeight="1" s="72">
      <c r="A1006" s="38" t="inlineStr">
        <is>
          <t>BaobáF-32-P13-SIR</t>
        </is>
      </c>
      <c r="B1006" s="38" t="inlineStr">
        <is>
          <t>Fase 32</t>
        </is>
      </c>
      <c r="C1006" s="38" t="inlineStr">
        <is>
          <t>Siriuna</t>
        </is>
      </c>
      <c r="D1006" s="39" t="inlineStr">
        <is>
          <t>A_Baobá_F_32_P13</t>
        </is>
      </c>
      <c r="E1006" s="40" t="n"/>
      <c r="F1006" s="39" t="inlineStr">
        <is>
          <t>B_Baobá_F_32_P13</t>
        </is>
      </c>
      <c r="G1006" s="40" t="n"/>
      <c r="H1006" s="41" t="n"/>
      <c r="I1006" s="42">
        <f>IF($H1006="","",MAX(0,$H1006-N($E1006)))</f>
        <v/>
      </c>
      <c r="J1006" s="42">
        <f>IF($H1006="","",MAX(0,$H1006-N($G1006)))</f>
        <v/>
      </c>
    </row>
    <row r="1007" ht="19.5" customHeight="1" s="72">
      <c r="A1007" s="38" t="inlineStr">
        <is>
          <t>BaobáF-32-P14-SBA</t>
        </is>
      </c>
      <c r="B1007" s="38" t="inlineStr">
        <is>
          <t>Fase 32</t>
        </is>
      </c>
      <c r="C1007" s="38" t="inlineStr">
        <is>
          <t>São Bento da Abadá</t>
        </is>
      </c>
      <c r="D1007" s="39" t="inlineStr">
        <is>
          <t>A_Baobá_F_32_P14</t>
        </is>
      </c>
      <c r="E1007" s="40" t="n"/>
      <c r="F1007" s="39" t="inlineStr">
        <is>
          <t>B_Baobá_F_32_P14</t>
        </is>
      </c>
      <c r="G1007" s="40" t="n"/>
      <c r="H1007" s="41" t="n"/>
      <c r="I1007" s="42">
        <f>IF($H1007="","",MAX(0,$H1007-N($E1007)))</f>
        <v/>
      </c>
      <c r="J1007" s="42">
        <f>IF($H1007="","",MAX(0,$H1007-N($G1007)))</f>
        <v/>
      </c>
    </row>
    <row r="1008" ht="19.5" customHeight="1" s="72">
      <c r="A1008" s="38" t="inlineStr">
        <is>
          <t>BaobáF-32-P14-BEN</t>
        </is>
      </c>
      <c r="B1008" s="38" t="inlineStr">
        <is>
          <t>Fase 32</t>
        </is>
      </c>
      <c r="C1008" s="38" t="inlineStr">
        <is>
          <t>Benguela</t>
        </is>
      </c>
      <c r="D1008" s="39" t="inlineStr">
        <is>
          <t>A_Baobá_F_32_P14</t>
        </is>
      </c>
      <c r="E1008" s="40" t="n"/>
      <c r="F1008" s="39" t="inlineStr">
        <is>
          <t>B_Baobá_F_32_P14</t>
        </is>
      </c>
      <c r="G1008" s="40" t="n"/>
      <c r="H1008" s="41" t="n"/>
      <c r="I1008" s="42">
        <f>IF($H1008="","",MAX(0,$H1008-N($E1008)))</f>
        <v/>
      </c>
      <c r="J1008" s="42">
        <f>IF($H1008="","",MAX(0,$H1008-N($G1008)))</f>
        <v/>
      </c>
    </row>
    <row r="1009" ht="19.5" customHeight="1" s="72">
      <c r="A1009" s="38" t="inlineStr">
        <is>
          <t>BaobáF-32-P14-SIR</t>
        </is>
      </c>
      <c r="B1009" s="38" t="inlineStr">
        <is>
          <t>Fase 32</t>
        </is>
      </c>
      <c r="C1009" s="38" t="inlineStr">
        <is>
          <t>Siriuna</t>
        </is>
      </c>
      <c r="D1009" s="39" t="inlineStr">
        <is>
          <t>A_Baobá_F_32_P14</t>
        </is>
      </c>
      <c r="E1009" s="40" t="n"/>
      <c r="F1009" s="39" t="inlineStr">
        <is>
          <t>B_Baobá_F_32_P14</t>
        </is>
      </c>
      <c r="G1009" s="40" t="n"/>
      <c r="H1009" s="41" t="n"/>
      <c r="I1009" s="42">
        <f>IF($H1009="","",MAX(0,$H1009-N($E1009)))</f>
        <v/>
      </c>
      <c r="J1009" s="42">
        <f>IF($H1009="","",MAX(0,$H1009-N($G1009)))</f>
        <v/>
      </c>
    </row>
    <row r="1010" ht="19.5" customHeight="1" s="72">
      <c r="A1010" s="38" t="inlineStr">
        <is>
          <t>BaobáF-32-P15-SBA</t>
        </is>
      </c>
      <c r="B1010" s="38" t="inlineStr">
        <is>
          <t>Fase 32</t>
        </is>
      </c>
      <c r="C1010" s="38" t="inlineStr">
        <is>
          <t>São Bento da Abadá</t>
        </is>
      </c>
      <c r="D1010" s="39" t="inlineStr">
        <is>
          <t>A_Baobá_F_32_P15</t>
        </is>
      </c>
      <c r="E1010" s="40" t="n"/>
      <c r="F1010" s="39" t="inlineStr">
        <is>
          <t>B_Baobá_F_32_P15</t>
        </is>
      </c>
      <c r="G1010" s="40" t="n"/>
      <c r="H1010" s="41" t="n"/>
      <c r="I1010" s="42">
        <f>IF($H1010="","",MAX(0,$H1010-N($E1010)))</f>
        <v/>
      </c>
      <c r="J1010" s="42">
        <f>IF($H1010="","",MAX(0,$H1010-N($G1010)))</f>
        <v/>
      </c>
    </row>
    <row r="1011" ht="19.5" customHeight="1" s="72">
      <c r="A1011" s="38" t="inlineStr">
        <is>
          <t>BaobáF-32-P15-BEN</t>
        </is>
      </c>
      <c r="B1011" s="38" t="inlineStr">
        <is>
          <t>Fase 32</t>
        </is>
      </c>
      <c r="C1011" s="38" t="inlineStr">
        <is>
          <t>Benguela</t>
        </is>
      </c>
      <c r="D1011" s="39" t="inlineStr">
        <is>
          <t>A_Baobá_F_32_P15</t>
        </is>
      </c>
      <c r="E1011" s="40" t="n"/>
      <c r="F1011" s="39" t="inlineStr">
        <is>
          <t>B_Baobá_F_32_P15</t>
        </is>
      </c>
      <c r="G1011" s="40" t="n"/>
      <c r="H1011" s="41" t="n"/>
      <c r="I1011" s="42">
        <f>IF($H1011="","",MAX(0,$H1011-N($E1011)))</f>
        <v/>
      </c>
      <c r="J1011" s="42">
        <f>IF($H1011="","",MAX(0,$H1011-N($G1011)))</f>
        <v/>
      </c>
    </row>
    <row r="1012" ht="19.5" customHeight="1" s="72">
      <c r="A1012" s="38" t="inlineStr">
        <is>
          <t>BaobáF-32-P15-SIR</t>
        </is>
      </c>
      <c r="B1012" s="38" t="inlineStr">
        <is>
          <t>Fase 32</t>
        </is>
      </c>
      <c r="C1012" s="38" t="inlineStr">
        <is>
          <t>Siriuna</t>
        </is>
      </c>
      <c r="D1012" s="39" t="inlineStr">
        <is>
          <t>A_Baobá_F_32_P15</t>
        </is>
      </c>
      <c r="E1012" s="40" t="n"/>
      <c r="F1012" s="39" t="inlineStr">
        <is>
          <t>B_Baobá_F_32_P15</t>
        </is>
      </c>
      <c r="G1012" s="40" t="n"/>
      <c r="H1012" s="41" t="n"/>
      <c r="I1012" s="42">
        <f>IF($H1012="","",MAX(0,$H1012-N($E1012)))</f>
        <v/>
      </c>
      <c r="J1012" s="42">
        <f>IF($H1012="","",MAX(0,$H1012-N($G1012)))</f>
        <v/>
      </c>
    </row>
    <row r="1013" ht="19.5" customHeight="1" s="72">
      <c r="A1013" s="38" t="inlineStr">
        <is>
          <t>BaobáF-32-P16-SBA</t>
        </is>
      </c>
      <c r="B1013" s="38" t="inlineStr">
        <is>
          <t>Fase 32</t>
        </is>
      </c>
      <c r="C1013" s="38" t="inlineStr">
        <is>
          <t>São Bento da Abadá</t>
        </is>
      </c>
      <c r="D1013" s="39" t="inlineStr">
        <is>
          <t>A_Baobá_F_32_P16</t>
        </is>
      </c>
      <c r="E1013" s="40" t="n"/>
      <c r="F1013" s="39" t="inlineStr">
        <is>
          <t>B_Baobá_F_32_P16</t>
        </is>
      </c>
      <c r="G1013" s="40" t="n"/>
      <c r="H1013" s="41" t="n"/>
      <c r="I1013" s="42">
        <f>IF($H1013="","",MAX(0,$H1013-N($E1013)))</f>
        <v/>
      </c>
      <c r="J1013" s="42">
        <f>IF($H1013="","",MAX(0,$H1013-N($G1013)))</f>
        <v/>
      </c>
    </row>
    <row r="1014" ht="19.5" customHeight="1" s="72">
      <c r="A1014" s="38" t="inlineStr">
        <is>
          <t>BaobáF-32-P16-BEN</t>
        </is>
      </c>
      <c r="B1014" s="38" t="inlineStr">
        <is>
          <t>Fase 32</t>
        </is>
      </c>
      <c r="C1014" s="38" t="inlineStr">
        <is>
          <t>Benguela</t>
        </is>
      </c>
      <c r="D1014" s="39" t="inlineStr">
        <is>
          <t>A_Baobá_F_32_P16</t>
        </is>
      </c>
      <c r="E1014" s="40" t="n"/>
      <c r="F1014" s="39" t="inlineStr">
        <is>
          <t>B_Baobá_F_32_P16</t>
        </is>
      </c>
      <c r="G1014" s="40" t="n"/>
      <c r="H1014" s="41" t="n"/>
      <c r="I1014" s="42">
        <f>IF($H1014="","",MAX(0,$H1014-N($E1014)))</f>
        <v/>
      </c>
      <c r="J1014" s="42">
        <f>IF($H1014="","",MAX(0,$H1014-N($G1014)))</f>
        <v/>
      </c>
    </row>
    <row r="1015" ht="19.5" customHeight="1" s="72">
      <c r="A1015" s="38" t="inlineStr">
        <is>
          <t>BaobáF-32-P16-SIR</t>
        </is>
      </c>
      <c r="B1015" s="38" t="inlineStr">
        <is>
          <t>Fase 32</t>
        </is>
      </c>
      <c r="C1015" s="38" t="inlineStr">
        <is>
          <t>Siriuna</t>
        </is>
      </c>
      <c r="D1015" s="39" t="inlineStr">
        <is>
          <t>A_Baobá_F_32_P16</t>
        </is>
      </c>
      <c r="E1015" s="40" t="n"/>
      <c r="F1015" s="39" t="inlineStr">
        <is>
          <t>B_Baobá_F_32_P16</t>
        </is>
      </c>
      <c r="G1015" s="40" t="n"/>
      <c r="H1015" s="41" t="n"/>
      <c r="I1015" s="42">
        <f>IF($H1015="","",MAX(0,$H1015-N($E1015)))</f>
        <v/>
      </c>
      <c r="J1015" s="42">
        <f>IF($H1015="","",MAX(0,$H1015-N($G1015)))</f>
        <v/>
      </c>
    </row>
    <row r="1016" ht="19.5" customHeight="1" s="72">
      <c r="A1016" s="38" t="inlineStr">
        <is>
          <t>BaobáF-OCT-P01-SBA</t>
        </is>
      </c>
      <c r="B1016" s="38" t="inlineStr">
        <is>
          <t>Octavas</t>
        </is>
      </c>
      <c r="C1016" s="38" t="inlineStr">
        <is>
          <t>São Bento da Abadá</t>
        </is>
      </c>
      <c r="D1016" s="39">
        <f>IFERROR('CLASIF_Baobá_F'!$F$5,"")</f>
        <v/>
      </c>
      <c r="E1016" s="40" t="n"/>
      <c r="F1016" s="39">
        <f>IFERROR('CLASIF_Baobá_F'!$F$20,"")</f>
        <v/>
      </c>
      <c r="G1016" s="40" t="n"/>
      <c r="H1016" s="41" t="n"/>
      <c r="I1016" s="42">
        <f>IF($H1016="","",MAX(0,$H1016-N($E1016)))</f>
        <v/>
      </c>
      <c r="J1016" s="42">
        <f>IF($H1016="","",MAX(0,$H1016-N($G1016)))</f>
        <v/>
      </c>
    </row>
    <row r="1017" ht="19.5" customHeight="1" s="72">
      <c r="A1017" s="38" t="inlineStr">
        <is>
          <t>BaobáF-OCT-P01-BEN</t>
        </is>
      </c>
      <c r="B1017" s="38" t="inlineStr">
        <is>
          <t>Octavas</t>
        </is>
      </c>
      <c r="C1017" s="38" t="inlineStr">
        <is>
          <t>Benguela</t>
        </is>
      </c>
      <c r="D1017" s="39">
        <f>IFERROR('CLASIF_Baobá_F'!$F$5,"")</f>
        <v/>
      </c>
      <c r="E1017" s="40" t="n"/>
      <c r="F1017" s="39">
        <f>IFERROR('CLASIF_Baobá_F'!$F$20,"")</f>
        <v/>
      </c>
      <c r="G1017" s="40" t="n"/>
      <c r="H1017" s="41" t="n"/>
      <c r="I1017" s="42">
        <f>IF($H1017="","",MAX(0,$H1017-N($E1017)))</f>
        <v/>
      </c>
      <c r="J1017" s="42">
        <f>IF($H1017="","",MAX(0,$H1017-N($G1017)))</f>
        <v/>
      </c>
    </row>
    <row r="1018" ht="19.5" customHeight="1" s="72">
      <c r="A1018" s="38" t="inlineStr">
        <is>
          <t>BaobáF-OCT-P01-SIR</t>
        </is>
      </c>
      <c r="B1018" s="38" t="inlineStr">
        <is>
          <t>Octavas</t>
        </is>
      </c>
      <c r="C1018" s="38" t="inlineStr">
        <is>
          <t>Siriuna</t>
        </is>
      </c>
      <c r="D1018" s="39">
        <f>IFERROR('CLASIF_Baobá_F'!$F$5,"")</f>
        <v/>
      </c>
      <c r="E1018" s="40" t="n"/>
      <c r="F1018" s="39">
        <f>IFERROR('CLASIF_Baobá_F'!$F$20,"")</f>
        <v/>
      </c>
      <c r="G1018" s="40" t="n"/>
      <c r="H1018" s="41" t="n"/>
      <c r="I1018" s="42">
        <f>IF($H1018="","",MAX(0,$H1018-N($E1018)))</f>
        <v/>
      </c>
      <c r="J1018" s="42">
        <f>IF($H1018="","",MAX(0,$H1018-N($G1018)))</f>
        <v/>
      </c>
    </row>
    <row r="1019" ht="19.5" customHeight="1" s="72">
      <c r="A1019" s="38" t="inlineStr">
        <is>
          <t>BaobáF-OCT-P02-SBA</t>
        </is>
      </c>
      <c r="B1019" s="38" t="inlineStr">
        <is>
          <t>Octavas</t>
        </is>
      </c>
      <c r="C1019" s="38" t="inlineStr">
        <is>
          <t>São Bento da Abadá</t>
        </is>
      </c>
      <c r="D1019" s="39">
        <f>IFERROR('CLASIF_Baobá_F'!$F$6,"")</f>
        <v/>
      </c>
      <c r="E1019" s="40" t="n"/>
      <c r="F1019" s="39">
        <f>IFERROR('CLASIF_Baobá_F'!$F$19,"")</f>
        <v/>
      </c>
      <c r="G1019" s="40" t="n"/>
      <c r="H1019" s="41" t="n"/>
      <c r="I1019" s="42">
        <f>IF($H1019="","",MAX(0,$H1019-N($E1019)))</f>
        <v/>
      </c>
      <c r="J1019" s="42">
        <f>IF($H1019="","",MAX(0,$H1019-N($G1019)))</f>
        <v/>
      </c>
    </row>
    <row r="1020" ht="19.5" customHeight="1" s="72">
      <c r="A1020" s="38" t="inlineStr">
        <is>
          <t>BaobáF-OCT-P02-BEN</t>
        </is>
      </c>
      <c r="B1020" s="38" t="inlineStr">
        <is>
          <t>Octavas</t>
        </is>
      </c>
      <c r="C1020" s="38" t="inlineStr">
        <is>
          <t>Benguela</t>
        </is>
      </c>
      <c r="D1020" s="39">
        <f>IFERROR('CLASIF_Baobá_F'!$F$6,"")</f>
        <v/>
      </c>
      <c r="E1020" s="40" t="n"/>
      <c r="F1020" s="39">
        <f>IFERROR('CLASIF_Baobá_F'!$F$19,"")</f>
        <v/>
      </c>
      <c r="G1020" s="40" t="n"/>
      <c r="H1020" s="41" t="n"/>
      <c r="I1020" s="42">
        <f>IF($H1020="","",MAX(0,$H1020-N($E1020)))</f>
        <v/>
      </c>
      <c r="J1020" s="42">
        <f>IF($H1020="","",MAX(0,$H1020-N($G1020)))</f>
        <v/>
      </c>
    </row>
    <row r="1021" ht="19.5" customHeight="1" s="72">
      <c r="A1021" s="38" t="inlineStr">
        <is>
          <t>BaobáF-OCT-P02-SIR</t>
        </is>
      </c>
      <c r="B1021" s="38" t="inlineStr">
        <is>
          <t>Octavas</t>
        </is>
      </c>
      <c r="C1021" s="38" t="inlineStr">
        <is>
          <t>Siriuna</t>
        </is>
      </c>
      <c r="D1021" s="39">
        <f>IFERROR('CLASIF_Baobá_F'!$F$6,"")</f>
        <v/>
      </c>
      <c r="E1021" s="40" t="n"/>
      <c r="F1021" s="39">
        <f>IFERROR('CLASIF_Baobá_F'!$F$19,"")</f>
        <v/>
      </c>
      <c r="G1021" s="40" t="n"/>
      <c r="H1021" s="41" t="n"/>
      <c r="I1021" s="42">
        <f>IF($H1021="","",MAX(0,$H1021-N($E1021)))</f>
        <v/>
      </c>
      <c r="J1021" s="42">
        <f>IF($H1021="","",MAX(0,$H1021-N($G1021)))</f>
        <v/>
      </c>
    </row>
    <row r="1022" ht="19.5" customHeight="1" s="72">
      <c r="A1022" s="38" t="inlineStr">
        <is>
          <t>BaobáF-OCT-P03-SBA</t>
        </is>
      </c>
      <c r="B1022" s="38" t="inlineStr">
        <is>
          <t>Octavas</t>
        </is>
      </c>
      <c r="C1022" s="38" t="inlineStr">
        <is>
          <t>São Bento da Abadá</t>
        </is>
      </c>
      <c r="D1022" s="39">
        <f>IFERROR('CLASIF_Baobá_F'!$F$7,"")</f>
        <v/>
      </c>
      <c r="E1022" s="40" t="n"/>
      <c r="F1022" s="39">
        <f>IFERROR('CLASIF_Baobá_F'!$F$18,"")</f>
        <v/>
      </c>
      <c r="G1022" s="40" t="n"/>
      <c r="H1022" s="41" t="n"/>
      <c r="I1022" s="42">
        <f>IF($H1022="","",MAX(0,$H1022-N($E1022)))</f>
        <v/>
      </c>
      <c r="J1022" s="42">
        <f>IF($H1022="","",MAX(0,$H1022-N($G1022)))</f>
        <v/>
      </c>
    </row>
    <row r="1023" ht="19.5" customHeight="1" s="72">
      <c r="A1023" s="38" t="inlineStr">
        <is>
          <t>BaobáF-OCT-P03-BEN</t>
        </is>
      </c>
      <c r="B1023" s="38" t="inlineStr">
        <is>
          <t>Octavas</t>
        </is>
      </c>
      <c r="C1023" s="38" t="inlineStr">
        <is>
          <t>Benguela</t>
        </is>
      </c>
      <c r="D1023" s="39">
        <f>IFERROR('CLASIF_Baobá_F'!$F$7,"")</f>
        <v/>
      </c>
      <c r="E1023" s="40" t="n"/>
      <c r="F1023" s="39">
        <f>IFERROR('CLASIF_Baobá_F'!$F$18,"")</f>
        <v/>
      </c>
      <c r="G1023" s="40" t="n"/>
      <c r="H1023" s="41" t="n"/>
      <c r="I1023" s="42">
        <f>IF($H1023="","",MAX(0,$H1023-N($E1023)))</f>
        <v/>
      </c>
      <c r="J1023" s="42">
        <f>IF($H1023="","",MAX(0,$H1023-N($G1023)))</f>
        <v/>
      </c>
    </row>
    <row r="1024" ht="19.5" customHeight="1" s="72">
      <c r="A1024" s="38" t="inlineStr">
        <is>
          <t>BaobáF-OCT-P03-SIR</t>
        </is>
      </c>
      <c r="B1024" s="38" t="inlineStr">
        <is>
          <t>Octavas</t>
        </is>
      </c>
      <c r="C1024" s="38" t="inlineStr">
        <is>
          <t>Siriuna</t>
        </is>
      </c>
      <c r="D1024" s="39">
        <f>IFERROR('CLASIF_Baobá_F'!$F$7,"")</f>
        <v/>
      </c>
      <c r="E1024" s="40" t="n"/>
      <c r="F1024" s="39">
        <f>IFERROR('CLASIF_Baobá_F'!$F$18,"")</f>
        <v/>
      </c>
      <c r="G1024" s="40" t="n"/>
      <c r="H1024" s="41" t="n"/>
      <c r="I1024" s="42">
        <f>IF($H1024="","",MAX(0,$H1024-N($E1024)))</f>
        <v/>
      </c>
      <c r="J1024" s="42">
        <f>IF($H1024="","",MAX(0,$H1024-N($G1024)))</f>
        <v/>
      </c>
    </row>
    <row r="1025" ht="19.5" customHeight="1" s="72">
      <c r="A1025" s="38" t="inlineStr">
        <is>
          <t>BaobáF-OCT-P04-SBA</t>
        </is>
      </c>
      <c r="B1025" s="38" t="inlineStr">
        <is>
          <t>Octavas</t>
        </is>
      </c>
      <c r="C1025" s="38" t="inlineStr">
        <is>
          <t>São Bento da Abadá</t>
        </is>
      </c>
      <c r="D1025" s="39">
        <f>IFERROR('CLASIF_Baobá_F'!$F$8,"")</f>
        <v/>
      </c>
      <c r="E1025" s="40" t="n"/>
      <c r="F1025" s="39">
        <f>IFERROR('CLASIF_Baobá_F'!$F$17,"")</f>
        <v/>
      </c>
      <c r="G1025" s="40" t="n"/>
      <c r="H1025" s="41" t="n"/>
      <c r="I1025" s="42">
        <f>IF($H1025="","",MAX(0,$H1025-N($E1025)))</f>
        <v/>
      </c>
      <c r="J1025" s="42">
        <f>IF($H1025="","",MAX(0,$H1025-N($G1025)))</f>
        <v/>
      </c>
    </row>
    <row r="1026" ht="19.5" customHeight="1" s="72">
      <c r="A1026" s="38" t="inlineStr">
        <is>
          <t>BaobáF-OCT-P04-BEN</t>
        </is>
      </c>
      <c r="B1026" s="38" t="inlineStr">
        <is>
          <t>Octavas</t>
        </is>
      </c>
      <c r="C1026" s="38" t="inlineStr">
        <is>
          <t>Benguela</t>
        </is>
      </c>
      <c r="D1026" s="39">
        <f>IFERROR('CLASIF_Baobá_F'!$F$8,"")</f>
        <v/>
      </c>
      <c r="E1026" s="40" t="n"/>
      <c r="F1026" s="39">
        <f>IFERROR('CLASIF_Baobá_F'!$F$17,"")</f>
        <v/>
      </c>
      <c r="G1026" s="40" t="n"/>
      <c r="H1026" s="41" t="n"/>
      <c r="I1026" s="42">
        <f>IF($H1026="","",MAX(0,$H1026-N($E1026)))</f>
        <v/>
      </c>
      <c r="J1026" s="42">
        <f>IF($H1026="","",MAX(0,$H1026-N($G1026)))</f>
        <v/>
      </c>
    </row>
    <row r="1027" ht="19.5" customHeight="1" s="72">
      <c r="A1027" s="38" t="inlineStr">
        <is>
          <t>BaobáF-OCT-P04-SIR</t>
        </is>
      </c>
      <c r="B1027" s="38" t="inlineStr">
        <is>
          <t>Octavas</t>
        </is>
      </c>
      <c r="C1027" s="38" t="inlineStr">
        <is>
          <t>Siriuna</t>
        </is>
      </c>
      <c r="D1027" s="39">
        <f>IFERROR('CLASIF_Baobá_F'!$F$8,"")</f>
        <v/>
      </c>
      <c r="E1027" s="40" t="n"/>
      <c r="F1027" s="39">
        <f>IFERROR('CLASIF_Baobá_F'!$F$17,"")</f>
        <v/>
      </c>
      <c r="G1027" s="40" t="n"/>
      <c r="H1027" s="41" t="n"/>
      <c r="I1027" s="42">
        <f>IF($H1027="","",MAX(0,$H1027-N($E1027)))</f>
        <v/>
      </c>
      <c r="J1027" s="42">
        <f>IF($H1027="","",MAX(0,$H1027-N($G1027)))</f>
        <v/>
      </c>
    </row>
    <row r="1028" ht="19.5" customHeight="1" s="72">
      <c r="A1028" s="38" t="inlineStr">
        <is>
          <t>BaobáF-OCT-P05-SBA</t>
        </is>
      </c>
      <c r="B1028" s="38" t="inlineStr">
        <is>
          <t>Octavas</t>
        </is>
      </c>
      <c r="C1028" s="38" t="inlineStr">
        <is>
          <t>São Bento da Abadá</t>
        </is>
      </c>
      <c r="D1028" s="39">
        <f>IFERROR('CLASIF_Baobá_F'!$F$9,"")</f>
        <v/>
      </c>
      <c r="E1028" s="40" t="n"/>
      <c r="F1028" s="39">
        <f>IFERROR('CLASIF_Baobá_F'!$F$16,"")</f>
        <v/>
      </c>
      <c r="G1028" s="40" t="n"/>
      <c r="H1028" s="41" t="n"/>
      <c r="I1028" s="42">
        <f>IF($H1028="","",MAX(0,$H1028-N($E1028)))</f>
        <v/>
      </c>
      <c r="J1028" s="42">
        <f>IF($H1028="","",MAX(0,$H1028-N($G1028)))</f>
        <v/>
      </c>
    </row>
    <row r="1029" ht="19.5" customHeight="1" s="72">
      <c r="A1029" s="38" t="inlineStr">
        <is>
          <t>BaobáF-OCT-P05-BEN</t>
        </is>
      </c>
      <c r="B1029" s="38" t="inlineStr">
        <is>
          <t>Octavas</t>
        </is>
      </c>
      <c r="C1029" s="38" t="inlineStr">
        <is>
          <t>Benguela</t>
        </is>
      </c>
      <c r="D1029" s="39">
        <f>IFERROR('CLASIF_Baobá_F'!$F$9,"")</f>
        <v/>
      </c>
      <c r="E1029" s="40" t="n"/>
      <c r="F1029" s="39">
        <f>IFERROR('CLASIF_Baobá_F'!$F$16,"")</f>
        <v/>
      </c>
      <c r="G1029" s="40" t="n"/>
      <c r="H1029" s="41" t="n"/>
      <c r="I1029" s="42">
        <f>IF($H1029="","",MAX(0,$H1029-N($E1029)))</f>
        <v/>
      </c>
      <c r="J1029" s="42">
        <f>IF($H1029="","",MAX(0,$H1029-N($G1029)))</f>
        <v/>
      </c>
    </row>
    <row r="1030" ht="19.5" customHeight="1" s="72">
      <c r="A1030" s="38" t="inlineStr">
        <is>
          <t>BaobáF-OCT-P05-SIR</t>
        </is>
      </c>
      <c r="B1030" s="38" t="inlineStr">
        <is>
          <t>Octavas</t>
        </is>
      </c>
      <c r="C1030" s="38" t="inlineStr">
        <is>
          <t>Siriuna</t>
        </is>
      </c>
      <c r="D1030" s="39">
        <f>IFERROR('CLASIF_Baobá_F'!$F$9,"")</f>
        <v/>
      </c>
      <c r="E1030" s="40" t="n"/>
      <c r="F1030" s="39">
        <f>IFERROR('CLASIF_Baobá_F'!$F$16,"")</f>
        <v/>
      </c>
      <c r="G1030" s="40" t="n"/>
      <c r="H1030" s="41" t="n"/>
      <c r="I1030" s="42">
        <f>IF($H1030="","",MAX(0,$H1030-N($E1030)))</f>
        <v/>
      </c>
      <c r="J1030" s="42">
        <f>IF($H1030="","",MAX(0,$H1030-N($G1030)))</f>
        <v/>
      </c>
    </row>
    <row r="1031" ht="19.5" customHeight="1" s="72">
      <c r="A1031" s="38" t="inlineStr">
        <is>
          <t>BaobáF-OCT-P06-SBA</t>
        </is>
      </c>
      <c r="B1031" s="38" t="inlineStr">
        <is>
          <t>Octavas</t>
        </is>
      </c>
      <c r="C1031" s="38" t="inlineStr">
        <is>
          <t>São Bento da Abadá</t>
        </is>
      </c>
      <c r="D1031" s="39">
        <f>IFERROR('CLASIF_Baobá_F'!$F$10,"")</f>
        <v/>
      </c>
      <c r="E1031" s="40" t="n"/>
      <c r="F1031" s="39">
        <f>IFERROR('CLASIF_Baobá_F'!$F$15,"")</f>
        <v/>
      </c>
      <c r="G1031" s="40" t="n"/>
      <c r="H1031" s="41" t="n"/>
      <c r="I1031" s="42">
        <f>IF($H1031="","",MAX(0,$H1031-N($E1031)))</f>
        <v/>
      </c>
      <c r="J1031" s="42">
        <f>IF($H1031="","",MAX(0,$H1031-N($G1031)))</f>
        <v/>
      </c>
    </row>
    <row r="1032" ht="19.5" customHeight="1" s="72">
      <c r="A1032" s="38" t="inlineStr">
        <is>
          <t>BaobáF-OCT-P06-BEN</t>
        </is>
      </c>
      <c r="B1032" s="38" t="inlineStr">
        <is>
          <t>Octavas</t>
        </is>
      </c>
      <c r="C1032" s="38" t="inlineStr">
        <is>
          <t>Benguela</t>
        </is>
      </c>
      <c r="D1032" s="39">
        <f>IFERROR('CLASIF_Baobá_F'!$F$10,"")</f>
        <v/>
      </c>
      <c r="E1032" s="40" t="n"/>
      <c r="F1032" s="39">
        <f>IFERROR('CLASIF_Baobá_F'!$F$15,"")</f>
        <v/>
      </c>
      <c r="G1032" s="40" t="n"/>
      <c r="H1032" s="41" t="n"/>
      <c r="I1032" s="42">
        <f>IF($H1032="","",MAX(0,$H1032-N($E1032)))</f>
        <v/>
      </c>
      <c r="J1032" s="42">
        <f>IF($H1032="","",MAX(0,$H1032-N($G1032)))</f>
        <v/>
      </c>
    </row>
    <row r="1033" ht="19.5" customHeight="1" s="72">
      <c r="A1033" s="38" t="inlineStr">
        <is>
          <t>BaobáF-OCT-P06-SIR</t>
        </is>
      </c>
      <c r="B1033" s="38" t="inlineStr">
        <is>
          <t>Octavas</t>
        </is>
      </c>
      <c r="C1033" s="38" t="inlineStr">
        <is>
          <t>Siriuna</t>
        </is>
      </c>
      <c r="D1033" s="39">
        <f>IFERROR('CLASIF_Baobá_F'!$F$10,"")</f>
        <v/>
      </c>
      <c r="E1033" s="40" t="n"/>
      <c r="F1033" s="39">
        <f>IFERROR('CLASIF_Baobá_F'!$F$15,"")</f>
        <v/>
      </c>
      <c r="G1033" s="40" t="n"/>
      <c r="H1033" s="41" t="n"/>
      <c r="I1033" s="42">
        <f>IF($H1033="","",MAX(0,$H1033-N($E1033)))</f>
        <v/>
      </c>
      <c r="J1033" s="42">
        <f>IF($H1033="","",MAX(0,$H1033-N($G1033)))</f>
        <v/>
      </c>
    </row>
    <row r="1034" ht="19.5" customHeight="1" s="72">
      <c r="A1034" s="38" t="inlineStr">
        <is>
          <t>BaobáF-OCT-P07-SBA</t>
        </is>
      </c>
      <c r="B1034" s="38" t="inlineStr">
        <is>
          <t>Octavas</t>
        </is>
      </c>
      <c r="C1034" s="38" t="inlineStr">
        <is>
          <t>São Bento da Abadá</t>
        </is>
      </c>
      <c r="D1034" s="39">
        <f>IFERROR('CLASIF_Baobá_F'!$F$11,"")</f>
        <v/>
      </c>
      <c r="E1034" s="40" t="n"/>
      <c r="F1034" s="39">
        <f>IFERROR('CLASIF_Baobá_F'!$F$14,"")</f>
        <v/>
      </c>
      <c r="G1034" s="40" t="n"/>
      <c r="H1034" s="41" t="n"/>
      <c r="I1034" s="42">
        <f>IF($H1034="","",MAX(0,$H1034-N($E1034)))</f>
        <v/>
      </c>
      <c r="J1034" s="42">
        <f>IF($H1034="","",MAX(0,$H1034-N($G1034)))</f>
        <v/>
      </c>
    </row>
    <row r="1035" ht="19.5" customHeight="1" s="72">
      <c r="A1035" s="38" t="inlineStr">
        <is>
          <t>BaobáF-OCT-P07-BEN</t>
        </is>
      </c>
      <c r="B1035" s="38" t="inlineStr">
        <is>
          <t>Octavas</t>
        </is>
      </c>
      <c r="C1035" s="38" t="inlineStr">
        <is>
          <t>Benguela</t>
        </is>
      </c>
      <c r="D1035" s="39">
        <f>IFERROR('CLASIF_Baobá_F'!$F$11,"")</f>
        <v/>
      </c>
      <c r="E1035" s="40" t="n"/>
      <c r="F1035" s="39">
        <f>IFERROR('CLASIF_Baobá_F'!$F$14,"")</f>
        <v/>
      </c>
      <c r="G1035" s="40" t="n"/>
      <c r="H1035" s="41" t="n"/>
      <c r="I1035" s="42">
        <f>IF($H1035="","",MAX(0,$H1035-N($E1035)))</f>
        <v/>
      </c>
      <c r="J1035" s="42">
        <f>IF($H1035="","",MAX(0,$H1035-N($G1035)))</f>
        <v/>
      </c>
    </row>
    <row r="1036" ht="19.5" customHeight="1" s="72">
      <c r="A1036" s="38" t="inlineStr">
        <is>
          <t>BaobáF-OCT-P07-SIR</t>
        </is>
      </c>
      <c r="B1036" s="38" t="inlineStr">
        <is>
          <t>Octavas</t>
        </is>
      </c>
      <c r="C1036" s="38" t="inlineStr">
        <is>
          <t>Siriuna</t>
        </is>
      </c>
      <c r="D1036" s="39">
        <f>IFERROR('CLASIF_Baobá_F'!$F$11,"")</f>
        <v/>
      </c>
      <c r="E1036" s="40" t="n"/>
      <c r="F1036" s="39">
        <f>IFERROR('CLASIF_Baobá_F'!$F$14,"")</f>
        <v/>
      </c>
      <c r="G1036" s="40" t="n"/>
      <c r="H1036" s="41" t="n"/>
      <c r="I1036" s="42">
        <f>IF($H1036="","",MAX(0,$H1036-N($E1036)))</f>
        <v/>
      </c>
      <c r="J1036" s="42">
        <f>IF($H1036="","",MAX(0,$H1036-N($G1036)))</f>
        <v/>
      </c>
    </row>
    <row r="1037" ht="19.5" customHeight="1" s="72">
      <c r="A1037" s="38" t="inlineStr">
        <is>
          <t>BaobáF-OCT-P08-SBA</t>
        </is>
      </c>
      <c r="B1037" s="38" t="inlineStr">
        <is>
          <t>Octavas</t>
        </is>
      </c>
      <c r="C1037" s="38" t="inlineStr">
        <is>
          <t>São Bento da Abadá</t>
        </is>
      </c>
      <c r="D1037" s="39">
        <f>IFERROR('CLASIF_Baobá_F'!$F$12,"")</f>
        <v/>
      </c>
      <c r="E1037" s="40" t="n"/>
      <c r="F1037" s="39">
        <f>IFERROR('CLASIF_Baobá_F'!$F$13,"")</f>
        <v/>
      </c>
      <c r="G1037" s="40" t="n"/>
      <c r="H1037" s="41" t="n"/>
      <c r="I1037" s="42">
        <f>IF($H1037="","",MAX(0,$H1037-N($E1037)))</f>
        <v/>
      </c>
      <c r="J1037" s="42">
        <f>IF($H1037="","",MAX(0,$H1037-N($G1037)))</f>
        <v/>
      </c>
    </row>
    <row r="1038" ht="19.5" customHeight="1" s="72">
      <c r="A1038" s="38" t="inlineStr">
        <is>
          <t>BaobáF-OCT-P08-BEN</t>
        </is>
      </c>
      <c r="B1038" s="38" t="inlineStr">
        <is>
          <t>Octavas</t>
        </is>
      </c>
      <c r="C1038" s="38" t="inlineStr">
        <is>
          <t>Benguela</t>
        </is>
      </c>
      <c r="D1038" s="39">
        <f>IFERROR('CLASIF_Baobá_F'!$F$12,"")</f>
        <v/>
      </c>
      <c r="E1038" s="40" t="n"/>
      <c r="F1038" s="39">
        <f>IFERROR('CLASIF_Baobá_F'!$F$13,"")</f>
        <v/>
      </c>
      <c r="G1038" s="40" t="n"/>
      <c r="H1038" s="41" t="n"/>
      <c r="I1038" s="42">
        <f>IF($H1038="","",MAX(0,$H1038-N($E1038)))</f>
        <v/>
      </c>
      <c r="J1038" s="42">
        <f>IF($H1038="","",MAX(0,$H1038-N($G1038)))</f>
        <v/>
      </c>
    </row>
    <row r="1039" ht="19.5" customHeight="1" s="72">
      <c r="A1039" s="38" t="inlineStr">
        <is>
          <t>BaobáF-OCT-P08-SIR</t>
        </is>
      </c>
      <c r="B1039" s="38" t="inlineStr">
        <is>
          <t>Octavas</t>
        </is>
      </c>
      <c r="C1039" s="38" t="inlineStr">
        <is>
          <t>Siriuna</t>
        </is>
      </c>
      <c r="D1039" s="39">
        <f>IFERROR('CLASIF_Baobá_F'!$F$12,"")</f>
        <v/>
      </c>
      <c r="E1039" s="40" t="n"/>
      <c r="F1039" s="39">
        <f>IFERROR('CLASIF_Baobá_F'!$F$13,"")</f>
        <v/>
      </c>
      <c r="G1039" s="40" t="n"/>
      <c r="H1039" s="41" t="n"/>
      <c r="I1039" s="42">
        <f>IF($H1039="","",MAX(0,$H1039-N($E1039)))</f>
        <v/>
      </c>
      <c r="J1039" s="42">
        <f>IF($H1039="","",MAX(0,$H1039-N($G1039)))</f>
        <v/>
      </c>
    </row>
    <row r="1040" ht="19.5" customHeight="1" s="72">
      <c r="A1040" s="38" t="inlineStr">
        <is>
          <t>BaobáF-SEM-P01-SBA</t>
        </is>
      </c>
      <c r="B1040" s="38" t="inlineStr">
        <is>
          <t>Semifinal</t>
        </is>
      </c>
      <c r="C1040" s="38" t="inlineStr">
        <is>
          <t>São Bento da Abadá</t>
        </is>
      </c>
      <c r="D1040" s="39">
        <f>IFERROR('CLASIF_Baobá_F'!$O$5,"")</f>
        <v/>
      </c>
      <c r="E1040" s="40" t="n"/>
      <c r="F1040" s="39">
        <f>IFERROR('CLASIF_Baobá_F'!$O$12,"")</f>
        <v/>
      </c>
      <c r="G1040" s="40" t="n"/>
      <c r="H1040" s="41" t="n"/>
      <c r="I1040" s="42">
        <f>IF($H1040="","",MAX(0,$H1040-N($E1040)))</f>
        <v/>
      </c>
      <c r="J1040" s="42">
        <f>IF($H1040="","",MAX(0,$H1040-N($G1040)))</f>
        <v/>
      </c>
    </row>
    <row r="1041" ht="19.5" customHeight="1" s="72">
      <c r="A1041" s="38" t="inlineStr">
        <is>
          <t>BaobáF-SEM-P01-BEN</t>
        </is>
      </c>
      <c r="B1041" s="38" t="inlineStr">
        <is>
          <t>Semifinal</t>
        </is>
      </c>
      <c r="C1041" s="38" t="inlineStr">
        <is>
          <t>Benguela</t>
        </is>
      </c>
      <c r="D1041" s="39">
        <f>IFERROR('CLASIF_Baobá_F'!$O$5,"")</f>
        <v/>
      </c>
      <c r="E1041" s="40" t="n"/>
      <c r="F1041" s="39">
        <f>IFERROR('CLASIF_Baobá_F'!$O$12,"")</f>
        <v/>
      </c>
      <c r="G1041" s="40" t="n"/>
      <c r="H1041" s="41" t="n"/>
      <c r="I1041" s="42">
        <f>IF($H1041="","",MAX(0,$H1041-N($E1041)))</f>
        <v/>
      </c>
      <c r="J1041" s="42">
        <f>IF($H1041="","",MAX(0,$H1041-N($G1041)))</f>
        <v/>
      </c>
    </row>
    <row r="1042" ht="19.5" customHeight="1" s="72">
      <c r="A1042" s="38" t="inlineStr">
        <is>
          <t>BaobáF-SEM-P01-SIR</t>
        </is>
      </c>
      <c r="B1042" s="38" t="inlineStr">
        <is>
          <t>Semifinal</t>
        </is>
      </c>
      <c r="C1042" s="38" t="inlineStr">
        <is>
          <t>Siriuna</t>
        </is>
      </c>
      <c r="D1042" s="39">
        <f>IFERROR('CLASIF_Baobá_F'!$O$5,"")</f>
        <v/>
      </c>
      <c r="E1042" s="40" t="n"/>
      <c r="F1042" s="39">
        <f>IFERROR('CLASIF_Baobá_F'!$O$12,"")</f>
        <v/>
      </c>
      <c r="G1042" s="40" t="n"/>
      <c r="H1042" s="41" t="n"/>
      <c r="I1042" s="42">
        <f>IF($H1042="","",MAX(0,$H1042-N($E1042)))</f>
        <v/>
      </c>
      <c r="J1042" s="42">
        <f>IF($H1042="","",MAX(0,$H1042-N($G1042)))</f>
        <v/>
      </c>
    </row>
    <row r="1043" ht="19.5" customHeight="1" s="72">
      <c r="A1043" s="38" t="inlineStr">
        <is>
          <t>BaobáF-SEM-P02-SBA</t>
        </is>
      </c>
      <c r="B1043" s="38" t="inlineStr">
        <is>
          <t>Semifinal</t>
        </is>
      </c>
      <c r="C1043" s="38" t="inlineStr">
        <is>
          <t>São Bento da Abadá</t>
        </is>
      </c>
      <c r="D1043" s="39">
        <f>IFERROR('CLASIF_Baobá_F'!$O$6,"")</f>
        <v/>
      </c>
      <c r="E1043" s="40" t="n"/>
      <c r="F1043" s="39">
        <f>IFERROR('CLASIF_Baobá_F'!$O$11,"")</f>
        <v/>
      </c>
      <c r="G1043" s="40" t="n"/>
      <c r="H1043" s="41" t="n"/>
      <c r="I1043" s="42">
        <f>IF($H1043="","",MAX(0,$H1043-N($E1043)))</f>
        <v/>
      </c>
      <c r="J1043" s="42">
        <f>IF($H1043="","",MAX(0,$H1043-N($G1043)))</f>
        <v/>
      </c>
    </row>
    <row r="1044" ht="19.5" customHeight="1" s="72">
      <c r="A1044" s="38" t="inlineStr">
        <is>
          <t>BaobáF-SEM-P02-BEN</t>
        </is>
      </c>
      <c r="B1044" s="38" t="inlineStr">
        <is>
          <t>Semifinal</t>
        </is>
      </c>
      <c r="C1044" s="38" t="inlineStr">
        <is>
          <t>Benguela</t>
        </is>
      </c>
      <c r="D1044" s="39">
        <f>IFERROR('CLASIF_Baobá_F'!$O$6,"")</f>
        <v/>
      </c>
      <c r="E1044" s="40" t="n"/>
      <c r="F1044" s="39">
        <f>IFERROR('CLASIF_Baobá_F'!$O$11,"")</f>
        <v/>
      </c>
      <c r="G1044" s="40" t="n"/>
      <c r="H1044" s="41" t="n"/>
      <c r="I1044" s="42">
        <f>IF($H1044="","",MAX(0,$H1044-N($E1044)))</f>
        <v/>
      </c>
      <c r="J1044" s="42">
        <f>IF($H1044="","",MAX(0,$H1044-N($G1044)))</f>
        <v/>
      </c>
    </row>
    <row r="1045" ht="19.5" customHeight="1" s="72">
      <c r="A1045" s="38" t="inlineStr">
        <is>
          <t>BaobáF-SEM-P02-SIR</t>
        </is>
      </c>
      <c r="B1045" s="38" t="inlineStr">
        <is>
          <t>Semifinal</t>
        </is>
      </c>
      <c r="C1045" s="38" t="inlineStr">
        <is>
          <t>Siriuna</t>
        </is>
      </c>
      <c r="D1045" s="39">
        <f>IFERROR('CLASIF_Baobá_F'!$O$6,"")</f>
        <v/>
      </c>
      <c r="E1045" s="40" t="n"/>
      <c r="F1045" s="39">
        <f>IFERROR('CLASIF_Baobá_F'!$O$11,"")</f>
        <v/>
      </c>
      <c r="G1045" s="40" t="n"/>
      <c r="H1045" s="41" t="n"/>
      <c r="I1045" s="42">
        <f>IF($H1045="","",MAX(0,$H1045-N($E1045)))</f>
        <v/>
      </c>
      <c r="J1045" s="42">
        <f>IF($H1045="","",MAX(0,$H1045-N($G1045)))</f>
        <v/>
      </c>
    </row>
    <row r="1046" ht="19.5" customHeight="1" s="72">
      <c r="A1046" s="38" t="inlineStr">
        <is>
          <t>BaobáF-SEM-P03-SBA</t>
        </is>
      </c>
      <c r="B1046" s="38" t="inlineStr">
        <is>
          <t>Semifinal</t>
        </is>
      </c>
      <c r="C1046" s="38" t="inlineStr">
        <is>
          <t>São Bento da Abadá</t>
        </is>
      </c>
      <c r="D1046" s="39">
        <f>IFERROR('CLASIF_Baobá_F'!$O$7,"")</f>
        <v/>
      </c>
      <c r="E1046" s="40" t="n"/>
      <c r="F1046" s="39">
        <f>IFERROR('CLASIF_Baobá_F'!$O$10,"")</f>
        <v/>
      </c>
      <c r="G1046" s="40" t="n"/>
      <c r="H1046" s="41" t="n"/>
      <c r="I1046" s="42">
        <f>IF($H1046="","",MAX(0,$H1046-N($E1046)))</f>
        <v/>
      </c>
      <c r="J1046" s="42">
        <f>IF($H1046="","",MAX(0,$H1046-N($G1046)))</f>
        <v/>
      </c>
    </row>
    <row r="1047" ht="19.5" customHeight="1" s="72">
      <c r="A1047" s="38" t="inlineStr">
        <is>
          <t>BaobáF-SEM-P03-BEN</t>
        </is>
      </c>
      <c r="B1047" s="38" t="inlineStr">
        <is>
          <t>Semifinal</t>
        </is>
      </c>
      <c r="C1047" s="38" t="inlineStr">
        <is>
          <t>Benguela</t>
        </is>
      </c>
      <c r="D1047" s="39">
        <f>IFERROR('CLASIF_Baobá_F'!$O$7,"")</f>
        <v/>
      </c>
      <c r="E1047" s="40" t="n"/>
      <c r="F1047" s="39">
        <f>IFERROR('CLASIF_Baobá_F'!$O$10,"")</f>
        <v/>
      </c>
      <c r="G1047" s="40" t="n"/>
      <c r="H1047" s="41" t="n"/>
      <c r="I1047" s="42">
        <f>IF($H1047="","",MAX(0,$H1047-N($E1047)))</f>
        <v/>
      </c>
      <c r="J1047" s="42">
        <f>IF($H1047="","",MAX(0,$H1047-N($G1047)))</f>
        <v/>
      </c>
    </row>
    <row r="1048" ht="19.5" customHeight="1" s="72">
      <c r="A1048" s="38" t="inlineStr">
        <is>
          <t>BaobáF-SEM-P03-SIR</t>
        </is>
      </c>
      <c r="B1048" s="38" t="inlineStr">
        <is>
          <t>Semifinal</t>
        </is>
      </c>
      <c r="C1048" s="38" t="inlineStr">
        <is>
          <t>Siriuna</t>
        </is>
      </c>
      <c r="D1048" s="39">
        <f>IFERROR('CLASIF_Baobá_F'!$O$7,"")</f>
        <v/>
      </c>
      <c r="E1048" s="40" t="n"/>
      <c r="F1048" s="39">
        <f>IFERROR('CLASIF_Baobá_F'!$O$10,"")</f>
        <v/>
      </c>
      <c r="G1048" s="40" t="n"/>
      <c r="H1048" s="41" t="n"/>
      <c r="I1048" s="42">
        <f>IF($H1048="","",MAX(0,$H1048-N($E1048)))</f>
        <v/>
      </c>
      <c r="J1048" s="42">
        <f>IF($H1048="","",MAX(0,$H1048-N($G1048)))</f>
        <v/>
      </c>
    </row>
    <row r="1049" ht="19.5" customHeight="1" s="72">
      <c r="A1049" s="38" t="inlineStr">
        <is>
          <t>BaobáF-SEM-P04-SBA</t>
        </is>
      </c>
      <c r="B1049" s="38" t="inlineStr">
        <is>
          <t>Semifinal</t>
        </is>
      </c>
      <c r="C1049" s="38" t="inlineStr">
        <is>
          <t>São Bento da Abadá</t>
        </is>
      </c>
      <c r="D1049" s="39">
        <f>IFERROR('CLASIF_Baobá_F'!$O$8,"")</f>
        <v/>
      </c>
      <c r="E1049" s="40" t="n"/>
      <c r="F1049" s="39">
        <f>IFERROR('CLASIF_Baobá_F'!$O$9,"")</f>
        <v/>
      </c>
      <c r="G1049" s="40" t="n"/>
      <c r="H1049" s="41" t="n"/>
      <c r="I1049" s="42">
        <f>IF($H1049="","",MAX(0,$H1049-N($E1049)))</f>
        <v/>
      </c>
      <c r="J1049" s="42">
        <f>IF($H1049="","",MAX(0,$H1049-N($G1049)))</f>
        <v/>
      </c>
    </row>
    <row r="1050" ht="19.5" customHeight="1" s="72">
      <c r="A1050" s="38" t="inlineStr">
        <is>
          <t>BaobáF-SEM-P04-BEN</t>
        </is>
      </c>
      <c r="B1050" s="38" t="inlineStr">
        <is>
          <t>Semifinal</t>
        </is>
      </c>
      <c r="C1050" s="38" t="inlineStr">
        <is>
          <t>Benguela</t>
        </is>
      </c>
      <c r="D1050" s="39">
        <f>IFERROR('CLASIF_Baobá_F'!$O$8,"")</f>
        <v/>
      </c>
      <c r="E1050" s="40" t="n"/>
      <c r="F1050" s="39">
        <f>IFERROR('CLASIF_Baobá_F'!$O$9,"")</f>
        <v/>
      </c>
      <c r="G1050" s="40" t="n"/>
      <c r="H1050" s="41" t="n"/>
      <c r="I1050" s="42">
        <f>IF($H1050="","",MAX(0,$H1050-N($E1050)))</f>
        <v/>
      </c>
      <c r="J1050" s="42">
        <f>IF($H1050="","",MAX(0,$H1050-N($G1050)))</f>
        <v/>
      </c>
    </row>
    <row r="1051" ht="19.5" customHeight="1" s="72">
      <c r="A1051" s="38" t="inlineStr">
        <is>
          <t>BaobáF-SEM-P04-SIR</t>
        </is>
      </c>
      <c r="B1051" s="38" t="inlineStr">
        <is>
          <t>Semifinal</t>
        </is>
      </c>
      <c r="C1051" s="38" t="inlineStr">
        <is>
          <t>Siriuna</t>
        </is>
      </c>
      <c r="D1051" s="39">
        <f>IFERROR('CLASIF_Baobá_F'!$O$8,"")</f>
        <v/>
      </c>
      <c r="E1051" s="40" t="n"/>
      <c r="F1051" s="39">
        <f>IFERROR('CLASIF_Baobá_F'!$O$9,"")</f>
        <v/>
      </c>
      <c r="G1051" s="40" t="n"/>
      <c r="H1051" s="41" t="n"/>
      <c r="I1051" s="42">
        <f>IF($H1051="","",MAX(0,$H1051-N($E1051)))</f>
        <v/>
      </c>
      <c r="J1051" s="42">
        <f>IF($H1051="","",MAX(0,$H1051-N($G1051)))</f>
        <v/>
      </c>
    </row>
    <row r="1052" ht="19.5" customHeight="1" s="72">
      <c r="A1052" s="38" t="inlineStr">
        <is>
          <t>BaobáF-FIN-P01-SBA</t>
        </is>
      </c>
      <c r="B1052" s="38" t="inlineStr">
        <is>
          <t>Final</t>
        </is>
      </c>
      <c r="C1052" s="38" t="inlineStr">
        <is>
          <t>São Bento da Abadá</t>
        </is>
      </c>
      <c r="D1052" s="39">
        <f>IFERROR('CLASIF_Baobá_F'!$X$5,"")</f>
        <v/>
      </c>
      <c r="E1052" s="40" t="n"/>
      <c r="F1052" s="39">
        <f>IFERROR('CLASIF_Baobá_F'!$X$8,"")</f>
        <v/>
      </c>
      <c r="G1052" s="40" t="n"/>
      <c r="H1052" s="41" t="n"/>
      <c r="I1052" s="42">
        <f>IF($H1052="","",MAX(0,$H1052-N($E1052)))</f>
        <v/>
      </c>
      <c r="J1052" s="42">
        <f>IF($H1052="","",MAX(0,$H1052-N($G1052)))</f>
        <v/>
      </c>
    </row>
    <row r="1053" ht="19.5" customHeight="1" s="72">
      <c r="A1053" s="38" t="inlineStr">
        <is>
          <t>BaobáF-FIN-P01-BEN</t>
        </is>
      </c>
      <c r="B1053" s="38" t="inlineStr">
        <is>
          <t>Final</t>
        </is>
      </c>
      <c r="C1053" s="38" t="inlineStr">
        <is>
          <t>Benguela</t>
        </is>
      </c>
      <c r="D1053" s="39">
        <f>IFERROR('CLASIF_Baobá_F'!$X$5,"")</f>
        <v/>
      </c>
      <c r="E1053" s="40" t="n"/>
      <c r="F1053" s="39">
        <f>IFERROR('CLASIF_Baobá_F'!$X$8,"")</f>
        <v/>
      </c>
      <c r="G1053" s="40" t="n"/>
      <c r="H1053" s="41" t="n"/>
      <c r="I1053" s="42">
        <f>IF($H1053="","",MAX(0,$H1053-N($E1053)))</f>
        <v/>
      </c>
      <c r="J1053" s="42">
        <f>IF($H1053="","",MAX(0,$H1053-N($G1053)))</f>
        <v/>
      </c>
    </row>
    <row r="1054" ht="19.5" customHeight="1" s="72">
      <c r="A1054" s="38" t="inlineStr">
        <is>
          <t>BaobáF-FIN-P01-SIR</t>
        </is>
      </c>
      <c r="B1054" s="38" t="inlineStr">
        <is>
          <t>Final</t>
        </is>
      </c>
      <c r="C1054" s="38" t="inlineStr">
        <is>
          <t>Siriuna</t>
        </is>
      </c>
      <c r="D1054" s="39">
        <f>IFERROR('CLASIF_Baobá_F'!$X$5,"")</f>
        <v/>
      </c>
      <c r="E1054" s="40" t="n"/>
      <c r="F1054" s="39">
        <f>IFERROR('CLASIF_Baobá_F'!$X$8,"")</f>
        <v/>
      </c>
      <c r="G1054" s="40" t="n"/>
      <c r="H1054" s="41" t="n"/>
      <c r="I1054" s="42">
        <f>IF($H1054="","",MAX(0,$H1054-N($E1054)))</f>
        <v/>
      </c>
      <c r="J1054" s="42">
        <f>IF($H1054="","",MAX(0,$H1054-N($G1054)))</f>
        <v/>
      </c>
    </row>
    <row r="1055" ht="19.5" customHeight="1" s="72">
      <c r="A1055" s="38" t="inlineStr">
        <is>
          <t>BaobáF-FIN-P02-SBA</t>
        </is>
      </c>
      <c r="B1055" s="38" t="inlineStr">
        <is>
          <t>Final</t>
        </is>
      </c>
      <c r="C1055" s="38" t="inlineStr">
        <is>
          <t>São Bento da Abadá</t>
        </is>
      </c>
      <c r="D1055" s="39">
        <f>IFERROR('CLASIF_Baobá_F'!$X$6,"")</f>
        <v/>
      </c>
      <c r="E1055" s="40" t="n"/>
      <c r="F1055" s="39">
        <f>IFERROR('CLASIF_Baobá_F'!$X$7,"")</f>
        <v/>
      </c>
      <c r="G1055" s="40" t="n"/>
      <c r="H1055" s="41" t="n"/>
      <c r="I1055" s="42">
        <f>IF($H1055="","",MAX(0,$H1055-N($E1055)))</f>
        <v/>
      </c>
      <c r="J1055" s="42">
        <f>IF($H1055="","",MAX(0,$H1055-N($G1055)))</f>
        <v/>
      </c>
    </row>
    <row r="1056" ht="19.5" customHeight="1" s="72">
      <c r="A1056" s="38" t="inlineStr">
        <is>
          <t>BaobáF-FIN-P02-BEN</t>
        </is>
      </c>
      <c r="B1056" s="38" t="inlineStr">
        <is>
          <t>Final</t>
        </is>
      </c>
      <c r="C1056" s="38" t="inlineStr">
        <is>
          <t>Benguela</t>
        </is>
      </c>
      <c r="D1056" s="39">
        <f>IFERROR('CLASIF_Baobá_F'!$X$6,"")</f>
        <v/>
      </c>
      <c r="E1056" s="40" t="n"/>
      <c r="F1056" s="39">
        <f>IFERROR('CLASIF_Baobá_F'!$X$7,"")</f>
        <v/>
      </c>
      <c r="G1056" s="40" t="n"/>
      <c r="H1056" s="41" t="n"/>
      <c r="I1056" s="42">
        <f>IF($H1056="","",MAX(0,$H1056-N($E1056)))</f>
        <v/>
      </c>
      <c r="J1056" s="42">
        <f>IF($H1056="","",MAX(0,$H1056-N($G1056)))</f>
        <v/>
      </c>
    </row>
    <row r="1057" ht="19.5" customHeight="1" s="72">
      <c r="A1057" s="38" t="inlineStr">
        <is>
          <t>BaobáF-FIN-P02-SIR</t>
        </is>
      </c>
      <c r="B1057" s="38" t="inlineStr">
        <is>
          <t>Final</t>
        </is>
      </c>
      <c r="C1057" s="38" t="inlineStr">
        <is>
          <t>Siriuna</t>
        </is>
      </c>
      <c r="D1057" s="39">
        <f>IFERROR('CLASIF_Baobá_F'!$X$6,"")</f>
        <v/>
      </c>
      <c r="E1057" s="40" t="n"/>
      <c r="F1057" s="39">
        <f>IFERROR('CLASIF_Baobá_F'!$X$7,"")</f>
        <v/>
      </c>
      <c r="G1057" s="40" t="n"/>
      <c r="H1057" s="41" t="n"/>
      <c r="I1057" s="42">
        <f>IF($H1057="","",MAX(0,$H1057-N($E1057)))</f>
        <v/>
      </c>
      <c r="J1057" s="42">
        <f>IF($H1057="","",MAX(0,$H1057-N($G1057)))</f>
        <v/>
      </c>
    </row>
    <row r="1058" ht="19.5" customHeight="1" s="72">
      <c r="A1058" s="43" t="n"/>
      <c r="B1058" s="43" t="n"/>
      <c r="C1058" s="43" t="n"/>
      <c r="D1058" s="43" t="n"/>
      <c r="E1058" s="43" t="n"/>
      <c r="F1058" s="43" t="n"/>
      <c r="G1058" s="43" t="n"/>
      <c r="H1058" s="44" t="n"/>
      <c r="I1058" s="43">
        <f>IF($H1058="","",MAX(0,$H1058-N($E1058)))</f>
        <v/>
      </c>
      <c r="J1058" s="43">
        <f>IF($H1058="","",MAX(0,$H1058-N($G1058)))</f>
        <v/>
      </c>
    </row>
    <row r="1059" ht="19.5" customHeight="1" s="72">
      <c r="A1059" s="86" t="inlineStr">
        <is>
          <t>═══ CATEGORÍA Juvenil · Masculino · Amarilla/Naranja · Toques: São Bento da Abadá, Benguela ═══</t>
        </is>
      </c>
    </row>
    <row r="1060" ht="19.5" customHeight="1" s="72">
      <c r="A1060" s="8" t="inlineStr">
        <is>
          <t>Jogo</t>
        </is>
      </c>
      <c r="B1060" s="8" t="inlineStr">
        <is>
          <t>Fase</t>
        </is>
      </c>
      <c r="C1060" s="8" t="inlineStr">
        <is>
          <t>Toque</t>
        </is>
      </c>
      <c r="D1060" s="8" t="inlineStr">
        <is>
          <t>Jugador A</t>
        </is>
      </c>
      <c r="E1060" s="8" t="inlineStr">
        <is>
          <t>Quita A</t>
        </is>
      </c>
      <c r="F1060" s="8" t="inlineStr">
        <is>
          <t>Jugador B</t>
        </is>
      </c>
      <c r="G1060" s="8" t="inlineStr">
        <is>
          <t>Quita B</t>
        </is>
      </c>
      <c r="H1060" s="8" t="inlineStr">
        <is>
          <t>NOTA (0-5)</t>
        </is>
      </c>
      <c r="I1060" s="8">
        <f>IF($H1060="","",MAX(0,$H1060-N($E1060)))</f>
        <v/>
      </c>
      <c r="J1060" s="8">
        <f>IF($H1060="","",MAX(0,$H1060-N($G1060)))</f>
        <v/>
      </c>
    </row>
    <row r="1061" ht="19.5" customHeight="1" s="72">
      <c r="A1061" s="38" t="inlineStr">
        <is>
          <t>JuvenilM-32-P01-SBA</t>
        </is>
      </c>
      <c r="B1061" s="38" t="inlineStr">
        <is>
          <t>Fase 32</t>
        </is>
      </c>
      <c r="C1061" s="38" t="inlineStr">
        <is>
          <t>São Bento da Abadá</t>
        </is>
      </c>
      <c r="D1061" s="39" t="inlineStr">
        <is>
          <t>A_Juvenil_M_32_P1</t>
        </is>
      </c>
      <c r="E1061" s="40" t="n"/>
      <c r="F1061" s="39" t="inlineStr">
        <is>
          <t>B_Juvenil_M_32_P1</t>
        </is>
      </c>
      <c r="G1061" s="40" t="n"/>
      <c r="H1061" s="41" t="n"/>
      <c r="I1061" s="42">
        <f>IF($H1061="","",MAX(0,$H1061-N($E1061)))</f>
        <v/>
      </c>
      <c r="J1061" s="42">
        <f>IF($H1061="","",MAX(0,$H1061-N($G1061)))</f>
        <v/>
      </c>
    </row>
    <row r="1062" ht="19.5" customHeight="1" s="72">
      <c r="A1062" s="38" t="inlineStr">
        <is>
          <t>JuvenilM-32-P01-BEN</t>
        </is>
      </c>
      <c r="B1062" s="38" t="inlineStr">
        <is>
          <t>Fase 32</t>
        </is>
      </c>
      <c r="C1062" s="38" t="inlineStr">
        <is>
          <t>Benguela</t>
        </is>
      </c>
      <c r="D1062" s="39" t="inlineStr">
        <is>
          <t>A_Juvenil_M_32_P1</t>
        </is>
      </c>
      <c r="E1062" s="40" t="n"/>
      <c r="F1062" s="39" t="inlineStr">
        <is>
          <t>B_Juvenil_M_32_P1</t>
        </is>
      </c>
      <c r="G1062" s="40" t="n"/>
      <c r="H1062" s="41" t="n"/>
      <c r="I1062" s="42">
        <f>IF($H1062="","",MAX(0,$H1062-N($E1062)))</f>
        <v/>
      </c>
      <c r="J1062" s="42">
        <f>IF($H1062="","",MAX(0,$H1062-N($G1062)))</f>
        <v/>
      </c>
    </row>
    <row r="1063" ht="19.5" customHeight="1" s="72">
      <c r="A1063" s="38" t="inlineStr">
        <is>
          <t>JuvenilM-32-P02-SBA</t>
        </is>
      </c>
      <c r="B1063" s="38" t="inlineStr">
        <is>
          <t>Fase 32</t>
        </is>
      </c>
      <c r="C1063" s="38" t="inlineStr">
        <is>
          <t>São Bento da Abadá</t>
        </is>
      </c>
      <c r="D1063" s="39" t="inlineStr">
        <is>
          <t>A_Juvenil_M_32_P2</t>
        </is>
      </c>
      <c r="E1063" s="40" t="n"/>
      <c r="F1063" s="39" t="inlineStr">
        <is>
          <t>B_Juvenil_M_32_P2</t>
        </is>
      </c>
      <c r="G1063" s="40" t="n"/>
      <c r="H1063" s="41" t="n"/>
      <c r="I1063" s="42">
        <f>IF($H1063="","",MAX(0,$H1063-N($E1063)))</f>
        <v/>
      </c>
      <c r="J1063" s="42">
        <f>IF($H1063="","",MAX(0,$H1063-N($G1063)))</f>
        <v/>
      </c>
    </row>
    <row r="1064" ht="19.5" customHeight="1" s="72">
      <c r="A1064" s="38" t="inlineStr">
        <is>
          <t>JuvenilM-32-P02-BEN</t>
        </is>
      </c>
      <c r="B1064" s="38" t="inlineStr">
        <is>
          <t>Fase 32</t>
        </is>
      </c>
      <c r="C1064" s="38" t="inlineStr">
        <is>
          <t>Benguela</t>
        </is>
      </c>
      <c r="D1064" s="39" t="inlineStr">
        <is>
          <t>A_Juvenil_M_32_P2</t>
        </is>
      </c>
      <c r="E1064" s="40" t="n"/>
      <c r="F1064" s="39" t="inlineStr">
        <is>
          <t>B_Juvenil_M_32_P2</t>
        </is>
      </c>
      <c r="G1064" s="40" t="n"/>
      <c r="H1064" s="41" t="n"/>
      <c r="I1064" s="42">
        <f>IF($H1064="","",MAX(0,$H1064-N($E1064)))</f>
        <v/>
      </c>
      <c r="J1064" s="42">
        <f>IF($H1064="","",MAX(0,$H1064-N($G1064)))</f>
        <v/>
      </c>
    </row>
    <row r="1065" ht="19.5" customHeight="1" s="72">
      <c r="A1065" s="38" t="inlineStr">
        <is>
          <t>JuvenilM-32-P03-SBA</t>
        </is>
      </c>
      <c r="B1065" s="38" t="inlineStr">
        <is>
          <t>Fase 32</t>
        </is>
      </c>
      <c r="C1065" s="38" t="inlineStr">
        <is>
          <t>São Bento da Abadá</t>
        </is>
      </c>
      <c r="D1065" s="39" t="inlineStr">
        <is>
          <t>A_Juvenil_M_32_P3</t>
        </is>
      </c>
      <c r="E1065" s="40" t="n"/>
      <c r="F1065" s="39" t="inlineStr">
        <is>
          <t>B_Juvenil_M_32_P3</t>
        </is>
      </c>
      <c r="G1065" s="40" t="n"/>
      <c r="H1065" s="41" t="n"/>
      <c r="I1065" s="42">
        <f>IF($H1065="","",MAX(0,$H1065-N($E1065)))</f>
        <v/>
      </c>
      <c r="J1065" s="42">
        <f>IF($H1065="","",MAX(0,$H1065-N($G1065)))</f>
        <v/>
      </c>
    </row>
    <row r="1066" ht="19.5" customHeight="1" s="72">
      <c r="A1066" s="38" t="inlineStr">
        <is>
          <t>JuvenilM-32-P03-BEN</t>
        </is>
      </c>
      <c r="B1066" s="38" t="inlineStr">
        <is>
          <t>Fase 32</t>
        </is>
      </c>
      <c r="C1066" s="38" t="inlineStr">
        <is>
          <t>Benguela</t>
        </is>
      </c>
      <c r="D1066" s="39" t="inlineStr">
        <is>
          <t>A_Juvenil_M_32_P3</t>
        </is>
      </c>
      <c r="E1066" s="40" t="n"/>
      <c r="F1066" s="39" t="inlineStr">
        <is>
          <t>B_Juvenil_M_32_P3</t>
        </is>
      </c>
      <c r="G1066" s="40" t="n"/>
      <c r="H1066" s="41" t="n"/>
      <c r="I1066" s="42">
        <f>IF($H1066="","",MAX(0,$H1066-N($E1066)))</f>
        <v/>
      </c>
      <c r="J1066" s="42">
        <f>IF($H1066="","",MAX(0,$H1066-N($G1066)))</f>
        <v/>
      </c>
    </row>
    <row r="1067" ht="19.5" customHeight="1" s="72">
      <c r="A1067" s="38" t="inlineStr">
        <is>
          <t>JuvenilM-32-P04-SBA</t>
        </is>
      </c>
      <c r="B1067" s="38" t="inlineStr">
        <is>
          <t>Fase 32</t>
        </is>
      </c>
      <c r="C1067" s="38" t="inlineStr">
        <is>
          <t>São Bento da Abadá</t>
        </is>
      </c>
      <c r="D1067" s="39" t="inlineStr">
        <is>
          <t>A_Juvenil_M_32_P4</t>
        </is>
      </c>
      <c r="E1067" s="40" t="n"/>
      <c r="F1067" s="39" t="inlineStr">
        <is>
          <t>B_Juvenil_M_32_P4</t>
        </is>
      </c>
      <c r="G1067" s="40" t="n"/>
      <c r="H1067" s="41" t="n"/>
      <c r="I1067" s="42">
        <f>IF($H1067="","",MAX(0,$H1067-N($E1067)))</f>
        <v/>
      </c>
      <c r="J1067" s="42">
        <f>IF($H1067="","",MAX(0,$H1067-N($G1067)))</f>
        <v/>
      </c>
    </row>
    <row r="1068" ht="19.5" customHeight="1" s="72">
      <c r="A1068" s="38" t="inlineStr">
        <is>
          <t>JuvenilM-32-P04-BEN</t>
        </is>
      </c>
      <c r="B1068" s="38" t="inlineStr">
        <is>
          <t>Fase 32</t>
        </is>
      </c>
      <c r="C1068" s="38" t="inlineStr">
        <is>
          <t>Benguela</t>
        </is>
      </c>
      <c r="D1068" s="39" t="inlineStr">
        <is>
          <t>A_Juvenil_M_32_P4</t>
        </is>
      </c>
      <c r="E1068" s="40" t="n"/>
      <c r="F1068" s="39" t="inlineStr">
        <is>
          <t>B_Juvenil_M_32_P4</t>
        </is>
      </c>
      <c r="G1068" s="40" t="n"/>
      <c r="H1068" s="41" t="n"/>
      <c r="I1068" s="42">
        <f>IF($H1068="","",MAX(0,$H1068-N($E1068)))</f>
        <v/>
      </c>
      <c r="J1068" s="42">
        <f>IF($H1068="","",MAX(0,$H1068-N($G1068)))</f>
        <v/>
      </c>
    </row>
    <row r="1069" ht="19.5" customHeight="1" s="72">
      <c r="A1069" s="38" t="inlineStr">
        <is>
          <t>JuvenilM-32-P05-SBA</t>
        </is>
      </c>
      <c r="B1069" s="38" t="inlineStr">
        <is>
          <t>Fase 32</t>
        </is>
      </c>
      <c r="C1069" s="38" t="inlineStr">
        <is>
          <t>São Bento da Abadá</t>
        </is>
      </c>
      <c r="D1069" s="39" t="inlineStr">
        <is>
          <t>A_Juvenil_M_32_P5</t>
        </is>
      </c>
      <c r="E1069" s="40" t="n"/>
      <c r="F1069" s="39" t="inlineStr">
        <is>
          <t>B_Juvenil_M_32_P5</t>
        </is>
      </c>
      <c r="G1069" s="40" t="n"/>
      <c r="H1069" s="41" t="n"/>
      <c r="I1069" s="42">
        <f>IF($H1069="","",MAX(0,$H1069-N($E1069)))</f>
        <v/>
      </c>
      <c r="J1069" s="42">
        <f>IF($H1069="","",MAX(0,$H1069-N($G1069)))</f>
        <v/>
      </c>
    </row>
    <row r="1070" ht="19.5" customHeight="1" s="72">
      <c r="A1070" s="38" t="inlineStr">
        <is>
          <t>JuvenilM-32-P05-BEN</t>
        </is>
      </c>
      <c r="B1070" s="38" t="inlineStr">
        <is>
          <t>Fase 32</t>
        </is>
      </c>
      <c r="C1070" s="38" t="inlineStr">
        <is>
          <t>Benguela</t>
        </is>
      </c>
      <c r="D1070" s="39" t="inlineStr">
        <is>
          <t>A_Juvenil_M_32_P5</t>
        </is>
      </c>
      <c r="E1070" s="40" t="n"/>
      <c r="F1070" s="39" t="inlineStr">
        <is>
          <t>B_Juvenil_M_32_P5</t>
        </is>
      </c>
      <c r="G1070" s="40" t="n"/>
      <c r="H1070" s="41" t="n"/>
      <c r="I1070" s="42">
        <f>IF($H1070="","",MAX(0,$H1070-N($E1070)))</f>
        <v/>
      </c>
      <c r="J1070" s="42">
        <f>IF($H1070="","",MAX(0,$H1070-N($G1070)))</f>
        <v/>
      </c>
    </row>
    <row r="1071" ht="19.5" customHeight="1" s="72">
      <c r="A1071" s="38" t="inlineStr">
        <is>
          <t>JuvenilM-32-P06-SBA</t>
        </is>
      </c>
      <c r="B1071" s="38" t="inlineStr">
        <is>
          <t>Fase 32</t>
        </is>
      </c>
      <c r="C1071" s="38" t="inlineStr">
        <is>
          <t>São Bento da Abadá</t>
        </is>
      </c>
      <c r="D1071" s="39" t="inlineStr">
        <is>
          <t>A_Juvenil_M_32_P6</t>
        </is>
      </c>
      <c r="E1071" s="40" t="n"/>
      <c r="F1071" s="39" t="inlineStr">
        <is>
          <t>B_Juvenil_M_32_P6</t>
        </is>
      </c>
      <c r="G1071" s="40" t="n"/>
      <c r="H1071" s="41" t="n"/>
      <c r="I1071" s="42">
        <f>IF($H1071="","",MAX(0,$H1071-N($E1071)))</f>
        <v/>
      </c>
      <c r="J1071" s="42">
        <f>IF($H1071="","",MAX(0,$H1071-N($G1071)))</f>
        <v/>
      </c>
    </row>
    <row r="1072" ht="19.5" customHeight="1" s="72">
      <c r="A1072" s="38" t="inlineStr">
        <is>
          <t>JuvenilM-32-P06-BEN</t>
        </is>
      </c>
      <c r="B1072" s="38" t="inlineStr">
        <is>
          <t>Fase 32</t>
        </is>
      </c>
      <c r="C1072" s="38" t="inlineStr">
        <is>
          <t>Benguela</t>
        </is>
      </c>
      <c r="D1072" s="39" t="inlineStr">
        <is>
          <t>A_Juvenil_M_32_P6</t>
        </is>
      </c>
      <c r="E1072" s="40" t="n"/>
      <c r="F1072" s="39" t="inlineStr">
        <is>
          <t>B_Juvenil_M_32_P6</t>
        </is>
      </c>
      <c r="G1072" s="40" t="n"/>
      <c r="H1072" s="41" t="n"/>
      <c r="I1072" s="42">
        <f>IF($H1072="","",MAX(0,$H1072-N($E1072)))</f>
        <v/>
      </c>
      <c r="J1072" s="42">
        <f>IF($H1072="","",MAX(0,$H1072-N($G1072)))</f>
        <v/>
      </c>
    </row>
    <row r="1073" ht="19.5" customHeight="1" s="72">
      <c r="A1073" s="38" t="inlineStr">
        <is>
          <t>JuvenilM-32-P07-SBA</t>
        </is>
      </c>
      <c r="B1073" s="38" t="inlineStr">
        <is>
          <t>Fase 32</t>
        </is>
      </c>
      <c r="C1073" s="38" t="inlineStr">
        <is>
          <t>São Bento da Abadá</t>
        </is>
      </c>
      <c r="D1073" s="39" t="inlineStr">
        <is>
          <t>A_Juvenil_M_32_P7</t>
        </is>
      </c>
      <c r="E1073" s="40" t="n"/>
      <c r="F1073" s="39" t="inlineStr">
        <is>
          <t>B_Juvenil_M_32_P7</t>
        </is>
      </c>
      <c r="G1073" s="40" t="n"/>
      <c r="H1073" s="41" t="n"/>
      <c r="I1073" s="42">
        <f>IF($H1073="","",MAX(0,$H1073-N($E1073)))</f>
        <v/>
      </c>
      <c r="J1073" s="42">
        <f>IF($H1073="","",MAX(0,$H1073-N($G1073)))</f>
        <v/>
      </c>
    </row>
    <row r="1074" ht="19.5" customHeight="1" s="72">
      <c r="A1074" s="38" t="inlineStr">
        <is>
          <t>JuvenilM-32-P07-BEN</t>
        </is>
      </c>
      <c r="B1074" s="38" t="inlineStr">
        <is>
          <t>Fase 32</t>
        </is>
      </c>
      <c r="C1074" s="38" t="inlineStr">
        <is>
          <t>Benguela</t>
        </is>
      </c>
      <c r="D1074" s="39" t="inlineStr">
        <is>
          <t>A_Juvenil_M_32_P7</t>
        </is>
      </c>
      <c r="E1074" s="40" t="n"/>
      <c r="F1074" s="39" t="inlineStr">
        <is>
          <t>B_Juvenil_M_32_P7</t>
        </is>
      </c>
      <c r="G1074" s="40" t="n"/>
      <c r="H1074" s="41" t="n"/>
      <c r="I1074" s="42">
        <f>IF($H1074="","",MAX(0,$H1074-N($E1074)))</f>
        <v/>
      </c>
      <c r="J1074" s="42">
        <f>IF($H1074="","",MAX(0,$H1074-N($G1074)))</f>
        <v/>
      </c>
    </row>
    <row r="1075" ht="19.5" customHeight="1" s="72">
      <c r="A1075" s="38" t="inlineStr">
        <is>
          <t>JuvenilM-32-P08-SBA</t>
        </is>
      </c>
      <c r="B1075" s="38" t="inlineStr">
        <is>
          <t>Fase 32</t>
        </is>
      </c>
      <c r="C1075" s="38" t="inlineStr">
        <is>
          <t>São Bento da Abadá</t>
        </is>
      </c>
      <c r="D1075" s="39" t="inlineStr">
        <is>
          <t>A_Juvenil_M_32_P8</t>
        </is>
      </c>
      <c r="E1075" s="40" t="n"/>
      <c r="F1075" s="39" t="inlineStr">
        <is>
          <t>B_Juvenil_M_32_P8</t>
        </is>
      </c>
      <c r="G1075" s="40" t="n"/>
      <c r="H1075" s="41" t="n"/>
      <c r="I1075" s="42">
        <f>IF($H1075="","",MAX(0,$H1075-N($E1075)))</f>
        <v/>
      </c>
      <c r="J1075" s="42">
        <f>IF($H1075="","",MAX(0,$H1075-N($G1075)))</f>
        <v/>
      </c>
    </row>
    <row r="1076" ht="19.5" customHeight="1" s="72">
      <c r="A1076" s="38" t="inlineStr">
        <is>
          <t>JuvenilM-32-P08-BEN</t>
        </is>
      </c>
      <c r="B1076" s="38" t="inlineStr">
        <is>
          <t>Fase 32</t>
        </is>
      </c>
      <c r="C1076" s="38" t="inlineStr">
        <is>
          <t>Benguela</t>
        </is>
      </c>
      <c r="D1076" s="39" t="inlineStr">
        <is>
          <t>A_Juvenil_M_32_P8</t>
        </is>
      </c>
      <c r="E1076" s="40" t="n"/>
      <c r="F1076" s="39" t="inlineStr">
        <is>
          <t>B_Juvenil_M_32_P8</t>
        </is>
      </c>
      <c r="G1076" s="40" t="n"/>
      <c r="H1076" s="41" t="n"/>
      <c r="I1076" s="42">
        <f>IF($H1076="","",MAX(0,$H1076-N($E1076)))</f>
        <v/>
      </c>
      <c r="J1076" s="42">
        <f>IF($H1076="","",MAX(0,$H1076-N($G1076)))</f>
        <v/>
      </c>
    </row>
    <row r="1077" ht="19.5" customHeight="1" s="72">
      <c r="A1077" s="38" t="inlineStr">
        <is>
          <t>JuvenilM-32-P09-SBA</t>
        </is>
      </c>
      <c r="B1077" s="38" t="inlineStr">
        <is>
          <t>Fase 32</t>
        </is>
      </c>
      <c r="C1077" s="38" t="inlineStr">
        <is>
          <t>São Bento da Abadá</t>
        </is>
      </c>
      <c r="D1077" s="39" t="inlineStr">
        <is>
          <t>A_Juvenil_M_32_P9</t>
        </is>
      </c>
      <c r="E1077" s="40" t="n"/>
      <c r="F1077" s="39" t="inlineStr">
        <is>
          <t>B_Juvenil_M_32_P9</t>
        </is>
      </c>
      <c r="G1077" s="40" t="n"/>
      <c r="H1077" s="41" t="n"/>
      <c r="I1077" s="42">
        <f>IF($H1077="","",MAX(0,$H1077-N($E1077)))</f>
        <v/>
      </c>
      <c r="J1077" s="42">
        <f>IF($H1077="","",MAX(0,$H1077-N($G1077)))</f>
        <v/>
      </c>
    </row>
    <row r="1078" ht="19.5" customHeight="1" s="72">
      <c r="A1078" s="38" t="inlineStr">
        <is>
          <t>JuvenilM-32-P09-BEN</t>
        </is>
      </c>
      <c r="B1078" s="38" t="inlineStr">
        <is>
          <t>Fase 32</t>
        </is>
      </c>
      <c r="C1078" s="38" t="inlineStr">
        <is>
          <t>Benguela</t>
        </is>
      </c>
      <c r="D1078" s="39" t="inlineStr">
        <is>
          <t>A_Juvenil_M_32_P9</t>
        </is>
      </c>
      <c r="E1078" s="40" t="n"/>
      <c r="F1078" s="39" t="inlineStr">
        <is>
          <t>B_Juvenil_M_32_P9</t>
        </is>
      </c>
      <c r="G1078" s="40" t="n"/>
      <c r="H1078" s="41" t="n"/>
      <c r="I1078" s="42">
        <f>IF($H1078="","",MAX(0,$H1078-N($E1078)))</f>
        <v/>
      </c>
      <c r="J1078" s="42">
        <f>IF($H1078="","",MAX(0,$H1078-N($G1078)))</f>
        <v/>
      </c>
    </row>
    <row r="1079" ht="19.5" customHeight="1" s="72">
      <c r="A1079" s="38" t="inlineStr">
        <is>
          <t>JuvenilM-32-P10-SBA</t>
        </is>
      </c>
      <c r="B1079" s="38" t="inlineStr">
        <is>
          <t>Fase 32</t>
        </is>
      </c>
      <c r="C1079" s="38" t="inlineStr">
        <is>
          <t>São Bento da Abadá</t>
        </is>
      </c>
      <c r="D1079" s="39" t="inlineStr">
        <is>
          <t>A_Juvenil_M_32_P10</t>
        </is>
      </c>
      <c r="E1079" s="40" t="n"/>
      <c r="F1079" s="39" t="inlineStr">
        <is>
          <t>B_Juvenil_M_32_P10</t>
        </is>
      </c>
      <c r="G1079" s="40" t="n"/>
      <c r="H1079" s="41" t="n"/>
      <c r="I1079" s="42">
        <f>IF($H1079="","",MAX(0,$H1079-N($E1079)))</f>
        <v/>
      </c>
      <c r="J1079" s="42">
        <f>IF($H1079="","",MAX(0,$H1079-N($G1079)))</f>
        <v/>
      </c>
    </row>
    <row r="1080" ht="19.5" customHeight="1" s="72">
      <c r="A1080" s="38" t="inlineStr">
        <is>
          <t>JuvenilM-32-P10-BEN</t>
        </is>
      </c>
      <c r="B1080" s="38" t="inlineStr">
        <is>
          <t>Fase 32</t>
        </is>
      </c>
      <c r="C1080" s="38" t="inlineStr">
        <is>
          <t>Benguela</t>
        </is>
      </c>
      <c r="D1080" s="39" t="inlineStr">
        <is>
          <t>A_Juvenil_M_32_P10</t>
        </is>
      </c>
      <c r="E1080" s="40" t="n"/>
      <c r="F1080" s="39" t="inlineStr">
        <is>
          <t>B_Juvenil_M_32_P10</t>
        </is>
      </c>
      <c r="G1080" s="40" t="n"/>
      <c r="H1080" s="41" t="n"/>
      <c r="I1080" s="42">
        <f>IF($H1080="","",MAX(0,$H1080-N($E1080)))</f>
        <v/>
      </c>
      <c r="J1080" s="42">
        <f>IF($H1080="","",MAX(0,$H1080-N($G1080)))</f>
        <v/>
      </c>
    </row>
    <row r="1081" ht="19.5" customHeight="1" s="72">
      <c r="A1081" s="38" t="inlineStr">
        <is>
          <t>JuvenilM-32-P11-SBA</t>
        </is>
      </c>
      <c r="B1081" s="38" t="inlineStr">
        <is>
          <t>Fase 32</t>
        </is>
      </c>
      <c r="C1081" s="38" t="inlineStr">
        <is>
          <t>São Bento da Abadá</t>
        </is>
      </c>
      <c r="D1081" s="39" t="inlineStr">
        <is>
          <t>A_Juvenil_M_32_P11</t>
        </is>
      </c>
      <c r="E1081" s="40" t="n"/>
      <c r="F1081" s="39" t="inlineStr">
        <is>
          <t>B_Juvenil_M_32_P11</t>
        </is>
      </c>
      <c r="G1081" s="40" t="n"/>
      <c r="H1081" s="41" t="n"/>
      <c r="I1081" s="42">
        <f>IF($H1081="","",MAX(0,$H1081-N($E1081)))</f>
        <v/>
      </c>
      <c r="J1081" s="42">
        <f>IF($H1081="","",MAX(0,$H1081-N($G1081)))</f>
        <v/>
      </c>
    </row>
    <row r="1082" ht="19.5" customHeight="1" s="72">
      <c r="A1082" s="38" t="inlineStr">
        <is>
          <t>JuvenilM-32-P11-BEN</t>
        </is>
      </c>
      <c r="B1082" s="38" t="inlineStr">
        <is>
          <t>Fase 32</t>
        </is>
      </c>
      <c r="C1082" s="38" t="inlineStr">
        <is>
          <t>Benguela</t>
        </is>
      </c>
      <c r="D1082" s="39" t="inlineStr">
        <is>
          <t>A_Juvenil_M_32_P11</t>
        </is>
      </c>
      <c r="E1082" s="40" t="n"/>
      <c r="F1082" s="39" t="inlineStr">
        <is>
          <t>B_Juvenil_M_32_P11</t>
        </is>
      </c>
      <c r="G1082" s="40" t="n"/>
      <c r="H1082" s="41" t="n"/>
      <c r="I1082" s="42">
        <f>IF($H1082="","",MAX(0,$H1082-N($E1082)))</f>
        <v/>
      </c>
      <c r="J1082" s="42">
        <f>IF($H1082="","",MAX(0,$H1082-N($G1082)))</f>
        <v/>
      </c>
    </row>
    <row r="1083" ht="19.5" customHeight="1" s="72">
      <c r="A1083" s="38" t="inlineStr">
        <is>
          <t>JuvenilM-32-P12-SBA</t>
        </is>
      </c>
      <c r="B1083" s="38" t="inlineStr">
        <is>
          <t>Fase 32</t>
        </is>
      </c>
      <c r="C1083" s="38" t="inlineStr">
        <is>
          <t>São Bento da Abadá</t>
        </is>
      </c>
      <c r="D1083" s="39" t="inlineStr">
        <is>
          <t>A_Juvenil_M_32_P12</t>
        </is>
      </c>
      <c r="E1083" s="40" t="n"/>
      <c r="F1083" s="39" t="inlineStr">
        <is>
          <t>B_Juvenil_M_32_P12</t>
        </is>
      </c>
      <c r="G1083" s="40" t="n"/>
      <c r="H1083" s="41" t="n"/>
      <c r="I1083" s="42">
        <f>IF($H1083="","",MAX(0,$H1083-N($E1083)))</f>
        <v/>
      </c>
      <c r="J1083" s="42">
        <f>IF($H1083="","",MAX(0,$H1083-N($G1083)))</f>
        <v/>
      </c>
    </row>
    <row r="1084" ht="19.5" customHeight="1" s="72">
      <c r="A1084" s="38" t="inlineStr">
        <is>
          <t>JuvenilM-32-P12-BEN</t>
        </is>
      </c>
      <c r="B1084" s="38" t="inlineStr">
        <is>
          <t>Fase 32</t>
        </is>
      </c>
      <c r="C1084" s="38" t="inlineStr">
        <is>
          <t>Benguela</t>
        </is>
      </c>
      <c r="D1084" s="39" t="inlineStr">
        <is>
          <t>A_Juvenil_M_32_P12</t>
        </is>
      </c>
      <c r="E1084" s="40" t="n"/>
      <c r="F1084" s="39" t="inlineStr">
        <is>
          <t>B_Juvenil_M_32_P12</t>
        </is>
      </c>
      <c r="G1084" s="40" t="n"/>
      <c r="H1084" s="41" t="n"/>
      <c r="I1084" s="42">
        <f>IF($H1084="","",MAX(0,$H1084-N($E1084)))</f>
        <v/>
      </c>
      <c r="J1084" s="42">
        <f>IF($H1084="","",MAX(0,$H1084-N($G1084)))</f>
        <v/>
      </c>
    </row>
    <row r="1085" ht="19.5" customHeight="1" s="72">
      <c r="A1085" s="38" t="inlineStr">
        <is>
          <t>JuvenilM-32-P13-SBA</t>
        </is>
      </c>
      <c r="B1085" s="38" t="inlineStr">
        <is>
          <t>Fase 32</t>
        </is>
      </c>
      <c r="C1085" s="38" t="inlineStr">
        <is>
          <t>São Bento da Abadá</t>
        </is>
      </c>
      <c r="D1085" s="39" t="inlineStr">
        <is>
          <t>A_Juvenil_M_32_P13</t>
        </is>
      </c>
      <c r="E1085" s="40" t="n"/>
      <c r="F1085" s="39" t="inlineStr">
        <is>
          <t>B_Juvenil_M_32_P13</t>
        </is>
      </c>
      <c r="G1085" s="40" t="n"/>
      <c r="H1085" s="41" t="n"/>
      <c r="I1085" s="42">
        <f>IF($H1085="","",MAX(0,$H1085-N($E1085)))</f>
        <v/>
      </c>
      <c r="J1085" s="42">
        <f>IF($H1085="","",MAX(0,$H1085-N($G1085)))</f>
        <v/>
      </c>
    </row>
    <row r="1086" ht="19.5" customHeight="1" s="72">
      <c r="A1086" s="38" t="inlineStr">
        <is>
          <t>JuvenilM-32-P13-BEN</t>
        </is>
      </c>
      <c r="B1086" s="38" t="inlineStr">
        <is>
          <t>Fase 32</t>
        </is>
      </c>
      <c r="C1086" s="38" t="inlineStr">
        <is>
          <t>Benguela</t>
        </is>
      </c>
      <c r="D1086" s="39" t="inlineStr">
        <is>
          <t>A_Juvenil_M_32_P13</t>
        </is>
      </c>
      <c r="E1086" s="40" t="n"/>
      <c r="F1086" s="39" t="inlineStr">
        <is>
          <t>B_Juvenil_M_32_P13</t>
        </is>
      </c>
      <c r="G1086" s="40" t="n"/>
      <c r="H1086" s="41" t="n"/>
      <c r="I1086" s="42">
        <f>IF($H1086="","",MAX(0,$H1086-N($E1086)))</f>
        <v/>
      </c>
      <c r="J1086" s="42">
        <f>IF($H1086="","",MAX(0,$H1086-N($G1086)))</f>
        <v/>
      </c>
    </row>
    <row r="1087" ht="19.5" customHeight="1" s="72">
      <c r="A1087" s="38" t="inlineStr">
        <is>
          <t>JuvenilM-32-P14-SBA</t>
        </is>
      </c>
      <c r="B1087" s="38" t="inlineStr">
        <is>
          <t>Fase 32</t>
        </is>
      </c>
      <c r="C1087" s="38" t="inlineStr">
        <is>
          <t>São Bento da Abadá</t>
        </is>
      </c>
      <c r="D1087" s="39" t="inlineStr">
        <is>
          <t>A_Juvenil_M_32_P14</t>
        </is>
      </c>
      <c r="E1087" s="40" t="n"/>
      <c r="F1087" s="39" t="inlineStr">
        <is>
          <t>B_Juvenil_M_32_P14</t>
        </is>
      </c>
      <c r="G1087" s="40" t="n"/>
      <c r="H1087" s="41" t="n"/>
      <c r="I1087" s="42">
        <f>IF($H1087="","",MAX(0,$H1087-N($E1087)))</f>
        <v/>
      </c>
      <c r="J1087" s="42">
        <f>IF($H1087="","",MAX(0,$H1087-N($G1087)))</f>
        <v/>
      </c>
    </row>
    <row r="1088" ht="19.5" customHeight="1" s="72">
      <c r="A1088" s="38" t="inlineStr">
        <is>
          <t>JuvenilM-32-P14-BEN</t>
        </is>
      </c>
      <c r="B1088" s="38" t="inlineStr">
        <is>
          <t>Fase 32</t>
        </is>
      </c>
      <c r="C1088" s="38" t="inlineStr">
        <is>
          <t>Benguela</t>
        </is>
      </c>
      <c r="D1088" s="39" t="inlineStr">
        <is>
          <t>A_Juvenil_M_32_P14</t>
        </is>
      </c>
      <c r="E1088" s="40" t="n"/>
      <c r="F1088" s="39" t="inlineStr">
        <is>
          <t>B_Juvenil_M_32_P14</t>
        </is>
      </c>
      <c r="G1088" s="40" t="n"/>
      <c r="H1088" s="41" t="n"/>
      <c r="I1088" s="42">
        <f>IF($H1088="","",MAX(0,$H1088-N($E1088)))</f>
        <v/>
      </c>
      <c r="J1088" s="42">
        <f>IF($H1088="","",MAX(0,$H1088-N($G1088)))</f>
        <v/>
      </c>
    </row>
    <row r="1089" ht="19.5" customHeight="1" s="72">
      <c r="A1089" s="38" t="inlineStr">
        <is>
          <t>JuvenilM-32-P15-SBA</t>
        </is>
      </c>
      <c r="B1089" s="38" t="inlineStr">
        <is>
          <t>Fase 32</t>
        </is>
      </c>
      <c r="C1089" s="38" t="inlineStr">
        <is>
          <t>São Bento da Abadá</t>
        </is>
      </c>
      <c r="D1089" s="39" t="inlineStr">
        <is>
          <t>A_Juvenil_M_32_P15</t>
        </is>
      </c>
      <c r="E1089" s="40" t="n"/>
      <c r="F1089" s="39" t="inlineStr">
        <is>
          <t>B_Juvenil_M_32_P15</t>
        </is>
      </c>
      <c r="G1089" s="40" t="n"/>
      <c r="H1089" s="41" t="n"/>
      <c r="I1089" s="42">
        <f>IF($H1089="","",MAX(0,$H1089-N($E1089)))</f>
        <v/>
      </c>
      <c r="J1089" s="42">
        <f>IF($H1089="","",MAX(0,$H1089-N($G1089)))</f>
        <v/>
      </c>
    </row>
    <row r="1090" ht="19.5" customHeight="1" s="72">
      <c r="A1090" s="38" t="inlineStr">
        <is>
          <t>JuvenilM-32-P15-BEN</t>
        </is>
      </c>
      <c r="B1090" s="38" t="inlineStr">
        <is>
          <t>Fase 32</t>
        </is>
      </c>
      <c r="C1090" s="38" t="inlineStr">
        <is>
          <t>Benguela</t>
        </is>
      </c>
      <c r="D1090" s="39" t="inlineStr">
        <is>
          <t>A_Juvenil_M_32_P15</t>
        </is>
      </c>
      <c r="E1090" s="40" t="n"/>
      <c r="F1090" s="39" t="inlineStr">
        <is>
          <t>B_Juvenil_M_32_P15</t>
        </is>
      </c>
      <c r="G1090" s="40" t="n"/>
      <c r="H1090" s="41" t="n"/>
      <c r="I1090" s="42">
        <f>IF($H1090="","",MAX(0,$H1090-N($E1090)))</f>
        <v/>
      </c>
      <c r="J1090" s="42">
        <f>IF($H1090="","",MAX(0,$H1090-N($G1090)))</f>
        <v/>
      </c>
    </row>
    <row r="1091" ht="19.5" customHeight="1" s="72">
      <c r="A1091" s="38" t="inlineStr">
        <is>
          <t>JuvenilM-32-P16-SBA</t>
        </is>
      </c>
      <c r="B1091" s="38" t="inlineStr">
        <is>
          <t>Fase 32</t>
        </is>
      </c>
      <c r="C1091" s="38" t="inlineStr">
        <is>
          <t>São Bento da Abadá</t>
        </is>
      </c>
      <c r="D1091" s="39" t="inlineStr">
        <is>
          <t>A_Juvenil_M_32_P16</t>
        </is>
      </c>
      <c r="E1091" s="40" t="n"/>
      <c r="F1091" s="39" t="inlineStr">
        <is>
          <t>B_Juvenil_M_32_P16</t>
        </is>
      </c>
      <c r="G1091" s="40" t="n"/>
      <c r="H1091" s="41" t="n"/>
      <c r="I1091" s="42">
        <f>IF($H1091="","",MAX(0,$H1091-N($E1091)))</f>
        <v/>
      </c>
      <c r="J1091" s="42">
        <f>IF($H1091="","",MAX(0,$H1091-N($G1091)))</f>
        <v/>
      </c>
    </row>
    <row r="1092" ht="19.5" customHeight="1" s="72">
      <c r="A1092" s="38" t="inlineStr">
        <is>
          <t>JuvenilM-32-P16-BEN</t>
        </is>
      </c>
      <c r="B1092" s="38" t="inlineStr">
        <is>
          <t>Fase 32</t>
        </is>
      </c>
      <c r="C1092" s="38" t="inlineStr">
        <is>
          <t>Benguela</t>
        </is>
      </c>
      <c r="D1092" s="39" t="inlineStr">
        <is>
          <t>A_Juvenil_M_32_P16</t>
        </is>
      </c>
      <c r="E1092" s="40" t="n"/>
      <c r="F1092" s="39" t="inlineStr">
        <is>
          <t>B_Juvenil_M_32_P16</t>
        </is>
      </c>
      <c r="G1092" s="40" t="n"/>
      <c r="H1092" s="41" t="n"/>
      <c r="I1092" s="42">
        <f>IF($H1092="","",MAX(0,$H1092-N($E1092)))</f>
        <v/>
      </c>
      <c r="J1092" s="42">
        <f>IF($H1092="","",MAX(0,$H1092-N($G1092)))</f>
        <v/>
      </c>
    </row>
    <row r="1093" ht="19.5" customHeight="1" s="72">
      <c r="A1093" s="38" t="inlineStr">
        <is>
          <t>JuvenilM-OCT-P01-SBA</t>
        </is>
      </c>
      <c r="B1093" s="38" t="inlineStr">
        <is>
          <t>Octavas</t>
        </is>
      </c>
      <c r="C1093" s="38" t="inlineStr">
        <is>
          <t>São Bento da Abadá</t>
        </is>
      </c>
      <c r="D1093" s="39">
        <f>IFERROR(CLASIF_Juvenil_M!$F$5,"")</f>
        <v/>
      </c>
      <c r="E1093" s="40" t="n"/>
      <c r="F1093" s="39">
        <f>IFERROR(CLASIF_Juvenil_M!$F$20,"")</f>
        <v/>
      </c>
      <c r="G1093" s="40" t="n"/>
      <c r="H1093" s="41" t="n"/>
      <c r="I1093" s="42">
        <f>IF($H1093="","",MAX(0,$H1093-N($E1093)))</f>
        <v/>
      </c>
      <c r="J1093" s="42">
        <f>IF($H1093="","",MAX(0,$H1093-N($G1093)))</f>
        <v/>
      </c>
    </row>
    <row r="1094" ht="19.5" customHeight="1" s="72">
      <c r="A1094" s="38" t="inlineStr">
        <is>
          <t>JuvenilM-OCT-P01-BEN</t>
        </is>
      </c>
      <c r="B1094" s="38" t="inlineStr">
        <is>
          <t>Octavas</t>
        </is>
      </c>
      <c r="C1094" s="38" t="inlineStr">
        <is>
          <t>Benguela</t>
        </is>
      </c>
      <c r="D1094" s="39">
        <f>IFERROR(CLASIF_Juvenil_M!$F$5,"")</f>
        <v/>
      </c>
      <c r="E1094" s="40" t="n"/>
      <c r="F1094" s="39">
        <f>IFERROR(CLASIF_Juvenil_M!$F$20,"")</f>
        <v/>
      </c>
      <c r="G1094" s="40" t="n"/>
      <c r="H1094" s="41" t="n"/>
      <c r="I1094" s="42">
        <f>IF($H1094="","",MAX(0,$H1094-N($E1094)))</f>
        <v/>
      </c>
      <c r="J1094" s="42">
        <f>IF($H1094="","",MAX(0,$H1094-N($G1094)))</f>
        <v/>
      </c>
    </row>
    <row r="1095" ht="19.5" customHeight="1" s="72">
      <c r="A1095" s="38" t="inlineStr">
        <is>
          <t>JuvenilM-OCT-P02-SBA</t>
        </is>
      </c>
      <c r="B1095" s="38" t="inlineStr">
        <is>
          <t>Octavas</t>
        </is>
      </c>
      <c r="C1095" s="38" t="inlineStr">
        <is>
          <t>São Bento da Abadá</t>
        </is>
      </c>
      <c r="D1095" s="39">
        <f>IFERROR(CLASIF_Juvenil_M!$F$6,"")</f>
        <v/>
      </c>
      <c r="E1095" s="40" t="n"/>
      <c r="F1095" s="39">
        <f>IFERROR(CLASIF_Juvenil_M!$F$19,"")</f>
        <v/>
      </c>
      <c r="G1095" s="40" t="n"/>
      <c r="H1095" s="41" t="n"/>
      <c r="I1095" s="42">
        <f>IF($H1095="","",MAX(0,$H1095-N($E1095)))</f>
        <v/>
      </c>
      <c r="J1095" s="42">
        <f>IF($H1095="","",MAX(0,$H1095-N($G1095)))</f>
        <v/>
      </c>
    </row>
    <row r="1096" ht="19.5" customHeight="1" s="72">
      <c r="A1096" s="38" t="inlineStr">
        <is>
          <t>JuvenilM-OCT-P02-BEN</t>
        </is>
      </c>
      <c r="B1096" s="38" t="inlineStr">
        <is>
          <t>Octavas</t>
        </is>
      </c>
      <c r="C1096" s="38" t="inlineStr">
        <is>
          <t>Benguela</t>
        </is>
      </c>
      <c r="D1096" s="39">
        <f>IFERROR(CLASIF_Juvenil_M!$F$6,"")</f>
        <v/>
      </c>
      <c r="E1096" s="40" t="n"/>
      <c r="F1096" s="39">
        <f>IFERROR(CLASIF_Juvenil_M!$F$19,"")</f>
        <v/>
      </c>
      <c r="G1096" s="40" t="n"/>
      <c r="H1096" s="41" t="n"/>
      <c r="I1096" s="42">
        <f>IF($H1096="","",MAX(0,$H1096-N($E1096)))</f>
        <v/>
      </c>
      <c r="J1096" s="42">
        <f>IF($H1096="","",MAX(0,$H1096-N($G1096)))</f>
        <v/>
      </c>
    </row>
    <row r="1097" ht="19.5" customHeight="1" s="72">
      <c r="A1097" s="38" t="inlineStr">
        <is>
          <t>JuvenilM-OCT-P03-SBA</t>
        </is>
      </c>
      <c r="B1097" s="38" t="inlineStr">
        <is>
          <t>Octavas</t>
        </is>
      </c>
      <c r="C1097" s="38" t="inlineStr">
        <is>
          <t>São Bento da Abadá</t>
        </is>
      </c>
      <c r="D1097" s="39">
        <f>IFERROR(CLASIF_Juvenil_M!$F$7,"")</f>
        <v/>
      </c>
      <c r="E1097" s="40" t="n"/>
      <c r="F1097" s="39">
        <f>IFERROR(CLASIF_Juvenil_M!$F$18,"")</f>
        <v/>
      </c>
      <c r="G1097" s="40" t="n"/>
      <c r="H1097" s="41" t="n"/>
      <c r="I1097" s="42">
        <f>IF($H1097="","",MAX(0,$H1097-N($E1097)))</f>
        <v/>
      </c>
      <c r="J1097" s="42">
        <f>IF($H1097="","",MAX(0,$H1097-N($G1097)))</f>
        <v/>
      </c>
    </row>
    <row r="1098" ht="19.5" customHeight="1" s="72">
      <c r="A1098" s="38" t="inlineStr">
        <is>
          <t>JuvenilM-OCT-P03-BEN</t>
        </is>
      </c>
      <c r="B1098" s="38" t="inlineStr">
        <is>
          <t>Octavas</t>
        </is>
      </c>
      <c r="C1098" s="38" t="inlineStr">
        <is>
          <t>Benguela</t>
        </is>
      </c>
      <c r="D1098" s="39">
        <f>IFERROR(CLASIF_Juvenil_M!$F$7,"")</f>
        <v/>
      </c>
      <c r="E1098" s="40" t="n"/>
      <c r="F1098" s="39">
        <f>IFERROR(CLASIF_Juvenil_M!$F$18,"")</f>
        <v/>
      </c>
      <c r="G1098" s="40" t="n"/>
      <c r="H1098" s="41" t="n"/>
      <c r="I1098" s="42">
        <f>IF($H1098="","",MAX(0,$H1098-N($E1098)))</f>
        <v/>
      </c>
      <c r="J1098" s="42">
        <f>IF($H1098="","",MAX(0,$H1098-N($G1098)))</f>
        <v/>
      </c>
    </row>
    <row r="1099" ht="19.5" customHeight="1" s="72">
      <c r="A1099" s="38" t="inlineStr">
        <is>
          <t>JuvenilM-OCT-P04-SBA</t>
        </is>
      </c>
      <c r="B1099" s="38" t="inlineStr">
        <is>
          <t>Octavas</t>
        </is>
      </c>
      <c r="C1099" s="38" t="inlineStr">
        <is>
          <t>São Bento da Abadá</t>
        </is>
      </c>
      <c r="D1099" s="39">
        <f>IFERROR(CLASIF_Juvenil_M!$F$8,"")</f>
        <v/>
      </c>
      <c r="E1099" s="40" t="n"/>
      <c r="F1099" s="39">
        <f>IFERROR(CLASIF_Juvenil_M!$F$17,"")</f>
        <v/>
      </c>
      <c r="G1099" s="40" t="n"/>
      <c r="H1099" s="41" t="n"/>
      <c r="I1099" s="42">
        <f>IF($H1099="","",MAX(0,$H1099-N($E1099)))</f>
        <v/>
      </c>
      <c r="J1099" s="42">
        <f>IF($H1099="","",MAX(0,$H1099-N($G1099)))</f>
        <v/>
      </c>
    </row>
    <row r="1100" ht="19.5" customHeight="1" s="72">
      <c r="A1100" s="38" t="inlineStr">
        <is>
          <t>JuvenilM-OCT-P04-BEN</t>
        </is>
      </c>
      <c r="B1100" s="38" t="inlineStr">
        <is>
          <t>Octavas</t>
        </is>
      </c>
      <c r="C1100" s="38" t="inlineStr">
        <is>
          <t>Benguela</t>
        </is>
      </c>
      <c r="D1100" s="39">
        <f>IFERROR(CLASIF_Juvenil_M!$F$8,"")</f>
        <v/>
      </c>
      <c r="E1100" s="40" t="n"/>
      <c r="F1100" s="39">
        <f>IFERROR(CLASIF_Juvenil_M!$F$17,"")</f>
        <v/>
      </c>
      <c r="G1100" s="40" t="n"/>
      <c r="H1100" s="41" t="n"/>
      <c r="I1100" s="42">
        <f>IF($H1100="","",MAX(0,$H1100-N($E1100)))</f>
        <v/>
      </c>
      <c r="J1100" s="42">
        <f>IF($H1100="","",MAX(0,$H1100-N($G1100)))</f>
        <v/>
      </c>
    </row>
    <row r="1101" ht="19.5" customHeight="1" s="72">
      <c r="A1101" s="38" t="inlineStr">
        <is>
          <t>JuvenilM-OCT-P05-SBA</t>
        </is>
      </c>
      <c r="B1101" s="38" t="inlineStr">
        <is>
          <t>Octavas</t>
        </is>
      </c>
      <c r="C1101" s="38" t="inlineStr">
        <is>
          <t>São Bento da Abadá</t>
        </is>
      </c>
      <c r="D1101" s="39">
        <f>IFERROR(CLASIF_Juvenil_M!$F$9,"")</f>
        <v/>
      </c>
      <c r="E1101" s="40" t="n"/>
      <c r="F1101" s="39">
        <f>IFERROR(CLASIF_Juvenil_M!$F$16,"")</f>
        <v/>
      </c>
      <c r="G1101" s="40" t="n"/>
      <c r="H1101" s="41" t="n"/>
      <c r="I1101" s="42">
        <f>IF($H1101="","",MAX(0,$H1101-N($E1101)))</f>
        <v/>
      </c>
      <c r="J1101" s="42">
        <f>IF($H1101="","",MAX(0,$H1101-N($G1101)))</f>
        <v/>
      </c>
    </row>
    <row r="1102" ht="19.5" customHeight="1" s="72">
      <c r="A1102" s="38" t="inlineStr">
        <is>
          <t>JuvenilM-OCT-P05-BEN</t>
        </is>
      </c>
      <c r="B1102" s="38" t="inlineStr">
        <is>
          <t>Octavas</t>
        </is>
      </c>
      <c r="C1102" s="38" t="inlineStr">
        <is>
          <t>Benguela</t>
        </is>
      </c>
      <c r="D1102" s="39">
        <f>IFERROR(CLASIF_Juvenil_M!$F$9,"")</f>
        <v/>
      </c>
      <c r="E1102" s="40" t="n"/>
      <c r="F1102" s="39">
        <f>IFERROR(CLASIF_Juvenil_M!$F$16,"")</f>
        <v/>
      </c>
      <c r="G1102" s="40" t="n"/>
      <c r="H1102" s="41" t="n"/>
      <c r="I1102" s="42">
        <f>IF($H1102="","",MAX(0,$H1102-N($E1102)))</f>
        <v/>
      </c>
      <c r="J1102" s="42">
        <f>IF($H1102="","",MAX(0,$H1102-N($G1102)))</f>
        <v/>
      </c>
    </row>
    <row r="1103" ht="19.5" customHeight="1" s="72">
      <c r="A1103" s="38" t="inlineStr">
        <is>
          <t>JuvenilM-OCT-P06-SBA</t>
        </is>
      </c>
      <c r="B1103" s="38" t="inlineStr">
        <is>
          <t>Octavas</t>
        </is>
      </c>
      <c r="C1103" s="38" t="inlineStr">
        <is>
          <t>São Bento da Abadá</t>
        </is>
      </c>
      <c r="D1103" s="39">
        <f>IFERROR(CLASIF_Juvenil_M!$F$10,"")</f>
        <v/>
      </c>
      <c r="E1103" s="40" t="n"/>
      <c r="F1103" s="39">
        <f>IFERROR(CLASIF_Juvenil_M!$F$15,"")</f>
        <v/>
      </c>
      <c r="G1103" s="40" t="n"/>
      <c r="H1103" s="41" t="n"/>
      <c r="I1103" s="42">
        <f>IF($H1103="","",MAX(0,$H1103-N($E1103)))</f>
        <v/>
      </c>
      <c r="J1103" s="42">
        <f>IF($H1103="","",MAX(0,$H1103-N($G1103)))</f>
        <v/>
      </c>
    </row>
    <row r="1104" ht="19.5" customHeight="1" s="72">
      <c r="A1104" s="38" t="inlineStr">
        <is>
          <t>JuvenilM-OCT-P06-BEN</t>
        </is>
      </c>
      <c r="B1104" s="38" t="inlineStr">
        <is>
          <t>Octavas</t>
        </is>
      </c>
      <c r="C1104" s="38" t="inlineStr">
        <is>
          <t>Benguela</t>
        </is>
      </c>
      <c r="D1104" s="39">
        <f>IFERROR(CLASIF_Juvenil_M!$F$10,"")</f>
        <v/>
      </c>
      <c r="E1104" s="40" t="n"/>
      <c r="F1104" s="39">
        <f>IFERROR(CLASIF_Juvenil_M!$F$15,"")</f>
        <v/>
      </c>
      <c r="G1104" s="40" t="n"/>
      <c r="H1104" s="41" t="n"/>
      <c r="I1104" s="42">
        <f>IF($H1104="","",MAX(0,$H1104-N($E1104)))</f>
        <v/>
      </c>
      <c r="J1104" s="42">
        <f>IF($H1104="","",MAX(0,$H1104-N($G1104)))</f>
        <v/>
      </c>
    </row>
    <row r="1105" ht="19.5" customHeight="1" s="72">
      <c r="A1105" s="38" t="inlineStr">
        <is>
          <t>JuvenilM-OCT-P07-SBA</t>
        </is>
      </c>
      <c r="B1105" s="38" t="inlineStr">
        <is>
          <t>Octavas</t>
        </is>
      </c>
      <c r="C1105" s="38" t="inlineStr">
        <is>
          <t>São Bento da Abadá</t>
        </is>
      </c>
      <c r="D1105" s="39">
        <f>IFERROR(CLASIF_Juvenil_M!$F$11,"")</f>
        <v/>
      </c>
      <c r="E1105" s="40" t="n"/>
      <c r="F1105" s="39">
        <f>IFERROR(CLASIF_Juvenil_M!$F$14,"")</f>
        <v/>
      </c>
      <c r="G1105" s="40" t="n"/>
      <c r="H1105" s="41" t="n"/>
      <c r="I1105" s="42">
        <f>IF($H1105="","",MAX(0,$H1105-N($E1105)))</f>
        <v/>
      </c>
      <c r="J1105" s="42">
        <f>IF($H1105="","",MAX(0,$H1105-N($G1105)))</f>
        <v/>
      </c>
    </row>
    <row r="1106" ht="19.5" customHeight="1" s="72">
      <c r="A1106" s="38" t="inlineStr">
        <is>
          <t>JuvenilM-OCT-P07-BEN</t>
        </is>
      </c>
      <c r="B1106" s="38" t="inlineStr">
        <is>
          <t>Octavas</t>
        </is>
      </c>
      <c r="C1106" s="38" t="inlineStr">
        <is>
          <t>Benguela</t>
        </is>
      </c>
      <c r="D1106" s="39">
        <f>IFERROR(CLASIF_Juvenil_M!$F$11,"")</f>
        <v/>
      </c>
      <c r="E1106" s="40" t="n"/>
      <c r="F1106" s="39">
        <f>IFERROR(CLASIF_Juvenil_M!$F$14,"")</f>
        <v/>
      </c>
      <c r="G1106" s="40" t="n"/>
      <c r="H1106" s="41" t="n"/>
      <c r="I1106" s="42">
        <f>IF($H1106="","",MAX(0,$H1106-N($E1106)))</f>
        <v/>
      </c>
      <c r="J1106" s="42">
        <f>IF($H1106="","",MAX(0,$H1106-N($G1106)))</f>
        <v/>
      </c>
    </row>
    <row r="1107" ht="19.5" customHeight="1" s="72">
      <c r="A1107" s="38" t="inlineStr">
        <is>
          <t>JuvenilM-OCT-P08-SBA</t>
        </is>
      </c>
      <c r="B1107" s="38" t="inlineStr">
        <is>
          <t>Octavas</t>
        </is>
      </c>
      <c r="C1107" s="38" t="inlineStr">
        <is>
          <t>São Bento da Abadá</t>
        </is>
      </c>
      <c r="D1107" s="39">
        <f>IFERROR(CLASIF_Juvenil_M!$F$12,"")</f>
        <v/>
      </c>
      <c r="E1107" s="40" t="n"/>
      <c r="F1107" s="39">
        <f>IFERROR(CLASIF_Juvenil_M!$F$13,"")</f>
        <v/>
      </c>
      <c r="G1107" s="40" t="n"/>
      <c r="H1107" s="41" t="n"/>
      <c r="I1107" s="42">
        <f>IF($H1107="","",MAX(0,$H1107-N($E1107)))</f>
        <v/>
      </c>
      <c r="J1107" s="42">
        <f>IF($H1107="","",MAX(0,$H1107-N($G1107)))</f>
        <v/>
      </c>
    </row>
    <row r="1108" ht="19.5" customHeight="1" s="72">
      <c r="A1108" s="38" t="inlineStr">
        <is>
          <t>JuvenilM-OCT-P08-BEN</t>
        </is>
      </c>
      <c r="B1108" s="38" t="inlineStr">
        <is>
          <t>Octavas</t>
        </is>
      </c>
      <c r="C1108" s="38" t="inlineStr">
        <is>
          <t>Benguela</t>
        </is>
      </c>
      <c r="D1108" s="39">
        <f>IFERROR(CLASIF_Juvenil_M!$F$12,"")</f>
        <v/>
      </c>
      <c r="E1108" s="40" t="n"/>
      <c r="F1108" s="39">
        <f>IFERROR(CLASIF_Juvenil_M!$F$13,"")</f>
        <v/>
      </c>
      <c r="G1108" s="40" t="n"/>
      <c r="H1108" s="41" t="n"/>
      <c r="I1108" s="42">
        <f>IF($H1108="","",MAX(0,$H1108-N($E1108)))</f>
        <v/>
      </c>
      <c r="J1108" s="42">
        <f>IF($H1108="","",MAX(0,$H1108-N($G1108)))</f>
        <v/>
      </c>
    </row>
    <row r="1109" ht="19.5" customHeight="1" s="72">
      <c r="A1109" s="38" t="inlineStr">
        <is>
          <t>JuvenilM-SEM-P01-SBA</t>
        </is>
      </c>
      <c r="B1109" s="38" t="inlineStr">
        <is>
          <t>Semifinal</t>
        </is>
      </c>
      <c r="C1109" s="38" t="inlineStr">
        <is>
          <t>São Bento da Abadá</t>
        </is>
      </c>
      <c r="D1109" s="39">
        <f>IFERROR(CLASIF_Juvenil_M!$O$5,"")</f>
        <v/>
      </c>
      <c r="E1109" s="40" t="n"/>
      <c r="F1109" s="39">
        <f>IFERROR(CLASIF_Juvenil_M!$O$12,"")</f>
        <v/>
      </c>
      <c r="G1109" s="40" t="n"/>
      <c r="H1109" s="41" t="n"/>
      <c r="I1109" s="42">
        <f>IF($H1109="","",MAX(0,$H1109-N($E1109)))</f>
        <v/>
      </c>
      <c r="J1109" s="42">
        <f>IF($H1109="","",MAX(0,$H1109-N($G1109)))</f>
        <v/>
      </c>
    </row>
    <row r="1110" ht="19.5" customHeight="1" s="72">
      <c r="A1110" s="38" t="inlineStr">
        <is>
          <t>JuvenilM-SEM-P01-BEN</t>
        </is>
      </c>
      <c r="B1110" s="38" t="inlineStr">
        <is>
          <t>Semifinal</t>
        </is>
      </c>
      <c r="C1110" s="38" t="inlineStr">
        <is>
          <t>Benguela</t>
        </is>
      </c>
      <c r="D1110" s="39">
        <f>IFERROR(CLASIF_Juvenil_M!$O$5,"")</f>
        <v/>
      </c>
      <c r="E1110" s="40" t="n"/>
      <c r="F1110" s="39">
        <f>IFERROR(CLASIF_Juvenil_M!$O$12,"")</f>
        <v/>
      </c>
      <c r="G1110" s="40" t="n"/>
      <c r="H1110" s="41" t="n"/>
      <c r="I1110" s="42">
        <f>IF($H1110="","",MAX(0,$H1110-N($E1110)))</f>
        <v/>
      </c>
      <c r="J1110" s="42">
        <f>IF($H1110="","",MAX(0,$H1110-N($G1110)))</f>
        <v/>
      </c>
    </row>
    <row r="1111" ht="19.5" customHeight="1" s="72">
      <c r="A1111" s="38" t="inlineStr">
        <is>
          <t>JuvenilM-SEM-P02-SBA</t>
        </is>
      </c>
      <c r="B1111" s="38" t="inlineStr">
        <is>
          <t>Semifinal</t>
        </is>
      </c>
      <c r="C1111" s="38" t="inlineStr">
        <is>
          <t>São Bento da Abadá</t>
        </is>
      </c>
      <c r="D1111" s="39">
        <f>IFERROR(CLASIF_Juvenil_M!$O$6,"")</f>
        <v/>
      </c>
      <c r="E1111" s="40" t="n"/>
      <c r="F1111" s="39">
        <f>IFERROR(CLASIF_Juvenil_M!$O$11,"")</f>
        <v/>
      </c>
      <c r="G1111" s="40" t="n"/>
      <c r="H1111" s="41" t="n"/>
      <c r="I1111" s="42">
        <f>IF($H1111="","",MAX(0,$H1111-N($E1111)))</f>
        <v/>
      </c>
      <c r="J1111" s="42">
        <f>IF($H1111="","",MAX(0,$H1111-N($G1111)))</f>
        <v/>
      </c>
    </row>
    <row r="1112" ht="19.5" customHeight="1" s="72">
      <c r="A1112" s="38" t="inlineStr">
        <is>
          <t>JuvenilM-SEM-P02-BEN</t>
        </is>
      </c>
      <c r="B1112" s="38" t="inlineStr">
        <is>
          <t>Semifinal</t>
        </is>
      </c>
      <c r="C1112" s="38" t="inlineStr">
        <is>
          <t>Benguela</t>
        </is>
      </c>
      <c r="D1112" s="39">
        <f>IFERROR(CLASIF_Juvenil_M!$O$6,"")</f>
        <v/>
      </c>
      <c r="E1112" s="40" t="n"/>
      <c r="F1112" s="39">
        <f>IFERROR(CLASIF_Juvenil_M!$O$11,"")</f>
        <v/>
      </c>
      <c r="G1112" s="40" t="n"/>
      <c r="H1112" s="41" t="n"/>
      <c r="I1112" s="42">
        <f>IF($H1112="","",MAX(0,$H1112-N($E1112)))</f>
        <v/>
      </c>
      <c r="J1112" s="42">
        <f>IF($H1112="","",MAX(0,$H1112-N($G1112)))</f>
        <v/>
      </c>
    </row>
    <row r="1113" ht="19.5" customHeight="1" s="72">
      <c r="A1113" s="38" t="inlineStr">
        <is>
          <t>JuvenilM-SEM-P03-SBA</t>
        </is>
      </c>
      <c r="B1113" s="38" t="inlineStr">
        <is>
          <t>Semifinal</t>
        </is>
      </c>
      <c r="C1113" s="38" t="inlineStr">
        <is>
          <t>São Bento da Abadá</t>
        </is>
      </c>
      <c r="D1113" s="39">
        <f>IFERROR(CLASIF_Juvenil_M!$O$7,"")</f>
        <v/>
      </c>
      <c r="E1113" s="40" t="n"/>
      <c r="F1113" s="39">
        <f>IFERROR(CLASIF_Juvenil_M!$O$10,"")</f>
        <v/>
      </c>
      <c r="G1113" s="40" t="n"/>
      <c r="H1113" s="41" t="n"/>
      <c r="I1113" s="42">
        <f>IF($H1113="","",MAX(0,$H1113-N($E1113)))</f>
        <v/>
      </c>
      <c r="J1113" s="42">
        <f>IF($H1113="","",MAX(0,$H1113-N($G1113)))</f>
        <v/>
      </c>
    </row>
    <row r="1114" ht="19.5" customHeight="1" s="72">
      <c r="A1114" s="38" t="inlineStr">
        <is>
          <t>JuvenilM-SEM-P03-BEN</t>
        </is>
      </c>
      <c r="B1114" s="38" t="inlineStr">
        <is>
          <t>Semifinal</t>
        </is>
      </c>
      <c r="C1114" s="38" t="inlineStr">
        <is>
          <t>Benguela</t>
        </is>
      </c>
      <c r="D1114" s="39">
        <f>IFERROR(CLASIF_Juvenil_M!$O$7,"")</f>
        <v/>
      </c>
      <c r="E1114" s="40" t="n"/>
      <c r="F1114" s="39">
        <f>IFERROR(CLASIF_Juvenil_M!$O$10,"")</f>
        <v/>
      </c>
      <c r="G1114" s="40" t="n"/>
      <c r="H1114" s="41" t="n"/>
      <c r="I1114" s="42">
        <f>IF($H1114="","",MAX(0,$H1114-N($E1114)))</f>
        <v/>
      </c>
      <c r="J1114" s="42">
        <f>IF($H1114="","",MAX(0,$H1114-N($G1114)))</f>
        <v/>
      </c>
    </row>
    <row r="1115" ht="19.5" customHeight="1" s="72">
      <c r="A1115" s="38" t="inlineStr">
        <is>
          <t>JuvenilM-SEM-P04-SBA</t>
        </is>
      </c>
      <c r="B1115" s="38" t="inlineStr">
        <is>
          <t>Semifinal</t>
        </is>
      </c>
      <c r="C1115" s="38" t="inlineStr">
        <is>
          <t>São Bento da Abadá</t>
        </is>
      </c>
      <c r="D1115" s="39">
        <f>IFERROR(CLASIF_Juvenil_M!$O$8,"")</f>
        <v/>
      </c>
      <c r="E1115" s="40" t="n"/>
      <c r="F1115" s="39">
        <f>IFERROR(CLASIF_Juvenil_M!$O$9,"")</f>
        <v/>
      </c>
      <c r="G1115" s="40" t="n"/>
      <c r="H1115" s="41" t="n"/>
      <c r="I1115" s="42">
        <f>IF($H1115="","",MAX(0,$H1115-N($E1115)))</f>
        <v/>
      </c>
      <c r="J1115" s="42">
        <f>IF($H1115="","",MAX(0,$H1115-N($G1115)))</f>
        <v/>
      </c>
    </row>
    <row r="1116" ht="19.5" customHeight="1" s="72">
      <c r="A1116" s="38" t="inlineStr">
        <is>
          <t>JuvenilM-SEM-P04-BEN</t>
        </is>
      </c>
      <c r="B1116" s="38" t="inlineStr">
        <is>
          <t>Semifinal</t>
        </is>
      </c>
      <c r="C1116" s="38" t="inlineStr">
        <is>
          <t>Benguela</t>
        </is>
      </c>
      <c r="D1116" s="39">
        <f>IFERROR(CLASIF_Juvenil_M!$O$8,"")</f>
        <v/>
      </c>
      <c r="E1116" s="40" t="n"/>
      <c r="F1116" s="39">
        <f>IFERROR(CLASIF_Juvenil_M!$O$9,"")</f>
        <v/>
      </c>
      <c r="G1116" s="40" t="n"/>
      <c r="H1116" s="41" t="n"/>
      <c r="I1116" s="42">
        <f>IF($H1116="","",MAX(0,$H1116-N($E1116)))</f>
        <v/>
      </c>
      <c r="J1116" s="42">
        <f>IF($H1116="","",MAX(0,$H1116-N($G1116)))</f>
        <v/>
      </c>
    </row>
    <row r="1117" ht="19.5" customHeight="1" s="72">
      <c r="A1117" s="38" t="inlineStr">
        <is>
          <t>JuvenilM-FIN-P01-SBA</t>
        </is>
      </c>
      <c r="B1117" s="38" t="inlineStr">
        <is>
          <t>Final</t>
        </is>
      </c>
      <c r="C1117" s="38" t="inlineStr">
        <is>
          <t>São Bento da Abadá</t>
        </is>
      </c>
      <c r="D1117" s="39">
        <f>IFERROR(CLASIF_Juvenil_M!$X$5,"")</f>
        <v/>
      </c>
      <c r="E1117" s="40" t="n"/>
      <c r="F1117" s="39">
        <f>IFERROR(CLASIF_Juvenil_M!$X$8,"")</f>
        <v/>
      </c>
      <c r="G1117" s="40" t="n"/>
      <c r="H1117" s="41" t="n"/>
      <c r="I1117" s="42">
        <f>IF($H1117="","",MAX(0,$H1117-N($E1117)))</f>
        <v/>
      </c>
      <c r="J1117" s="42">
        <f>IF($H1117="","",MAX(0,$H1117-N($G1117)))</f>
        <v/>
      </c>
    </row>
    <row r="1118" ht="19.5" customHeight="1" s="72">
      <c r="A1118" s="38" t="inlineStr">
        <is>
          <t>JuvenilM-FIN-P01-BEN</t>
        </is>
      </c>
      <c r="B1118" s="38" t="inlineStr">
        <is>
          <t>Final</t>
        </is>
      </c>
      <c r="C1118" s="38" t="inlineStr">
        <is>
          <t>Benguela</t>
        </is>
      </c>
      <c r="D1118" s="39">
        <f>IFERROR(CLASIF_Juvenil_M!$X$5,"")</f>
        <v/>
      </c>
      <c r="E1118" s="40" t="n"/>
      <c r="F1118" s="39">
        <f>IFERROR(CLASIF_Juvenil_M!$X$8,"")</f>
        <v/>
      </c>
      <c r="G1118" s="40" t="n"/>
      <c r="H1118" s="41" t="n"/>
      <c r="I1118" s="42">
        <f>IF($H1118="","",MAX(0,$H1118-N($E1118)))</f>
        <v/>
      </c>
      <c r="J1118" s="42">
        <f>IF($H1118="","",MAX(0,$H1118-N($G1118)))</f>
        <v/>
      </c>
    </row>
    <row r="1119" ht="19.5" customHeight="1" s="72">
      <c r="A1119" s="38" t="inlineStr">
        <is>
          <t>JuvenilM-FIN-P02-SBA</t>
        </is>
      </c>
      <c r="B1119" s="38" t="inlineStr">
        <is>
          <t>Final</t>
        </is>
      </c>
      <c r="C1119" s="38" t="inlineStr">
        <is>
          <t>São Bento da Abadá</t>
        </is>
      </c>
      <c r="D1119" s="39">
        <f>IFERROR(CLASIF_Juvenil_M!$X$6,"")</f>
        <v/>
      </c>
      <c r="E1119" s="40" t="n"/>
      <c r="F1119" s="39">
        <f>IFERROR(CLASIF_Juvenil_M!$X$7,"")</f>
        <v/>
      </c>
      <c r="G1119" s="40" t="n"/>
      <c r="H1119" s="41" t="n"/>
      <c r="I1119" s="42">
        <f>IF($H1119="","",MAX(0,$H1119-N($E1119)))</f>
        <v/>
      </c>
      <c r="J1119" s="42">
        <f>IF($H1119="","",MAX(0,$H1119-N($G1119)))</f>
        <v/>
      </c>
    </row>
    <row r="1120" ht="19.5" customHeight="1" s="72">
      <c r="A1120" s="38" t="inlineStr">
        <is>
          <t>JuvenilM-FIN-P02-BEN</t>
        </is>
      </c>
      <c r="B1120" s="38" t="inlineStr">
        <is>
          <t>Final</t>
        </is>
      </c>
      <c r="C1120" s="38" t="inlineStr">
        <is>
          <t>Benguela</t>
        </is>
      </c>
      <c r="D1120" s="39">
        <f>IFERROR(CLASIF_Juvenil_M!$X$6,"")</f>
        <v/>
      </c>
      <c r="E1120" s="40" t="n"/>
      <c r="F1120" s="39">
        <f>IFERROR(CLASIF_Juvenil_M!$X$7,"")</f>
        <v/>
      </c>
      <c r="G1120" s="40" t="n"/>
      <c r="H1120" s="41" t="n"/>
      <c r="I1120" s="42">
        <f>IF($H1120="","",MAX(0,$H1120-N($E1120)))</f>
        <v/>
      </c>
      <c r="J1120" s="42">
        <f>IF($H1120="","",MAX(0,$H1120-N($G1120)))</f>
        <v/>
      </c>
    </row>
    <row r="1121" ht="19.5" customHeight="1" s="72">
      <c r="A1121" s="43" t="n"/>
      <c r="B1121" s="43" t="n"/>
      <c r="C1121" s="43" t="n"/>
      <c r="D1121" s="43" t="n"/>
      <c r="E1121" s="43" t="n"/>
      <c r="F1121" s="43" t="n"/>
      <c r="G1121" s="43" t="n"/>
      <c r="H1121" s="44" t="n"/>
      <c r="I1121" s="43">
        <f>IF($H1121="","",MAX(0,$H1121-N($E1121)))</f>
        <v/>
      </c>
      <c r="J1121" s="43">
        <f>IF($H1121="","",MAX(0,$H1121-N($G1121)))</f>
        <v/>
      </c>
    </row>
    <row r="1122" ht="19.5" customHeight="1" s="72">
      <c r="A1122" s="86" t="inlineStr">
        <is>
          <t>═══ CATEGORÍA Juvenil · Femenino · Amarilla/Naranja · Toques: São Bento da Abadá, Benguela ═══</t>
        </is>
      </c>
    </row>
    <row r="1123" ht="19.5" customHeight="1" s="72">
      <c r="A1123" s="45" t="inlineStr">
        <is>
          <t>Jogo</t>
        </is>
      </c>
      <c r="B1123" s="45" t="inlineStr">
        <is>
          <t>Fase</t>
        </is>
      </c>
      <c r="C1123" s="45" t="inlineStr">
        <is>
          <t>Toque</t>
        </is>
      </c>
      <c r="D1123" s="45" t="inlineStr">
        <is>
          <t>Jugador A</t>
        </is>
      </c>
      <c r="E1123" s="45" t="inlineStr">
        <is>
          <t>Quita A</t>
        </is>
      </c>
      <c r="F1123" s="45" t="inlineStr">
        <is>
          <t>Jugador B</t>
        </is>
      </c>
      <c r="G1123" s="45" t="inlineStr">
        <is>
          <t>Quita B</t>
        </is>
      </c>
      <c r="H1123" s="45" t="inlineStr">
        <is>
          <t>NOTA (0-5)</t>
        </is>
      </c>
      <c r="I1123" s="45">
        <f>IF($H1123="","",MAX(0,$H1123-N($E1123)))</f>
        <v/>
      </c>
      <c r="J1123" s="45">
        <f>IF($H1123="","",MAX(0,$H1123-N($G1123)))</f>
        <v/>
      </c>
    </row>
    <row r="1124" ht="19.5" customHeight="1" s="72">
      <c r="A1124" s="38" t="inlineStr">
        <is>
          <t>JuvenilF-32-P01-SBA</t>
        </is>
      </c>
      <c r="B1124" s="38" t="inlineStr">
        <is>
          <t>Fase 32</t>
        </is>
      </c>
      <c r="C1124" s="38" t="inlineStr">
        <is>
          <t>São Bento da Abadá</t>
        </is>
      </c>
      <c r="D1124" s="39" t="inlineStr">
        <is>
          <t>A_Juvenil_F_32_P1</t>
        </is>
      </c>
      <c r="E1124" s="40" t="n"/>
      <c r="F1124" s="39" t="inlineStr">
        <is>
          <t>B_Juvenil_F_32_P1</t>
        </is>
      </c>
      <c r="G1124" s="40" t="n"/>
      <c r="H1124" s="41" t="n"/>
      <c r="I1124" s="42">
        <f>IF($H1124="","",MAX(0,$H1124-N($E1124)))</f>
        <v/>
      </c>
      <c r="J1124" s="42">
        <f>IF($H1124="","",MAX(0,$H1124-N($G1124)))</f>
        <v/>
      </c>
    </row>
    <row r="1125" ht="19.5" customHeight="1" s="72">
      <c r="A1125" s="38" t="inlineStr">
        <is>
          <t>JuvenilF-32-P01-BEN</t>
        </is>
      </c>
      <c r="B1125" s="38" t="inlineStr">
        <is>
          <t>Fase 32</t>
        </is>
      </c>
      <c r="C1125" s="38" t="inlineStr">
        <is>
          <t>Benguela</t>
        </is>
      </c>
      <c r="D1125" s="39" t="inlineStr">
        <is>
          <t>A_Juvenil_F_32_P1</t>
        </is>
      </c>
      <c r="E1125" s="40" t="n"/>
      <c r="F1125" s="39" t="inlineStr">
        <is>
          <t>B_Juvenil_F_32_P1</t>
        </is>
      </c>
      <c r="G1125" s="40" t="n"/>
      <c r="H1125" s="41" t="n"/>
      <c r="I1125" s="42">
        <f>IF($H1125="","",MAX(0,$H1125-N($E1125)))</f>
        <v/>
      </c>
      <c r="J1125" s="42">
        <f>IF($H1125="","",MAX(0,$H1125-N($G1125)))</f>
        <v/>
      </c>
    </row>
    <row r="1126" ht="19.5" customHeight="1" s="72">
      <c r="A1126" s="38" t="inlineStr">
        <is>
          <t>JuvenilF-32-P02-SBA</t>
        </is>
      </c>
      <c r="B1126" s="38" t="inlineStr">
        <is>
          <t>Fase 32</t>
        </is>
      </c>
      <c r="C1126" s="38" t="inlineStr">
        <is>
          <t>São Bento da Abadá</t>
        </is>
      </c>
      <c r="D1126" s="39" t="inlineStr">
        <is>
          <t>A_Juvenil_F_32_P2</t>
        </is>
      </c>
      <c r="E1126" s="40" t="n"/>
      <c r="F1126" s="39" t="inlineStr">
        <is>
          <t>B_Juvenil_F_32_P2</t>
        </is>
      </c>
      <c r="G1126" s="40" t="n"/>
      <c r="H1126" s="41" t="n"/>
      <c r="I1126" s="42">
        <f>IF($H1126="","",MAX(0,$H1126-N($E1126)))</f>
        <v/>
      </c>
      <c r="J1126" s="42">
        <f>IF($H1126="","",MAX(0,$H1126-N($G1126)))</f>
        <v/>
      </c>
    </row>
    <row r="1127" ht="19.5" customHeight="1" s="72">
      <c r="A1127" s="38" t="inlineStr">
        <is>
          <t>JuvenilF-32-P02-BEN</t>
        </is>
      </c>
      <c r="B1127" s="38" t="inlineStr">
        <is>
          <t>Fase 32</t>
        </is>
      </c>
      <c r="C1127" s="38" t="inlineStr">
        <is>
          <t>Benguela</t>
        </is>
      </c>
      <c r="D1127" s="39" t="inlineStr">
        <is>
          <t>A_Juvenil_F_32_P2</t>
        </is>
      </c>
      <c r="E1127" s="40" t="n"/>
      <c r="F1127" s="39" t="inlineStr">
        <is>
          <t>B_Juvenil_F_32_P2</t>
        </is>
      </c>
      <c r="G1127" s="40" t="n"/>
      <c r="H1127" s="41" t="n"/>
      <c r="I1127" s="42">
        <f>IF($H1127="","",MAX(0,$H1127-N($E1127)))</f>
        <v/>
      </c>
      <c r="J1127" s="42">
        <f>IF($H1127="","",MAX(0,$H1127-N($G1127)))</f>
        <v/>
      </c>
    </row>
    <row r="1128" ht="19.5" customHeight="1" s="72">
      <c r="A1128" s="38" t="inlineStr">
        <is>
          <t>JuvenilF-32-P03-SBA</t>
        </is>
      </c>
      <c r="B1128" s="38" t="inlineStr">
        <is>
          <t>Fase 32</t>
        </is>
      </c>
      <c r="C1128" s="38" t="inlineStr">
        <is>
          <t>São Bento da Abadá</t>
        </is>
      </c>
      <c r="D1128" s="39" t="inlineStr">
        <is>
          <t>A_Juvenil_F_32_P3</t>
        </is>
      </c>
      <c r="E1128" s="40" t="n"/>
      <c r="F1128" s="39" t="inlineStr">
        <is>
          <t>B_Juvenil_F_32_P3</t>
        </is>
      </c>
      <c r="G1128" s="40" t="n"/>
      <c r="H1128" s="41" t="n"/>
      <c r="I1128" s="42">
        <f>IF($H1128="","",MAX(0,$H1128-N($E1128)))</f>
        <v/>
      </c>
      <c r="J1128" s="42">
        <f>IF($H1128="","",MAX(0,$H1128-N($G1128)))</f>
        <v/>
      </c>
    </row>
    <row r="1129" ht="19.5" customHeight="1" s="72">
      <c r="A1129" s="38" t="inlineStr">
        <is>
          <t>JuvenilF-32-P03-BEN</t>
        </is>
      </c>
      <c r="B1129" s="38" t="inlineStr">
        <is>
          <t>Fase 32</t>
        </is>
      </c>
      <c r="C1129" s="38" t="inlineStr">
        <is>
          <t>Benguela</t>
        </is>
      </c>
      <c r="D1129" s="39" t="inlineStr">
        <is>
          <t>A_Juvenil_F_32_P3</t>
        </is>
      </c>
      <c r="E1129" s="40" t="n"/>
      <c r="F1129" s="39" t="inlineStr">
        <is>
          <t>B_Juvenil_F_32_P3</t>
        </is>
      </c>
      <c r="G1129" s="40" t="n"/>
      <c r="H1129" s="41" t="n"/>
      <c r="I1129" s="42">
        <f>IF($H1129="","",MAX(0,$H1129-N($E1129)))</f>
        <v/>
      </c>
      <c r="J1129" s="42">
        <f>IF($H1129="","",MAX(0,$H1129-N($G1129)))</f>
        <v/>
      </c>
    </row>
    <row r="1130" ht="19.5" customHeight="1" s="72">
      <c r="A1130" s="38" t="inlineStr">
        <is>
          <t>JuvenilF-32-P04-SBA</t>
        </is>
      </c>
      <c r="B1130" s="38" t="inlineStr">
        <is>
          <t>Fase 32</t>
        </is>
      </c>
      <c r="C1130" s="38" t="inlineStr">
        <is>
          <t>São Bento da Abadá</t>
        </is>
      </c>
      <c r="D1130" s="39" t="inlineStr">
        <is>
          <t>A_Juvenil_F_32_P4</t>
        </is>
      </c>
      <c r="E1130" s="40" t="n"/>
      <c r="F1130" s="39" t="inlineStr">
        <is>
          <t>B_Juvenil_F_32_P4</t>
        </is>
      </c>
      <c r="G1130" s="40" t="n"/>
      <c r="H1130" s="41" t="n"/>
      <c r="I1130" s="42">
        <f>IF($H1130="","",MAX(0,$H1130-N($E1130)))</f>
        <v/>
      </c>
      <c r="J1130" s="42">
        <f>IF($H1130="","",MAX(0,$H1130-N($G1130)))</f>
        <v/>
      </c>
    </row>
    <row r="1131" ht="19.5" customHeight="1" s="72">
      <c r="A1131" s="38" t="inlineStr">
        <is>
          <t>JuvenilF-32-P04-BEN</t>
        </is>
      </c>
      <c r="B1131" s="38" t="inlineStr">
        <is>
          <t>Fase 32</t>
        </is>
      </c>
      <c r="C1131" s="38" t="inlineStr">
        <is>
          <t>Benguela</t>
        </is>
      </c>
      <c r="D1131" s="39" t="inlineStr">
        <is>
          <t>A_Juvenil_F_32_P4</t>
        </is>
      </c>
      <c r="E1131" s="40" t="n"/>
      <c r="F1131" s="39" t="inlineStr">
        <is>
          <t>B_Juvenil_F_32_P4</t>
        </is>
      </c>
      <c r="G1131" s="40" t="n"/>
      <c r="H1131" s="41" t="n"/>
      <c r="I1131" s="42">
        <f>IF($H1131="","",MAX(0,$H1131-N($E1131)))</f>
        <v/>
      </c>
      <c r="J1131" s="42">
        <f>IF($H1131="","",MAX(0,$H1131-N($G1131)))</f>
        <v/>
      </c>
    </row>
    <row r="1132" ht="19.5" customHeight="1" s="72">
      <c r="A1132" s="38" t="inlineStr">
        <is>
          <t>JuvenilF-32-P05-SBA</t>
        </is>
      </c>
      <c r="B1132" s="38" t="inlineStr">
        <is>
          <t>Fase 32</t>
        </is>
      </c>
      <c r="C1132" s="38" t="inlineStr">
        <is>
          <t>São Bento da Abadá</t>
        </is>
      </c>
      <c r="D1132" s="39" t="inlineStr">
        <is>
          <t>A_Juvenil_F_32_P5</t>
        </is>
      </c>
      <c r="E1132" s="40" t="n"/>
      <c r="F1132" s="39" t="inlineStr">
        <is>
          <t>B_Juvenil_F_32_P5</t>
        </is>
      </c>
      <c r="G1132" s="40" t="n"/>
      <c r="H1132" s="41" t="n"/>
      <c r="I1132" s="42">
        <f>IF($H1132="","",MAX(0,$H1132-N($E1132)))</f>
        <v/>
      </c>
      <c r="J1132" s="42">
        <f>IF($H1132="","",MAX(0,$H1132-N($G1132)))</f>
        <v/>
      </c>
    </row>
    <row r="1133" ht="19.5" customHeight="1" s="72">
      <c r="A1133" s="38" t="inlineStr">
        <is>
          <t>JuvenilF-32-P05-BEN</t>
        </is>
      </c>
      <c r="B1133" s="38" t="inlineStr">
        <is>
          <t>Fase 32</t>
        </is>
      </c>
      <c r="C1133" s="38" t="inlineStr">
        <is>
          <t>Benguela</t>
        </is>
      </c>
      <c r="D1133" s="39" t="inlineStr">
        <is>
          <t>A_Juvenil_F_32_P5</t>
        </is>
      </c>
      <c r="E1133" s="40" t="n"/>
      <c r="F1133" s="39" t="inlineStr">
        <is>
          <t>B_Juvenil_F_32_P5</t>
        </is>
      </c>
      <c r="G1133" s="40" t="n"/>
      <c r="H1133" s="41" t="n"/>
      <c r="I1133" s="42">
        <f>IF($H1133="","",MAX(0,$H1133-N($E1133)))</f>
        <v/>
      </c>
      <c r="J1133" s="42">
        <f>IF($H1133="","",MAX(0,$H1133-N($G1133)))</f>
        <v/>
      </c>
    </row>
    <row r="1134" ht="19.5" customHeight="1" s="72">
      <c r="A1134" s="38" t="inlineStr">
        <is>
          <t>JuvenilF-32-P06-SBA</t>
        </is>
      </c>
      <c r="B1134" s="38" t="inlineStr">
        <is>
          <t>Fase 32</t>
        </is>
      </c>
      <c r="C1134" s="38" t="inlineStr">
        <is>
          <t>São Bento da Abadá</t>
        </is>
      </c>
      <c r="D1134" s="39" t="inlineStr">
        <is>
          <t>A_Juvenil_F_32_P6</t>
        </is>
      </c>
      <c r="E1134" s="40" t="n"/>
      <c r="F1134" s="39" t="inlineStr">
        <is>
          <t>B_Juvenil_F_32_P6</t>
        </is>
      </c>
      <c r="G1134" s="40" t="n"/>
      <c r="H1134" s="41" t="n"/>
      <c r="I1134" s="42">
        <f>IF($H1134="","",MAX(0,$H1134-N($E1134)))</f>
        <v/>
      </c>
      <c r="J1134" s="42">
        <f>IF($H1134="","",MAX(0,$H1134-N($G1134)))</f>
        <v/>
      </c>
    </row>
    <row r="1135" ht="19.5" customHeight="1" s="72">
      <c r="A1135" s="38" t="inlineStr">
        <is>
          <t>JuvenilF-32-P06-BEN</t>
        </is>
      </c>
      <c r="B1135" s="38" t="inlineStr">
        <is>
          <t>Fase 32</t>
        </is>
      </c>
      <c r="C1135" s="38" t="inlineStr">
        <is>
          <t>Benguela</t>
        </is>
      </c>
      <c r="D1135" s="39" t="inlineStr">
        <is>
          <t>A_Juvenil_F_32_P6</t>
        </is>
      </c>
      <c r="E1135" s="40" t="n"/>
      <c r="F1135" s="39" t="inlineStr">
        <is>
          <t>B_Juvenil_F_32_P6</t>
        </is>
      </c>
      <c r="G1135" s="40" t="n"/>
      <c r="H1135" s="41" t="n"/>
      <c r="I1135" s="42">
        <f>IF($H1135="","",MAX(0,$H1135-N($E1135)))</f>
        <v/>
      </c>
      <c r="J1135" s="42">
        <f>IF($H1135="","",MAX(0,$H1135-N($G1135)))</f>
        <v/>
      </c>
    </row>
    <row r="1136" ht="19.5" customHeight="1" s="72">
      <c r="A1136" s="38" t="inlineStr">
        <is>
          <t>JuvenilF-32-P07-SBA</t>
        </is>
      </c>
      <c r="B1136" s="38" t="inlineStr">
        <is>
          <t>Fase 32</t>
        </is>
      </c>
      <c r="C1136" s="38" t="inlineStr">
        <is>
          <t>São Bento da Abadá</t>
        </is>
      </c>
      <c r="D1136" s="39" t="inlineStr">
        <is>
          <t>A_Juvenil_F_32_P7</t>
        </is>
      </c>
      <c r="E1136" s="40" t="n"/>
      <c r="F1136" s="39" t="inlineStr">
        <is>
          <t>B_Juvenil_F_32_P7</t>
        </is>
      </c>
      <c r="G1136" s="40" t="n"/>
      <c r="H1136" s="41" t="n"/>
      <c r="I1136" s="42">
        <f>IF($H1136="","",MAX(0,$H1136-N($E1136)))</f>
        <v/>
      </c>
      <c r="J1136" s="42">
        <f>IF($H1136="","",MAX(0,$H1136-N($G1136)))</f>
        <v/>
      </c>
    </row>
    <row r="1137" ht="19.5" customHeight="1" s="72">
      <c r="A1137" s="38" t="inlineStr">
        <is>
          <t>JuvenilF-32-P07-BEN</t>
        </is>
      </c>
      <c r="B1137" s="38" t="inlineStr">
        <is>
          <t>Fase 32</t>
        </is>
      </c>
      <c r="C1137" s="38" t="inlineStr">
        <is>
          <t>Benguela</t>
        </is>
      </c>
      <c r="D1137" s="39" t="inlineStr">
        <is>
          <t>A_Juvenil_F_32_P7</t>
        </is>
      </c>
      <c r="E1137" s="40" t="n"/>
      <c r="F1137" s="39" t="inlineStr">
        <is>
          <t>B_Juvenil_F_32_P7</t>
        </is>
      </c>
      <c r="G1137" s="40" t="n"/>
      <c r="H1137" s="41" t="n"/>
      <c r="I1137" s="42">
        <f>IF($H1137="","",MAX(0,$H1137-N($E1137)))</f>
        <v/>
      </c>
      <c r="J1137" s="42">
        <f>IF($H1137="","",MAX(0,$H1137-N($G1137)))</f>
        <v/>
      </c>
    </row>
    <row r="1138" ht="19.5" customHeight="1" s="72">
      <c r="A1138" s="38" t="inlineStr">
        <is>
          <t>JuvenilF-32-P08-SBA</t>
        </is>
      </c>
      <c r="B1138" s="38" t="inlineStr">
        <is>
          <t>Fase 32</t>
        </is>
      </c>
      <c r="C1138" s="38" t="inlineStr">
        <is>
          <t>São Bento da Abadá</t>
        </is>
      </c>
      <c r="D1138" s="39" t="inlineStr">
        <is>
          <t>A_Juvenil_F_32_P8</t>
        </is>
      </c>
      <c r="E1138" s="40" t="n"/>
      <c r="F1138" s="39" t="inlineStr">
        <is>
          <t>B_Juvenil_F_32_P8</t>
        </is>
      </c>
      <c r="G1138" s="40" t="n"/>
      <c r="H1138" s="41" t="n"/>
      <c r="I1138" s="42">
        <f>IF($H1138="","",MAX(0,$H1138-N($E1138)))</f>
        <v/>
      </c>
      <c r="J1138" s="42">
        <f>IF($H1138="","",MAX(0,$H1138-N($G1138)))</f>
        <v/>
      </c>
    </row>
    <row r="1139" ht="19.5" customHeight="1" s="72">
      <c r="A1139" s="38" t="inlineStr">
        <is>
          <t>JuvenilF-32-P08-BEN</t>
        </is>
      </c>
      <c r="B1139" s="38" t="inlineStr">
        <is>
          <t>Fase 32</t>
        </is>
      </c>
      <c r="C1139" s="38" t="inlineStr">
        <is>
          <t>Benguela</t>
        </is>
      </c>
      <c r="D1139" s="39" t="inlineStr">
        <is>
          <t>A_Juvenil_F_32_P8</t>
        </is>
      </c>
      <c r="E1139" s="40" t="n"/>
      <c r="F1139" s="39" t="inlineStr">
        <is>
          <t>B_Juvenil_F_32_P8</t>
        </is>
      </c>
      <c r="G1139" s="40" t="n"/>
      <c r="H1139" s="41" t="n"/>
      <c r="I1139" s="42">
        <f>IF($H1139="","",MAX(0,$H1139-N($E1139)))</f>
        <v/>
      </c>
      <c r="J1139" s="42">
        <f>IF($H1139="","",MAX(0,$H1139-N($G1139)))</f>
        <v/>
      </c>
    </row>
    <row r="1140" ht="19.5" customHeight="1" s="72">
      <c r="A1140" s="38" t="inlineStr">
        <is>
          <t>JuvenilF-32-P09-SBA</t>
        </is>
      </c>
      <c r="B1140" s="38" t="inlineStr">
        <is>
          <t>Fase 32</t>
        </is>
      </c>
      <c r="C1140" s="38" t="inlineStr">
        <is>
          <t>São Bento da Abadá</t>
        </is>
      </c>
      <c r="D1140" s="39" t="inlineStr">
        <is>
          <t>A_Juvenil_F_32_P9</t>
        </is>
      </c>
      <c r="E1140" s="40" t="n"/>
      <c r="F1140" s="39" t="inlineStr">
        <is>
          <t>B_Juvenil_F_32_P9</t>
        </is>
      </c>
      <c r="G1140" s="40" t="n"/>
      <c r="H1140" s="41" t="n"/>
      <c r="I1140" s="42">
        <f>IF($H1140="","",MAX(0,$H1140-N($E1140)))</f>
        <v/>
      </c>
      <c r="J1140" s="42">
        <f>IF($H1140="","",MAX(0,$H1140-N($G1140)))</f>
        <v/>
      </c>
    </row>
    <row r="1141" ht="19.5" customHeight="1" s="72">
      <c r="A1141" s="38" t="inlineStr">
        <is>
          <t>JuvenilF-32-P09-BEN</t>
        </is>
      </c>
      <c r="B1141" s="38" t="inlineStr">
        <is>
          <t>Fase 32</t>
        </is>
      </c>
      <c r="C1141" s="38" t="inlineStr">
        <is>
          <t>Benguela</t>
        </is>
      </c>
      <c r="D1141" s="39" t="inlineStr">
        <is>
          <t>A_Juvenil_F_32_P9</t>
        </is>
      </c>
      <c r="E1141" s="40" t="n"/>
      <c r="F1141" s="39" t="inlineStr">
        <is>
          <t>B_Juvenil_F_32_P9</t>
        </is>
      </c>
      <c r="G1141" s="40" t="n"/>
      <c r="H1141" s="41" t="n"/>
      <c r="I1141" s="42">
        <f>IF($H1141="","",MAX(0,$H1141-N($E1141)))</f>
        <v/>
      </c>
      <c r="J1141" s="42">
        <f>IF($H1141="","",MAX(0,$H1141-N($G1141)))</f>
        <v/>
      </c>
    </row>
    <row r="1142" ht="19.5" customHeight="1" s="72">
      <c r="A1142" s="38" t="inlineStr">
        <is>
          <t>JuvenilF-32-P10-SBA</t>
        </is>
      </c>
      <c r="B1142" s="38" t="inlineStr">
        <is>
          <t>Fase 32</t>
        </is>
      </c>
      <c r="C1142" s="38" t="inlineStr">
        <is>
          <t>São Bento da Abadá</t>
        </is>
      </c>
      <c r="D1142" s="39" t="inlineStr">
        <is>
          <t>A_Juvenil_F_32_P10</t>
        </is>
      </c>
      <c r="E1142" s="40" t="n"/>
      <c r="F1142" s="39" t="inlineStr">
        <is>
          <t>B_Juvenil_F_32_P10</t>
        </is>
      </c>
      <c r="G1142" s="40" t="n"/>
      <c r="H1142" s="41" t="n"/>
      <c r="I1142" s="42">
        <f>IF($H1142="","",MAX(0,$H1142-N($E1142)))</f>
        <v/>
      </c>
      <c r="J1142" s="42">
        <f>IF($H1142="","",MAX(0,$H1142-N($G1142)))</f>
        <v/>
      </c>
    </row>
    <row r="1143" ht="19.5" customHeight="1" s="72">
      <c r="A1143" s="38" t="inlineStr">
        <is>
          <t>JuvenilF-32-P10-BEN</t>
        </is>
      </c>
      <c r="B1143" s="38" t="inlineStr">
        <is>
          <t>Fase 32</t>
        </is>
      </c>
      <c r="C1143" s="38" t="inlineStr">
        <is>
          <t>Benguela</t>
        </is>
      </c>
      <c r="D1143" s="39" t="inlineStr">
        <is>
          <t>A_Juvenil_F_32_P10</t>
        </is>
      </c>
      <c r="E1143" s="40" t="n"/>
      <c r="F1143" s="39" t="inlineStr">
        <is>
          <t>B_Juvenil_F_32_P10</t>
        </is>
      </c>
      <c r="G1143" s="40" t="n"/>
      <c r="H1143" s="41" t="n"/>
      <c r="I1143" s="42">
        <f>IF($H1143="","",MAX(0,$H1143-N($E1143)))</f>
        <v/>
      </c>
      <c r="J1143" s="42">
        <f>IF($H1143="","",MAX(0,$H1143-N($G1143)))</f>
        <v/>
      </c>
    </row>
    <row r="1144" ht="19.5" customHeight="1" s="72">
      <c r="A1144" s="38" t="inlineStr">
        <is>
          <t>JuvenilF-32-P11-SBA</t>
        </is>
      </c>
      <c r="B1144" s="38" t="inlineStr">
        <is>
          <t>Fase 32</t>
        </is>
      </c>
      <c r="C1144" s="38" t="inlineStr">
        <is>
          <t>São Bento da Abadá</t>
        </is>
      </c>
      <c r="D1144" s="39" t="inlineStr">
        <is>
          <t>A_Juvenil_F_32_P11</t>
        </is>
      </c>
      <c r="E1144" s="40" t="n"/>
      <c r="F1144" s="39" t="inlineStr">
        <is>
          <t>B_Juvenil_F_32_P11</t>
        </is>
      </c>
      <c r="G1144" s="40" t="n"/>
      <c r="H1144" s="41" t="n"/>
      <c r="I1144" s="42">
        <f>IF($H1144="","",MAX(0,$H1144-N($E1144)))</f>
        <v/>
      </c>
      <c r="J1144" s="42">
        <f>IF($H1144="","",MAX(0,$H1144-N($G1144)))</f>
        <v/>
      </c>
    </row>
    <row r="1145" ht="19.5" customHeight="1" s="72">
      <c r="A1145" s="38" t="inlineStr">
        <is>
          <t>JuvenilF-32-P11-BEN</t>
        </is>
      </c>
      <c r="B1145" s="38" t="inlineStr">
        <is>
          <t>Fase 32</t>
        </is>
      </c>
      <c r="C1145" s="38" t="inlineStr">
        <is>
          <t>Benguela</t>
        </is>
      </c>
      <c r="D1145" s="39" t="inlineStr">
        <is>
          <t>A_Juvenil_F_32_P11</t>
        </is>
      </c>
      <c r="E1145" s="40" t="n"/>
      <c r="F1145" s="39" t="inlineStr">
        <is>
          <t>B_Juvenil_F_32_P11</t>
        </is>
      </c>
      <c r="G1145" s="40" t="n"/>
      <c r="H1145" s="41" t="n"/>
      <c r="I1145" s="42">
        <f>IF($H1145="","",MAX(0,$H1145-N($E1145)))</f>
        <v/>
      </c>
      <c r="J1145" s="42">
        <f>IF($H1145="","",MAX(0,$H1145-N($G1145)))</f>
        <v/>
      </c>
    </row>
    <row r="1146" ht="19.5" customHeight="1" s="72">
      <c r="A1146" s="38" t="inlineStr">
        <is>
          <t>JuvenilF-32-P12-SBA</t>
        </is>
      </c>
      <c r="B1146" s="38" t="inlineStr">
        <is>
          <t>Fase 32</t>
        </is>
      </c>
      <c r="C1146" s="38" t="inlineStr">
        <is>
          <t>São Bento da Abadá</t>
        </is>
      </c>
      <c r="D1146" s="39" t="inlineStr">
        <is>
          <t>A_Juvenil_F_32_P12</t>
        </is>
      </c>
      <c r="E1146" s="40" t="n"/>
      <c r="F1146" s="39" t="inlineStr">
        <is>
          <t>B_Juvenil_F_32_P12</t>
        </is>
      </c>
      <c r="G1146" s="40" t="n"/>
      <c r="H1146" s="41" t="n"/>
      <c r="I1146" s="42">
        <f>IF($H1146="","",MAX(0,$H1146-N($E1146)))</f>
        <v/>
      </c>
      <c r="J1146" s="42">
        <f>IF($H1146="","",MAX(0,$H1146-N($G1146)))</f>
        <v/>
      </c>
    </row>
    <row r="1147" ht="19.5" customHeight="1" s="72">
      <c r="A1147" s="38" t="inlineStr">
        <is>
          <t>JuvenilF-32-P12-BEN</t>
        </is>
      </c>
      <c r="B1147" s="38" t="inlineStr">
        <is>
          <t>Fase 32</t>
        </is>
      </c>
      <c r="C1147" s="38" t="inlineStr">
        <is>
          <t>Benguela</t>
        </is>
      </c>
      <c r="D1147" s="39" t="inlineStr">
        <is>
          <t>A_Juvenil_F_32_P12</t>
        </is>
      </c>
      <c r="E1147" s="40" t="n"/>
      <c r="F1147" s="39" t="inlineStr">
        <is>
          <t>B_Juvenil_F_32_P12</t>
        </is>
      </c>
      <c r="G1147" s="40" t="n"/>
      <c r="H1147" s="41" t="n"/>
      <c r="I1147" s="42">
        <f>IF($H1147="","",MAX(0,$H1147-N($E1147)))</f>
        <v/>
      </c>
      <c r="J1147" s="42">
        <f>IF($H1147="","",MAX(0,$H1147-N($G1147)))</f>
        <v/>
      </c>
    </row>
    <row r="1148" ht="19.5" customHeight="1" s="72">
      <c r="A1148" s="38" t="inlineStr">
        <is>
          <t>JuvenilF-32-P13-SBA</t>
        </is>
      </c>
      <c r="B1148" s="38" t="inlineStr">
        <is>
          <t>Fase 32</t>
        </is>
      </c>
      <c r="C1148" s="38" t="inlineStr">
        <is>
          <t>São Bento da Abadá</t>
        </is>
      </c>
      <c r="D1148" s="39" t="inlineStr">
        <is>
          <t>A_Juvenil_F_32_P13</t>
        </is>
      </c>
      <c r="E1148" s="40" t="n"/>
      <c r="F1148" s="39" t="inlineStr">
        <is>
          <t>B_Juvenil_F_32_P13</t>
        </is>
      </c>
      <c r="G1148" s="40" t="n"/>
      <c r="H1148" s="41" t="n"/>
      <c r="I1148" s="42">
        <f>IF($H1148="","",MAX(0,$H1148-N($E1148)))</f>
        <v/>
      </c>
      <c r="J1148" s="42">
        <f>IF($H1148="","",MAX(0,$H1148-N($G1148)))</f>
        <v/>
      </c>
    </row>
    <row r="1149" ht="19.5" customHeight="1" s="72">
      <c r="A1149" s="38" t="inlineStr">
        <is>
          <t>JuvenilF-32-P13-BEN</t>
        </is>
      </c>
      <c r="B1149" s="38" t="inlineStr">
        <is>
          <t>Fase 32</t>
        </is>
      </c>
      <c r="C1149" s="38" t="inlineStr">
        <is>
          <t>Benguela</t>
        </is>
      </c>
      <c r="D1149" s="39" t="inlineStr">
        <is>
          <t>A_Juvenil_F_32_P13</t>
        </is>
      </c>
      <c r="E1149" s="40" t="n"/>
      <c r="F1149" s="39" t="inlineStr">
        <is>
          <t>B_Juvenil_F_32_P13</t>
        </is>
      </c>
      <c r="G1149" s="40" t="n"/>
      <c r="H1149" s="41" t="n"/>
      <c r="I1149" s="42">
        <f>IF($H1149="","",MAX(0,$H1149-N($E1149)))</f>
        <v/>
      </c>
      <c r="J1149" s="42">
        <f>IF($H1149="","",MAX(0,$H1149-N($G1149)))</f>
        <v/>
      </c>
    </row>
    <row r="1150" ht="19.5" customHeight="1" s="72">
      <c r="A1150" s="38" t="inlineStr">
        <is>
          <t>JuvenilF-32-P14-SBA</t>
        </is>
      </c>
      <c r="B1150" s="38" t="inlineStr">
        <is>
          <t>Fase 32</t>
        </is>
      </c>
      <c r="C1150" s="38" t="inlineStr">
        <is>
          <t>São Bento da Abadá</t>
        </is>
      </c>
      <c r="D1150" s="39" t="inlineStr">
        <is>
          <t>A_Juvenil_F_32_P14</t>
        </is>
      </c>
      <c r="E1150" s="40" t="n"/>
      <c r="F1150" s="39" t="inlineStr">
        <is>
          <t>B_Juvenil_F_32_P14</t>
        </is>
      </c>
      <c r="G1150" s="40" t="n"/>
      <c r="H1150" s="41" t="n"/>
      <c r="I1150" s="42">
        <f>IF($H1150="","",MAX(0,$H1150-N($E1150)))</f>
        <v/>
      </c>
      <c r="J1150" s="42">
        <f>IF($H1150="","",MAX(0,$H1150-N($G1150)))</f>
        <v/>
      </c>
    </row>
    <row r="1151" ht="19.5" customHeight="1" s="72">
      <c r="A1151" s="38" t="inlineStr">
        <is>
          <t>JuvenilF-32-P14-BEN</t>
        </is>
      </c>
      <c r="B1151" s="38" t="inlineStr">
        <is>
          <t>Fase 32</t>
        </is>
      </c>
      <c r="C1151" s="38" t="inlineStr">
        <is>
          <t>Benguela</t>
        </is>
      </c>
      <c r="D1151" s="39" t="inlineStr">
        <is>
          <t>A_Juvenil_F_32_P14</t>
        </is>
      </c>
      <c r="E1151" s="40" t="n"/>
      <c r="F1151" s="39" t="inlineStr">
        <is>
          <t>B_Juvenil_F_32_P14</t>
        </is>
      </c>
      <c r="G1151" s="40" t="n"/>
      <c r="H1151" s="41" t="n"/>
      <c r="I1151" s="42">
        <f>IF($H1151="","",MAX(0,$H1151-N($E1151)))</f>
        <v/>
      </c>
      <c r="J1151" s="42">
        <f>IF($H1151="","",MAX(0,$H1151-N($G1151)))</f>
        <v/>
      </c>
    </row>
    <row r="1152" ht="19.5" customHeight="1" s="72">
      <c r="A1152" s="38" t="inlineStr">
        <is>
          <t>JuvenilF-32-P15-SBA</t>
        </is>
      </c>
      <c r="B1152" s="38" t="inlineStr">
        <is>
          <t>Fase 32</t>
        </is>
      </c>
      <c r="C1152" s="38" t="inlineStr">
        <is>
          <t>São Bento da Abadá</t>
        </is>
      </c>
      <c r="D1152" s="39" t="inlineStr">
        <is>
          <t>A_Juvenil_F_32_P15</t>
        </is>
      </c>
      <c r="E1152" s="40" t="n"/>
      <c r="F1152" s="39" t="inlineStr">
        <is>
          <t>B_Juvenil_F_32_P15</t>
        </is>
      </c>
      <c r="G1152" s="40" t="n"/>
      <c r="H1152" s="41" t="n"/>
      <c r="I1152" s="42">
        <f>IF($H1152="","",MAX(0,$H1152-N($E1152)))</f>
        <v/>
      </c>
      <c r="J1152" s="42">
        <f>IF($H1152="","",MAX(0,$H1152-N($G1152)))</f>
        <v/>
      </c>
    </row>
    <row r="1153" ht="19.5" customHeight="1" s="72">
      <c r="A1153" s="38" t="inlineStr">
        <is>
          <t>JuvenilF-32-P15-BEN</t>
        </is>
      </c>
      <c r="B1153" s="38" t="inlineStr">
        <is>
          <t>Fase 32</t>
        </is>
      </c>
      <c r="C1153" s="38" t="inlineStr">
        <is>
          <t>Benguela</t>
        </is>
      </c>
      <c r="D1153" s="39" t="inlineStr">
        <is>
          <t>A_Juvenil_F_32_P15</t>
        </is>
      </c>
      <c r="E1153" s="40" t="n"/>
      <c r="F1153" s="39" t="inlineStr">
        <is>
          <t>B_Juvenil_F_32_P15</t>
        </is>
      </c>
      <c r="G1153" s="40" t="n"/>
      <c r="H1153" s="41" t="n"/>
      <c r="I1153" s="42">
        <f>IF($H1153="","",MAX(0,$H1153-N($E1153)))</f>
        <v/>
      </c>
      <c r="J1153" s="42">
        <f>IF($H1153="","",MAX(0,$H1153-N($G1153)))</f>
        <v/>
      </c>
    </row>
    <row r="1154" ht="19.5" customHeight="1" s="72">
      <c r="A1154" s="38" t="inlineStr">
        <is>
          <t>JuvenilF-32-P16-SBA</t>
        </is>
      </c>
      <c r="B1154" s="38" t="inlineStr">
        <is>
          <t>Fase 32</t>
        </is>
      </c>
      <c r="C1154" s="38" t="inlineStr">
        <is>
          <t>São Bento da Abadá</t>
        </is>
      </c>
      <c r="D1154" s="39" t="inlineStr">
        <is>
          <t>A_Juvenil_F_32_P16</t>
        </is>
      </c>
      <c r="E1154" s="40" t="n"/>
      <c r="F1154" s="39" t="inlineStr">
        <is>
          <t>B_Juvenil_F_32_P16</t>
        </is>
      </c>
      <c r="G1154" s="40" t="n"/>
      <c r="H1154" s="41" t="n"/>
      <c r="I1154" s="42">
        <f>IF($H1154="","",MAX(0,$H1154-N($E1154)))</f>
        <v/>
      </c>
      <c r="J1154" s="42">
        <f>IF($H1154="","",MAX(0,$H1154-N($G1154)))</f>
        <v/>
      </c>
    </row>
    <row r="1155" ht="19.5" customHeight="1" s="72">
      <c r="A1155" s="38" t="inlineStr">
        <is>
          <t>JuvenilF-32-P16-BEN</t>
        </is>
      </c>
      <c r="B1155" s="38" t="inlineStr">
        <is>
          <t>Fase 32</t>
        </is>
      </c>
      <c r="C1155" s="38" t="inlineStr">
        <is>
          <t>Benguela</t>
        </is>
      </c>
      <c r="D1155" s="39" t="inlineStr">
        <is>
          <t>A_Juvenil_F_32_P16</t>
        </is>
      </c>
      <c r="E1155" s="40" t="n"/>
      <c r="F1155" s="39" t="inlineStr">
        <is>
          <t>B_Juvenil_F_32_P16</t>
        </is>
      </c>
      <c r="G1155" s="40" t="n"/>
      <c r="H1155" s="41" t="n"/>
      <c r="I1155" s="42">
        <f>IF($H1155="","",MAX(0,$H1155-N($E1155)))</f>
        <v/>
      </c>
      <c r="J1155" s="42">
        <f>IF($H1155="","",MAX(0,$H1155-N($G1155)))</f>
        <v/>
      </c>
    </row>
    <row r="1156" ht="19.5" customHeight="1" s="72">
      <c r="A1156" s="38" t="inlineStr">
        <is>
          <t>JuvenilF-OCT-P01-SBA</t>
        </is>
      </c>
      <c r="B1156" s="38" t="inlineStr">
        <is>
          <t>Octavas</t>
        </is>
      </c>
      <c r="C1156" s="38" t="inlineStr">
        <is>
          <t>São Bento da Abadá</t>
        </is>
      </c>
      <c r="D1156" s="39">
        <f>IFERROR(CLASIF_Juvenil_F!$F$5,"")</f>
        <v/>
      </c>
      <c r="E1156" s="40" t="n"/>
      <c r="F1156" s="39">
        <f>IFERROR(CLASIF_Juvenil_F!$F$20,"")</f>
        <v/>
      </c>
      <c r="G1156" s="40" t="n"/>
      <c r="H1156" s="41" t="n"/>
      <c r="I1156" s="42">
        <f>IF($H1156="","",MAX(0,$H1156-N($E1156)))</f>
        <v/>
      </c>
      <c r="J1156" s="42">
        <f>IF($H1156="","",MAX(0,$H1156-N($G1156)))</f>
        <v/>
      </c>
    </row>
    <row r="1157" ht="19.5" customHeight="1" s="72">
      <c r="A1157" s="38" t="inlineStr">
        <is>
          <t>JuvenilF-OCT-P01-BEN</t>
        </is>
      </c>
      <c r="B1157" s="38" t="inlineStr">
        <is>
          <t>Octavas</t>
        </is>
      </c>
      <c r="C1157" s="38" t="inlineStr">
        <is>
          <t>Benguela</t>
        </is>
      </c>
      <c r="D1157" s="39">
        <f>IFERROR(CLASIF_Juvenil_F!$F$5,"")</f>
        <v/>
      </c>
      <c r="E1157" s="40" t="n"/>
      <c r="F1157" s="39">
        <f>IFERROR(CLASIF_Juvenil_F!$F$20,"")</f>
        <v/>
      </c>
      <c r="G1157" s="40" t="n"/>
      <c r="H1157" s="41" t="n"/>
      <c r="I1157" s="42">
        <f>IF($H1157="","",MAX(0,$H1157-N($E1157)))</f>
        <v/>
      </c>
      <c r="J1157" s="42">
        <f>IF($H1157="","",MAX(0,$H1157-N($G1157)))</f>
        <v/>
      </c>
    </row>
    <row r="1158" ht="19.5" customHeight="1" s="72">
      <c r="A1158" s="38" t="inlineStr">
        <is>
          <t>JuvenilF-OCT-P02-SBA</t>
        </is>
      </c>
      <c r="B1158" s="38" t="inlineStr">
        <is>
          <t>Octavas</t>
        </is>
      </c>
      <c r="C1158" s="38" t="inlineStr">
        <is>
          <t>São Bento da Abadá</t>
        </is>
      </c>
      <c r="D1158" s="39">
        <f>IFERROR(CLASIF_Juvenil_F!$F$6,"")</f>
        <v/>
      </c>
      <c r="E1158" s="40" t="n"/>
      <c r="F1158" s="39">
        <f>IFERROR(CLASIF_Juvenil_F!$F$19,"")</f>
        <v/>
      </c>
      <c r="G1158" s="40" t="n"/>
      <c r="H1158" s="41" t="n"/>
      <c r="I1158" s="42">
        <f>IF($H1158="","",MAX(0,$H1158-N($E1158)))</f>
        <v/>
      </c>
      <c r="J1158" s="42">
        <f>IF($H1158="","",MAX(0,$H1158-N($G1158)))</f>
        <v/>
      </c>
    </row>
    <row r="1159" ht="19.5" customHeight="1" s="72">
      <c r="A1159" s="38" t="inlineStr">
        <is>
          <t>JuvenilF-OCT-P02-BEN</t>
        </is>
      </c>
      <c r="B1159" s="38" t="inlineStr">
        <is>
          <t>Octavas</t>
        </is>
      </c>
      <c r="C1159" s="38" t="inlineStr">
        <is>
          <t>Benguela</t>
        </is>
      </c>
      <c r="D1159" s="39">
        <f>IFERROR(CLASIF_Juvenil_F!$F$6,"")</f>
        <v/>
      </c>
      <c r="E1159" s="40" t="n"/>
      <c r="F1159" s="39">
        <f>IFERROR(CLASIF_Juvenil_F!$F$19,"")</f>
        <v/>
      </c>
      <c r="G1159" s="40" t="n"/>
      <c r="H1159" s="41" t="n"/>
      <c r="I1159" s="42">
        <f>IF($H1159="","",MAX(0,$H1159-N($E1159)))</f>
        <v/>
      </c>
      <c r="J1159" s="42">
        <f>IF($H1159="","",MAX(0,$H1159-N($G1159)))</f>
        <v/>
      </c>
    </row>
    <row r="1160" ht="19.5" customHeight="1" s="72">
      <c r="A1160" s="38" t="inlineStr">
        <is>
          <t>JuvenilF-OCT-P03-SBA</t>
        </is>
      </c>
      <c r="B1160" s="38" t="inlineStr">
        <is>
          <t>Octavas</t>
        </is>
      </c>
      <c r="C1160" s="38" t="inlineStr">
        <is>
          <t>São Bento da Abadá</t>
        </is>
      </c>
      <c r="D1160" s="39">
        <f>IFERROR(CLASIF_Juvenil_F!$F$7,"")</f>
        <v/>
      </c>
      <c r="E1160" s="40" t="n"/>
      <c r="F1160" s="39">
        <f>IFERROR(CLASIF_Juvenil_F!$F$18,"")</f>
        <v/>
      </c>
      <c r="G1160" s="40" t="n"/>
      <c r="H1160" s="41" t="n"/>
      <c r="I1160" s="42">
        <f>IF($H1160="","",MAX(0,$H1160-N($E1160)))</f>
        <v/>
      </c>
      <c r="J1160" s="42">
        <f>IF($H1160="","",MAX(0,$H1160-N($G1160)))</f>
        <v/>
      </c>
    </row>
    <row r="1161" ht="19.5" customHeight="1" s="72">
      <c r="A1161" s="38" t="inlineStr">
        <is>
          <t>JuvenilF-OCT-P03-BEN</t>
        </is>
      </c>
      <c r="B1161" s="38" t="inlineStr">
        <is>
          <t>Octavas</t>
        </is>
      </c>
      <c r="C1161" s="38" t="inlineStr">
        <is>
          <t>Benguela</t>
        </is>
      </c>
      <c r="D1161" s="39">
        <f>IFERROR(CLASIF_Juvenil_F!$F$7,"")</f>
        <v/>
      </c>
      <c r="E1161" s="40" t="n"/>
      <c r="F1161" s="39">
        <f>IFERROR(CLASIF_Juvenil_F!$F$18,"")</f>
        <v/>
      </c>
      <c r="G1161" s="40" t="n"/>
      <c r="H1161" s="41" t="n"/>
      <c r="I1161" s="42">
        <f>IF($H1161="","",MAX(0,$H1161-N($E1161)))</f>
        <v/>
      </c>
      <c r="J1161" s="42">
        <f>IF($H1161="","",MAX(0,$H1161-N($G1161)))</f>
        <v/>
      </c>
    </row>
    <row r="1162" ht="19.5" customHeight="1" s="72">
      <c r="A1162" s="38" t="inlineStr">
        <is>
          <t>JuvenilF-OCT-P04-SBA</t>
        </is>
      </c>
      <c r="B1162" s="38" t="inlineStr">
        <is>
          <t>Octavas</t>
        </is>
      </c>
      <c r="C1162" s="38" t="inlineStr">
        <is>
          <t>São Bento da Abadá</t>
        </is>
      </c>
      <c r="D1162" s="39">
        <f>IFERROR(CLASIF_Juvenil_F!$F$8,"")</f>
        <v/>
      </c>
      <c r="E1162" s="40" t="n"/>
      <c r="F1162" s="39">
        <f>IFERROR(CLASIF_Juvenil_F!$F$17,"")</f>
        <v/>
      </c>
      <c r="G1162" s="40" t="n"/>
      <c r="H1162" s="41" t="n"/>
      <c r="I1162" s="42">
        <f>IF($H1162="","",MAX(0,$H1162-N($E1162)))</f>
        <v/>
      </c>
      <c r="J1162" s="42">
        <f>IF($H1162="","",MAX(0,$H1162-N($G1162)))</f>
        <v/>
      </c>
    </row>
    <row r="1163" ht="19.5" customHeight="1" s="72">
      <c r="A1163" s="38" t="inlineStr">
        <is>
          <t>JuvenilF-OCT-P04-BEN</t>
        </is>
      </c>
      <c r="B1163" s="38" t="inlineStr">
        <is>
          <t>Octavas</t>
        </is>
      </c>
      <c r="C1163" s="38" t="inlineStr">
        <is>
          <t>Benguela</t>
        </is>
      </c>
      <c r="D1163" s="39">
        <f>IFERROR(CLASIF_Juvenil_F!$F$8,"")</f>
        <v/>
      </c>
      <c r="E1163" s="40" t="n"/>
      <c r="F1163" s="39">
        <f>IFERROR(CLASIF_Juvenil_F!$F$17,"")</f>
        <v/>
      </c>
      <c r="G1163" s="40" t="n"/>
      <c r="H1163" s="41" t="n"/>
      <c r="I1163" s="42">
        <f>IF($H1163="","",MAX(0,$H1163-N($E1163)))</f>
        <v/>
      </c>
      <c r="J1163" s="42">
        <f>IF($H1163="","",MAX(0,$H1163-N($G1163)))</f>
        <v/>
      </c>
    </row>
    <row r="1164" ht="19.5" customHeight="1" s="72">
      <c r="A1164" s="38" t="inlineStr">
        <is>
          <t>JuvenilF-OCT-P05-SBA</t>
        </is>
      </c>
      <c r="B1164" s="38" t="inlineStr">
        <is>
          <t>Octavas</t>
        </is>
      </c>
      <c r="C1164" s="38" t="inlineStr">
        <is>
          <t>São Bento da Abadá</t>
        </is>
      </c>
      <c r="D1164" s="39">
        <f>IFERROR(CLASIF_Juvenil_F!$F$9,"")</f>
        <v/>
      </c>
      <c r="E1164" s="40" t="n"/>
      <c r="F1164" s="39">
        <f>IFERROR(CLASIF_Juvenil_F!$F$16,"")</f>
        <v/>
      </c>
      <c r="G1164" s="40" t="n"/>
      <c r="H1164" s="41" t="n"/>
      <c r="I1164" s="42">
        <f>IF($H1164="","",MAX(0,$H1164-N($E1164)))</f>
        <v/>
      </c>
      <c r="J1164" s="42">
        <f>IF($H1164="","",MAX(0,$H1164-N($G1164)))</f>
        <v/>
      </c>
    </row>
    <row r="1165" ht="19.5" customHeight="1" s="72">
      <c r="A1165" s="38" t="inlineStr">
        <is>
          <t>JuvenilF-OCT-P05-BEN</t>
        </is>
      </c>
      <c r="B1165" s="38" t="inlineStr">
        <is>
          <t>Octavas</t>
        </is>
      </c>
      <c r="C1165" s="38" t="inlineStr">
        <is>
          <t>Benguela</t>
        </is>
      </c>
      <c r="D1165" s="39">
        <f>IFERROR(CLASIF_Juvenil_F!$F$9,"")</f>
        <v/>
      </c>
      <c r="E1165" s="40" t="n"/>
      <c r="F1165" s="39">
        <f>IFERROR(CLASIF_Juvenil_F!$F$16,"")</f>
        <v/>
      </c>
      <c r="G1165" s="40" t="n"/>
      <c r="H1165" s="41" t="n"/>
      <c r="I1165" s="42">
        <f>IF($H1165="","",MAX(0,$H1165-N($E1165)))</f>
        <v/>
      </c>
      <c r="J1165" s="42">
        <f>IF($H1165="","",MAX(0,$H1165-N($G1165)))</f>
        <v/>
      </c>
    </row>
    <row r="1166" ht="19.5" customHeight="1" s="72">
      <c r="A1166" s="38" t="inlineStr">
        <is>
          <t>JuvenilF-OCT-P06-SBA</t>
        </is>
      </c>
      <c r="B1166" s="38" t="inlineStr">
        <is>
          <t>Octavas</t>
        </is>
      </c>
      <c r="C1166" s="38" t="inlineStr">
        <is>
          <t>São Bento da Abadá</t>
        </is>
      </c>
      <c r="D1166" s="39">
        <f>IFERROR(CLASIF_Juvenil_F!$F$10,"")</f>
        <v/>
      </c>
      <c r="E1166" s="40" t="n"/>
      <c r="F1166" s="39">
        <f>IFERROR(CLASIF_Juvenil_F!$F$15,"")</f>
        <v/>
      </c>
      <c r="G1166" s="40" t="n"/>
      <c r="H1166" s="41" t="n"/>
      <c r="I1166" s="42">
        <f>IF($H1166="","",MAX(0,$H1166-N($E1166)))</f>
        <v/>
      </c>
      <c r="J1166" s="42">
        <f>IF($H1166="","",MAX(0,$H1166-N($G1166)))</f>
        <v/>
      </c>
    </row>
    <row r="1167" ht="19.5" customHeight="1" s="72">
      <c r="A1167" s="38" t="inlineStr">
        <is>
          <t>JuvenilF-OCT-P06-BEN</t>
        </is>
      </c>
      <c r="B1167" s="38" t="inlineStr">
        <is>
          <t>Octavas</t>
        </is>
      </c>
      <c r="C1167" s="38" t="inlineStr">
        <is>
          <t>Benguela</t>
        </is>
      </c>
      <c r="D1167" s="39">
        <f>IFERROR(CLASIF_Juvenil_F!$F$10,"")</f>
        <v/>
      </c>
      <c r="E1167" s="40" t="n"/>
      <c r="F1167" s="39">
        <f>IFERROR(CLASIF_Juvenil_F!$F$15,"")</f>
        <v/>
      </c>
      <c r="G1167" s="40" t="n"/>
      <c r="H1167" s="41" t="n"/>
      <c r="I1167" s="42">
        <f>IF($H1167="","",MAX(0,$H1167-N($E1167)))</f>
        <v/>
      </c>
      <c r="J1167" s="42">
        <f>IF($H1167="","",MAX(0,$H1167-N($G1167)))</f>
        <v/>
      </c>
    </row>
    <row r="1168" ht="19.5" customHeight="1" s="72">
      <c r="A1168" s="38" t="inlineStr">
        <is>
          <t>JuvenilF-OCT-P07-SBA</t>
        </is>
      </c>
      <c r="B1168" s="38" t="inlineStr">
        <is>
          <t>Octavas</t>
        </is>
      </c>
      <c r="C1168" s="38" t="inlineStr">
        <is>
          <t>São Bento da Abadá</t>
        </is>
      </c>
      <c r="D1168" s="39">
        <f>IFERROR(CLASIF_Juvenil_F!$F$11,"")</f>
        <v/>
      </c>
      <c r="E1168" s="40" t="n"/>
      <c r="F1168" s="39">
        <f>IFERROR(CLASIF_Juvenil_F!$F$14,"")</f>
        <v/>
      </c>
      <c r="G1168" s="40" t="n"/>
      <c r="H1168" s="41" t="n"/>
      <c r="I1168" s="42">
        <f>IF($H1168="","",MAX(0,$H1168-N($E1168)))</f>
        <v/>
      </c>
      <c r="J1168" s="42">
        <f>IF($H1168="","",MAX(0,$H1168-N($G1168)))</f>
        <v/>
      </c>
    </row>
    <row r="1169" ht="19.5" customHeight="1" s="72">
      <c r="A1169" s="38" t="inlineStr">
        <is>
          <t>JuvenilF-OCT-P07-BEN</t>
        </is>
      </c>
      <c r="B1169" s="38" t="inlineStr">
        <is>
          <t>Octavas</t>
        </is>
      </c>
      <c r="C1169" s="38" t="inlineStr">
        <is>
          <t>Benguela</t>
        </is>
      </c>
      <c r="D1169" s="39">
        <f>IFERROR(CLASIF_Juvenil_F!$F$11,"")</f>
        <v/>
      </c>
      <c r="E1169" s="40" t="n"/>
      <c r="F1169" s="39">
        <f>IFERROR(CLASIF_Juvenil_F!$F$14,"")</f>
        <v/>
      </c>
      <c r="G1169" s="40" t="n"/>
      <c r="H1169" s="41" t="n"/>
      <c r="I1169" s="42">
        <f>IF($H1169="","",MAX(0,$H1169-N($E1169)))</f>
        <v/>
      </c>
      <c r="J1169" s="42">
        <f>IF($H1169="","",MAX(0,$H1169-N($G1169)))</f>
        <v/>
      </c>
    </row>
    <row r="1170" ht="19.5" customHeight="1" s="72">
      <c r="A1170" s="38" t="inlineStr">
        <is>
          <t>JuvenilF-OCT-P08-SBA</t>
        </is>
      </c>
      <c r="B1170" s="38" t="inlineStr">
        <is>
          <t>Octavas</t>
        </is>
      </c>
      <c r="C1170" s="38" t="inlineStr">
        <is>
          <t>São Bento da Abadá</t>
        </is>
      </c>
      <c r="D1170" s="39">
        <f>IFERROR(CLASIF_Juvenil_F!$F$12,"")</f>
        <v/>
      </c>
      <c r="E1170" s="40" t="n"/>
      <c r="F1170" s="39">
        <f>IFERROR(CLASIF_Juvenil_F!$F$13,"")</f>
        <v/>
      </c>
      <c r="G1170" s="40" t="n"/>
      <c r="H1170" s="41" t="n"/>
      <c r="I1170" s="42">
        <f>IF($H1170="","",MAX(0,$H1170-N($E1170)))</f>
        <v/>
      </c>
      <c r="J1170" s="42">
        <f>IF($H1170="","",MAX(0,$H1170-N($G1170)))</f>
        <v/>
      </c>
    </row>
    <row r="1171" ht="19.5" customHeight="1" s="72">
      <c r="A1171" s="38" t="inlineStr">
        <is>
          <t>JuvenilF-OCT-P08-BEN</t>
        </is>
      </c>
      <c r="B1171" s="38" t="inlineStr">
        <is>
          <t>Octavas</t>
        </is>
      </c>
      <c r="C1171" s="38" t="inlineStr">
        <is>
          <t>Benguela</t>
        </is>
      </c>
      <c r="D1171" s="39">
        <f>IFERROR(CLASIF_Juvenil_F!$F$12,"")</f>
        <v/>
      </c>
      <c r="E1171" s="40" t="n"/>
      <c r="F1171" s="39">
        <f>IFERROR(CLASIF_Juvenil_F!$F$13,"")</f>
        <v/>
      </c>
      <c r="G1171" s="40" t="n"/>
      <c r="H1171" s="41" t="n"/>
      <c r="I1171" s="42">
        <f>IF($H1171="","",MAX(0,$H1171-N($E1171)))</f>
        <v/>
      </c>
      <c r="J1171" s="42">
        <f>IF($H1171="","",MAX(0,$H1171-N($G1171)))</f>
        <v/>
      </c>
    </row>
    <row r="1172" ht="19.5" customHeight="1" s="72">
      <c r="A1172" s="38" t="inlineStr">
        <is>
          <t>JuvenilF-SEM-P01-SBA</t>
        </is>
      </c>
      <c r="B1172" s="38" t="inlineStr">
        <is>
          <t>Semifinal</t>
        </is>
      </c>
      <c r="C1172" s="38" t="inlineStr">
        <is>
          <t>São Bento da Abadá</t>
        </is>
      </c>
      <c r="D1172" s="39">
        <f>IFERROR(CLASIF_Juvenil_F!$O$5,"")</f>
        <v/>
      </c>
      <c r="E1172" s="40" t="n"/>
      <c r="F1172" s="39">
        <f>IFERROR(CLASIF_Juvenil_F!$O$12,"")</f>
        <v/>
      </c>
      <c r="G1172" s="40" t="n"/>
      <c r="H1172" s="41" t="n"/>
      <c r="I1172" s="42">
        <f>IF($H1172="","",MAX(0,$H1172-N($E1172)))</f>
        <v/>
      </c>
      <c r="J1172" s="42">
        <f>IF($H1172="","",MAX(0,$H1172-N($G1172)))</f>
        <v/>
      </c>
    </row>
    <row r="1173" ht="19.5" customHeight="1" s="72">
      <c r="A1173" s="38" t="inlineStr">
        <is>
          <t>JuvenilF-SEM-P01-BEN</t>
        </is>
      </c>
      <c r="B1173" s="38" t="inlineStr">
        <is>
          <t>Semifinal</t>
        </is>
      </c>
      <c r="C1173" s="38" t="inlineStr">
        <is>
          <t>Benguela</t>
        </is>
      </c>
      <c r="D1173" s="39">
        <f>IFERROR(CLASIF_Juvenil_F!$O$5,"")</f>
        <v/>
      </c>
      <c r="E1173" s="40" t="n"/>
      <c r="F1173" s="39">
        <f>IFERROR(CLASIF_Juvenil_F!$O$12,"")</f>
        <v/>
      </c>
      <c r="G1173" s="40" t="n"/>
      <c r="H1173" s="41" t="n"/>
      <c r="I1173" s="42">
        <f>IF($H1173="","",MAX(0,$H1173-N($E1173)))</f>
        <v/>
      </c>
      <c r="J1173" s="42">
        <f>IF($H1173="","",MAX(0,$H1173-N($G1173)))</f>
        <v/>
      </c>
    </row>
    <row r="1174" ht="19.5" customHeight="1" s="72">
      <c r="A1174" s="38" t="inlineStr">
        <is>
          <t>JuvenilF-SEM-P02-SBA</t>
        </is>
      </c>
      <c r="B1174" s="38" t="inlineStr">
        <is>
          <t>Semifinal</t>
        </is>
      </c>
      <c r="C1174" s="38" t="inlineStr">
        <is>
          <t>São Bento da Abadá</t>
        </is>
      </c>
      <c r="D1174" s="39">
        <f>IFERROR(CLASIF_Juvenil_F!$O$6,"")</f>
        <v/>
      </c>
      <c r="E1174" s="40" t="n"/>
      <c r="F1174" s="39">
        <f>IFERROR(CLASIF_Juvenil_F!$O$11,"")</f>
        <v/>
      </c>
      <c r="G1174" s="40" t="n"/>
      <c r="H1174" s="41" t="n"/>
      <c r="I1174" s="42">
        <f>IF($H1174="","",MAX(0,$H1174-N($E1174)))</f>
        <v/>
      </c>
      <c r="J1174" s="42">
        <f>IF($H1174="","",MAX(0,$H1174-N($G1174)))</f>
        <v/>
      </c>
    </row>
    <row r="1175" ht="19.5" customHeight="1" s="72">
      <c r="A1175" s="38" t="inlineStr">
        <is>
          <t>JuvenilF-SEM-P02-BEN</t>
        </is>
      </c>
      <c r="B1175" s="38" t="inlineStr">
        <is>
          <t>Semifinal</t>
        </is>
      </c>
      <c r="C1175" s="38" t="inlineStr">
        <is>
          <t>Benguela</t>
        </is>
      </c>
      <c r="D1175" s="39">
        <f>IFERROR(CLASIF_Juvenil_F!$O$6,"")</f>
        <v/>
      </c>
      <c r="E1175" s="40" t="n"/>
      <c r="F1175" s="39">
        <f>IFERROR(CLASIF_Juvenil_F!$O$11,"")</f>
        <v/>
      </c>
      <c r="G1175" s="40" t="n"/>
      <c r="H1175" s="41" t="n"/>
      <c r="I1175" s="42">
        <f>IF($H1175="","",MAX(0,$H1175-N($E1175)))</f>
        <v/>
      </c>
      <c r="J1175" s="42">
        <f>IF($H1175="","",MAX(0,$H1175-N($G1175)))</f>
        <v/>
      </c>
    </row>
    <row r="1176" ht="19.5" customHeight="1" s="72">
      <c r="A1176" s="38" t="inlineStr">
        <is>
          <t>JuvenilF-SEM-P03-SBA</t>
        </is>
      </c>
      <c r="B1176" s="38" t="inlineStr">
        <is>
          <t>Semifinal</t>
        </is>
      </c>
      <c r="C1176" s="38" t="inlineStr">
        <is>
          <t>São Bento da Abadá</t>
        </is>
      </c>
      <c r="D1176" s="39">
        <f>IFERROR(CLASIF_Juvenil_F!$O$7,"")</f>
        <v/>
      </c>
      <c r="E1176" s="40" t="n"/>
      <c r="F1176" s="39">
        <f>IFERROR(CLASIF_Juvenil_F!$O$10,"")</f>
        <v/>
      </c>
      <c r="G1176" s="40" t="n"/>
      <c r="H1176" s="41" t="n"/>
      <c r="I1176" s="42">
        <f>IF($H1176="","",MAX(0,$H1176-N($E1176)))</f>
        <v/>
      </c>
      <c r="J1176" s="42">
        <f>IF($H1176="","",MAX(0,$H1176-N($G1176)))</f>
        <v/>
      </c>
    </row>
    <row r="1177" ht="19.5" customHeight="1" s="72">
      <c r="A1177" s="38" t="inlineStr">
        <is>
          <t>JuvenilF-SEM-P03-BEN</t>
        </is>
      </c>
      <c r="B1177" s="38" t="inlineStr">
        <is>
          <t>Semifinal</t>
        </is>
      </c>
      <c r="C1177" s="38" t="inlineStr">
        <is>
          <t>Benguela</t>
        </is>
      </c>
      <c r="D1177" s="39">
        <f>IFERROR(CLASIF_Juvenil_F!$O$7,"")</f>
        <v/>
      </c>
      <c r="E1177" s="40" t="n"/>
      <c r="F1177" s="39">
        <f>IFERROR(CLASIF_Juvenil_F!$O$10,"")</f>
        <v/>
      </c>
      <c r="G1177" s="40" t="n"/>
      <c r="H1177" s="41" t="n"/>
      <c r="I1177" s="42">
        <f>IF($H1177="","",MAX(0,$H1177-N($E1177)))</f>
        <v/>
      </c>
      <c r="J1177" s="42">
        <f>IF($H1177="","",MAX(0,$H1177-N($G1177)))</f>
        <v/>
      </c>
    </row>
    <row r="1178" ht="19.5" customHeight="1" s="72">
      <c r="A1178" s="38" t="inlineStr">
        <is>
          <t>JuvenilF-SEM-P04-SBA</t>
        </is>
      </c>
      <c r="B1178" s="38" t="inlineStr">
        <is>
          <t>Semifinal</t>
        </is>
      </c>
      <c r="C1178" s="38" t="inlineStr">
        <is>
          <t>São Bento da Abadá</t>
        </is>
      </c>
      <c r="D1178" s="39">
        <f>IFERROR(CLASIF_Juvenil_F!$O$8,"")</f>
        <v/>
      </c>
      <c r="E1178" s="40" t="n"/>
      <c r="F1178" s="39">
        <f>IFERROR(CLASIF_Juvenil_F!$O$9,"")</f>
        <v/>
      </c>
      <c r="G1178" s="40" t="n"/>
      <c r="H1178" s="41" t="n"/>
      <c r="I1178" s="42">
        <f>IF($H1178="","",MAX(0,$H1178-N($E1178)))</f>
        <v/>
      </c>
      <c r="J1178" s="42">
        <f>IF($H1178="","",MAX(0,$H1178-N($G1178)))</f>
        <v/>
      </c>
    </row>
    <row r="1179" ht="19.5" customHeight="1" s="72">
      <c r="A1179" s="38" t="inlineStr">
        <is>
          <t>JuvenilF-SEM-P04-BEN</t>
        </is>
      </c>
      <c r="B1179" s="38" t="inlineStr">
        <is>
          <t>Semifinal</t>
        </is>
      </c>
      <c r="C1179" s="38" t="inlineStr">
        <is>
          <t>Benguela</t>
        </is>
      </c>
      <c r="D1179" s="39">
        <f>IFERROR(CLASIF_Juvenil_F!$O$8,"")</f>
        <v/>
      </c>
      <c r="E1179" s="40" t="n"/>
      <c r="F1179" s="39">
        <f>IFERROR(CLASIF_Juvenil_F!$O$9,"")</f>
        <v/>
      </c>
      <c r="G1179" s="40" t="n"/>
      <c r="H1179" s="41" t="n"/>
      <c r="I1179" s="42">
        <f>IF($H1179="","",MAX(0,$H1179-N($E1179)))</f>
        <v/>
      </c>
      <c r="J1179" s="42">
        <f>IF($H1179="","",MAX(0,$H1179-N($G1179)))</f>
        <v/>
      </c>
    </row>
    <row r="1180" ht="19.5" customHeight="1" s="72">
      <c r="A1180" s="38" t="inlineStr">
        <is>
          <t>JuvenilF-FIN-P01-SBA</t>
        </is>
      </c>
      <c r="B1180" s="38" t="inlineStr">
        <is>
          <t>Final</t>
        </is>
      </c>
      <c r="C1180" s="38" t="inlineStr">
        <is>
          <t>São Bento da Abadá</t>
        </is>
      </c>
      <c r="D1180" s="39">
        <f>IFERROR(CLASIF_Juvenil_F!$X$5,"")</f>
        <v/>
      </c>
      <c r="E1180" s="40" t="n"/>
      <c r="F1180" s="39">
        <f>IFERROR(CLASIF_Juvenil_F!$X$8,"")</f>
        <v/>
      </c>
      <c r="G1180" s="40" t="n"/>
      <c r="H1180" s="41" t="n"/>
      <c r="I1180" s="42">
        <f>IF($H1180="","",MAX(0,$H1180-N($E1180)))</f>
        <v/>
      </c>
      <c r="J1180" s="42">
        <f>IF($H1180="","",MAX(0,$H1180-N($G1180)))</f>
        <v/>
      </c>
    </row>
    <row r="1181" ht="19.5" customHeight="1" s="72">
      <c r="A1181" s="38" t="inlineStr">
        <is>
          <t>JuvenilF-FIN-P01-BEN</t>
        </is>
      </c>
      <c r="B1181" s="38" t="inlineStr">
        <is>
          <t>Final</t>
        </is>
      </c>
      <c r="C1181" s="38" t="inlineStr">
        <is>
          <t>Benguela</t>
        </is>
      </c>
      <c r="D1181" s="39">
        <f>IFERROR(CLASIF_Juvenil_F!$X$5,"")</f>
        <v/>
      </c>
      <c r="E1181" s="40" t="n"/>
      <c r="F1181" s="39">
        <f>IFERROR(CLASIF_Juvenil_F!$X$8,"")</f>
        <v/>
      </c>
      <c r="G1181" s="40" t="n"/>
      <c r="H1181" s="41" t="n"/>
      <c r="I1181" s="42">
        <f>IF($H1181="","",MAX(0,$H1181-N($E1181)))</f>
        <v/>
      </c>
      <c r="J1181" s="42">
        <f>IF($H1181="","",MAX(0,$H1181-N($G1181)))</f>
        <v/>
      </c>
    </row>
    <row r="1182" ht="19.5" customHeight="1" s="72">
      <c r="A1182" s="38" t="inlineStr">
        <is>
          <t>JuvenilF-FIN-P02-SBA</t>
        </is>
      </c>
      <c r="B1182" s="38" t="inlineStr">
        <is>
          <t>Final</t>
        </is>
      </c>
      <c r="C1182" s="38" t="inlineStr">
        <is>
          <t>São Bento da Abadá</t>
        </is>
      </c>
      <c r="D1182" s="39">
        <f>IFERROR(CLASIF_Juvenil_F!$X$6,"")</f>
        <v/>
      </c>
      <c r="E1182" s="40" t="n"/>
      <c r="F1182" s="39">
        <f>IFERROR(CLASIF_Juvenil_F!$X$7,"")</f>
        <v/>
      </c>
      <c r="G1182" s="40" t="n"/>
      <c r="H1182" s="41" t="n"/>
      <c r="I1182" s="42">
        <f>IF($H1182="","",MAX(0,$H1182-N($E1182)))</f>
        <v/>
      </c>
      <c r="J1182" s="42">
        <f>IF($H1182="","",MAX(0,$H1182-N($G1182)))</f>
        <v/>
      </c>
    </row>
    <row r="1183" ht="19.5" customHeight="1" s="72">
      <c r="A1183" s="38" t="inlineStr">
        <is>
          <t>JuvenilF-FIN-P02-BEN</t>
        </is>
      </c>
      <c r="B1183" s="38" t="inlineStr">
        <is>
          <t>Final</t>
        </is>
      </c>
      <c r="C1183" s="38" t="inlineStr">
        <is>
          <t>Benguela</t>
        </is>
      </c>
      <c r="D1183" s="39">
        <f>IFERROR(CLASIF_Juvenil_F!$X$6,"")</f>
        <v/>
      </c>
      <c r="E1183" s="40" t="n"/>
      <c r="F1183" s="39">
        <f>IFERROR(CLASIF_Juvenil_F!$X$7,"")</f>
        <v/>
      </c>
      <c r="G1183" s="40" t="n"/>
      <c r="H1183" s="41" t="n"/>
      <c r="I1183" s="42">
        <f>IF($H1183="","",MAX(0,$H1183-N($E1183)))</f>
        <v/>
      </c>
      <c r="J1183" s="42">
        <f>IF($H1183="","",MAX(0,$H1183-N($G1183)))</f>
        <v/>
      </c>
    </row>
    <row r="1184" ht="19.5" customHeight="1" s="72">
      <c r="A1184" s="43" t="n"/>
      <c r="B1184" s="43" t="n"/>
      <c r="C1184" s="43" t="n"/>
      <c r="D1184" s="43" t="n"/>
      <c r="E1184" s="43" t="n"/>
      <c r="F1184" s="43" t="n"/>
      <c r="G1184" s="43" t="n"/>
      <c r="H1184" s="44" t="n"/>
      <c r="I1184" s="43">
        <f>IF($H1184="","",MAX(0,$H1184-N($E1184)))</f>
        <v/>
      </c>
      <c r="J1184" s="43">
        <f>IF($H1184="","",MAX(0,$H1184-N($G1184)))</f>
        <v/>
      </c>
    </row>
    <row r="1185" ht="19.5" customHeight="1" s="72">
      <c r="A1185" s="87" t="inlineStr">
        <is>
          <t>═══ CATEGORÍA General · Masculino · Todas · Toques: Benguela, São Bento da Abadá, Siriuna ═══</t>
        </is>
      </c>
    </row>
    <row r="1186" ht="19.5" customHeight="1" s="72">
      <c r="A1186" s="8" t="inlineStr">
        <is>
          <t>Jogo</t>
        </is>
      </c>
      <c r="B1186" s="8" t="inlineStr">
        <is>
          <t>Fase</t>
        </is>
      </c>
      <c r="C1186" s="8" t="inlineStr">
        <is>
          <t>Toque</t>
        </is>
      </c>
      <c r="D1186" s="8" t="inlineStr">
        <is>
          <t>Jugador A</t>
        </is>
      </c>
      <c r="E1186" s="8" t="inlineStr">
        <is>
          <t>Quita A</t>
        </is>
      </c>
      <c r="F1186" s="8" t="inlineStr">
        <is>
          <t>Jugador B</t>
        </is>
      </c>
      <c r="G1186" s="8" t="inlineStr">
        <is>
          <t>Quita B</t>
        </is>
      </c>
      <c r="H1186" s="8" t="inlineStr">
        <is>
          <t>NOTA (0-5)</t>
        </is>
      </c>
      <c r="I1186" s="8">
        <f>IF($H1186="","",MAX(0,$H1186-N($E1186)))</f>
        <v/>
      </c>
      <c r="J1186" s="8">
        <f>IF($H1186="","",MAX(0,$H1186-N($G1186)))</f>
        <v/>
      </c>
    </row>
    <row r="1187" ht="19.5" customHeight="1" s="72">
      <c r="A1187" s="38" t="inlineStr">
        <is>
          <t>GeneralM-32-P01-BEN</t>
        </is>
      </c>
      <c r="B1187" s="38" t="inlineStr">
        <is>
          <t>Fase 32</t>
        </is>
      </c>
      <c r="C1187" s="38" t="inlineStr">
        <is>
          <t>Benguela</t>
        </is>
      </c>
      <c r="D1187" s="39" t="inlineStr">
        <is>
          <t>A_General_M_32_P1</t>
        </is>
      </c>
      <c r="E1187" s="40" t="n"/>
      <c r="F1187" s="39" t="inlineStr">
        <is>
          <t>B_General_M_32_P1</t>
        </is>
      </c>
      <c r="G1187" s="40" t="n"/>
      <c r="H1187" s="41" t="n"/>
      <c r="I1187" s="42">
        <f>IF($H1187="","",MAX(0,$H1187-N($E1187)))</f>
        <v/>
      </c>
      <c r="J1187" s="42">
        <f>IF($H1187="","",MAX(0,$H1187-N($G1187)))</f>
        <v/>
      </c>
    </row>
    <row r="1188" ht="19.5" customHeight="1" s="72">
      <c r="A1188" s="38" t="inlineStr">
        <is>
          <t>GeneralM-32-P01-SBA</t>
        </is>
      </c>
      <c r="B1188" s="38" t="inlineStr">
        <is>
          <t>Fase 32</t>
        </is>
      </c>
      <c r="C1188" s="38" t="inlineStr">
        <is>
          <t>São Bento da Abadá</t>
        </is>
      </c>
      <c r="D1188" s="39" t="inlineStr">
        <is>
          <t>A_General_M_32_P1</t>
        </is>
      </c>
      <c r="E1188" s="40" t="n"/>
      <c r="F1188" s="39" t="inlineStr">
        <is>
          <t>B_General_M_32_P1</t>
        </is>
      </c>
      <c r="G1188" s="40" t="n"/>
      <c r="H1188" s="41" t="n"/>
      <c r="I1188" s="42">
        <f>IF($H1188="","",MAX(0,$H1188-N($E1188)))</f>
        <v/>
      </c>
      <c r="J1188" s="42">
        <f>IF($H1188="","",MAX(0,$H1188-N($G1188)))</f>
        <v/>
      </c>
    </row>
    <row r="1189" ht="19.5" customHeight="1" s="72">
      <c r="A1189" s="38" t="inlineStr">
        <is>
          <t>GeneralM-32-P01-SIR</t>
        </is>
      </c>
      <c r="B1189" s="38" t="inlineStr">
        <is>
          <t>Fase 32</t>
        </is>
      </c>
      <c r="C1189" s="38" t="inlineStr">
        <is>
          <t>Siriuna</t>
        </is>
      </c>
      <c r="D1189" s="39" t="inlineStr">
        <is>
          <t>A_General_M_32_P1</t>
        </is>
      </c>
      <c r="E1189" s="40" t="n"/>
      <c r="F1189" s="39" t="inlineStr">
        <is>
          <t>B_General_M_32_P1</t>
        </is>
      </c>
      <c r="G1189" s="40" t="n"/>
      <c r="H1189" s="41" t="n"/>
      <c r="I1189" s="42">
        <f>IF($H1189="","",MAX(0,$H1189-N($E1189)))</f>
        <v/>
      </c>
      <c r="J1189" s="42">
        <f>IF($H1189="","",MAX(0,$H1189-N($G1189)))</f>
        <v/>
      </c>
    </row>
    <row r="1190" ht="19.5" customHeight="1" s="72">
      <c r="A1190" s="38" t="inlineStr">
        <is>
          <t>GeneralM-32-P02-BEN</t>
        </is>
      </c>
      <c r="B1190" s="38" t="inlineStr">
        <is>
          <t>Fase 32</t>
        </is>
      </c>
      <c r="C1190" s="38" t="inlineStr">
        <is>
          <t>Benguela</t>
        </is>
      </c>
      <c r="D1190" s="39" t="inlineStr">
        <is>
          <t>A_General_M_32_P2</t>
        </is>
      </c>
      <c r="E1190" s="40" t="n"/>
      <c r="F1190" s="39" t="inlineStr">
        <is>
          <t>B_General_M_32_P2</t>
        </is>
      </c>
      <c r="G1190" s="40" t="n"/>
      <c r="H1190" s="41" t="n"/>
      <c r="I1190" s="42">
        <f>IF($H1190="","",MAX(0,$H1190-N($E1190)))</f>
        <v/>
      </c>
      <c r="J1190" s="42">
        <f>IF($H1190="","",MAX(0,$H1190-N($G1190)))</f>
        <v/>
      </c>
    </row>
    <row r="1191" ht="19.5" customHeight="1" s="72">
      <c r="A1191" s="38" t="inlineStr">
        <is>
          <t>GeneralM-32-P02-SBA</t>
        </is>
      </c>
      <c r="B1191" s="38" t="inlineStr">
        <is>
          <t>Fase 32</t>
        </is>
      </c>
      <c r="C1191" s="38" t="inlineStr">
        <is>
          <t>São Bento da Abadá</t>
        </is>
      </c>
      <c r="D1191" s="39" t="inlineStr">
        <is>
          <t>A_General_M_32_P2</t>
        </is>
      </c>
      <c r="E1191" s="40" t="n"/>
      <c r="F1191" s="39" t="inlineStr">
        <is>
          <t>B_General_M_32_P2</t>
        </is>
      </c>
      <c r="G1191" s="40" t="n"/>
      <c r="H1191" s="41" t="n"/>
      <c r="I1191" s="42">
        <f>IF($H1191="","",MAX(0,$H1191-N($E1191)))</f>
        <v/>
      </c>
      <c r="J1191" s="42">
        <f>IF($H1191="","",MAX(0,$H1191-N($G1191)))</f>
        <v/>
      </c>
    </row>
    <row r="1192" ht="19.5" customHeight="1" s="72">
      <c r="A1192" s="38" t="inlineStr">
        <is>
          <t>GeneralM-32-P02-SIR</t>
        </is>
      </c>
      <c r="B1192" s="38" t="inlineStr">
        <is>
          <t>Fase 32</t>
        </is>
      </c>
      <c r="C1192" s="38" t="inlineStr">
        <is>
          <t>Siriuna</t>
        </is>
      </c>
      <c r="D1192" s="39" t="inlineStr">
        <is>
          <t>A_General_M_32_P2</t>
        </is>
      </c>
      <c r="E1192" s="40" t="n"/>
      <c r="F1192" s="39" t="inlineStr">
        <is>
          <t>B_General_M_32_P2</t>
        </is>
      </c>
      <c r="G1192" s="40" t="n"/>
      <c r="H1192" s="41" t="n"/>
      <c r="I1192" s="42">
        <f>IF($H1192="","",MAX(0,$H1192-N($E1192)))</f>
        <v/>
      </c>
      <c r="J1192" s="42">
        <f>IF($H1192="","",MAX(0,$H1192-N($G1192)))</f>
        <v/>
      </c>
    </row>
    <row r="1193" ht="19.5" customHeight="1" s="72">
      <c r="A1193" s="38" t="inlineStr">
        <is>
          <t>GeneralM-32-P03-BEN</t>
        </is>
      </c>
      <c r="B1193" s="38" t="inlineStr">
        <is>
          <t>Fase 32</t>
        </is>
      </c>
      <c r="C1193" s="38" t="inlineStr">
        <is>
          <t>Benguela</t>
        </is>
      </c>
      <c r="D1193" s="39" t="inlineStr">
        <is>
          <t>A_General_M_32_P3</t>
        </is>
      </c>
      <c r="E1193" s="40" t="n"/>
      <c r="F1193" s="39" t="inlineStr">
        <is>
          <t>B_General_M_32_P3</t>
        </is>
      </c>
      <c r="G1193" s="40" t="n"/>
      <c r="H1193" s="41" t="n"/>
      <c r="I1193" s="42">
        <f>IF($H1193="","",MAX(0,$H1193-N($E1193)))</f>
        <v/>
      </c>
      <c r="J1193" s="42">
        <f>IF($H1193="","",MAX(0,$H1193-N($G1193)))</f>
        <v/>
      </c>
    </row>
    <row r="1194" ht="19.5" customHeight="1" s="72">
      <c r="A1194" s="38" t="inlineStr">
        <is>
          <t>GeneralM-32-P03-SBA</t>
        </is>
      </c>
      <c r="B1194" s="38" t="inlineStr">
        <is>
          <t>Fase 32</t>
        </is>
      </c>
      <c r="C1194" s="38" t="inlineStr">
        <is>
          <t>São Bento da Abadá</t>
        </is>
      </c>
      <c r="D1194" s="39" t="inlineStr">
        <is>
          <t>A_General_M_32_P3</t>
        </is>
      </c>
      <c r="E1194" s="40" t="n"/>
      <c r="F1194" s="39" t="inlineStr">
        <is>
          <t>B_General_M_32_P3</t>
        </is>
      </c>
      <c r="G1194" s="40" t="n"/>
      <c r="H1194" s="41" t="n"/>
      <c r="I1194" s="42">
        <f>IF($H1194="","",MAX(0,$H1194-N($E1194)))</f>
        <v/>
      </c>
      <c r="J1194" s="42">
        <f>IF($H1194="","",MAX(0,$H1194-N($G1194)))</f>
        <v/>
      </c>
    </row>
    <row r="1195" ht="19.5" customHeight="1" s="72">
      <c r="A1195" s="38" t="inlineStr">
        <is>
          <t>GeneralM-32-P03-SIR</t>
        </is>
      </c>
      <c r="B1195" s="38" t="inlineStr">
        <is>
          <t>Fase 32</t>
        </is>
      </c>
      <c r="C1195" s="38" t="inlineStr">
        <is>
          <t>Siriuna</t>
        </is>
      </c>
      <c r="D1195" s="39" t="inlineStr">
        <is>
          <t>A_General_M_32_P3</t>
        </is>
      </c>
      <c r="E1195" s="40" t="n"/>
      <c r="F1195" s="39" t="inlineStr">
        <is>
          <t>B_General_M_32_P3</t>
        </is>
      </c>
      <c r="G1195" s="40" t="n"/>
      <c r="H1195" s="41" t="n"/>
      <c r="I1195" s="42">
        <f>IF($H1195="","",MAX(0,$H1195-N($E1195)))</f>
        <v/>
      </c>
      <c r="J1195" s="42">
        <f>IF($H1195="","",MAX(0,$H1195-N($G1195)))</f>
        <v/>
      </c>
    </row>
    <row r="1196" ht="19.5" customHeight="1" s="72">
      <c r="A1196" s="38" t="inlineStr">
        <is>
          <t>GeneralM-32-P04-BEN</t>
        </is>
      </c>
      <c r="B1196" s="38" t="inlineStr">
        <is>
          <t>Fase 32</t>
        </is>
      </c>
      <c r="C1196" s="38" t="inlineStr">
        <is>
          <t>Benguela</t>
        </is>
      </c>
      <c r="D1196" s="39" t="inlineStr">
        <is>
          <t>A_General_M_32_P4</t>
        </is>
      </c>
      <c r="E1196" s="40" t="n"/>
      <c r="F1196" s="39" t="inlineStr">
        <is>
          <t>B_General_M_32_P4</t>
        </is>
      </c>
      <c r="G1196" s="40" t="n"/>
      <c r="H1196" s="41" t="n"/>
      <c r="I1196" s="42">
        <f>IF($H1196="","",MAX(0,$H1196-N($E1196)))</f>
        <v/>
      </c>
      <c r="J1196" s="42">
        <f>IF($H1196="","",MAX(0,$H1196-N($G1196)))</f>
        <v/>
      </c>
    </row>
    <row r="1197" ht="19.5" customHeight="1" s="72">
      <c r="A1197" s="38" t="inlineStr">
        <is>
          <t>GeneralM-32-P04-SBA</t>
        </is>
      </c>
      <c r="B1197" s="38" t="inlineStr">
        <is>
          <t>Fase 32</t>
        </is>
      </c>
      <c r="C1197" s="38" t="inlineStr">
        <is>
          <t>São Bento da Abadá</t>
        </is>
      </c>
      <c r="D1197" s="39" t="inlineStr">
        <is>
          <t>A_General_M_32_P4</t>
        </is>
      </c>
      <c r="E1197" s="40" t="n"/>
      <c r="F1197" s="39" t="inlineStr">
        <is>
          <t>B_General_M_32_P4</t>
        </is>
      </c>
      <c r="G1197" s="40" t="n"/>
      <c r="H1197" s="41" t="n"/>
      <c r="I1197" s="42">
        <f>IF($H1197="","",MAX(0,$H1197-N($E1197)))</f>
        <v/>
      </c>
      <c r="J1197" s="42">
        <f>IF($H1197="","",MAX(0,$H1197-N($G1197)))</f>
        <v/>
      </c>
    </row>
    <row r="1198" ht="19.5" customHeight="1" s="72">
      <c r="A1198" s="38" t="inlineStr">
        <is>
          <t>GeneralM-32-P04-SIR</t>
        </is>
      </c>
      <c r="B1198" s="38" t="inlineStr">
        <is>
          <t>Fase 32</t>
        </is>
      </c>
      <c r="C1198" s="38" t="inlineStr">
        <is>
          <t>Siriuna</t>
        </is>
      </c>
      <c r="D1198" s="39" t="inlineStr">
        <is>
          <t>A_General_M_32_P4</t>
        </is>
      </c>
      <c r="E1198" s="40" t="n"/>
      <c r="F1198" s="39" t="inlineStr">
        <is>
          <t>B_General_M_32_P4</t>
        </is>
      </c>
      <c r="G1198" s="40" t="n"/>
      <c r="H1198" s="41" t="n"/>
      <c r="I1198" s="42">
        <f>IF($H1198="","",MAX(0,$H1198-N($E1198)))</f>
        <v/>
      </c>
      <c r="J1198" s="42">
        <f>IF($H1198="","",MAX(0,$H1198-N($G1198)))</f>
        <v/>
      </c>
    </row>
    <row r="1199" ht="19.5" customHeight="1" s="72">
      <c r="A1199" s="38" t="inlineStr">
        <is>
          <t>GeneralM-32-P05-BEN</t>
        </is>
      </c>
      <c r="B1199" s="38" t="inlineStr">
        <is>
          <t>Fase 32</t>
        </is>
      </c>
      <c r="C1199" s="38" t="inlineStr">
        <is>
          <t>Benguela</t>
        </is>
      </c>
      <c r="D1199" s="39" t="inlineStr">
        <is>
          <t>A_General_M_32_P5</t>
        </is>
      </c>
      <c r="E1199" s="40" t="n"/>
      <c r="F1199" s="39" t="inlineStr">
        <is>
          <t>B_General_M_32_P5</t>
        </is>
      </c>
      <c r="G1199" s="40" t="n"/>
      <c r="H1199" s="41" t="n"/>
      <c r="I1199" s="42">
        <f>IF($H1199="","",MAX(0,$H1199-N($E1199)))</f>
        <v/>
      </c>
      <c r="J1199" s="42">
        <f>IF($H1199="","",MAX(0,$H1199-N($G1199)))</f>
        <v/>
      </c>
    </row>
    <row r="1200" ht="19.5" customHeight="1" s="72">
      <c r="A1200" s="38" t="inlineStr">
        <is>
          <t>GeneralM-32-P05-SBA</t>
        </is>
      </c>
      <c r="B1200" s="38" t="inlineStr">
        <is>
          <t>Fase 32</t>
        </is>
      </c>
      <c r="C1200" s="38" t="inlineStr">
        <is>
          <t>São Bento da Abadá</t>
        </is>
      </c>
      <c r="D1200" s="39" t="inlineStr">
        <is>
          <t>A_General_M_32_P5</t>
        </is>
      </c>
      <c r="E1200" s="40" t="n"/>
      <c r="F1200" s="39" t="inlineStr">
        <is>
          <t>B_General_M_32_P5</t>
        </is>
      </c>
      <c r="G1200" s="40" t="n"/>
      <c r="H1200" s="41" t="n"/>
      <c r="I1200" s="42">
        <f>IF($H1200="","",MAX(0,$H1200-N($E1200)))</f>
        <v/>
      </c>
      <c r="J1200" s="42">
        <f>IF($H1200="","",MAX(0,$H1200-N($G1200)))</f>
        <v/>
      </c>
    </row>
    <row r="1201" ht="19.5" customHeight="1" s="72">
      <c r="A1201" s="38" t="inlineStr">
        <is>
          <t>GeneralM-32-P05-SIR</t>
        </is>
      </c>
      <c r="B1201" s="38" t="inlineStr">
        <is>
          <t>Fase 32</t>
        </is>
      </c>
      <c r="C1201" s="38" t="inlineStr">
        <is>
          <t>Siriuna</t>
        </is>
      </c>
      <c r="D1201" s="39" t="inlineStr">
        <is>
          <t>A_General_M_32_P5</t>
        </is>
      </c>
      <c r="E1201" s="40" t="n"/>
      <c r="F1201" s="39" t="inlineStr">
        <is>
          <t>B_General_M_32_P5</t>
        </is>
      </c>
      <c r="G1201" s="40" t="n"/>
      <c r="H1201" s="41" t="n"/>
      <c r="I1201" s="42">
        <f>IF($H1201="","",MAX(0,$H1201-N($E1201)))</f>
        <v/>
      </c>
      <c r="J1201" s="42">
        <f>IF($H1201="","",MAX(0,$H1201-N($G1201)))</f>
        <v/>
      </c>
    </row>
    <row r="1202" ht="19.5" customHeight="1" s="72">
      <c r="A1202" s="38" t="inlineStr">
        <is>
          <t>GeneralM-32-P06-BEN</t>
        </is>
      </c>
      <c r="B1202" s="38" t="inlineStr">
        <is>
          <t>Fase 32</t>
        </is>
      </c>
      <c r="C1202" s="38" t="inlineStr">
        <is>
          <t>Benguela</t>
        </is>
      </c>
      <c r="D1202" s="39" t="inlineStr">
        <is>
          <t>A_General_M_32_P6</t>
        </is>
      </c>
      <c r="E1202" s="40" t="n"/>
      <c r="F1202" s="39" t="inlineStr">
        <is>
          <t>B_General_M_32_P6</t>
        </is>
      </c>
      <c r="G1202" s="40" t="n"/>
      <c r="H1202" s="41" t="n"/>
      <c r="I1202" s="42">
        <f>IF($H1202="","",MAX(0,$H1202-N($E1202)))</f>
        <v/>
      </c>
      <c r="J1202" s="42">
        <f>IF($H1202="","",MAX(0,$H1202-N($G1202)))</f>
        <v/>
      </c>
    </row>
    <row r="1203" ht="19.5" customHeight="1" s="72">
      <c r="A1203" s="38" t="inlineStr">
        <is>
          <t>GeneralM-32-P06-SBA</t>
        </is>
      </c>
      <c r="B1203" s="38" t="inlineStr">
        <is>
          <t>Fase 32</t>
        </is>
      </c>
      <c r="C1203" s="38" t="inlineStr">
        <is>
          <t>São Bento da Abadá</t>
        </is>
      </c>
      <c r="D1203" s="39" t="inlineStr">
        <is>
          <t>A_General_M_32_P6</t>
        </is>
      </c>
      <c r="E1203" s="40" t="n"/>
      <c r="F1203" s="39" t="inlineStr">
        <is>
          <t>B_General_M_32_P6</t>
        </is>
      </c>
      <c r="G1203" s="40" t="n"/>
      <c r="H1203" s="41" t="n"/>
      <c r="I1203" s="42">
        <f>IF($H1203="","",MAX(0,$H1203-N($E1203)))</f>
        <v/>
      </c>
      <c r="J1203" s="42">
        <f>IF($H1203="","",MAX(0,$H1203-N($G1203)))</f>
        <v/>
      </c>
    </row>
    <row r="1204" ht="19.5" customHeight="1" s="72">
      <c r="A1204" s="38" t="inlineStr">
        <is>
          <t>GeneralM-32-P06-SIR</t>
        </is>
      </c>
      <c r="B1204" s="38" t="inlineStr">
        <is>
          <t>Fase 32</t>
        </is>
      </c>
      <c r="C1204" s="38" t="inlineStr">
        <is>
          <t>Siriuna</t>
        </is>
      </c>
      <c r="D1204" s="39" t="inlineStr">
        <is>
          <t>A_General_M_32_P6</t>
        </is>
      </c>
      <c r="E1204" s="40" t="n"/>
      <c r="F1204" s="39" t="inlineStr">
        <is>
          <t>B_General_M_32_P6</t>
        </is>
      </c>
      <c r="G1204" s="40" t="n"/>
      <c r="H1204" s="41" t="n"/>
      <c r="I1204" s="42">
        <f>IF($H1204="","",MAX(0,$H1204-N($E1204)))</f>
        <v/>
      </c>
      <c r="J1204" s="42">
        <f>IF($H1204="","",MAX(0,$H1204-N($G1204)))</f>
        <v/>
      </c>
    </row>
    <row r="1205" ht="19.5" customHeight="1" s="72">
      <c r="A1205" s="38" t="inlineStr">
        <is>
          <t>GeneralM-32-P07-BEN</t>
        </is>
      </c>
      <c r="B1205" s="38" t="inlineStr">
        <is>
          <t>Fase 32</t>
        </is>
      </c>
      <c r="C1205" s="38" t="inlineStr">
        <is>
          <t>Benguela</t>
        </is>
      </c>
      <c r="D1205" s="39" t="inlineStr">
        <is>
          <t>A_General_M_32_P7</t>
        </is>
      </c>
      <c r="E1205" s="40" t="n"/>
      <c r="F1205" s="39" t="inlineStr">
        <is>
          <t>B_General_M_32_P7</t>
        </is>
      </c>
      <c r="G1205" s="40" t="n"/>
      <c r="H1205" s="41" t="n"/>
      <c r="I1205" s="42">
        <f>IF($H1205="","",MAX(0,$H1205-N($E1205)))</f>
        <v/>
      </c>
      <c r="J1205" s="42">
        <f>IF($H1205="","",MAX(0,$H1205-N($G1205)))</f>
        <v/>
      </c>
    </row>
    <row r="1206" ht="19.5" customHeight="1" s="72">
      <c r="A1206" s="38" t="inlineStr">
        <is>
          <t>GeneralM-32-P07-SBA</t>
        </is>
      </c>
      <c r="B1206" s="38" t="inlineStr">
        <is>
          <t>Fase 32</t>
        </is>
      </c>
      <c r="C1206" s="38" t="inlineStr">
        <is>
          <t>São Bento da Abadá</t>
        </is>
      </c>
      <c r="D1206" s="39" t="inlineStr">
        <is>
          <t>A_General_M_32_P7</t>
        </is>
      </c>
      <c r="E1206" s="40" t="n"/>
      <c r="F1206" s="39" t="inlineStr">
        <is>
          <t>B_General_M_32_P7</t>
        </is>
      </c>
      <c r="G1206" s="40" t="n"/>
      <c r="H1206" s="41" t="n"/>
      <c r="I1206" s="42">
        <f>IF($H1206="","",MAX(0,$H1206-N($E1206)))</f>
        <v/>
      </c>
      <c r="J1206" s="42">
        <f>IF($H1206="","",MAX(0,$H1206-N($G1206)))</f>
        <v/>
      </c>
    </row>
    <row r="1207" ht="19.5" customHeight="1" s="72">
      <c r="A1207" s="38" t="inlineStr">
        <is>
          <t>GeneralM-32-P07-SIR</t>
        </is>
      </c>
      <c r="B1207" s="38" t="inlineStr">
        <is>
          <t>Fase 32</t>
        </is>
      </c>
      <c r="C1207" s="38" t="inlineStr">
        <is>
          <t>Siriuna</t>
        </is>
      </c>
      <c r="D1207" s="39" t="inlineStr">
        <is>
          <t>A_General_M_32_P7</t>
        </is>
      </c>
      <c r="E1207" s="40" t="n"/>
      <c r="F1207" s="39" t="inlineStr">
        <is>
          <t>B_General_M_32_P7</t>
        </is>
      </c>
      <c r="G1207" s="40" t="n"/>
      <c r="H1207" s="41" t="n"/>
      <c r="I1207" s="42">
        <f>IF($H1207="","",MAX(0,$H1207-N($E1207)))</f>
        <v/>
      </c>
      <c r="J1207" s="42">
        <f>IF($H1207="","",MAX(0,$H1207-N($G1207)))</f>
        <v/>
      </c>
    </row>
    <row r="1208" ht="19.5" customHeight="1" s="72">
      <c r="A1208" s="38" t="inlineStr">
        <is>
          <t>GeneralM-32-P08-BEN</t>
        </is>
      </c>
      <c r="B1208" s="38" t="inlineStr">
        <is>
          <t>Fase 32</t>
        </is>
      </c>
      <c r="C1208" s="38" t="inlineStr">
        <is>
          <t>Benguela</t>
        </is>
      </c>
      <c r="D1208" s="39" t="inlineStr">
        <is>
          <t>A_General_M_32_P8</t>
        </is>
      </c>
      <c r="E1208" s="40" t="n"/>
      <c r="F1208" s="39" t="inlineStr">
        <is>
          <t>B_General_M_32_P8</t>
        </is>
      </c>
      <c r="G1208" s="40" t="n"/>
      <c r="H1208" s="41" t="n"/>
      <c r="I1208" s="42">
        <f>IF($H1208="","",MAX(0,$H1208-N($E1208)))</f>
        <v/>
      </c>
      <c r="J1208" s="42">
        <f>IF($H1208="","",MAX(0,$H1208-N($G1208)))</f>
        <v/>
      </c>
    </row>
    <row r="1209" ht="19.5" customHeight="1" s="72">
      <c r="A1209" s="38" t="inlineStr">
        <is>
          <t>GeneralM-32-P08-SBA</t>
        </is>
      </c>
      <c r="B1209" s="38" t="inlineStr">
        <is>
          <t>Fase 32</t>
        </is>
      </c>
      <c r="C1209" s="38" t="inlineStr">
        <is>
          <t>São Bento da Abadá</t>
        </is>
      </c>
      <c r="D1209" s="39" t="inlineStr">
        <is>
          <t>A_General_M_32_P8</t>
        </is>
      </c>
      <c r="E1209" s="40" t="n"/>
      <c r="F1209" s="39" t="inlineStr">
        <is>
          <t>B_General_M_32_P8</t>
        </is>
      </c>
      <c r="G1209" s="40" t="n"/>
      <c r="H1209" s="41" t="n"/>
      <c r="I1209" s="42">
        <f>IF($H1209="","",MAX(0,$H1209-N($E1209)))</f>
        <v/>
      </c>
      <c r="J1209" s="42">
        <f>IF($H1209="","",MAX(0,$H1209-N($G1209)))</f>
        <v/>
      </c>
    </row>
    <row r="1210" ht="19.5" customHeight="1" s="72">
      <c r="A1210" s="38" t="inlineStr">
        <is>
          <t>GeneralM-32-P08-SIR</t>
        </is>
      </c>
      <c r="B1210" s="38" t="inlineStr">
        <is>
          <t>Fase 32</t>
        </is>
      </c>
      <c r="C1210" s="38" t="inlineStr">
        <is>
          <t>Siriuna</t>
        </is>
      </c>
      <c r="D1210" s="39" t="inlineStr">
        <is>
          <t>A_General_M_32_P8</t>
        </is>
      </c>
      <c r="E1210" s="40" t="n"/>
      <c r="F1210" s="39" t="inlineStr">
        <is>
          <t>B_General_M_32_P8</t>
        </is>
      </c>
      <c r="G1210" s="40" t="n"/>
      <c r="H1210" s="41" t="n"/>
      <c r="I1210" s="42">
        <f>IF($H1210="","",MAX(0,$H1210-N($E1210)))</f>
        <v/>
      </c>
      <c r="J1210" s="42">
        <f>IF($H1210="","",MAX(0,$H1210-N($G1210)))</f>
        <v/>
      </c>
    </row>
    <row r="1211" ht="19.5" customHeight="1" s="72">
      <c r="A1211" s="38" t="inlineStr">
        <is>
          <t>GeneralM-32-P09-BEN</t>
        </is>
      </c>
      <c r="B1211" s="38" t="inlineStr">
        <is>
          <t>Fase 32</t>
        </is>
      </c>
      <c r="C1211" s="38" t="inlineStr">
        <is>
          <t>Benguela</t>
        </is>
      </c>
      <c r="D1211" s="39" t="inlineStr">
        <is>
          <t>A_General_M_32_P9</t>
        </is>
      </c>
      <c r="E1211" s="40" t="n"/>
      <c r="F1211" s="39" t="inlineStr">
        <is>
          <t>B_General_M_32_P9</t>
        </is>
      </c>
      <c r="G1211" s="40" t="n"/>
      <c r="H1211" s="41" t="n"/>
      <c r="I1211" s="42">
        <f>IF($H1211="","",MAX(0,$H1211-N($E1211)))</f>
        <v/>
      </c>
      <c r="J1211" s="42">
        <f>IF($H1211="","",MAX(0,$H1211-N($G1211)))</f>
        <v/>
      </c>
    </row>
    <row r="1212" ht="19.5" customHeight="1" s="72">
      <c r="A1212" s="38" t="inlineStr">
        <is>
          <t>GeneralM-32-P09-SBA</t>
        </is>
      </c>
      <c r="B1212" s="38" t="inlineStr">
        <is>
          <t>Fase 32</t>
        </is>
      </c>
      <c r="C1212" s="38" t="inlineStr">
        <is>
          <t>São Bento da Abadá</t>
        </is>
      </c>
      <c r="D1212" s="39" t="inlineStr">
        <is>
          <t>A_General_M_32_P9</t>
        </is>
      </c>
      <c r="E1212" s="40" t="n"/>
      <c r="F1212" s="39" t="inlineStr">
        <is>
          <t>B_General_M_32_P9</t>
        </is>
      </c>
      <c r="G1212" s="40" t="n"/>
      <c r="H1212" s="41" t="n"/>
      <c r="I1212" s="42">
        <f>IF($H1212="","",MAX(0,$H1212-N($E1212)))</f>
        <v/>
      </c>
      <c r="J1212" s="42">
        <f>IF($H1212="","",MAX(0,$H1212-N($G1212)))</f>
        <v/>
      </c>
    </row>
    <row r="1213" ht="19.5" customHeight="1" s="72">
      <c r="A1213" s="38" t="inlineStr">
        <is>
          <t>GeneralM-32-P09-SIR</t>
        </is>
      </c>
      <c r="B1213" s="38" t="inlineStr">
        <is>
          <t>Fase 32</t>
        </is>
      </c>
      <c r="C1213" s="38" t="inlineStr">
        <is>
          <t>Siriuna</t>
        </is>
      </c>
      <c r="D1213" s="39" t="inlineStr">
        <is>
          <t>A_General_M_32_P9</t>
        </is>
      </c>
      <c r="E1213" s="40" t="n"/>
      <c r="F1213" s="39" t="inlineStr">
        <is>
          <t>B_General_M_32_P9</t>
        </is>
      </c>
      <c r="G1213" s="40" t="n"/>
      <c r="H1213" s="41" t="n"/>
      <c r="I1213" s="42">
        <f>IF($H1213="","",MAX(0,$H1213-N($E1213)))</f>
        <v/>
      </c>
      <c r="J1213" s="42">
        <f>IF($H1213="","",MAX(0,$H1213-N($G1213)))</f>
        <v/>
      </c>
    </row>
    <row r="1214" ht="19.5" customHeight="1" s="72">
      <c r="A1214" s="38" t="inlineStr">
        <is>
          <t>GeneralM-32-P10-BEN</t>
        </is>
      </c>
      <c r="B1214" s="38" t="inlineStr">
        <is>
          <t>Fase 32</t>
        </is>
      </c>
      <c r="C1214" s="38" t="inlineStr">
        <is>
          <t>Benguela</t>
        </is>
      </c>
      <c r="D1214" s="39" t="inlineStr">
        <is>
          <t>A_General_M_32_P10</t>
        </is>
      </c>
      <c r="E1214" s="40" t="n"/>
      <c r="F1214" s="39" t="inlineStr">
        <is>
          <t>B_General_M_32_P10</t>
        </is>
      </c>
      <c r="G1214" s="40" t="n"/>
      <c r="H1214" s="41" t="n"/>
      <c r="I1214" s="42">
        <f>IF($H1214="","",MAX(0,$H1214-N($E1214)))</f>
        <v/>
      </c>
      <c r="J1214" s="42">
        <f>IF($H1214="","",MAX(0,$H1214-N($G1214)))</f>
        <v/>
      </c>
    </row>
    <row r="1215" ht="19.5" customHeight="1" s="72">
      <c r="A1215" s="38" t="inlineStr">
        <is>
          <t>GeneralM-32-P10-SBA</t>
        </is>
      </c>
      <c r="B1215" s="38" t="inlineStr">
        <is>
          <t>Fase 32</t>
        </is>
      </c>
      <c r="C1215" s="38" t="inlineStr">
        <is>
          <t>São Bento da Abadá</t>
        </is>
      </c>
      <c r="D1215" s="39" t="inlineStr">
        <is>
          <t>A_General_M_32_P10</t>
        </is>
      </c>
      <c r="E1215" s="40" t="n"/>
      <c r="F1215" s="39" t="inlineStr">
        <is>
          <t>B_General_M_32_P10</t>
        </is>
      </c>
      <c r="G1215" s="40" t="n"/>
      <c r="H1215" s="41" t="n"/>
      <c r="I1215" s="42">
        <f>IF($H1215="","",MAX(0,$H1215-N($E1215)))</f>
        <v/>
      </c>
      <c r="J1215" s="42">
        <f>IF($H1215="","",MAX(0,$H1215-N($G1215)))</f>
        <v/>
      </c>
    </row>
    <row r="1216" ht="19.5" customHeight="1" s="72">
      <c r="A1216" s="38" t="inlineStr">
        <is>
          <t>GeneralM-32-P10-SIR</t>
        </is>
      </c>
      <c r="B1216" s="38" t="inlineStr">
        <is>
          <t>Fase 32</t>
        </is>
      </c>
      <c r="C1216" s="38" t="inlineStr">
        <is>
          <t>Siriuna</t>
        </is>
      </c>
      <c r="D1216" s="39" t="inlineStr">
        <is>
          <t>A_General_M_32_P10</t>
        </is>
      </c>
      <c r="E1216" s="40" t="n"/>
      <c r="F1216" s="39" t="inlineStr">
        <is>
          <t>B_General_M_32_P10</t>
        </is>
      </c>
      <c r="G1216" s="40" t="n"/>
      <c r="H1216" s="41" t="n"/>
      <c r="I1216" s="42">
        <f>IF($H1216="","",MAX(0,$H1216-N($E1216)))</f>
        <v/>
      </c>
      <c r="J1216" s="42">
        <f>IF($H1216="","",MAX(0,$H1216-N($G1216)))</f>
        <v/>
      </c>
    </row>
    <row r="1217" ht="19.5" customHeight="1" s="72">
      <c r="A1217" s="38" t="inlineStr">
        <is>
          <t>GeneralM-32-P11-BEN</t>
        </is>
      </c>
      <c r="B1217" s="38" t="inlineStr">
        <is>
          <t>Fase 32</t>
        </is>
      </c>
      <c r="C1217" s="38" t="inlineStr">
        <is>
          <t>Benguela</t>
        </is>
      </c>
      <c r="D1217" s="39" t="inlineStr">
        <is>
          <t>A_General_M_32_P11</t>
        </is>
      </c>
      <c r="E1217" s="40" t="n"/>
      <c r="F1217" s="39" t="inlineStr">
        <is>
          <t>B_General_M_32_P11</t>
        </is>
      </c>
      <c r="G1217" s="40" t="n"/>
      <c r="H1217" s="41" t="n"/>
      <c r="I1217" s="42">
        <f>IF($H1217="","",MAX(0,$H1217-N($E1217)))</f>
        <v/>
      </c>
      <c r="J1217" s="42">
        <f>IF($H1217="","",MAX(0,$H1217-N($G1217)))</f>
        <v/>
      </c>
    </row>
    <row r="1218" ht="19.5" customHeight="1" s="72">
      <c r="A1218" s="38" t="inlineStr">
        <is>
          <t>GeneralM-32-P11-SBA</t>
        </is>
      </c>
      <c r="B1218" s="38" t="inlineStr">
        <is>
          <t>Fase 32</t>
        </is>
      </c>
      <c r="C1218" s="38" t="inlineStr">
        <is>
          <t>São Bento da Abadá</t>
        </is>
      </c>
      <c r="D1218" s="39" t="inlineStr">
        <is>
          <t>A_General_M_32_P11</t>
        </is>
      </c>
      <c r="E1218" s="40" t="n"/>
      <c r="F1218" s="39" t="inlineStr">
        <is>
          <t>B_General_M_32_P11</t>
        </is>
      </c>
      <c r="G1218" s="40" t="n"/>
      <c r="H1218" s="41" t="n"/>
      <c r="I1218" s="42">
        <f>IF($H1218="","",MAX(0,$H1218-N($E1218)))</f>
        <v/>
      </c>
      <c r="J1218" s="42">
        <f>IF($H1218="","",MAX(0,$H1218-N($G1218)))</f>
        <v/>
      </c>
    </row>
    <row r="1219" ht="19.5" customHeight="1" s="72">
      <c r="A1219" s="38" t="inlineStr">
        <is>
          <t>GeneralM-32-P11-SIR</t>
        </is>
      </c>
      <c r="B1219" s="38" t="inlineStr">
        <is>
          <t>Fase 32</t>
        </is>
      </c>
      <c r="C1219" s="38" t="inlineStr">
        <is>
          <t>Siriuna</t>
        </is>
      </c>
      <c r="D1219" s="39" t="inlineStr">
        <is>
          <t>A_General_M_32_P11</t>
        </is>
      </c>
      <c r="E1219" s="40" t="n"/>
      <c r="F1219" s="39" t="inlineStr">
        <is>
          <t>B_General_M_32_P11</t>
        </is>
      </c>
      <c r="G1219" s="40" t="n"/>
      <c r="H1219" s="41" t="n"/>
      <c r="I1219" s="42">
        <f>IF($H1219="","",MAX(0,$H1219-N($E1219)))</f>
        <v/>
      </c>
      <c r="J1219" s="42">
        <f>IF($H1219="","",MAX(0,$H1219-N($G1219)))</f>
        <v/>
      </c>
    </row>
    <row r="1220" ht="19.5" customHeight="1" s="72">
      <c r="A1220" s="38" t="inlineStr">
        <is>
          <t>GeneralM-32-P12-BEN</t>
        </is>
      </c>
      <c r="B1220" s="38" t="inlineStr">
        <is>
          <t>Fase 32</t>
        </is>
      </c>
      <c r="C1220" s="38" t="inlineStr">
        <is>
          <t>Benguela</t>
        </is>
      </c>
      <c r="D1220" s="39" t="inlineStr">
        <is>
          <t>A_General_M_32_P12</t>
        </is>
      </c>
      <c r="E1220" s="40" t="n"/>
      <c r="F1220" s="39" t="inlineStr">
        <is>
          <t>B_General_M_32_P12</t>
        </is>
      </c>
      <c r="G1220" s="40" t="n"/>
      <c r="H1220" s="41" t="n"/>
      <c r="I1220" s="42">
        <f>IF($H1220="","",MAX(0,$H1220-N($E1220)))</f>
        <v/>
      </c>
      <c r="J1220" s="42">
        <f>IF($H1220="","",MAX(0,$H1220-N($G1220)))</f>
        <v/>
      </c>
    </row>
    <row r="1221" ht="19.5" customHeight="1" s="72">
      <c r="A1221" s="38" t="inlineStr">
        <is>
          <t>GeneralM-32-P12-SBA</t>
        </is>
      </c>
      <c r="B1221" s="38" t="inlineStr">
        <is>
          <t>Fase 32</t>
        </is>
      </c>
      <c r="C1221" s="38" t="inlineStr">
        <is>
          <t>São Bento da Abadá</t>
        </is>
      </c>
      <c r="D1221" s="39" t="inlineStr">
        <is>
          <t>A_General_M_32_P12</t>
        </is>
      </c>
      <c r="E1221" s="40" t="n"/>
      <c r="F1221" s="39" t="inlineStr">
        <is>
          <t>B_General_M_32_P12</t>
        </is>
      </c>
      <c r="G1221" s="40" t="n"/>
      <c r="H1221" s="41" t="n"/>
      <c r="I1221" s="42">
        <f>IF($H1221="","",MAX(0,$H1221-N($E1221)))</f>
        <v/>
      </c>
      <c r="J1221" s="42">
        <f>IF($H1221="","",MAX(0,$H1221-N($G1221)))</f>
        <v/>
      </c>
    </row>
    <row r="1222" ht="19.5" customHeight="1" s="72">
      <c r="A1222" s="38" t="inlineStr">
        <is>
          <t>GeneralM-32-P12-SIR</t>
        </is>
      </c>
      <c r="B1222" s="38" t="inlineStr">
        <is>
          <t>Fase 32</t>
        </is>
      </c>
      <c r="C1222" s="38" t="inlineStr">
        <is>
          <t>Siriuna</t>
        </is>
      </c>
      <c r="D1222" s="39" t="inlineStr">
        <is>
          <t>A_General_M_32_P12</t>
        </is>
      </c>
      <c r="E1222" s="40" t="n"/>
      <c r="F1222" s="39" t="inlineStr">
        <is>
          <t>B_General_M_32_P12</t>
        </is>
      </c>
      <c r="G1222" s="40" t="n"/>
      <c r="H1222" s="41" t="n"/>
      <c r="I1222" s="42">
        <f>IF($H1222="","",MAX(0,$H1222-N($E1222)))</f>
        <v/>
      </c>
      <c r="J1222" s="42">
        <f>IF($H1222="","",MAX(0,$H1222-N($G1222)))</f>
        <v/>
      </c>
    </row>
    <row r="1223" ht="19.5" customHeight="1" s="72">
      <c r="A1223" s="38" t="inlineStr">
        <is>
          <t>GeneralM-32-P13-BEN</t>
        </is>
      </c>
      <c r="B1223" s="38" t="inlineStr">
        <is>
          <t>Fase 32</t>
        </is>
      </c>
      <c r="C1223" s="38" t="inlineStr">
        <is>
          <t>Benguela</t>
        </is>
      </c>
      <c r="D1223" s="39" t="inlineStr">
        <is>
          <t>A_General_M_32_P13</t>
        </is>
      </c>
      <c r="E1223" s="40" t="n"/>
      <c r="F1223" s="39" t="inlineStr">
        <is>
          <t>B_General_M_32_P13</t>
        </is>
      </c>
      <c r="G1223" s="40" t="n"/>
      <c r="H1223" s="41" t="n"/>
      <c r="I1223" s="42">
        <f>IF($H1223="","",MAX(0,$H1223-N($E1223)))</f>
        <v/>
      </c>
      <c r="J1223" s="42">
        <f>IF($H1223="","",MAX(0,$H1223-N($G1223)))</f>
        <v/>
      </c>
    </row>
    <row r="1224" ht="19.5" customHeight="1" s="72">
      <c r="A1224" s="38" t="inlineStr">
        <is>
          <t>GeneralM-32-P13-SBA</t>
        </is>
      </c>
      <c r="B1224" s="38" t="inlineStr">
        <is>
          <t>Fase 32</t>
        </is>
      </c>
      <c r="C1224" s="38" t="inlineStr">
        <is>
          <t>São Bento da Abadá</t>
        </is>
      </c>
      <c r="D1224" s="39" t="inlineStr">
        <is>
          <t>A_General_M_32_P13</t>
        </is>
      </c>
      <c r="E1224" s="40" t="n"/>
      <c r="F1224" s="39" t="inlineStr">
        <is>
          <t>B_General_M_32_P13</t>
        </is>
      </c>
      <c r="G1224" s="40" t="n"/>
      <c r="H1224" s="41" t="n"/>
      <c r="I1224" s="42">
        <f>IF($H1224="","",MAX(0,$H1224-N($E1224)))</f>
        <v/>
      </c>
      <c r="J1224" s="42">
        <f>IF($H1224="","",MAX(0,$H1224-N($G1224)))</f>
        <v/>
      </c>
    </row>
    <row r="1225" ht="19.5" customHeight="1" s="72">
      <c r="A1225" s="38" t="inlineStr">
        <is>
          <t>GeneralM-32-P13-SIR</t>
        </is>
      </c>
      <c r="B1225" s="38" t="inlineStr">
        <is>
          <t>Fase 32</t>
        </is>
      </c>
      <c r="C1225" s="38" t="inlineStr">
        <is>
          <t>Siriuna</t>
        </is>
      </c>
      <c r="D1225" s="39" t="inlineStr">
        <is>
          <t>A_General_M_32_P13</t>
        </is>
      </c>
      <c r="E1225" s="40" t="n"/>
      <c r="F1225" s="39" t="inlineStr">
        <is>
          <t>B_General_M_32_P13</t>
        </is>
      </c>
      <c r="G1225" s="40" t="n"/>
      <c r="H1225" s="41" t="n"/>
      <c r="I1225" s="42">
        <f>IF($H1225="","",MAX(0,$H1225-N($E1225)))</f>
        <v/>
      </c>
      <c r="J1225" s="42">
        <f>IF($H1225="","",MAX(0,$H1225-N($G1225)))</f>
        <v/>
      </c>
    </row>
    <row r="1226" ht="19.5" customHeight="1" s="72">
      <c r="A1226" s="38" t="inlineStr">
        <is>
          <t>GeneralM-32-P14-BEN</t>
        </is>
      </c>
      <c r="B1226" s="38" t="inlineStr">
        <is>
          <t>Fase 32</t>
        </is>
      </c>
      <c r="C1226" s="38" t="inlineStr">
        <is>
          <t>Benguela</t>
        </is>
      </c>
      <c r="D1226" s="39" t="inlineStr">
        <is>
          <t>A_General_M_32_P14</t>
        </is>
      </c>
      <c r="E1226" s="40" t="n"/>
      <c r="F1226" s="39" t="inlineStr">
        <is>
          <t>B_General_M_32_P14</t>
        </is>
      </c>
      <c r="G1226" s="40" t="n"/>
      <c r="H1226" s="41" t="n"/>
      <c r="I1226" s="42">
        <f>IF($H1226="","",MAX(0,$H1226-N($E1226)))</f>
        <v/>
      </c>
      <c r="J1226" s="42">
        <f>IF($H1226="","",MAX(0,$H1226-N($G1226)))</f>
        <v/>
      </c>
    </row>
    <row r="1227" ht="19.5" customHeight="1" s="72">
      <c r="A1227" s="38" t="inlineStr">
        <is>
          <t>GeneralM-32-P14-SBA</t>
        </is>
      </c>
      <c r="B1227" s="38" t="inlineStr">
        <is>
          <t>Fase 32</t>
        </is>
      </c>
      <c r="C1227" s="38" t="inlineStr">
        <is>
          <t>São Bento da Abadá</t>
        </is>
      </c>
      <c r="D1227" s="39" t="inlineStr">
        <is>
          <t>A_General_M_32_P14</t>
        </is>
      </c>
      <c r="E1227" s="40" t="n"/>
      <c r="F1227" s="39" t="inlineStr">
        <is>
          <t>B_General_M_32_P14</t>
        </is>
      </c>
      <c r="G1227" s="40" t="n"/>
      <c r="H1227" s="41" t="n"/>
      <c r="I1227" s="42">
        <f>IF($H1227="","",MAX(0,$H1227-N($E1227)))</f>
        <v/>
      </c>
      <c r="J1227" s="42">
        <f>IF($H1227="","",MAX(0,$H1227-N($G1227)))</f>
        <v/>
      </c>
    </row>
    <row r="1228" ht="19.5" customHeight="1" s="72">
      <c r="A1228" s="38" t="inlineStr">
        <is>
          <t>GeneralM-32-P14-SIR</t>
        </is>
      </c>
      <c r="B1228" s="38" t="inlineStr">
        <is>
          <t>Fase 32</t>
        </is>
      </c>
      <c r="C1228" s="38" t="inlineStr">
        <is>
          <t>Siriuna</t>
        </is>
      </c>
      <c r="D1228" s="39" t="inlineStr">
        <is>
          <t>A_General_M_32_P14</t>
        </is>
      </c>
      <c r="E1228" s="40" t="n"/>
      <c r="F1228" s="39" t="inlineStr">
        <is>
          <t>B_General_M_32_P14</t>
        </is>
      </c>
      <c r="G1228" s="40" t="n"/>
      <c r="H1228" s="41" t="n"/>
      <c r="I1228" s="42">
        <f>IF($H1228="","",MAX(0,$H1228-N($E1228)))</f>
        <v/>
      </c>
      <c r="J1228" s="42">
        <f>IF($H1228="","",MAX(0,$H1228-N($G1228)))</f>
        <v/>
      </c>
    </row>
    <row r="1229" ht="19.5" customHeight="1" s="72">
      <c r="A1229" s="38" t="inlineStr">
        <is>
          <t>GeneralM-32-P15-BEN</t>
        </is>
      </c>
      <c r="B1229" s="38" t="inlineStr">
        <is>
          <t>Fase 32</t>
        </is>
      </c>
      <c r="C1229" s="38" t="inlineStr">
        <is>
          <t>Benguela</t>
        </is>
      </c>
      <c r="D1229" s="39" t="inlineStr">
        <is>
          <t>A_General_M_32_P15</t>
        </is>
      </c>
      <c r="E1229" s="40" t="n"/>
      <c r="F1229" s="39" t="inlineStr">
        <is>
          <t>B_General_M_32_P15</t>
        </is>
      </c>
      <c r="G1229" s="40" t="n"/>
      <c r="H1229" s="41" t="n"/>
      <c r="I1229" s="42">
        <f>IF($H1229="","",MAX(0,$H1229-N($E1229)))</f>
        <v/>
      </c>
      <c r="J1229" s="42">
        <f>IF($H1229="","",MAX(0,$H1229-N($G1229)))</f>
        <v/>
      </c>
    </row>
    <row r="1230" ht="19.5" customHeight="1" s="72">
      <c r="A1230" s="38" t="inlineStr">
        <is>
          <t>GeneralM-32-P15-SBA</t>
        </is>
      </c>
      <c r="B1230" s="38" t="inlineStr">
        <is>
          <t>Fase 32</t>
        </is>
      </c>
      <c r="C1230" s="38" t="inlineStr">
        <is>
          <t>São Bento da Abadá</t>
        </is>
      </c>
      <c r="D1230" s="39" t="inlineStr">
        <is>
          <t>A_General_M_32_P15</t>
        </is>
      </c>
      <c r="E1230" s="40" t="n"/>
      <c r="F1230" s="39" t="inlineStr">
        <is>
          <t>B_General_M_32_P15</t>
        </is>
      </c>
      <c r="G1230" s="40" t="n"/>
      <c r="H1230" s="41" t="n"/>
      <c r="I1230" s="42">
        <f>IF($H1230="","",MAX(0,$H1230-N($E1230)))</f>
        <v/>
      </c>
      <c r="J1230" s="42">
        <f>IF($H1230="","",MAX(0,$H1230-N($G1230)))</f>
        <v/>
      </c>
    </row>
    <row r="1231" ht="19.5" customHeight="1" s="72">
      <c r="A1231" s="38" t="inlineStr">
        <is>
          <t>GeneralM-32-P15-SIR</t>
        </is>
      </c>
      <c r="B1231" s="38" t="inlineStr">
        <is>
          <t>Fase 32</t>
        </is>
      </c>
      <c r="C1231" s="38" t="inlineStr">
        <is>
          <t>Siriuna</t>
        </is>
      </c>
      <c r="D1231" s="39" t="inlineStr">
        <is>
          <t>A_General_M_32_P15</t>
        </is>
      </c>
      <c r="E1231" s="40" t="n"/>
      <c r="F1231" s="39" t="inlineStr">
        <is>
          <t>B_General_M_32_P15</t>
        </is>
      </c>
      <c r="G1231" s="40" t="n"/>
      <c r="H1231" s="41" t="n"/>
      <c r="I1231" s="42">
        <f>IF($H1231="","",MAX(0,$H1231-N($E1231)))</f>
        <v/>
      </c>
      <c r="J1231" s="42">
        <f>IF($H1231="","",MAX(0,$H1231-N($G1231)))</f>
        <v/>
      </c>
    </row>
    <row r="1232" ht="19.5" customHeight="1" s="72">
      <c r="A1232" s="38" t="inlineStr">
        <is>
          <t>GeneralM-32-P16-BEN</t>
        </is>
      </c>
      <c r="B1232" s="38" t="inlineStr">
        <is>
          <t>Fase 32</t>
        </is>
      </c>
      <c r="C1232" s="38" t="inlineStr">
        <is>
          <t>Benguela</t>
        </is>
      </c>
      <c r="D1232" s="39" t="inlineStr">
        <is>
          <t>A_General_M_32_P16</t>
        </is>
      </c>
      <c r="E1232" s="40" t="n"/>
      <c r="F1232" s="39" t="inlineStr">
        <is>
          <t>B_General_M_32_P16</t>
        </is>
      </c>
      <c r="G1232" s="40" t="n"/>
      <c r="H1232" s="41" t="n"/>
      <c r="I1232" s="42">
        <f>IF($H1232="","",MAX(0,$H1232-N($E1232)))</f>
        <v/>
      </c>
      <c r="J1232" s="42">
        <f>IF($H1232="","",MAX(0,$H1232-N($G1232)))</f>
        <v/>
      </c>
    </row>
    <row r="1233" ht="19.5" customHeight="1" s="72">
      <c r="A1233" s="38" t="inlineStr">
        <is>
          <t>GeneralM-32-P16-SBA</t>
        </is>
      </c>
      <c r="B1233" s="38" t="inlineStr">
        <is>
          <t>Fase 32</t>
        </is>
      </c>
      <c r="C1233" s="38" t="inlineStr">
        <is>
          <t>São Bento da Abadá</t>
        </is>
      </c>
      <c r="D1233" s="39" t="inlineStr">
        <is>
          <t>A_General_M_32_P16</t>
        </is>
      </c>
      <c r="E1233" s="40" t="n"/>
      <c r="F1233" s="39" t="inlineStr">
        <is>
          <t>B_General_M_32_P16</t>
        </is>
      </c>
      <c r="G1233" s="40" t="n"/>
      <c r="H1233" s="41" t="n"/>
      <c r="I1233" s="42">
        <f>IF($H1233="","",MAX(0,$H1233-N($E1233)))</f>
        <v/>
      </c>
      <c r="J1233" s="42">
        <f>IF($H1233="","",MAX(0,$H1233-N($G1233)))</f>
        <v/>
      </c>
    </row>
    <row r="1234" ht="19.5" customHeight="1" s="72">
      <c r="A1234" s="38" t="inlineStr">
        <is>
          <t>GeneralM-32-P16-SIR</t>
        </is>
      </c>
      <c r="B1234" s="38" t="inlineStr">
        <is>
          <t>Fase 32</t>
        </is>
      </c>
      <c r="C1234" s="38" t="inlineStr">
        <is>
          <t>Siriuna</t>
        </is>
      </c>
      <c r="D1234" s="39" t="inlineStr">
        <is>
          <t>A_General_M_32_P16</t>
        </is>
      </c>
      <c r="E1234" s="40" t="n"/>
      <c r="F1234" s="39" t="inlineStr">
        <is>
          <t>B_General_M_32_P16</t>
        </is>
      </c>
      <c r="G1234" s="40" t="n"/>
      <c r="H1234" s="41" t="n"/>
      <c r="I1234" s="42">
        <f>IF($H1234="","",MAX(0,$H1234-N($E1234)))</f>
        <v/>
      </c>
      <c r="J1234" s="42">
        <f>IF($H1234="","",MAX(0,$H1234-N($G1234)))</f>
        <v/>
      </c>
    </row>
    <row r="1235" ht="19.5" customHeight="1" s="72">
      <c r="A1235" s="38" t="inlineStr">
        <is>
          <t>GeneralM-OCT-P01-BEN</t>
        </is>
      </c>
      <c r="B1235" s="38" t="inlineStr">
        <is>
          <t>Octavas</t>
        </is>
      </c>
      <c r="C1235" s="38" t="inlineStr">
        <is>
          <t>Benguela</t>
        </is>
      </c>
      <c r="D1235" s="39">
        <f>IFERROR(CLASIF_General_M!$F$5,"")</f>
        <v/>
      </c>
      <c r="E1235" s="40" t="n"/>
      <c r="F1235" s="39">
        <f>IFERROR(CLASIF_General_M!$F$20,"")</f>
        <v/>
      </c>
      <c r="G1235" s="40" t="n"/>
      <c r="H1235" s="41" t="n"/>
      <c r="I1235" s="42">
        <f>IF($H1235="","",MAX(0,$H1235-N($E1235)))</f>
        <v/>
      </c>
      <c r="J1235" s="42">
        <f>IF($H1235="","",MAX(0,$H1235-N($G1235)))</f>
        <v/>
      </c>
    </row>
    <row r="1236" ht="19.5" customHeight="1" s="72">
      <c r="A1236" s="38" t="inlineStr">
        <is>
          <t>GeneralM-OCT-P01-SBA</t>
        </is>
      </c>
      <c r="B1236" s="38" t="inlineStr">
        <is>
          <t>Octavas</t>
        </is>
      </c>
      <c r="C1236" s="38" t="inlineStr">
        <is>
          <t>São Bento da Abadá</t>
        </is>
      </c>
      <c r="D1236" s="39">
        <f>IFERROR(CLASIF_General_M!$F$5,"")</f>
        <v/>
      </c>
      <c r="E1236" s="40" t="n"/>
      <c r="F1236" s="39">
        <f>IFERROR(CLASIF_General_M!$F$20,"")</f>
        <v/>
      </c>
      <c r="G1236" s="40" t="n"/>
      <c r="H1236" s="41" t="n"/>
      <c r="I1236" s="42">
        <f>IF($H1236="","",MAX(0,$H1236-N($E1236)))</f>
        <v/>
      </c>
      <c r="J1236" s="42">
        <f>IF($H1236="","",MAX(0,$H1236-N($G1236)))</f>
        <v/>
      </c>
    </row>
    <row r="1237" ht="19.5" customHeight="1" s="72">
      <c r="A1237" s="38" t="inlineStr">
        <is>
          <t>GeneralM-OCT-P01-SIR</t>
        </is>
      </c>
      <c r="B1237" s="38" t="inlineStr">
        <is>
          <t>Octavas</t>
        </is>
      </c>
      <c r="C1237" s="38" t="inlineStr">
        <is>
          <t>Siriuna</t>
        </is>
      </c>
      <c r="D1237" s="39">
        <f>IFERROR(CLASIF_General_M!$F$5,"")</f>
        <v/>
      </c>
      <c r="E1237" s="40" t="n"/>
      <c r="F1237" s="39">
        <f>IFERROR(CLASIF_General_M!$F$20,"")</f>
        <v/>
      </c>
      <c r="G1237" s="40" t="n"/>
      <c r="H1237" s="41" t="n"/>
      <c r="I1237" s="42">
        <f>IF($H1237="","",MAX(0,$H1237-N($E1237)))</f>
        <v/>
      </c>
      <c r="J1237" s="42">
        <f>IF($H1237="","",MAX(0,$H1237-N($G1237)))</f>
        <v/>
      </c>
    </row>
    <row r="1238" ht="19.5" customHeight="1" s="72">
      <c r="A1238" s="38" t="inlineStr">
        <is>
          <t>GeneralM-OCT-P02-BEN</t>
        </is>
      </c>
      <c r="B1238" s="38" t="inlineStr">
        <is>
          <t>Octavas</t>
        </is>
      </c>
      <c r="C1238" s="38" t="inlineStr">
        <is>
          <t>Benguela</t>
        </is>
      </c>
      <c r="D1238" s="39">
        <f>IFERROR(CLASIF_General_M!$F$6,"")</f>
        <v/>
      </c>
      <c r="E1238" s="40" t="n"/>
      <c r="F1238" s="39">
        <f>IFERROR(CLASIF_General_M!$F$19,"")</f>
        <v/>
      </c>
      <c r="G1238" s="40" t="n"/>
      <c r="H1238" s="41" t="n"/>
      <c r="I1238" s="42">
        <f>IF($H1238="","",MAX(0,$H1238-N($E1238)))</f>
        <v/>
      </c>
      <c r="J1238" s="42">
        <f>IF($H1238="","",MAX(0,$H1238-N($G1238)))</f>
        <v/>
      </c>
    </row>
    <row r="1239" ht="19.5" customHeight="1" s="72">
      <c r="A1239" s="38" t="inlineStr">
        <is>
          <t>GeneralM-OCT-P02-SBA</t>
        </is>
      </c>
      <c r="B1239" s="38" t="inlineStr">
        <is>
          <t>Octavas</t>
        </is>
      </c>
      <c r="C1239" s="38" t="inlineStr">
        <is>
          <t>São Bento da Abadá</t>
        </is>
      </c>
      <c r="D1239" s="39">
        <f>IFERROR(CLASIF_General_M!$F$6,"")</f>
        <v/>
      </c>
      <c r="E1239" s="40" t="n"/>
      <c r="F1239" s="39">
        <f>IFERROR(CLASIF_General_M!$F$19,"")</f>
        <v/>
      </c>
      <c r="G1239" s="40" t="n"/>
      <c r="H1239" s="41" t="n"/>
      <c r="I1239" s="42">
        <f>IF($H1239="","",MAX(0,$H1239-N($E1239)))</f>
        <v/>
      </c>
      <c r="J1239" s="42">
        <f>IF($H1239="","",MAX(0,$H1239-N($G1239)))</f>
        <v/>
      </c>
    </row>
    <row r="1240" ht="19.5" customHeight="1" s="72">
      <c r="A1240" s="38" t="inlineStr">
        <is>
          <t>GeneralM-OCT-P02-SIR</t>
        </is>
      </c>
      <c r="B1240" s="38" t="inlineStr">
        <is>
          <t>Octavas</t>
        </is>
      </c>
      <c r="C1240" s="38" t="inlineStr">
        <is>
          <t>Siriuna</t>
        </is>
      </c>
      <c r="D1240" s="39">
        <f>IFERROR(CLASIF_General_M!$F$6,"")</f>
        <v/>
      </c>
      <c r="E1240" s="40" t="n"/>
      <c r="F1240" s="39">
        <f>IFERROR(CLASIF_General_M!$F$19,"")</f>
        <v/>
      </c>
      <c r="G1240" s="40" t="n"/>
      <c r="H1240" s="41" t="n"/>
      <c r="I1240" s="42">
        <f>IF($H1240="","",MAX(0,$H1240-N($E1240)))</f>
        <v/>
      </c>
      <c r="J1240" s="42">
        <f>IF($H1240="","",MAX(0,$H1240-N($G1240)))</f>
        <v/>
      </c>
    </row>
    <row r="1241" ht="19.5" customHeight="1" s="72">
      <c r="A1241" s="38" t="inlineStr">
        <is>
          <t>GeneralM-OCT-P03-BEN</t>
        </is>
      </c>
      <c r="B1241" s="38" t="inlineStr">
        <is>
          <t>Octavas</t>
        </is>
      </c>
      <c r="C1241" s="38" t="inlineStr">
        <is>
          <t>Benguela</t>
        </is>
      </c>
      <c r="D1241" s="39">
        <f>IFERROR(CLASIF_General_M!$F$7,"")</f>
        <v/>
      </c>
      <c r="E1241" s="40" t="n"/>
      <c r="F1241" s="39">
        <f>IFERROR(CLASIF_General_M!$F$18,"")</f>
        <v/>
      </c>
      <c r="G1241" s="40" t="n"/>
      <c r="H1241" s="41" t="n"/>
      <c r="I1241" s="42">
        <f>IF($H1241="","",MAX(0,$H1241-N($E1241)))</f>
        <v/>
      </c>
      <c r="J1241" s="42">
        <f>IF($H1241="","",MAX(0,$H1241-N($G1241)))</f>
        <v/>
      </c>
    </row>
    <row r="1242" ht="19.5" customHeight="1" s="72">
      <c r="A1242" s="38" t="inlineStr">
        <is>
          <t>GeneralM-OCT-P03-SBA</t>
        </is>
      </c>
      <c r="B1242" s="38" t="inlineStr">
        <is>
          <t>Octavas</t>
        </is>
      </c>
      <c r="C1242" s="38" t="inlineStr">
        <is>
          <t>São Bento da Abadá</t>
        </is>
      </c>
      <c r="D1242" s="39">
        <f>IFERROR(CLASIF_General_M!$F$7,"")</f>
        <v/>
      </c>
      <c r="E1242" s="40" t="n"/>
      <c r="F1242" s="39">
        <f>IFERROR(CLASIF_General_M!$F$18,"")</f>
        <v/>
      </c>
      <c r="G1242" s="40" t="n"/>
      <c r="H1242" s="41" t="n"/>
      <c r="I1242" s="42">
        <f>IF($H1242="","",MAX(0,$H1242-N($E1242)))</f>
        <v/>
      </c>
      <c r="J1242" s="42">
        <f>IF($H1242="","",MAX(0,$H1242-N($G1242)))</f>
        <v/>
      </c>
    </row>
    <row r="1243" ht="19.5" customHeight="1" s="72">
      <c r="A1243" s="38" t="inlineStr">
        <is>
          <t>GeneralM-OCT-P03-SIR</t>
        </is>
      </c>
      <c r="B1243" s="38" t="inlineStr">
        <is>
          <t>Octavas</t>
        </is>
      </c>
      <c r="C1243" s="38" t="inlineStr">
        <is>
          <t>Siriuna</t>
        </is>
      </c>
      <c r="D1243" s="39">
        <f>IFERROR(CLASIF_General_M!$F$7,"")</f>
        <v/>
      </c>
      <c r="E1243" s="40" t="n"/>
      <c r="F1243" s="39">
        <f>IFERROR(CLASIF_General_M!$F$18,"")</f>
        <v/>
      </c>
      <c r="G1243" s="40" t="n"/>
      <c r="H1243" s="41" t="n"/>
      <c r="I1243" s="42">
        <f>IF($H1243="","",MAX(0,$H1243-N($E1243)))</f>
        <v/>
      </c>
      <c r="J1243" s="42">
        <f>IF($H1243="","",MAX(0,$H1243-N($G1243)))</f>
        <v/>
      </c>
    </row>
    <row r="1244" ht="19.5" customHeight="1" s="72">
      <c r="A1244" s="38" t="inlineStr">
        <is>
          <t>GeneralM-OCT-P04-BEN</t>
        </is>
      </c>
      <c r="B1244" s="38" t="inlineStr">
        <is>
          <t>Octavas</t>
        </is>
      </c>
      <c r="C1244" s="38" t="inlineStr">
        <is>
          <t>Benguela</t>
        </is>
      </c>
      <c r="D1244" s="39">
        <f>IFERROR(CLASIF_General_M!$F$8,"")</f>
        <v/>
      </c>
      <c r="E1244" s="40" t="n"/>
      <c r="F1244" s="39">
        <f>IFERROR(CLASIF_General_M!$F$17,"")</f>
        <v/>
      </c>
      <c r="G1244" s="40" t="n"/>
      <c r="H1244" s="41" t="n"/>
      <c r="I1244" s="42">
        <f>IF($H1244="","",MAX(0,$H1244-N($E1244)))</f>
        <v/>
      </c>
      <c r="J1244" s="42">
        <f>IF($H1244="","",MAX(0,$H1244-N($G1244)))</f>
        <v/>
      </c>
    </row>
    <row r="1245" ht="19.5" customHeight="1" s="72">
      <c r="A1245" s="38" t="inlineStr">
        <is>
          <t>GeneralM-OCT-P04-SBA</t>
        </is>
      </c>
      <c r="B1245" s="38" t="inlineStr">
        <is>
          <t>Octavas</t>
        </is>
      </c>
      <c r="C1245" s="38" t="inlineStr">
        <is>
          <t>São Bento da Abadá</t>
        </is>
      </c>
      <c r="D1245" s="39">
        <f>IFERROR(CLASIF_General_M!$F$8,"")</f>
        <v/>
      </c>
      <c r="E1245" s="40" t="n"/>
      <c r="F1245" s="39">
        <f>IFERROR(CLASIF_General_M!$F$17,"")</f>
        <v/>
      </c>
      <c r="G1245" s="40" t="n"/>
      <c r="H1245" s="41" t="n"/>
      <c r="I1245" s="42">
        <f>IF($H1245="","",MAX(0,$H1245-N($E1245)))</f>
        <v/>
      </c>
      <c r="J1245" s="42">
        <f>IF($H1245="","",MAX(0,$H1245-N($G1245)))</f>
        <v/>
      </c>
    </row>
    <row r="1246" ht="19.5" customHeight="1" s="72">
      <c r="A1246" s="38" t="inlineStr">
        <is>
          <t>GeneralM-OCT-P04-SIR</t>
        </is>
      </c>
      <c r="B1246" s="38" t="inlineStr">
        <is>
          <t>Octavas</t>
        </is>
      </c>
      <c r="C1246" s="38" t="inlineStr">
        <is>
          <t>Siriuna</t>
        </is>
      </c>
      <c r="D1246" s="39">
        <f>IFERROR(CLASIF_General_M!$F$8,"")</f>
        <v/>
      </c>
      <c r="E1246" s="40" t="n"/>
      <c r="F1246" s="39">
        <f>IFERROR(CLASIF_General_M!$F$17,"")</f>
        <v/>
      </c>
      <c r="G1246" s="40" t="n"/>
      <c r="H1246" s="41" t="n"/>
      <c r="I1246" s="42">
        <f>IF($H1246="","",MAX(0,$H1246-N($E1246)))</f>
        <v/>
      </c>
      <c r="J1246" s="42">
        <f>IF($H1246="","",MAX(0,$H1246-N($G1246)))</f>
        <v/>
      </c>
    </row>
    <row r="1247" ht="19.5" customHeight="1" s="72">
      <c r="A1247" s="38" t="inlineStr">
        <is>
          <t>GeneralM-OCT-P05-BEN</t>
        </is>
      </c>
      <c r="B1247" s="38" t="inlineStr">
        <is>
          <t>Octavas</t>
        </is>
      </c>
      <c r="C1247" s="38" t="inlineStr">
        <is>
          <t>Benguela</t>
        </is>
      </c>
      <c r="D1247" s="39">
        <f>IFERROR(CLASIF_General_M!$F$9,"")</f>
        <v/>
      </c>
      <c r="E1247" s="40" t="n"/>
      <c r="F1247" s="39">
        <f>IFERROR(CLASIF_General_M!$F$16,"")</f>
        <v/>
      </c>
      <c r="G1247" s="40" t="n"/>
      <c r="H1247" s="41" t="n"/>
      <c r="I1247" s="42">
        <f>IF($H1247="","",MAX(0,$H1247-N($E1247)))</f>
        <v/>
      </c>
      <c r="J1247" s="42">
        <f>IF($H1247="","",MAX(0,$H1247-N($G1247)))</f>
        <v/>
      </c>
    </row>
    <row r="1248" ht="19.5" customHeight="1" s="72">
      <c r="A1248" s="38" t="inlineStr">
        <is>
          <t>GeneralM-OCT-P05-SBA</t>
        </is>
      </c>
      <c r="B1248" s="38" t="inlineStr">
        <is>
          <t>Octavas</t>
        </is>
      </c>
      <c r="C1248" s="38" t="inlineStr">
        <is>
          <t>São Bento da Abadá</t>
        </is>
      </c>
      <c r="D1248" s="39">
        <f>IFERROR(CLASIF_General_M!$F$9,"")</f>
        <v/>
      </c>
      <c r="E1248" s="40" t="n"/>
      <c r="F1248" s="39">
        <f>IFERROR(CLASIF_General_M!$F$16,"")</f>
        <v/>
      </c>
      <c r="G1248" s="40" t="n"/>
      <c r="H1248" s="41" t="n"/>
      <c r="I1248" s="42">
        <f>IF($H1248="","",MAX(0,$H1248-N($E1248)))</f>
        <v/>
      </c>
      <c r="J1248" s="42">
        <f>IF($H1248="","",MAX(0,$H1248-N($G1248)))</f>
        <v/>
      </c>
    </row>
    <row r="1249" ht="19.5" customHeight="1" s="72">
      <c r="A1249" s="38" t="inlineStr">
        <is>
          <t>GeneralM-OCT-P05-SIR</t>
        </is>
      </c>
      <c r="B1249" s="38" t="inlineStr">
        <is>
          <t>Octavas</t>
        </is>
      </c>
      <c r="C1249" s="38" t="inlineStr">
        <is>
          <t>Siriuna</t>
        </is>
      </c>
      <c r="D1249" s="39">
        <f>IFERROR(CLASIF_General_M!$F$9,"")</f>
        <v/>
      </c>
      <c r="E1249" s="40" t="n"/>
      <c r="F1249" s="39">
        <f>IFERROR(CLASIF_General_M!$F$16,"")</f>
        <v/>
      </c>
      <c r="G1249" s="40" t="n"/>
      <c r="H1249" s="41" t="n"/>
      <c r="I1249" s="42">
        <f>IF($H1249="","",MAX(0,$H1249-N($E1249)))</f>
        <v/>
      </c>
      <c r="J1249" s="42">
        <f>IF($H1249="","",MAX(0,$H1249-N($G1249)))</f>
        <v/>
      </c>
    </row>
    <row r="1250" ht="19.5" customHeight="1" s="72">
      <c r="A1250" s="38" t="inlineStr">
        <is>
          <t>GeneralM-OCT-P06-BEN</t>
        </is>
      </c>
      <c r="B1250" s="38" t="inlineStr">
        <is>
          <t>Octavas</t>
        </is>
      </c>
      <c r="C1250" s="38" t="inlineStr">
        <is>
          <t>Benguela</t>
        </is>
      </c>
      <c r="D1250" s="39">
        <f>IFERROR(CLASIF_General_M!$F$10,"")</f>
        <v/>
      </c>
      <c r="E1250" s="40" t="n"/>
      <c r="F1250" s="39">
        <f>IFERROR(CLASIF_General_M!$F$15,"")</f>
        <v/>
      </c>
      <c r="G1250" s="40" t="n"/>
      <c r="H1250" s="41" t="n"/>
      <c r="I1250" s="42">
        <f>IF($H1250="","",MAX(0,$H1250-N($E1250)))</f>
        <v/>
      </c>
      <c r="J1250" s="42">
        <f>IF($H1250="","",MAX(0,$H1250-N($G1250)))</f>
        <v/>
      </c>
    </row>
    <row r="1251" ht="19.5" customHeight="1" s="72">
      <c r="A1251" s="38" t="inlineStr">
        <is>
          <t>GeneralM-OCT-P06-SBA</t>
        </is>
      </c>
      <c r="B1251" s="38" t="inlineStr">
        <is>
          <t>Octavas</t>
        </is>
      </c>
      <c r="C1251" s="38" t="inlineStr">
        <is>
          <t>São Bento da Abadá</t>
        </is>
      </c>
      <c r="D1251" s="39">
        <f>IFERROR(CLASIF_General_M!$F$10,"")</f>
        <v/>
      </c>
      <c r="E1251" s="40" t="n"/>
      <c r="F1251" s="39">
        <f>IFERROR(CLASIF_General_M!$F$15,"")</f>
        <v/>
      </c>
      <c r="G1251" s="40" t="n"/>
      <c r="H1251" s="41" t="n"/>
      <c r="I1251" s="42">
        <f>IF($H1251="","",MAX(0,$H1251-N($E1251)))</f>
        <v/>
      </c>
      <c r="J1251" s="42">
        <f>IF($H1251="","",MAX(0,$H1251-N($G1251)))</f>
        <v/>
      </c>
    </row>
    <row r="1252" ht="19.5" customHeight="1" s="72">
      <c r="A1252" s="38" t="inlineStr">
        <is>
          <t>GeneralM-OCT-P06-SIR</t>
        </is>
      </c>
      <c r="B1252" s="38" t="inlineStr">
        <is>
          <t>Octavas</t>
        </is>
      </c>
      <c r="C1252" s="38" t="inlineStr">
        <is>
          <t>Siriuna</t>
        </is>
      </c>
      <c r="D1252" s="39">
        <f>IFERROR(CLASIF_General_M!$F$10,"")</f>
        <v/>
      </c>
      <c r="E1252" s="40" t="n"/>
      <c r="F1252" s="39">
        <f>IFERROR(CLASIF_General_M!$F$15,"")</f>
        <v/>
      </c>
      <c r="G1252" s="40" t="n"/>
      <c r="H1252" s="41" t="n"/>
      <c r="I1252" s="42">
        <f>IF($H1252="","",MAX(0,$H1252-N($E1252)))</f>
        <v/>
      </c>
      <c r="J1252" s="42">
        <f>IF($H1252="","",MAX(0,$H1252-N($G1252)))</f>
        <v/>
      </c>
    </row>
    <row r="1253" ht="19.5" customHeight="1" s="72">
      <c r="A1253" s="38" t="inlineStr">
        <is>
          <t>GeneralM-OCT-P07-BEN</t>
        </is>
      </c>
      <c r="B1253" s="38" t="inlineStr">
        <is>
          <t>Octavas</t>
        </is>
      </c>
      <c r="C1253" s="38" t="inlineStr">
        <is>
          <t>Benguela</t>
        </is>
      </c>
      <c r="D1253" s="39">
        <f>IFERROR(CLASIF_General_M!$F$11,"")</f>
        <v/>
      </c>
      <c r="E1253" s="40" t="n"/>
      <c r="F1253" s="39">
        <f>IFERROR(CLASIF_General_M!$F$14,"")</f>
        <v/>
      </c>
      <c r="G1253" s="40" t="n"/>
      <c r="H1253" s="41" t="n"/>
      <c r="I1253" s="42">
        <f>IF($H1253="","",MAX(0,$H1253-N($E1253)))</f>
        <v/>
      </c>
      <c r="J1253" s="42">
        <f>IF($H1253="","",MAX(0,$H1253-N($G1253)))</f>
        <v/>
      </c>
    </row>
    <row r="1254" ht="19.5" customHeight="1" s="72">
      <c r="A1254" s="38" t="inlineStr">
        <is>
          <t>GeneralM-OCT-P07-SBA</t>
        </is>
      </c>
      <c r="B1254" s="38" t="inlineStr">
        <is>
          <t>Octavas</t>
        </is>
      </c>
      <c r="C1254" s="38" t="inlineStr">
        <is>
          <t>São Bento da Abadá</t>
        </is>
      </c>
      <c r="D1254" s="39">
        <f>IFERROR(CLASIF_General_M!$F$11,"")</f>
        <v/>
      </c>
      <c r="E1254" s="40" t="n"/>
      <c r="F1254" s="39">
        <f>IFERROR(CLASIF_General_M!$F$14,"")</f>
        <v/>
      </c>
      <c r="G1254" s="40" t="n"/>
      <c r="H1254" s="41" t="n"/>
      <c r="I1254" s="42">
        <f>IF($H1254="","",MAX(0,$H1254-N($E1254)))</f>
        <v/>
      </c>
      <c r="J1254" s="42">
        <f>IF($H1254="","",MAX(0,$H1254-N($G1254)))</f>
        <v/>
      </c>
    </row>
    <row r="1255" ht="19.5" customHeight="1" s="72">
      <c r="A1255" s="38" t="inlineStr">
        <is>
          <t>GeneralM-OCT-P07-SIR</t>
        </is>
      </c>
      <c r="B1255" s="38" t="inlineStr">
        <is>
          <t>Octavas</t>
        </is>
      </c>
      <c r="C1255" s="38" t="inlineStr">
        <is>
          <t>Siriuna</t>
        </is>
      </c>
      <c r="D1255" s="39">
        <f>IFERROR(CLASIF_General_M!$F$11,"")</f>
        <v/>
      </c>
      <c r="E1255" s="40" t="n"/>
      <c r="F1255" s="39">
        <f>IFERROR(CLASIF_General_M!$F$14,"")</f>
        <v/>
      </c>
      <c r="G1255" s="40" t="n"/>
      <c r="H1255" s="41" t="n"/>
      <c r="I1255" s="42">
        <f>IF($H1255="","",MAX(0,$H1255-N($E1255)))</f>
        <v/>
      </c>
      <c r="J1255" s="42">
        <f>IF($H1255="","",MAX(0,$H1255-N($G1255)))</f>
        <v/>
      </c>
    </row>
    <row r="1256" ht="19.5" customHeight="1" s="72">
      <c r="A1256" s="38" t="inlineStr">
        <is>
          <t>GeneralM-OCT-P08-BEN</t>
        </is>
      </c>
      <c r="B1256" s="38" t="inlineStr">
        <is>
          <t>Octavas</t>
        </is>
      </c>
      <c r="C1256" s="38" t="inlineStr">
        <is>
          <t>Benguela</t>
        </is>
      </c>
      <c r="D1256" s="39">
        <f>IFERROR(CLASIF_General_M!$F$12,"")</f>
        <v/>
      </c>
      <c r="E1256" s="40" t="n"/>
      <c r="F1256" s="39">
        <f>IFERROR(CLASIF_General_M!$F$13,"")</f>
        <v/>
      </c>
      <c r="G1256" s="40" t="n"/>
      <c r="H1256" s="41" t="n"/>
      <c r="I1256" s="42">
        <f>IF($H1256="","",MAX(0,$H1256-N($E1256)))</f>
        <v/>
      </c>
      <c r="J1256" s="42">
        <f>IF($H1256="","",MAX(0,$H1256-N($G1256)))</f>
        <v/>
      </c>
    </row>
    <row r="1257" ht="19.5" customHeight="1" s="72">
      <c r="A1257" s="38" t="inlineStr">
        <is>
          <t>GeneralM-OCT-P08-SBA</t>
        </is>
      </c>
      <c r="B1257" s="38" t="inlineStr">
        <is>
          <t>Octavas</t>
        </is>
      </c>
      <c r="C1257" s="38" t="inlineStr">
        <is>
          <t>São Bento da Abadá</t>
        </is>
      </c>
      <c r="D1257" s="39">
        <f>IFERROR(CLASIF_General_M!$F$12,"")</f>
        <v/>
      </c>
      <c r="E1257" s="40" t="n"/>
      <c r="F1257" s="39">
        <f>IFERROR(CLASIF_General_M!$F$13,"")</f>
        <v/>
      </c>
      <c r="G1257" s="40" t="n"/>
      <c r="H1257" s="41" t="n"/>
      <c r="I1257" s="42">
        <f>IF($H1257="","",MAX(0,$H1257-N($E1257)))</f>
        <v/>
      </c>
      <c r="J1257" s="42">
        <f>IF($H1257="","",MAX(0,$H1257-N($G1257)))</f>
        <v/>
      </c>
    </row>
    <row r="1258" ht="19.5" customHeight="1" s="72">
      <c r="A1258" s="38" t="inlineStr">
        <is>
          <t>GeneralM-OCT-P08-SIR</t>
        </is>
      </c>
      <c r="B1258" s="38" t="inlineStr">
        <is>
          <t>Octavas</t>
        </is>
      </c>
      <c r="C1258" s="38" t="inlineStr">
        <is>
          <t>Siriuna</t>
        </is>
      </c>
      <c r="D1258" s="39">
        <f>IFERROR(CLASIF_General_M!$F$12,"")</f>
        <v/>
      </c>
      <c r="E1258" s="40" t="n"/>
      <c r="F1258" s="39">
        <f>IFERROR(CLASIF_General_M!$F$13,"")</f>
        <v/>
      </c>
      <c r="G1258" s="40" t="n"/>
      <c r="H1258" s="41" t="n"/>
      <c r="I1258" s="42">
        <f>IF($H1258="","",MAX(0,$H1258-N($E1258)))</f>
        <v/>
      </c>
      <c r="J1258" s="42">
        <f>IF($H1258="","",MAX(0,$H1258-N($G1258)))</f>
        <v/>
      </c>
    </row>
    <row r="1259" ht="19.5" customHeight="1" s="72">
      <c r="A1259" s="38" t="inlineStr">
        <is>
          <t>GeneralM-SEM-P01-BEN</t>
        </is>
      </c>
      <c r="B1259" s="38" t="inlineStr">
        <is>
          <t>Semifinal</t>
        </is>
      </c>
      <c r="C1259" s="38" t="inlineStr">
        <is>
          <t>Benguela</t>
        </is>
      </c>
      <c r="D1259" s="39">
        <f>IFERROR(CLASIF_General_M!$O$5,"")</f>
        <v/>
      </c>
      <c r="E1259" s="40" t="n"/>
      <c r="F1259" s="39">
        <f>IFERROR(CLASIF_General_M!$O$12,"")</f>
        <v/>
      </c>
      <c r="G1259" s="40" t="n"/>
      <c r="H1259" s="41" t="n"/>
      <c r="I1259" s="42">
        <f>IF($H1259="","",MAX(0,$H1259-N($E1259)))</f>
        <v/>
      </c>
      <c r="J1259" s="42">
        <f>IF($H1259="","",MAX(0,$H1259-N($G1259)))</f>
        <v/>
      </c>
    </row>
    <row r="1260" ht="19.5" customHeight="1" s="72">
      <c r="A1260" s="38" t="inlineStr">
        <is>
          <t>GeneralM-SEM-P01-SBA</t>
        </is>
      </c>
      <c r="B1260" s="38" t="inlineStr">
        <is>
          <t>Semifinal</t>
        </is>
      </c>
      <c r="C1260" s="38" t="inlineStr">
        <is>
          <t>São Bento da Abadá</t>
        </is>
      </c>
      <c r="D1260" s="39">
        <f>IFERROR(CLASIF_General_M!$O$5,"")</f>
        <v/>
      </c>
      <c r="E1260" s="40" t="n"/>
      <c r="F1260" s="39">
        <f>IFERROR(CLASIF_General_M!$O$12,"")</f>
        <v/>
      </c>
      <c r="G1260" s="40" t="n"/>
      <c r="H1260" s="41" t="n"/>
      <c r="I1260" s="42">
        <f>IF($H1260="","",MAX(0,$H1260-N($E1260)))</f>
        <v/>
      </c>
      <c r="J1260" s="42">
        <f>IF($H1260="","",MAX(0,$H1260-N($G1260)))</f>
        <v/>
      </c>
    </row>
    <row r="1261" ht="19.5" customHeight="1" s="72">
      <c r="A1261" s="38" t="inlineStr">
        <is>
          <t>GeneralM-SEM-P01-SIR</t>
        </is>
      </c>
      <c r="B1261" s="38" t="inlineStr">
        <is>
          <t>Semifinal</t>
        </is>
      </c>
      <c r="C1261" s="38" t="inlineStr">
        <is>
          <t>Siriuna</t>
        </is>
      </c>
      <c r="D1261" s="39">
        <f>IFERROR(CLASIF_General_M!$O$5,"")</f>
        <v/>
      </c>
      <c r="E1261" s="40" t="n"/>
      <c r="F1261" s="39">
        <f>IFERROR(CLASIF_General_M!$O$12,"")</f>
        <v/>
      </c>
      <c r="G1261" s="40" t="n"/>
      <c r="H1261" s="41" t="n"/>
      <c r="I1261" s="42">
        <f>IF($H1261="","",MAX(0,$H1261-N($E1261)))</f>
        <v/>
      </c>
      <c r="J1261" s="42">
        <f>IF($H1261="","",MAX(0,$H1261-N($G1261)))</f>
        <v/>
      </c>
    </row>
    <row r="1262" ht="19.5" customHeight="1" s="72">
      <c r="A1262" s="38" t="inlineStr">
        <is>
          <t>GeneralM-SEM-P02-BEN</t>
        </is>
      </c>
      <c r="B1262" s="38" t="inlineStr">
        <is>
          <t>Semifinal</t>
        </is>
      </c>
      <c r="C1262" s="38" t="inlineStr">
        <is>
          <t>Benguela</t>
        </is>
      </c>
      <c r="D1262" s="39">
        <f>IFERROR(CLASIF_General_M!$O$6,"")</f>
        <v/>
      </c>
      <c r="E1262" s="40" t="n"/>
      <c r="F1262" s="39">
        <f>IFERROR(CLASIF_General_M!$O$11,"")</f>
        <v/>
      </c>
      <c r="G1262" s="40" t="n"/>
      <c r="H1262" s="41" t="n"/>
      <c r="I1262" s="42">
        <f>IF($H1262="","",MAX(0,$H1262-N($E1262)))</f>
        <v/>
      </c>
      <c r="J1262" s="42">
        <f>IF($H1262="","",MAX(0,$H1262-N($G1262)))</f>
        <v/>
      </c>
    </row>
    <row r="1263" ht="19.5" customHeight="1" s="72">
      <c r="A1263" s="38" t="inlineStr">
        <is>
          <t>GeneralM-SEM-P02-SBA</t>
        </is>
      </c>
      <c r="B1263" s="38" t="inlineStr">
        <is>
          <t>Semifinal</t>
        </is>
      </c>
      <c r="C1263" s="38" t="inlineStr">
        <is>
          <t>São Bento da Abadá</t>
        </is>
      </c>
      <c r="D1263" s="39">
        <f>IFERROR(CLASIF_General_M!$O$6,"")</f>
        <v/>
      </c>
      <c r="E1263" s="40" t="n"/>
      <c r="F1263" s="39">
        <f>IFERROR(CLASIF_General_M!$O$11,"")</f>
        <v/>
      </c>
      <c r="G1263" s="40" t="n"/>
      <c r="H1263" s="41" t="n"/>
      <c r="I1263" s="42">
        <f>IF($H1263="","",MAX(0,$H1263-N($E1263)))</f>
        <v/>
      </c>
      <c r="J1263" s="42">
        <f>IF($H1263="","",MAX(0,$H1263-N($G1263)))</f>
        <v/>
      </c>
    </row>
    <row r="1264" ht="19.5" customHeight="1" s="72">
      <c r="A1264" s="38" t="inlineStr">
        <is>
          <t>GeneralM-SEM-P02-SIR</t>
        </is>
      </c>
      <c r="B1264" s="38" t="inlineStr">
        <is>
          <t>Semifinal</t>
        </is>
      </c>
      <c r="C1264" s="38" t="inlineStr">
        <is>
          <t>Siriuna</t>
        </is>
      </c>
      <c r="D1264" s="39">
        <f>IFERROR(CLASIF_General_M!$O$6,"")</f>
        <v/>
      </c>
      <c r="E1264" s="40" t="n"/>
      <c r="F1264" s="39">
        <f>IFERROR(CLASIF_General_M!$O$11,"")</f>
        <v/>
      </c>
      <c r="G1264" s="40" t="n"/>
      <c r="H1264" s="41" t="n"/>
      <c r="I1264" s="42">
        <f>IF($H1264="","",MAX(0,$H1264-N($E1264)))</f>
        <v/>
      </c>
      <c r="J1264" s="42">
        <f>IF($H1264="","",MAX(0,$H1264-N($G1264)))</f>
        <v/>
      </c>
    </row>
    <row r="1265" ht="19.5" customHeight="1" s="72">
      <c r="A1265" s="38" t="inlineStr">
        <is>
          <t>GeneralM-SEM-P03-BEN</t>
        </is>
      </c>
      <c r="B1265" s="38" t="inlineStr">
        <is>
          <t>Semifinal</t>
        </is>
      </c>
      <c r="C1265" s="38" t="inlineStr">
        <is>
          <t>Benguela</t>
        </is>
      </c>
      <c r="D1265" s="39">
        <f>IFERROR(CLASIF_General_M!$O$7,"")</f>
        <v/>
      </c>
      <c r="E1265" s="40" t="n"/>
      <c r="F1265" s="39">
        <f>IFERROR(CLASIF_General_M!$O$10,"")</f>
        <v/>
      </c>
      <c r="G1265" s="40" t="n"/>
      <c r="H1265" s="41" t="n"/>
      <c r="I1265" s="42">
        <f>IF($H1265="","",MAX(0,$H1265-N($E1265)))</f>
        <v/>
      </c>
      <c r="J1265" s="42">
        <f>IF($H1265="","",MAX(0,$H1265-N($G1265)))</f>
        <v/>
      </c>
    </row>
    <row r="1266" ht="19.5" customHeight="1" s="72">
      <c r="A1266" s="38" t="inlineStr">
        <is>
          <t>GeneralM-SEM-P03-SBA</t>
        </is>
      </c>
      <c r="B1266" s="38" t="inlineStr">
        <is>
          <t>Semifinal</t>
        </is>
      </c>
      <c r="C1266" s="38" t="inlineStr">
        <is>
          <t>São Bento da Abadá</t>
        </is>
      </c>
      <c r="D1266" s="39">
        <f>IFERROR(CLASIF_General_M!$O$7,"")</f>
        <v/>
      </c>
      <c r="E1266" s="40" t="n"/>
      <c r="F1266" s="39">
        <f>IFERROR(CLASIF_General_M!$O$10,"")</f>
        <v/>
      </c>
      <c r="G1266" s="40" t="n"/>
      <c r="H1266" s="41" t="n"/>
      <c r="I1266" s="42">
        <f>IF($H1266="","",MAX(0,$H1266-N($E1266)))</f>
        <v/>
      </c>
      <c r="J1266" s="42">
        <f>IF($H1266="","",MAX(0,$H1266-N($G1266)))</f>
        <v/>
      </c>
    </row>
    <row r="1267" ht="19.5" customHeight="1" s="72">
      <c r="A1267" s="38" t="inlineStr">
        <is>
          <t>GeneralM-SEM-P03-SIR</t>
        </is>
      </c>
      <c r="B1267" s="38" t="inlineStr">
        <is>
          <t>Semifinal</t>
        </is>
      </c>
      <c r="C1267" s="38" t="inlineStr">
        <is>
          <t>Siriuna</t>
        </is>
      </c>
      <c r="D1267" s="39">
        <f>IFERROR(CLASIF_General_M!$O$7,"")</f>
        <v/>
      </c>
      <c r="E1267" s="40" t="n"/>
      <c r="F1267" s="39">
        <f>IFERROR(CLASIF_General_M!$O$10,"")</f>
        <v/>
      </c>
      <c r="G1267" s="40" t="n"/>
      <c r="H1267" s="41" t="n"/>
      <c r="I1267" s="42">
        <f>IF($H1267="","",MAX(0,$H1267-N($E1267)))</f>
        <v/>
      </c>
      <c r="J1267" s="42">
        <f>IF($H1267="","",MAX(0,$H1267-N($G1267)))</f>
        <v/>
      </c>
    </row>
    <row r="1268" ht="19.5" customHeight="1" s="72">
      <c r="A1268" s="38" t="inlineStr">
        <is>
          <t>GeneralM-SEM-P04-BEN</t>
        </is>
      </c>
      <c r="B1268" s="38" t="inlineStr">
        <is>
          <t>Semifinal</t>
        </is>
      </c>
      <c r="C1268" s="38" t="inlineStr">
        <is>
          <t>Benguela</t>
        </is>
      </c>
      <c r="D1268" s="39">
        <f>IFERROR(CLASIF_General_M!$O$8,"")</f>
        <v/>
      </c>
      <c r="E1268" s="40" t="n"/>
      <c r="F1268" s="39">
        <f>IFERROR(CLASIF_General_M!$O$9,"")</f>
        <v/>
      </c>
      <c r="G1268" s="40" t="n"/>
      <c r="H1268" s="41" t="n"/>
      <c r="I1268" s="42">
        <f>IF($H1268="","",MAX(0,$H1268-N($E1268)))</f>
        <v/>
      </c>
      <c r="J1268" s="42">
        <f>IF($H1268="","",MAX(0,$H1268-N($G1268)))</f>
        <v/>
      </c>
    </row>
    <row r="1269" ht="19.5" customHeight="1" s="72">
      <c r="A1269" s="38" t="inlineStr">
        <is>
          <t>GeneralM-SEM-P04-SBA</t>
        </is>
      </c>
      <c r="B1269" s="38" t="inlineStr">
        <is>
          <t>Semifinal</t>
        </is>
      </c>
      <c r="C1269" s="38" t="inlineStr">
        <is>
          <t>São Bento da Abadá</t>
        </is>
      </c>
      <c r="D1269" s="39">
        <f>IFERROR(CLASIF_General_M!$O$8,"")</f>
        <v/>
      </c>
      <c r="E1269" s="40" t="n"/>
      <c r="F1269" s="39">
        <f>IFERROR(CLASIF_General_M!$O$9,"")</f>
        <v/>
      </c>
      <c r="G1269" s="40" t="n"/>
      <c r="H1269" s="41" t="n"/>
      <c r="I1269" s="42">
        <f>IF($H1269="","",MAX(0,$H1269-N($E1269)))</f>
        <v/>
      </c>
      <c r="J1269" s="42">
        <f>IF($H1269="","",MAX(0,$H1269-N($G1269)))</f>
        <v/>
      </c>
    </row>
    <row r="1270" ht="19.5" customHeight="1" s="72">
      <c r="A1270" s="38" t="inlineStr">
        <is>
          <t>GeneralM-SEM-P04-SIR</t>
        </is>
      </c>
      <c r="B1270" s="38" t="inlineStr">
        <is>
          <t>Semifinal</t>
        </is>
      </c>
      <c r="C1270" s="38" t="inlineStr">
        <is>
          <t>Siriuna</t>
        </is>
      </c>
      <c r="D1270" s="39">
        <f>IFERROR(CLASIF_General_M!$O$8,"")</f>
        <v/>
      </c>
      <c r="E1270" s="40" t="n"/>
      <c r="F1270" s="39">
        <f>IFERROR(CLASIF_General_M!$O$9,"")</f>
        <v/>
      </c>
      <c r="G1270" s="40" t="n"/>
      <c r="H1270" s="41" t="n"/>
      <c r="I1270" s="42">
        <f>IF($H1270="","",MAX(0,$H1270-N($E1270)))</f>
        <v/>
      </c>
      <c r="J1270" s="42">
        <f>IF($H1270="","",MAX(0,$H1270-N($G1270)))</f>
        <v/>
      </c>
    </row>
    <row r="1271" ht="19.5" customHeight="1" s="72">
      <c r="A1271" s="38" t="inlineStr">
        <is>
          <t>GeneralM-FIN-P01-BEN</t>
        </is>
      </c>
      <c r="B1271" s="38" t="inlineStr">
        <is>
          <t>Final</t>
        </is>
      </c>
      <c r="C1271" s="38" t="inlineStr">
        <is>
          <t>Benguela</t>
        </is>
      </c>
      <c r="D1271" s="39">
        <f>IFERROR(CLASIF_General_M!$X$5,"")</f>
        <v/>
      </c>
      <c r="E1271" s="40" t="n"/>
      <c r="F1271" s="39">
        <f>IFERROR(CLASIF_General_M!$X$8,"")</f>
        <v/>
      </c>
      <c r="G1271" s="40" t="n"/>
      <c r="H1271" s="41" t="n"/>
      <c r="I1271" s="42">
        <f>IF($H1271="","",MAX(0,$H1271-N($E1271)))</f>
        <v/>
      </c>
      <c r="J1271" s="42">
        <f>IF($H1271="","",MAX(0,$H1271-N($G1271)))</f>
        <v/>
      </c>
    </row>
    <row r="1272" ht="19.5" customHeight="1" s="72">
      <c r="A1272" s="38" t="inlineStr">
        <is>
          <t>GeneralM-FIN-P01-SBA</t>
        </is>
      </c>
      <c r="B1272" s="38" t="inlineStr">
        <is>
          <t>Final</t>
        </is>
      </c>
      <c r="C1272" s="38" t="inlineStr">
        <is>
          <t>São Bento da Abadá</t>
        </is>
      </c>
      <c r="D1272" s="39">
        <f>IFERROR(CLASIF_General_M!$X$5,"")</f>
        <v/>
      </c>
      <c r="E1272" s="40" t="n"/>
      <c r="F1272" s="39">
        <f>IFERROR(CLASIF_General_M!$X$8,"")</f>
        <v/>
      </c>
      <c r="G1272" s="40" t="n"/>
      <c r="H1272" s="41" t="n"/>
      <c r="I1272" s="42">
        <f>IF($H1272="","",MAX(0,$H1272-N($E1272)))</f>
        <v/>
      </c>
      <c r="J1272" s="42">
        <f>IF($H1272="","",MAX(0,$H1272-N($G1272)))</f>
        <v/>
      </c>
    </row>
    <row r="1273" ht="19.5" customHeight="1" s="72">
      <c r="A1273" s="38" t="inlineStr">
        <is>
          <t>GeneralM-FIN-P01-SIR</t>
        </is>
      </c>
      <c r="B1273" s="38" t="inlineStr">
        <is>
          <t>Final</t>
        </is>
      </c>
      <c r="C1273" s="38" t="inlineStr">
        <is>
          <t>Siriuna</t>
        </is>
      </c>
      <c r="D1273" s="39">
        <f>IFERROR(CLASIF_General_M!$X$5,"")</f>
        <v/>
      </c>
      <c r="E1273" s="40" t="n"/>
      <c r="F1273" s="39">
        <f>IFERROR(CLASIF_General_M!$X$8,"")</f>
        <v/>
      </c>
      <c r="G1273" s="40" t="n"/>
      <c r="H1273" s="41" t="n"/>
      <c r="I1273" s="42">
        <f>IF($H1273="","",MAX(0,$H1273-N($E1273)))</f>
        <v/>
      </c>
      <c r="J1273" s="42">
        <f>IF($H1273="","",MAX(0,$H1273-N($G1273)))</f>
        <v/>
      </c>
    </row>
    <row r="1274" ht="19.5" customHeight="1" s="72">
      <c r="A1274" s="38" t="inlineStr">
        <is>
          <t>GeneralM-FIN-P02-BEN</t>
        </is>
      </c>
      <c r="B1274" s="38" t="inlineStr">
        <is>
          <t>Final</t>
        </is>
      </c>
      <c r="C1274" s="38" t="inlineStr">
        <is>
          <t>Benguela</t>
        </is>
      </c>
      <c r="D1274" s="39">
        <f>IFERROR(CLASIF_General_M!$X$6,"")</f>
        <v/>
      </c>
      <c r="E1274" s="40" t="n"/>
      <c r="F1274" s="39">
        <f>IFERROR(CLASIF_General_M!$X$7,"")</f>
        <v/>
      </c>
      <c r="G1274" s="40" t="n"/>
      <c r="H1274" s="41" t="n"/>
      <c r="I1274" s="42">
        <f>IF($H1274="","",MAX(0,$H1274-N($E1274)))</f>
        <v/>
      </c>
      <c r="J1274" s="42">
        <f>IF($H1274="","",MAX(0,$H1274-N($G1274)))</f>
        <v/>
      </c>
    </row>
    <row r="1275" ht="19.5" customHeight="1" s="72">
      <c r="A1275" s="38" t="inlineStr">
        <is>
          <t>GeneralM-FIN-P02-SBA</t>
        </is>
      </c>
      <c r="B1275" s="38" t="inlineStr">
        <is>
          <t>Final</t>
        </is>
      </c>
      <c r="C1275" s="38" t="inlineStr">
        <is>
          <t>São Bento da Abadá</t>
        </is>
      </c>
      <c r="D1275" s="39">
        <f>IFERROR(CLASIF_General_M!$X$6,"")</f>
        <v/>
      </c>
      <c r="E1275" s="40" t="n"/>
      <c r="F1275" s="39">
        <f>IFERROR(CLASIF_General_M!$X$7,"")</f>
        <v/>
      </c>
      <c r="G1275" s="40" t="n"/>
      <c r="H1275" s="41" t="n"/>
      <c r="I1275" s="42">
        <f>IF($H1275="","",MAX(0,$H1275-N($E1275)))</f>
        <v/>
      </c>
      <c r="J1275" s="42">
        <f>IF($H1275="","",MAX(0,$H1275-N($G1275)))</f>
        <v/>
      </c>
    </row>
    <row r="1276" ht="19.5" customHeight="1" s="72">
      <c r="A1276" s="38" t="inlineStr">
        <is>
          <t>GeneralM-FIN-P02-SIR</t>
        </is>
      </c>
      <c r="B1276" s="38" t="inlineStr">
        <is>
          <t>Final</t>
        </is>
      </c>
      <c r="C1276" s="38" t="inlineStr">
        <is>
          <t>Siriuna</t>
        </is>
      </c>
      <c r="D1276" s="39">
        <f>IFERROR(CLASIF_General_M!$X$6,"")</f>
        <v/>
      </c>
      <c r="E1276" s="40" t="n"/>
      <c r="F1276" s="39">
        <f>IFERROR(CLASIF_General_M!$X$7,"")</f>
        <v/>
      </c>
      <c r="G1276" s="40" t="n"/>
      <c r="H1276" s="41" t="n"/>
      <c r="I1276" s="42">
        <f>IF($H1276="","",MAX(0,$H1276-N($E1276)))</f>
        <v/>
      </c>
      <c r="J1276" s="42">
        <f>IF($H1276="","",MAX(0,$H1276-N($G1276)))</f>
        <v/>
      </c>
    </row>
    <row r="1277" ht="19.5" customHeight="1" s="72">
      <c r="A1277" s="43" t="n"/>
      <c r="B1277" s="43" t="n"/>
      <c r="C1277" s="43" t="n"/>
      <c r="D1277" s="43" t="n"/>
      <c r="E1277" s="43" t="n"/>
      <c r="F1277" s="43" t="n"/>
      <c r="G1277" s="43" t="n"/>
      <c r="H1277" s="44" t="n"/>
      <c r="I1277" s="43">
        <f>IF($H1277="","",MAX(0,$H1277-N($E1277)))</f>
        <v/>
      </c>
      <c r="J1277" s="43">
        <f>IF($H1277="","",MAX(0,$H1277-N($G1277)))</f>
        <v/>
      </c>
    </row>
    <row r="1278" ht="19.5" customHeight="1" s="72">
      <c r="A1278" s="87" t="inlineStr">
        <is>
          <t>═══ CATEGORÍA General · Femenino · Todas · Toques: Benguela, São Bento da Abadá, Siriuna ═══</t>
        </is>
      </c>
    </row>
    <row r="1279" ht="19.5" customHeight="1" s="72">
      <c r="A1279" s="45" t="inlineStr">
        <is>
          <t>Jogo</t>
        </is>
      </c>
      <c r="B1279" s="45" t="inlineStr">
        <is>
          <t>Fase</t>
        </is>
      </c>
      <c r="C1279" s="45" t="inlineStr">
        <is>
          <t>Toque</t>
        </is>
      </c>
      <c r="D1279" s="45" t="inlineStr">
        <is>
          <t>Jugador A</t>
        </is>
      </c>
      <c r="E1279" s="45" t="inlineStr">
        <is>
          <t>Quita A</t>
        </is>
      </c>
      <c r="F1279" s="45" t="inlineStr">
        <is>
          <t>Jugador B</t>
        </is>
      </c>
      <c r="G1279" s="45" t="inlineStr">
        <is>
          <t>Quita B</t>
        </is>
      </c>
      <c r="H1279" s="45" t="inlineStr">
        <is>
          <t>NOTA (0-5)</t>
        </is>
      </c>
      <c r="I1279" s="45">
        <f>IF($H1279="","",MAX(0,$H1279-N($E1279)))</f>
        <v/>
      </c>
      <c r="J1279" s="45">
        <f>IF($H1279="","",MAX(0,$H1279-N($G1279)))</f>
        <v/>
      </c>
    </row>
    <row r="1280" ht="19.5" customHeight="1" s="72">
      <c r="A1280" s="38" t="inlineStr">
        <is>
          <t>GeneralF-32-P01-BEN</t>
        </is>
      </c>
      <c r="B1280" s="38" t="inlineStr">
        <is>
          <t>Fase 32</t>
        </is>
      </c>
      <c r="C1280" s="38" t="inlineStr">
        <is>
          <t>Benguela</t>
        </is>
      </c>
      <c r="D1280" s="39" t="inlineStr">
        <is>
          <t>A_General_F_32_P1</t>
        </is>
      </c>
      <c r="E1280" s="40" t="n"/>
      <c r="F1280" s="39" t="inlineStr">
        <is>
          <t>B_General_F_32_P1</t>
        </is>
      </c>
      <c r="G1280" s="40" t="n"/>
      <c r="H1280" s="41" t="n"/>
      <c r="I1280" s="42">
        <f>IF($H1280="","",MAX(0,$H1280-N($E1280)))</f>
        <v/>
      </c>
      <c r="J1280" s="42">
        <f>IF($H1280="","",MAX(0,$H1280-N($G1280)))</f>
        <v/>
      </c>
    </row>
    <row r="1281" ht="19.5" customHeight="1" s="72">
      <c r="A1281" s="38" t="inlineStr">
        <is>
          <t>GeneralF-32-P01-SBA</t>
        </is>
      </c>
      <c r="B1281" s="38" t="inlineStr">
        <is>
          <t>Fase 32</t>
        </is>
      </c>
      <c r="C1281" s="38" t="inlineStr">
        <is>
          <t>São Bento da Abadá</t>
        </is>
      </c>
      <c r="D1281" s="39" t="inlineStr">
        <is>
          <t>A_General_F_32_P1</t>
        </is>
      </c>
      <c r="E1281" s="40" t="n"/>
      <c r="F1281" s="39" t="inlineStr">
        <is>
          <t>B_General_F_32_P1</t>
        </is>
      </c>
      <c r="G1281" s="40" t="n"/>
      <c r="H1281" s="41" t="n"/>
      <c r="I1281" s="42">
        <f>IF($H1281="","",MAX(0,$H1281-N($E1281)))</f>
        <v/>
      </c>
      <c r="J1281" s="42">
        <f>IF($H1281="","",MAX(0,$H1281-N($G1281)))</f>
        <v/>
      </c>
    </row>
    <row r="1282" ht="19.5" customHeight="1" s="72">
      <c r="A1282" s="38" t="inlineStr">
        <is>
          <t>GeneralF-32-P01-SIR</t>
        </is>
      </c>
      <c r="B1282" s="38" t="inlineStr">
        <is>
          <t>Fase 32</t>
        </is>
      </c>
      <c r="C1282" s="38" t="inlineStr">
        <is>
          <t>Siriuna</t>
        </is>
      </c>
      <c r="D1282" s="39" t="inlineStr">
        <is>
          <t>A_General_F_32_P1</t>
        </is>
      </c>
      <c r="E1282" s="40" t="n"/>
      <c r="F1282" s="39" t="inlineStr">
        <is>
          <t>B_General_F_32_P1</t>
        </is>
      </c>
      <c r="G1282" s="40" t="n"/>
      <c r="H1282" s="41" t="n"/>
      <c r="I1282" s="42">
        <f>IF($H1282="","",MAX(0,$H1282-N($E1282)))</f>
        <v/>
      </c>
      <c r="J1282" s="42">
        <f>IF($H1282="","",MAX(0,$H1282-N($G1282)))</f>
        <v/>
      </c>
    </row>
    <row r="1283" ht="19.5" customHeight="1" s="72">
      <c r="A1283" s="38" t="inlineStr">
        <is>
          <t>GeneralF-32-P02-BEN</t>
        </is>
      </c>
      <c r="B1283" s="38" t="inlineStr">
        <is>
          <t>Fase 32</t>
        </is>
      </c>
      <c r="C1283" s="38" t="inlineStr">
        <is>
          <t>Benguela</t>
        </is>
      </c>
      <c r="D1283" s="39" t="inlineStr">
        <is>
          <t>A_General_F_32_P2</t>
        </is>
      </c>
      <c r="E1283" s="40" t="n"/>
      <c r="F1283" s="39" t="inlineStr">
        <is>
          <t>B_General_F_32_P2</t>
        </is>
      </c>
      <c r="G1283" s="40" t="n"/>
      <c r="H1283" s="41" t="n"/>
      <c r="I1283" s="42">
        <f>IF($H1283="","",MAX(0,$H1283-N($E1283)))</f>
        <v/>
      </c>
      <c r="J1283" s="42">
        <f>IF($H1283="","",MAX(0,$H1283-N($G1283)))</f>
        <v/>
      </c>
    </row>
    <row r="1284" ht="19.5" customHeight="1" s="72">
      <c r="A1284" s="38" t="inlineStr">
        <is>
          <t>GeneralF-32-P02-SBA</t>
        </is>
      </c>
      <c r="B1284" s="38" t="inlineStr">
        <is>
          <t>Fase 32</t>
        </is>
      </c>
      <c r="C1284" s="38" t="inlineStr">
        <is>
          <t>São Bento da Abadá</t>
        </is>
      </c>
      <c r="D1284" s="39" t="inlineStr">
        <is>
          <t>A_General_F_32_P2</t>
        </is>
      </c>
      <c r="E1284" s="40" t="n"/>
      <c r="F1284" s="39" t="inlineStr">
        <is>
          <t>B_General_F_32_P2</t>
        </is>
      </c>
      <c r="G1284" s="40" t="n"/>
      <c r="H1284" s="41" t="n"/>
      <c r="I1284" s="42">
        <f>IF($H1284="","",MAX(0,$H1284-N($E1284)))</f>
        <v/>
      </c>
      <c r="J1284" s="42">
        <f>IF($H1284="","",MAX(0,$H1284-N($G1284)))</f>
        <v/>
      </c>
    </row>
    <row r="1285" ht="19.5" customHeight="1" s="72">
      <c r="A1285" s="38" t="inlineStr">
        <is>
          <t>GeneralF-32-P02-SIR</t>
        </is>
      </c>
      <c r="B1285" s="38" t="inlineStr">
        <is>
          <t>Fase 32</t>
        </is>
      </c>
      <c r="C1285" s="38" t="inlineStr">
        <is>
          <t>Siriuna</t>
        </is>
      </c>
      <c r="D1285" s="39" t="inlineStr">
        <is>
          <t>A_General_F_32_P2</t>
        </is>
      </c>
      <c r="E1285" s="40" t="n"/>
      <c r="F1285" s="39" t="inlineStr">
        <is>
          <t>B_General_F_32_P2</t>
        </is>
      </c>
      <c r="G1285" s="40" t="n"/>
      <c r="H1285" s="41" t="n"/>
      <c r="I1285" s="42">
        <f>IF($H1285="","",MAX(0,$H1285-N($E1285)))</f>
        <v/>
      </c>
      <c r="J1285" s="42">
        <f>IF($H1285="","",MAX(0,$H1285-N($G1285)))</f>
        <v/>
      </c>
    </row>
    <row r="1286" ht="19.5" customHeight="1" s="72">
      <c r="A1286" s="38" t="inlineStr">
        <is>
          <t>GeneralF-32-P03-BEN</t>
        </is>
      </c>
      <c r="B1286" s="38" t="inlineStr">
        <is>
          <t>Fase 32</t>
        </is>
      </c>
      <c r="C1286" s="38" t="inlineStr">
        <is>
          <t>Benguela</t>
        </is>
      </c>
      <c r="D1286" s="39" t="inlineStr">
        <is>
          <t>A_General_F_32_P3</t>
        </is>
      </c>
      <c r="E1286" s="40" t="n"/>
      <c r="F1286" s="39" t="inlineStr">
        <is>
          <t>B_General_F_32_P3</t>
        </is>
      </c>
      <c r="G1286" s="40" t="n"/>
      <c r="H1286" s="41" t="n"/>
      <c r="I1286" s="42">
        <f>IF($H1286="","",MAX(0,$H1286-N($E1286)))</f>
        <v/>
      </c>
      <c r="J1286" s="42">
        <f>IF($H1286="","",MAX(0,$H1286-N($G1286)))</f>
        <v/>
      </c>
    </row>
    <row r="1287" ht="19.5" customHeight="1" s="72">
      <c r="A1287" s="38" t="inlineStr">
        <is>
          <t>GeneralF-32-P03-SBA</t>
        </is>
      </c>
      <c r="B1287" s="38" t="inlineStr">
        <is>
          <t>Fase 32</t>
        </is>
      </c>
      <c r="C1287" s="38" t="inlineStr">
        <is>
          <t>São Bento da Abadá</t>
        </is>
      </c>
      <c r="D1287" s="39" t="inlineStr">
        <is>
          <t>A_General_F_32_P3</t>
        </is>
      </c>
      <c r="E1287" s="40" t="n"/>
      <c r="F1287" s="39" t="inlineStr">
        <is>
          <t>B_General_F_32_P3</t>
        </is>
      </c>
      <c r="G1287" s="40" t="n"/>
      <c r="H1287" s="41" t="n"/>
      <c r="I1287" s="42">
        <f>IF($H1287="","",MAX(0,$H1287-N($E1287)))</f>
        <v/>
      </c>
      <c r="J1287" s="42">
        <f>IF($H1287="","",MAX(0,$H1287-N($G1287)))</f>
        <v/>
      </c>
    </row>
    <row r="1288" ht="19.5" customHeight="1" s="72">
      <c r="A1288" s="38" t="inlineStr">
        <is>
          <t>GeneralF-32-P03-SIR</t>
        </is>
      </c>
      <c r="B1288" s="38" t="inlineStr">
        <is>
          <t>Fase 32</t>
        </is>
      </c>
      <c r="C1288" s="38" t="inlineStr">
        <is>
          <t>Siriuna</t>
        </is>
      </c>
      <c r="D1288" s="39" t="inlineStr">
        <is>
          <t>A_General_F_32_P3</t>
        </is>
      </c>
      <c r="E1288" s="40" t="n"/>
      <c r="F1288" s="39" t="inlineStr">
        <is>
          <t>B_General_F_32_P3</t>
        </is>
      </c>
      <c r="G1288" s="40" t="n"/>
      <c r="H1288" s="41" t="n"/>
      <c r="I1288" s="42">
        <f>IF($H1288="","",MAX(0,$H1288-N($E1288)))</f>
        <v/>
      </c>
      <c r="J1288" s="42">
        <f>IF($H1288="","",MAX(0,$H1288-N($G1288)))</f>
        <v/>
      </c>
    </row>
    <row r="1289" ht="19.5" customHeight="1" s="72">
      <c r="A1289" s="38" t="inlineStr">
        <is>
          <t>GeneralF-32-P04-BEN</t>
        </is>
      </c>
      <c r="B1289" s="38" t="inlineStr">
        <is>
          <t>Fase 32</t>
        </is>
      </c>
      <c r="C1289" s="38" t="inlineStr">
        <is>
          <t>Benguela</t>
        </is>
      </c>
      <c r="D1289" s="39" t="inlineStr">
        <is>
          <t>A_General_F_32_P4</t>
        </is>
      </c>
      <c r="E1289" s="40" t="n"/>
      <c r="F1289" s="39" t="inlineStr">
        <is>
          <t>B_General_F_32_P4</t>
        </is>
      </c>
      <c r="G1289" s="40" t="n"/>
      <c r="H1289" s="41" t="n"/>
      <c r="I1289" s="42">
        <f>IF($H1289="","",MAX(0,$H1289-N($E1289)))</f>
        <v/>
      </c>
      <c r="J1289" s="42">
        <f>IF($H1289="","",MAX(0,$H1289-N($G1289)))</f>
        <v/>
      </c>
    </row>
    <row r="1290" ht="19.5" customHeight="1" s="72">
      <c r="A1290" s="38" t="inlineStr">
        <is>
          <t>GeneralF-32-P04-SBA</t>
        </is>
      </c>
      <c r="B1290" s="38" t="inlineStr">
        <is>
          <t>Fase 32</t>
        </is>
      </c>
      <c r="C1290" s="38" t="inlineStr">
        <is>
          <t>São Bento da Abadá</t>
        </is>
      </c>
      <c r="D1290" s="39" t="inlineStr">
        <is>
          <t>A_General_F_32_P4</t>
        </is>
      </c>
      <c r="E1290" s="40" t="n"/>
      <c r="F1290" s="39" t="inlineStr">
        <is>
          <t>B_General_F_32_P4</t>
        </is>
      </c>
      <c r="G1290" s="40" t="n"/>
      <c r="H1290" s="41" t="n"/>
      <c r="I1290" s="42">
        <f>IF($H1290="","",MAX(0,$H1290-N($E1290)))</f>
        <v/>
      </c>
      <c r="J1290" s="42">
        <f>IF($H1290="","",MAX(0,$H1290-N($G1290)))</f>
        <v/>
      </c>
    </row>
    <row r="1291" ht="19.5" customHeight="1" s="72">
      <c r="A1291" s="38" t="inlineStr">
        <is>
          <t>GeneralF-32-P04-SIR</t>
        </is>
      </c>
      <c r="B1291" s="38" t="inlineStr">
        <is>
          <t>Fase 32</t>
        </is>
      </c>
      <c r="C1291" s="38" t="inlineStr">
        <is>
          <t>Siriuna</t>
        </is>
      </c>
      <c r="D1291" s="39" t="inlineStr">
        <is>
          <t>A_General_F_32_P4</t>
        </is>
      </c>
      <c r="E1291" s="40" t="n"/>
      <c r="F1291" s="39" t="inlineStr">
        <is>
          <t>B_General_F_32_P4</t>
        </is>
      </c>
      <c r="G1291" s="40" t="n"/>
      <c r="H1291" s="41" t="n"/>
      <c r="I1291" s="42">
        <f>IF($H1291="","",MAX(0,$H1291-N($E1291)))</f>
        <v/>
      </c>
      <c r="J1291" s="42">
        <f>IF($H1291="","",MAX(0,$H1291-N($G1291)))</f>
        <v/>
      </c>
    </row>
    <row r="1292" ht="19.5" customHeight="1" s="72">
      <c r="A1292" s="38" t="inlineStr">
        <is>
          <t>GeneralF-32-P05-BEN</t>
        </is>
      </c>
      <c r="B1292" s="38" t="inlineStr">
        <is>
          <t>Fase 32</t>
        </is>
      </c>
      <c r="C1292" s="38" t="inlineStr">
        <is>
          <t>Benguela</t>
        </is>
      </c>
      <c r="D1292" s="39" t="inlineStr">
        <is>
          <t>A_General_F_32_P5</t>
        </is>
      </c>
      <c r="E1292" s="40" t="n"/>
      <c r="F1292" s="39" t="inlineStr">
        <is>
          <t>B_General_F_32_P5</t>
        </is>
      </c>
      <c r="G1292" s="40" t="n"/>
      <c r="H1292" s="41" t="n"/>
      <c r="I1292" s="42">
        <f>IF($H1292="","",MAX(0,$H1292-N($E1292)))</f>
        <v/>
      </c>
      <c r="J1292" s="42">
        <f>IF($H1292="","",MAX(0,$H1292-N($G1292)))</f>
        <v/>
      </c>
    </row>
    <row r="1293" ht="19.5" customHeight="1" s="72">
      <c r="A1293" s="38" t="inlineStr">
        <is>
          <t>GeneralF-32-P05-SBA</t>
        </is>
      </c>
      <c r="B1293" s="38" t="inlineStr">
        <is>
          <t>Fase 32</t>
        </is>
      </c>
      <c r="C1293" s="38" t="inlineStr">
        <is>
          <t>São Bento da Abadá</t>
        </is>
      </c>
      <c r="D1293" s="39" t="inlineStr">
        <is>
          <t>A_General_F_32_P5</t>
        </is>
      </c>
      <c r="E1293" s="40" t="n"/>
      <c r="F1293" s="39" t="inlineStr">
        <is>
          <t>B_General_F_32_P5</t>
        </is>
      </c>
      <c r="G1293" s="40" t="n"/>
      <c r="H1293" s="41" t="n"/>
      <c r="I1293" s="42">
        <f>IF($H1293="","",MAX(0,$H1293-N($E1293)))</f>
        <v/>
      </c>
      <c r="J1293" s="42">
        <f>IF($H1293="","",MAX(0,$H1293-N($G1293)))</f>
        <v/>
      </c>
    </row>
    <row r="1294" ht="19.5" customHeight="1" s="72">
      <c r="A1294" s="38" t="inlineStr">
        <is>
          <t>GeneralF-32-P05-SIR</t>
        </is>
      </c>
      <c r="B1294" s="38" t="inlineStr">
        <is>
          <t>Fase 32</t>
        </is>
      </c>
      <c r="C1294" s="38" t="inlineStr">
        <is>
          <t>Siriuna</t>
        </is>
      </c>
      <c r="D1294" s="39" t="inlineStr">
        <is>
          <t>A_General_F_32_P5</t>
        </is>
      </c>
      <c r="E1294" s="40" t="n"/>
      <c r="F1294" s="39" t="inlineStr">
        <is>
          <t>B_General_F_32_P5</t>
        </is>
      </c>
      <c r="G1294" s="40" t="n"/>
      <c r="H1294" s="41" t="n"/>
      <c r="I1294" s="42">
        <f>IF($H1294="","",MAX(0,$H1294-N($E1294)))</f>
        <v/>
      </c>
      <c r="J1294" s="42">
        <f>IF($H1294="","",MAX(0,$H1294-N($G1294)))</f>
        <v/>
      </c>
    </row>
    <row r="1295" ht="19.5" customHeight="1" s="72">
      <c r="A1295" s="38" t="inlineStr">
        <is>
          <t>GeneralF-32-P06-BEN</t>
        </is>
      </c>
      <c r="B1295" s="38" t="inlineStr">
        <is>
          <t>Fase 32</t>
        </is>
      </c>
      <c r="C1295" s="38" t="inlineStr">
        <is>
          <t>Benguela</t>
        </is>
      </c>
      <c r="D1295" s="39" t="inlineStr">
        <is>
          <t>A_General_F_32_P6</t>
        </is>
      </c>
      <c r="E1295" s="40" t="n"/>
      <c r="F1295" s="39" t="inlineStr">
        <is>
          <t>B_General_F_32_P6</t>
        </is>
      </c>
      <c r="G1295" s="40" t="n"/>
      <c r="H1295" s="41" t="n"/>
      <c r="I1295" s="42">
        <f>IF($H1295="","",MAX(0,$H1295-N($E1295)))</f>
        <v/>
      </c>
      <c r="J1295" s="42">
        <f>IF($H1295="","",MAX(0,$H1295-N($G1295)))</f>
        <v/>
      </c>
    </row>
    <row r="1296" ht="19.5" customHeight="1" s="72">
      <c r="A1296" s="38" t="inlineStr">
        <is>
          <t>GeneralF-32-P06-SBA</t>
        </is>
      </c>
      <c r="B1296" s="38" t="inlineStr">
        <is>
          <t>Fase 32</t>
        </is>
      </c>
      <c r="C1296" s="38" t="inlineStr">
        <is>
          <t>São Bento da Abadá</t>
        </is>
      </c>
      <c r="D1296" s="39" t="inlineStr">
        <is>
          <t>A_General_F_32_P6</t>
        </is>
      </c>
      <c r="E1296" s="40" t="n"/>
      <c r="F1296" s="39" t="inlineStr">
        <is>
          <t>B_General_F_32_P6</t>
        </is>
      </c>
      <c r="G1296" s="40" t="n"/>
      <c r="H1296" s="41" t="n"/>
      <c r="I1296" s="42">
        <f>IF($H1296="","",MAX(0,$H1296-N($E1296)))</f>
        <v/>
      </c>
      <c r="J1296" s="42">
        <f>IF($H1296="","",MAX(0,$H1296-N($G1296)))</f>
        <v/>
      </c>
    </row>
    <row r="1297" ht="19.5" customHeight="1" s="72">
      <c r="A1297" s="38" t="inlineStr">
        <is>
          <t>GeneralF-32-P06-SIR</t>
        </is>
      </c>
      <c r="B1297" s="38" t="inlineStr">
        <is>
          <t>Fase 32</t>
        </is>
      </c>
      <c r="C1297" s="38" t="inlineStr">
        <is>
          <t>Siriuna</t>
        </is>
      </c>
      <c r="D1297" s="39" t="inlineStr">
        <is>
          <t>A_General_F_32_P6</t>
        </is>
      </c>
      <c r="E1297" s="40" t="n"/>
      <c r="F1297" s="39" t="inlineStr">
        <is>
          <t>B_General_F_32_P6</t>
        </is>
      </c>
      <c r="G1297" s="40" t="n"/>
      <c r="H1297" s="41" t="n"/>
      <c r="I1297" s="42">
        <f>IF($H1297="","",MAX(0,$H1297-N($E1297)))</f>
        <v/>
      </c>
      <c r="J1297" s="42">
        <f>IF($H1297="","",MAX(0,$H1297-N($G1297)))</f>
        <v/>
      </c>
    </row>
    <row r="1298" ht="19.5" customHeight="1" s="72">
      <c r="A1298" s="38" t="inlineStr">
        <is>
          <t>GeneralF-32-P07-BEN</t>
        </is>
      </c>
      <c r="B1298" s="38" t="inlineStr">
        <is>
          <t>Fase 32</t>
        </is>
      </c>
      <c r="C1298" s="38" t="inlineStr">
        <is>
          <t>Benguela</t>
        </is>
      </c>
      <c r="D1298" s="39" t="inlineStr">
        <is>
          <t>A_General_F_32_P7</t>
        </is>
      </c>
      <c r="E1298" s="40" t="n"/>
      <c r="F1298" s="39" t="inlineStr">
        <is>
          <t>B_General_F_32_P7</t>
        </is>
      </c>
      <c r="G1298" s="40" t="n"/>
      <c r="H1298" s="41" t="n"/>
      <c r="I1298" s="42">
        <f>IF($H1298="","",MAX(0,$H1298-N($E1298)))</f>
        <v/>
      </c>
      <c r="J1298" s="42">
        <f>IF($H1298="","",MAX(0,$H1298-N($G1298)))</f>
        <v/>
      </c>
    </row>
    <row r="1299" ht="19.5" customHeight="1" s="72">
      <c r="A1299" s="38" t="inlineStr">
        <is>
          <t>GeneralF-32-P07-SBA</t>
        </is>
      </c>
      <c r="B1299" s="38" t="inlineStr">
        <is>
          <t>Fase 32</t>
        </is>
      </c>
      <c r="C1299" s="38" t="inlineStr">
        <is>
          <t>São Bento da Abadá</t>
        </is>
      </c>
      <c r="D1299" s="39" t="inlineStr">
        <is>
          <t>A_General_F_32_P7</t>
        </is>
      </c>
      <c r="E1299" s="40" t="n"/>
      <c r="F1299" s="39" t="inlineStr">
        <is>
          <t>B_General_F_32_P7</t>
        </is>
      </c>
      <c r="G1299" s="40" t="n"/>
      <c r="H1299" s="41" t="n"/>
      <c r="I1299" s="42">
        <f>IF($H1299="","",MAX(0,$H1299-N($E1299)))</f>
        <v/>
      </c>
      <c r="J1299" s="42">
        <f>IF($H1299="","",MAX(0,$H1299-N($G1299)))</f>
        <v/>
      </c>
    </row>
    <row r="1300" ht="19.5" customHeight="1" s="72">
      <c r="A1300" s="38" t="inlineStr">
        <is>
          <t>GeneralF-32-P07-SIR</t>
        </is>
      </c>
      <c r="B1300" s="38" t="inlineStr">
        <is>
          <t>Fase 32</t>
        </is>
      </c>
      <c r="C1300" s="38" t="inlineStr">
        <is>
          <t>Siriuna</t>
        </is>
      </c>
      <c r="D1300" s="39" t="inlineStr">
        <is>
          <t>A_General_F_32_P7</t>
        </is>
      </c>
      <c r="E1300" s="40" t="n"/>
      <c r="F1300" s="39" t="inlineStr">
        <is>
          <t>B_General_F_32_P7</t>
        </is>
      </c>
      <c r="G1300" s="40" t="n"/>
      <c r="H1300" s="41" t="n"/>
      <c r="I1300" s="42">
        <f>IF($H1300="","",MAX(0,$H1300-N($E1300)))</f>
        <v/>
      </c>
      <c r="J1300" s="42">
        <f>IF($H1300="","",MAX(0,$H1300-N($G1300)))</f>
        <v/>
      </c>
    </row>
    <row r="1301" ht="19.5" customHeight="1" s="72">
      <c r="A1301" s="38" t="inlineStr">
        <is>
          <t>GeneralF-32-P08-BEN</t>
        </is>
      </c>
      <c r="B1301" s="38" t="inlineStr">
        <is>
          <t>Fase 32</t>
        </is>
      </c>
      <c r="C1301" s="38" t="inlineStr">
        <is>
          <t>Benguela</t>
        </is>
      </c>
      <c r="D1301" s="39" t="inlineStr">
        <is>
          <t>A_General_F_32_P8</t>
        </is>
      </c>
      <c r="E1301" s="40" t="n"/>
      <c r="F1301" s="39" t="inlineStr">
        <is>
          <t>B_General_F_32_P8</t>
        </is>
      </c>
      <c r="G1301" s="40" t="n"/>
      <c r="H1301" s="41" t="n"/>
      <c r="I1301" s="42">
        <f>IF($H1301="","",MAX(0,$H1301-N($E1301)))</f>
        <v/>
      </c>
      <c r="J1301" s="42">
        <f>IF($H1301="","",MAX(0,$H1301-N($G1301)))</f>
        <v/>
      </c>
    </row>
    <row r="1302" ht="19.5" customHeight="1" s="72">
      <c r="A1302" s="38" t="inlineStr">
        <is>
          <t>GeneralF-32-P08-SBA</t>
        </is>
      </c>
      <c r="B1302" s="38" t="inlineStr">
        <is>
          <t>Fase 32</t>
        </is>
      </c>
      <c r="C1302" s="38" t="inlineStr">
        <is>
          <t>São Bento da Abadá</t>
        </is>
      </c>
      <c r="D1302" s="39" t="inlineStr">
        <is>
          <t>A_General_F_32_P8</t>
        </is>
      </c>
      <c r="E1302" s="40" t="n"/>
      <c r="F1302" s="39" t="inlineStr">
        <is>
          <t>B_General_F_32_P8</t>
        </is>
      </c>
      <c r="G1302" s="40" t="n"/>
      <c r="H1302" s="41" t="n"/>
      <c r="I1302" s="42">
        <f>IF($H1302="","",MAX(0,$H1302-N($E1302)))</f>
        <v/>
      </c>
      <c r="J1302" s="42">
        <f>IF($H1302="","",MAX(0,$H1302-N($G1302)))</f>
        <v/>
      </c>
    </row>
    <row r="1303" ht="19.5" customHeight="1" s="72">
      <c r="A1303" s="38" t="inlineStr">
        <is>
          <t>GeneralF-32-P08-SIR</t>
        </is>
      </c>
      <c r="B1303" s="38" t="inlineStr">
        <is>
          <t>Fase 32</t>
        </is>
      </c>
      <c r="C1303" s="38" t="inlineStr">
        <is>
          <t>Siriuna</t>
        </is>
      </c>
      <c r="D1303" s="39" t="inlineStr">
        <is>
          <t>A_General_F_32_P8</t>
        </is>
      </c>
      <c r="E1303" s="40" t="n"/>
      <c r="F1303" s="39" t="inlineStr">
        <is>
          <t>B_General_F_32_P8</t>
        </is>
      </c>
      <c r="G1303" s="40" t="n"/>
      <c r="H1303" s="41" t="n"/>
      <c r="I1303" s="42">
        <f>IF($H1303="","",MAX(0,$H1303-N($E1303)))</f>
        <v/>
      </c>
      <c r="J1303" s="42">
        <f>IF($H1303="","",MAX(0,$H1303-N($G1303)))</f>
        <v/>
      </c>
    </row>
    <row r="1304" ht="19.5" customHeight="1" s="72">
      <c r="A1304" s="38" t="inlineStr">
        <is>
          <t>GeneralF-32-P09-BEN</t>
        </is>
      </c>
      <c r="B1304" s="38" t="inlineStr">
        <is>
          <t>Fase 32</t>
        </is>
      </c>
      <c r="C1304" s="38" t="inlineStr">
        <is>
          <t>Benguela</t>
        </is>
      </c>
      <c r="D1304" s="39" t="inlineStr">
        <is>
          <t>A_General_F_32_P9</t>
        </is>
      </c>
      <c r="E1304" s="40" t="n"/>
      <c r="F1304" s="39" t="inlineStr">
        <is>
          <t>B_General_F_32_P9</t>
        </is>
      </c>
      <c r="G1304" s="40" t="n"/>
      <c r="H1304" s="41" t="n"/>
      <c r="I1304" s="42">
        <f>IF($H1304="","",MAX(0,$H1304-N($E1304)))</f>
        <v/>
      </c>
      <c r="J1304" s="42">
        <f>IF($H1304="","",MAX(0,$H1304-N($G1304)))</f>
        <v/>
      </c>
    </row>
    <row r="1305" ht="19.5" customHeight="1" s="72">
      <c r="A1305" s="38" t="inlineStr">
        <is>
          <t>GeneralF-32-P09-SBA</t>
        </is>
      </c>
      <c r="B1305" s="38" t="inlineStr">
        <is>
          <t>Fase 32</t>
        </is>
      </c>
      <c r="C1305" s="38" t="inlineStr">
        <is>
          <t>São Bento da Abadá</t>
        </is>
      </c>
      <c r="D1305" s="39" t="inlineStr">
        <is>
          <t>A_General_F_32_P9</t>
        </is>
      </c>
      <c r="E1305" s="40" t="n"/>
      <c r="F1305" s="39" t="inlineStr">
        <is>
          <t>B_General_F_32_P9</t>
        </is>
      </c>
      <c r="G1305" s="40" t="n"/>
      <c r="H1305" s="41" t="n"/>
      <c r="I1305" s="42">
        <f>IF($H1305="","",MAX(0,$H1305-N($E1305)))</f>
        <v/>
      </c>
      <c r="J1305" s="42">
        <f>IF($H1305="","",MAX(0,$H1305-N($G1305)))</f>
        <v/>
      </c>
    </row>
    <row r="1306" ht="19.5" customHeight="1" s="72">
      <c r="A1306" s="38" t="inlineStr">
        <is>
          <t>GeneralF-32-P09-SIR</t>
        </is>
      </c>
      <c r="B1306" s="38" t="inlineStr">
        <is>
          <t>Fase 32</t>
        </is>
      </c>
      <c r="C1306" s="38" t="inlineStr">
        <is>
          <t>Siriuna</t>
        </is>
      </c>
      <c r="D1306" s="39" t="inlineStr">
        <is>
          <t>A_General_F_32_P9</t>
        </is>
      </c>
      <c r="E1306" s="40" t="n"/>
      <c r="F1306" s="39" t="inlineStr">
        <is>
          <t>B_General_F_32_P9</t>
        </is>
      </c>
      <c r="G1306" s="40" t="n"/>
      <c r="H1306" s="41" t="n"/>
      <c r="I1306" s="42">
        <f>IF($H1306="","",MAX(0,$H1306-N($E1306)))</f>
        <v/>
      </c>
      <c r="J1306" s="42">
        <f>IF($H1306="","",MAX(0,$H1306-N($G1306)))</f>
        <v/>
      </c>
    </row>
    <row r="1307" ht="19.5" customHeight="1" s="72">
      <c r="A1307" s="38" t="inlineStr">
        <is>
          <t>GeneralF-32-P10-BEN</t>
        </is>
      </c>
      <c r="B1307" s="38" t="inlineStr">
        <is>
          <t>Fase 32</t>
        </is>
      </c>
      <c r="C1307" s="38" t="inlineStr">
        <is>
          <t>Benguela</t>
        </is>
      </c>
      <c r="D1307" s="39" t="inlineStr">
        <is>
          <t>A_General_F_32_P10</t>
        </is>
      </c>
      <c r="E1307" s="40" t="n"/>
      <c r="F1307" s="39" t="inlineStr">
        <is>
          <t>B_General_F_32_P10</t>
        </is>
      </c>
      <c r="G1307" s="40" t="n"/>
      <c r="H1307" s="41" t="n"/>
      <c r="I1307" s="42">
        <f>IF($H1307="","",MAX(0,$H1307-N($E1307)))</f>
        <v/>
      </c>
      <c r="J1307" s="42">
        <f>IF($H1307="","",MAX(0,$H1307-N($G1307)))</f>
        <v/>
      </c>
    </row>
    <row r="1308" ht="19.5" customHeight="1" s="72">
      <c r="A1308" s="38" t="inlineStr">
        <is>
          <t>GeneralF-32-P10-SBA</t>
        </is>
      </c>
      <c r="B1308" s="38" t="inlineStr">
        <is>
          <t>Fase 32</t>
        </is>
      </c>
      <c r="C1308" s="38" t="inlineStr">
        <is>
          <t>São Bento da Abadá</t>
        </is>
      </c>
      <c r="D1308" s="39" t="inlineStr">
        <is>
          <t>A_General_F_32_P10</t>
        </is>
      </c>
      <c r="E1308" s="40" t="n"/>
      <c r="F1308" s="39" t="inlineStr">
        <is>
          <t>B_General_F_32_P10</t>
        </is>
      </c>
      <c r="G1308" s="40" t="n"/>
      <c r="H1308" s="41" t="n"/>
      <c r="I1308" s="42">
        <f>IF($H1308="","",MAX(0,$H1308-N($E1308)))</f>
        <v/>
      </c>
      <c r="J1308" s="42">
        <f>IF($H1308="","",MAX(0,$H1308-N($G1308)))</f>
        <v/>
      </c>
    </row>
    <row r="1309" ht="19.5" customHeight="1" s="72">
      <c r="A1309" s="38" t="inlineStr">
        <is>
          <t>GeneralF-32-P10-SIR</t>
        </is>
      </c>
      <c r="B1309" s="38" t="inlineStr">
        <is>
          <t>Fase 32</t>
        </is>
      </c>
      <c r="C1309" s="38" t="inlineStr">
        <is>
          <t>Siriuna</t>
        </is>
      </c>
      <c r="D1309" s="39" t="inlineStr">
        <is>
          <t>A_General_F_32_P10</t>
        </is>
      </c>
      <c r="E1309" s="40" t="n"/>
      <c r="F1309" s="39" t="inlineStr">
        <is>
          <t>B_General_F_32_P10</t>
        </is>
      </c>
      <c r="G1309" s="40" t="n"/>
      <c r="H1309" s="41" t="n"/>
      <c r="I1309" s="42">
        <f>IF($H1309="","",MAX(0,$H1309-N($E1309)))</f>
        <v/>
      </c>
      <c r="J1309" s="42">
        <f>IF($H1309="","",MAX(0,$H1309-N($G1309)))</f>
        <v/>
      </c>
    </row>
    <row r="1310" ht="19.5" customHeight="1" s="72">
      <c r="A1310" s="38" t="inlineStr">
        <is>
          <t>GeneralF-32-P11-BEN</t>
        </is>
      </c>
      <c r="B1310" s="38" t="inlineStr">
        <is>
          <t>Fase 32</t>
        </is>
      </c>
      <c r="C1310" s="38" t="inlineStr">
        <is>
          <t>Benguela</t>
        </is>
      </c>
      <c r="D1310" s="39" t="inlineStr">
        <is>
          <t>A_General_F_32_P11</t>
        </is>
      </c>
      <c r="E1310" s="40" t="n"/>
      <c r="F1310" s="39" t="inlineStr">
        <is>
          <t>B_General_F_32_P11</t>
        </is>
      </c>
      <c r="G1310" s="40" t="n"/>
      <c r="H1310" s="41" t="n"/>
      <c r="I1310" s="42">
        <f>IF($H1310="","",MAX(0,$H1310-N($E1310)))</f>
        <v/>
      </c>
      <c r="J1310" s="42">
        <f>IF($H1310="","",MAX(0,$H1310-N($G1310)))</f>
        <v/>
      </c>
    </row>
    <row r="1311" ht="19.5" customHeight="1" s="72">
      <c r="A1311" s="38" t="inlineStr">
        <is>
          <t>GeneralF-32-P11-SBA</t>
        </is>
      </c>
      <c r="B1311" s="38" t="inlineStr">
        <is>
          <t>Fase 32</t>
        </is>
      </c>
      <c r="C1311" s="38" t="inlineStr">
        <is>
          <t>São Bento da Abadá</t>
        </is>
      </c>
      <c r="D1311" s="39" t="inlineStr">
        <is>
          <t>A_General_F_32_P11</t>
        </is>
      </c>
      <c r="E1311" s="40" t="n"/>
      <c r="F1311" s="39" t="inlineStr">
        <is>
          <t>B_General_F_32_P11</t>
        </is>
      </c>
      <c r="G1311" s="40" t="n"/>
      <c r="H1311" s="41" t="n"/>
      <c r="I1311" s="42">
        <f>IF($H1311="","",MAX(0,$H1311-N($E1311)))</f>
        <v/>
      </c>
      <c r="J1311" s="42">
        <f>IF($H1311="","",MAX(0,$H1311-N($G1311)))</f>
        <v/>
      </c>
    </row>
    <row r="1312" ht="19.5" customHeight="1" s="72">
      <c r="A1312" s="38" t="inlineStr">
        <is>
          <t>GeneralF-32-P11-SIR</t>
        </is>
      </c>
      <c r="B1312" s="38" t="inlineStr">
        <is>
          <t>Fase 32</t>
        </is>
      </c>
      <c r="C1312" s="38" t="inlineStr">
        <is>
          <t>Siriuna</t>
        </is>
      </c>
      <c r="D1312" s="39" t="inlineStr">
        <is>
          <t>A_General_F_32_P11</t>
        </is>
      </c>
      <c r="E1312" s="40" t="n"/>
      <c r="F1312" s="39" t="inlineStr">
        <is>
          <t>B_General_F_32_P11</t>
        </is>
      </c>
      <c r="G1312" s="40" t="n"/>
      <c r="H1312" s="41" t="n"/>
      <c r="I1312" s="42">
        <f>IF($H1312="","",MAX(0,$H1312-N($E1312)))</f>
        <v/>
      </c>
      <c r="J1312" s="42">
        <f>IF($H1312="","",MAX(0,$H1312-N($G1312)))</f>
        <v/>
      </c>
    </row>
    <row r="1313" ht="19.5" customHeight="1" s="72">
      <c r="A1313" s="38" t="inlineStr">
        <is>
          <t>GeneralF-32-P12-BEN</t>
        </is>
      </c>
      <c r="B1313" s="38" t="inlineStr">
        <is>
          <t>Fase 32</t>
        </is>
      </c>
      <c r="C1313" s="38" t="inlineStr">
        <is>
          <t>Benguela</t>
        </is>
      </c>
      <c r="D1313" s="39" t="inlineStr">
        <is>
          <t>A_General_F_32_P12</t>
        </is>
      </c>
      <c r="E1313" s="40" t="n"/>
      <c r="F1313" s="39" t="inlineStr">
        <is>
          <t>B_General_F_32_P12</t>
        </is>
      </c>
      <c r="G1313" s="40" t="n"/>
      <c r="H1313" s="41" t="n"/>
      <c r="I1313" s="42">
        <f>IF($H1313="","",MAX(0,$H1313-N($E1313)))</f>
        <v/>
      </c>
      <c r="J1313" s="42">
        <f>IF($H1313="","",MAX(0,$H1313-N($G1313)))</f>
        <v/>
      </c>
    </row>
    <row r="1314" ht="19.5" customHeight="1" s="72">
      <c r="A1314" s="38" t="inlineStr">
        <is>
          <t>GeneralF-32-P12-SBA</t>
        </is>
      </c>
      <c r="B1314" s="38" t="inlineStr">
        <is>
          <t>Fase 32</t>
        </is>
      </c>
      <c r="C1314" s="38" t="inlineStr">
        <is>
          <t>São Bento da Abadá</t>
        </is>
      </c>
      <c r="D1314" s="39" t="inlineStr">
        <is>
          <t>A_General_F_32_P12</t>
        </is>
      </c>
      <c r="E1314" s="40" t="n"/>
      <c r="F1314" s="39" t="inlineStr">
        <is>
          <t>B_General_F_32_P12</t>
        </is>
      </c>
      <c r="G1314" s="40" t="n"/>
      <c r="H1314" s="41" t="n"/>
      <c r="I1314" s="42">
        <f>IF($H1314="","",MAX(0,$H1314-N($E1314)))</f>
        <v/>
      </c>
      <c r="J1314" s="42">
        <f>IF($H1314="","",MAX(0,$H1314-N($G1314)))</f>
        <v/>
      </c>
    </row>
    <row r="1315" ht="19.5" customHeight="1" s="72">
      <c r="A1315" s="38" t="inlineStr">
        <is>
          <t>GeneralF-32-P12-SIR</t>
        </is>
      </c>
      <c r="B1315" s="38" t="inlineStr">
        <is>
          <t>Fase 32</t>
        </is>
      </c>
      <c r="C1315" s="38" t="inlineStr">
        <is>
          <t>Siriuna</t>
        </is>
      </c>
      <c r="D1315" s="39" t="inlineStr">
        <is>
          <t>A_General_F_32_P12</t>
        </is>
      </c>
      <c r="E1315" s="40" t="n"/>
      <c r="F1315" s="39" t="inlineStr">
        <is>
          <t>B_General_F_32_P12</t>
        </is>
      </c>
      <c r="G1315" s="40" t="n"/>
      <c r="H1315" s="41" t="n"/>
      <c r="I1315" s="42">
        <f>IF($H1315="","",MAX(0,$H1315-N($E1315)))</f>
        <v/>
      </c>
      <c r="J1315" s="42">
        <f>IF($H1315="","",MAX(0,$H1315-N($G1315)))</f>
        <v/>
      </c>
    </row>
    <row r="1316" ht="19.5" customHeight="1" s="72">
      <c r="A1316" s="38" t="inlineStr">
        <is>
          <t>GeneralF-32-P13-BEN</t>
        </is>
      </c>
      <c r="B1316" s="38" t="inlineStr">
        <is>
          <t>Fase 32</t>
        </is>
      </c>
      <c r="C1316" s="38" t="inlineStr">
        <is>
          <t>Benguela</t>
        </is>
      </c>
      <c r="D1316" s="39" t="inlineStr">
        <is>
          <t>A_General_F_32_P13</t>
        </is>
      </c>
      <c r="E1316" s="40" t="n"/>
      <c r="F1316" s="39" t="inlineStr">
        <is>
          <t>B_General_F_32_P13</t>
        </is>
      </c>
      <c r="G1316" s="40" t="n"/>
      <c r="H1316" s="41" t="n"/>
      <c r="I1316" s="42">
        <f>IF($H1316="","",MAX(0,$H1316-N($E1316)))</f>
        <v/>
      </c>
      <c r="J1316" s="42">
        <f>IF($H1316="","",MAX(0,$H1316-N($G1316)))</f>
        <v/>
      </c>
    </row>
    <row r="1317" ht="19.5" customHeight="1" s="72">
      <c r="A1317" s="38" t="inlineStr">
        <is>
          <t>GeneralF-32-P13-SBA</t>
        </is>
      </c>
      <c r="B1317" s="38" t="inlineStr">
        <is>
          <t>Fase 32</t>
        </is>
      </c>
      <c r="C1317" s="38" t="inlineStr">
        <is>
          <t>São Bento da Abadá</t>
        </is>
      </c>
      <c r="D1317" s="39" t="inlineStr">
        <is>
          <t>A_General_F_32_P13</t>
        </is>
      </c>
      <c r="E1317" s="40" t="n"/>
      <c r="F1317" s="39" t="inlineStr">
        <is>
          <t>B_General_F_32_P13</t>
        </is>
      </c>
      <c r="G1317" s="40" t="n"/>
      <c r="H1317" s="41" t="n"/>
      <c r="I1317" s="42">
        <f>IF($H1317="","",MAX(0,$H1317-N($E1317)))</f>
        <v/>
      </c>
      <c r="J1317" s="42">
        <f>IF($H1317="","",MAX(0,$H1317-N($G1317)))</f>
        <v/>
      </c>
    </row>
    <row r="1318" ht="19.5" customHeight="1" s="72">
      <c r="A1318" s="38" t="inlineStr">
        <is>
          <t>GeneralF-32-P13-SIR</t>
        </is>
      </c>
      <c r="B1318" s="38" t="inlineStr">
        <is>
          <t>Fase 32</t>
        </is>
      </c>
      <c r="C1318" s="38" t="inlineStr">
        <is>
          <t>Siriuna</t>
        </is>
      </c>
      <c r="D1318" s="39" t="inlineStr">
        <is>
          <t>A_General_F_32_P13</t>
        </is>
      </c>
      <c r="E1318" s="40" t="n"/>
      <c r="F1318" s="39" t="inlineStr">
        <is>
          <t>B_General_F_32_P13</t>
        </is>
      </c>
      <c r="G1318" s="40" t="n"/>
      <c r="H1318" s="41" t="n"/>
      <c r="I1318" s="42">
        <f>IF($H1318="","",MAX(0,$H1318-N($E1318)))</f>
        <v/>
      </c>
      <c r="J1318" s="42">
        <f>IF($H1318="","",MAX(0,$H1318-N($G1318)))</f>
        <v/>
      </c>
    </row>
    <row r="1319" ht="19.5" customHeight="1" s="72">
      <c r="A1319" s="38" t="inlineStr">
        <is>
          <t>GeneralF-32-P14-BEN</t>
        </is>
      </c>
      <c r="B1319" s="38" t="inlineStr">
        <is>
          <t>Fase 32</t>
        </is>
      </c>
      <c r="C1319" s="38" t="inlineStr">
        <is>
          <t>Benguela</t>
        </is>
      </c>
      <c r="D1319" s="39" t="inlineStr">
        <is>
          <t>A_General_F_32_P14</t>
        </is>
      </c>
      <c r="E1319" s="40" t="n"/>
      <c r="F1319" s="39" t="inlineStr">
        <is>
          <t>B_General_F_32_P14</t>
        </is>
      </c>
      <c r="G1319" s="40" t="n"/>
      <c r="H1319" s="41" t="n"/>
      <c r="I1319" s="42">
        <f>IF($H1319="","",MAX(0,$H1319-N($E1319)))</f>
        <v/>
      </c>
      <c r="J1319" s="42">
        <f>IF($H1319="","",MAX(0,$H1319-N($G1319)))</f>
        <v/>
      </c>
    </row>
    <row r="1320" ht="19.5" customHeight="1" s="72">
      <c r="A1320" s="38" t="inlineStr">
        <is>
          <t>GeneralF-32-P14-SBA</t>
        </is>
      </c>
      <c r="B1320" s="38" t="inlineStr">
        <is>
          <t>Fase 32</t>
        </is>
      </c>
      <c r="C1320" s="38" t="inlineStr">
        <is>
          <t>São Bento da Abadá</t>
        </is>
      </c>
      <c r="D1320" s="39" t="inlineStr">
        <is>
          <t>A_General_F_32_P14</t>
        </is>
      </c>
      <c r="E1320" s="40" t="n"/>
      <c r="F1320" s="39" t="inlineStr">
        <is>
          <t>B_General_F_32_P14</t>
        </is>
      </c>
      <c r="G1320" s="40" t="n"/>
      <c r="H1320" s="41" t="n"/>
      <c r="I1320" s="42">
        <f>IF($H1320="","",MAX(0,$H1320-N($E1320)))</f>
        <v/>
      </c>
      <c r="J1320" s="42">
        <f>IF($H1320="","",MAX(0,$H1320-N($G1320)))</f>
        <v/>
      </c>
    </row>
    <row r="1321" ht="19.5" customHeight="1" s="72">
      <c r="A1321" s="38" t="inlineStr">
        <is>
          <t>GeneralF-32-P14-SIR</t>
        </is>
      </c>
      <c r="B1321" s="38" t="inlineStr">
        <is>
          <t>Fase 32</t>
        </is>
      </c>
      <c r="C1321" s="38" t="inlineStr">
        <is>
          <t>Siriuna</t>
        </is>
      </c>
      <c r="D1321" s="39" t="inlineStr">
        <is>
          <t>A_General_F_32_P14</t>
        </is>
      </c>
      <c r="E1321" s="40" t="n"/>
      <c r="F1321" s="39" t="inlineStr">
        <is>
          <t>B_General_F_32_P14</t>
        </is>
      </c>
      <c r="G1321" s="40" t="n"/>
      <c r="H1321" s="41" t="n"/>
      <c r="I1321" s="42">
        <f>IF($H1321="","",MAX(0,$H1321-N($E1321)))</f>
        <v/>
      </c>
      <c r="J1321" s="42">
        <f>IF($H1321="","",MAX(0,$H1321-N($G1321)))</f>
        <v/>
      </c>
    </row>
    <row r="1322" ht="19.5" customHeight="1" s="72">
      <c r="A1322" s="38" t="inlineStr">
        <is>
          <t>GeneralF-32-P15-BEN</t>
        </is>
      </c>
      <c r="B1322" s="38" t="inlineStr">
        <is>
          <t>Fase 32</t>
        </is>
      </c>
      <c r="C1322" s="38" t="inlineStr">
        <is>
          <t>Benguela</t>
        </is>
      </c>
      <c r="D1322" s="39" t="inlineStr">
        <is>
          <t>A_General_F_32_P15</t>
        </is>
      </c>
      <c r="E1322" s="40" t="n"/>
      <c r="F1322" s="39" t="inlineStr">
        <is>
          <t>B_General_F_32_P15</t>
        </is>
      </c>
      <c r="G1322" s="40" t="n"/>
      <c r="H1322" s="41" t="n"/>
      <c r="I1322" s="42">
        <f>IF($H1322="","",MAX(0,$H1322-N($E1322)))</f>
        <v/>
      </c>
      <c r="J1322" s="42">
        <f>IF($H1322="","",MAX(0,$H1322-N($G1322)))</f>
        <v/>
      </c>
    </row>
    <row r="1323" ht="19.5" customHeight="1" s="72">
      <c r="A1323" s="38" t="inlineStr">
        <is>
          <t>GeneralF-32-P15-SBA</t>
        </is>
      </c>
      <c r="B1323" s="38" t="inlineStr">
        <is>
          <t>Fase 32</t>
        </is>
      </c>
      <c r="C1323" s="38" t="inlineStr">
        <is>
          <t>São Bento da Abadá</t>
        </is>
      </c>
      <c r="D1323" s="39" t="inlineStr">
        <is>
          <t>A_General_F_32_P15</t>
        </is>
      </c>
      <c r="E1323" s="40" t="n"/>
      <c r="F1323" s="39" t="inlineStr">
        <is>
          <t>B_General_F_32_P15</t>
        </is>
      </c>
      <c r="G1323" s="40" t="n"/>
      <c r="H1323" s="41" t="n"/>
      <c r="I1323" s="42">
        <f>IF($H1323="","",MAX(0,$H1323-N($E1323)))</f>
        <v/>
      </c>
      <c r="J1323" s="42">
        <f>IF($H1323="","",MAX(0,$H1323-N($G1323)))</f>
        <v/>
      </c>
    </row>
    <row r="1324" ht="19.5" customHeight="1" s="72">
      <c r="A1324" s="38" t="inlineStr">
        <is>
          <t>GeneralF-32-P15-SIR</t>
        </is>
      </c>
      <c r="B1324" s="38" t="inlineStr">
        <is>
          <t>Fase 32</t>
        </is>
      </c>
      <c r="C1324" s="38" t="inlineStr">
        <is>
          <t>Siriuna</t>
        </is>
      </c>
      <c r="D1324" s="39" t="inlineStr">
        <is>
          <t>A_General_F_32_P15</t>
        </is>
      </c>
      <c r="E1324" s="40" t="n"/>
      <c r="F1324" s="39" t="inlineStr">
        <is>
          <t>B_General_F_32_P15</t>
        </is>
      </c>
      <c r="G1324" s="40" t="n"/>
      <c r="H1324" s="41" t="n"/>
      <c r="I1324" s="42">
        <f>IF($H1324="","",MAX(0,$H1324-N($E1324)))</f>
        <v/>
      </c>
      <c r="J1324" s="42">
        <f>IF($H1324="","",MAX(0,$H1324-N($G1324)))</f>
        <v/>
      </c>
    </row>
    <row r="1325" ht="19.5" customHeight="1" s="72">
      <c r="A1325" s="38" t="inlineStr">
        <is>
          <t>GeneralF-32-P16-BEN</t>
        </is>
      </c>
      <c r="B1325" s="38" t="inlineStr">
        <is>
          <t>Fase 32</t>
        </is>
      </c>
      <c r="C1325" s="38" t="inlineStr">
        <is>
          <t>Benguela</t>
        </is>
      </c>
      <c r="D1325" s="39" t="inlineStr">
        <is>
          <t>A_General_F_32_P16</t>
        </is>
      </c>
      <c r="E1325" s="40" t="n"/>
      <c r="F1325" s="39" t="inlineStr">
        <is>
          <t>B_General_F_32_P16</t>
        </is>
      </c>
      <c r="G1325" s="40" t="n"/>
      <c r="H1325" s="41" t="n"/>
      <c r="I1325" s="42">
        <f>IF($H1325="","",MAX(0,$H1325-N($E1325)))</f>
        <v/>
      </c>
      <c r="J1325" s="42">
        <f>IF($H1325="","",MAX(0,$H1325-N($G1325)))</f>
        <v/>
      </c>
    </row>
    <row r="1326" ht="19.5" customHeight="1" s="72">
      <c r="A1326" s="38" t="inlineStr">
        <is>
          <t>GeneralF-32-P16-SBA</t>
        </is>
      </c>
      <c r="B1326" s="38" t="inlineStr">
        <is>
          <t>Fase 32</t>
        </is>
      </c>
      <c r="C1326" s="38" t="inlineStr">
        <is>
          <t>São Bento da Abadá</t>
        </is>
      </c>
      <c r="D1326" s="39" t="inlineStr">
        <is>
          <t>A_General_F_32_P16</t>
        </is>
      </c>
      <c r="E1326" s="40" t="n"/>
      <c r="F1326" s="39" t="inlineStr">
        <is>
          <t>B_General_F_32_P16</t>
        </is>
      </c>
      <c r="G1326" s="40" t="n"/>
      <c r="H1326" s="41" t="n"/>
      <c r="I1326" s="42">
        <f>IF($H1326="","",MAX(0,$H1326-N($E1326)))</f>
        <v/>
      </c>
      <c r="J1326" s="42">
        <f>IF($H1326="","",MAX(0,$H1326-N($G1326)))</f>
        <v/>
      </c>
    </row>
    <row r="1327" ht="19.5" customHeight="1" s="72">
      <c r="A1327" s="38" t="inlineStr">
        <is>
          <t>GeneralF-32-P16-SIR</t>
        </is>
      </c>
      <c r="B1327" s="38" t="inlineStr">
        <is>
          <t>Fase 32</t>
        </is>
      </c>
      <c r="C1327" s="38" t="inlineStr">
        <is>
          <t>Siriuna</t>
        </is>
      </c>
      <c r="D1327" s="39" t="inlineStr">
        <is>
          <t>A_General_F_32_P16</t>
        </is>
      </c>
      <c r="E1327" s="40" t="n"/>
      <c r="F1327" s="39" t="inlineStr">
        <is>
          <t>B_General_F_32_P16</t>
        </is>
      </c>
      <c r="G1327" s="40" t="n"/>
      <c r="H1327" s="41" t="n"/>
      <c r="I1327" s="42">
        <f>IF($H1327="","",MAX(0,$H1327-N($E1327)))</f>
        <v/>
      </c>
      <c r="J1327" s="42">
        <f>IF($H1327="","",MAX(0,$H1327-N($G1327)))</f>
        <v/>
      </c>
    </row>
    <row r="1328" ht="19.5" customHeight="1" s="72">
      <c r="A1328" s="38" t="inlineStr">
        <is>
          <t>GeneralF-OCT-P01-BEN</t>
        </is>
      </c>
      <c r="B1328" s="38" t="inlineStr">
        <is>
          <t>Octavas</t>
        </is>
      </c>
      <c r="C1328" s="38" t="inlineStr">
        <is>
          <t>Benguela</t>
        </is>
      </c>
      <c r="D1328" s="39">
        <f>IFERROR(CLASIF_General_F!$F$5,"")</f>
        <v/>
      </c>
      <c r="E1328" s="40" t="n"/>
      <c r="F1328" s="39">
        <f>IFERROR(CLASIF_General_F!$F$20,"")</f>
        <v/>
      </c>
      <c r="G1328" s="40" t="n"/>
      <c r="H1328" s="41" t="n"/>
      <c r="I1328" s="42">
        <f>IF($H1328="","",MAX(0,$H1328-N($E1328)))</f>
        <v/>
      </c>
      <c r="J1328" s="42">
        <f>IF($H1328="","",MAX(0,$H1328-N($G1328)))</f>
        <v/>
      </c>
    </row>
    <row r="1329" ht="19.5" customHeight="1" s="72">
      <c r="A1329" s="38" t="inlineStr">
        <is>
          <t>GeneralF-OCT-P01-SBA</t>
        </is>
      </c>
      <c r="B1329" s="38" t="inlineStr">
        <is>
          <t>Octavas</t>
        </is>
      </c>
      <c r="C1329" s="38" t="inlineStr">
        <is>
          <t>São Bento da Abadá</t>
        </is>
      </c>
      <c r="D1329" s="39">
        <f>IFERROR(CLASIF_General_F!$F$5,"")</f>
        <v/>
      </c>
      <c r="E1329" s="40" t="n"/>
      <c r="F1329" s="39">
        <f>IFERROR(CLASIF_General_F!$F$20,"")</f>
        <v/>
      </c>
      <c r="G1329" s="40" t="n"/>
      <c r="H1329" s="41" t="n"/>
      <c r="I1329" s="42">
        <f>IF($H1329="","",MAX(0,$H1329-N($E1329)))</f>
        <v/>
      </c>
      <c r="J1329" s="42">
        <f>IF($H1329="","",MAX(0,$H1329-N($G1329)))</f>
        <v/>
      </c>
    </row>
    <row r="1330" ht="19.5" customHeight="1" s="72">
      <c r="A1330" s="38" t="inlineStr">
        <is>
          <t>GeneralF-OCT-P01-SIR</t>
        </is>
      </c>
      <c r="B1330" s="38" t="inlineStr">
        <is>
          <t>Octavas</t>
        </is>
      </c>
      <c r="C1330" s="38" t="inlineStr">
        <is>
          <t>Siriuna</t>
        </is>
      </c>
      <c r="D1330" s="39">
        <f>IFERROR(CLASIF_General_F!$F$5,"")</f>
        <v/>
      </c>
      <c r="E1330" s="40" t="n"/>
      <c r="F1330" s="39">
        <f>IFERROR(CLASIF_General_F!$F$20,"")</f>
        <v/>
      </c>
      <c r="G1330" s="40" t="n"/>
      <c r="H1330" s="41" t="n"/>
      <c r="I1330" s="42">
        <f>IF($H1330="","",MAX(0,$H1330-N($E1330)))</f>
        <v/>
      </c>
      <c r="J1330" s="42">
        <f>IF($H1330="","",MAX(0,$H1330-N($G1330)))</f>
        <v/>
      </c>
    </row>
    <row r="1331" ht="19.5" customHeight="1" s="72">
      <c r="A1331" s="38" t="inlineStr">
        <is>
          <t>GeneralF-OCT-P02-BEN</t>
        </is>
      </c>
      <c r="B1331" s="38" t="inlineStr">
        <is>
          <t>Octavas</t>
        </is>
      </c>
      <c r="C1331" s="38" t="inlineStr">
        <is>
          <t>Benguela</t>
        </is>
      </c>
      <c r="D1331" s="39">
        <f>IFERROR(CLASIF_General_F!$F$6,"")</f>
        <v/>
      </c>
      <c r="E1331" s="40" t="n"/>
      <c r="F1331" s="39">
        <f>IFERROR(CLASIF_General_F!$F$19,"")</f>
        <v/>
      </c>
      <c r="G1331" s="40" t="n"/>
      <c r="H1331" s="41" t="n"/>
      <c r="I1331" s="42">
        <f>IF($H1331="","",MAX(0,$H1331-N($E1331)))</f>
        <v/>
      </c>
      <c r="J1331" s="42">
        <f>IF($H1331="","",MAX(0,$H1331-N($G1331)))</f>
        <v/>
      </c>
    </row>
    <row r="1332" ht="19.5" customHeight="1" s="72">
      <c r="A1332" s="38" t="inlineStr">
        <is>
          <t>GeneralF-OCT-P02-SBA</t>
        </is>
      </c>
      <c r="B1332" s="38" t="inlineStr">
        <is>
          <t>Octavas</t>
        </is>
      </c>
      <c r="C1332" s="38" t="inlineStr">
        <is>
          <t>São Bento da Abadá</t>
        </is>
      </c>
      <c r="D1332" s="39">
        <f>IFERROR(CLASIF_General_F!$F$6,"")</f>
        <v/>
      </c>
      <c r="E1332" s="40" t="n"/>
      <c r="F1332" s="39">
        <f>IFERROR(CLASIF_General_F!$F$19,"")</f>
        <v/>
      </c>
      <c r="G1332" s="40" t="n"/>
      <c r="H1332" s="41" t="n"/>
      <c r="I1332" s="42">
        <f>IF($H1332="","",MAX(0,$H1332-N($E1332)))</f>
        <v/>
      </c>
      <c r="J1332" s="42">
        <f>IF($H1332="","",MAX(0,$H1332-N($G1332)))</f>
        <v/>
      </c>
    </row>
    <row r="1333" ht="19.5" customHeight="1" s="72">
      <c r="A1333" s="38" t="inlineStr">
        <is>
          <t>GeneralF-OCT-P02-SIR</t>
        </is>
      </c>
      <c r="B1333" s="38" t="inlineStr">
        <is>
          <t>Octavas</t>
        </is>
      </c>
      <c r="C1333" s="38" t="inlineStr">
        <is>
          <t>Siriuna</t>
        </is>
      </c>
      <c r="D1333" s="39">
        <f>IFERROR(CLASIF_General_F!$F$6,"")</f>
        <v/>
      </c>
      <c r="E1333" s="40" t="n"/>
      <c r="F1333" s="39">
        <f>IFERROR(CLASIF_General_F!$F$19,"")</f>
        <v/>
      </c>
      <c r="G1333" s="40" t="n"/>
      <c r="H1333" s="41" t="n"/>
      <c r="I1333" s="42">
        <f>IF($H1333="","",MAX(0,$H1333-N($E1333)))</f>
        <v/>
      </c>
      <c r="J1333" s="42">
        <f>IF($H1333="","",MAX(0,$H1333-N($G1333)))</f>
        <v/>
      </c>
    </row>
    <row r="1334" ht="19.5" customHeight="1" s="72">
      <c r="A1334" s="38" t="inlineStr">
        <is>
          <t>GeneralF-OCT-P03-BEN</t>
        </is>
      </c>
      <c r="B1334" s="38" t="inlineStr">
        <is>
          <t>Octavas</t>
        </is>
      </c>
      <c r="C1334" s="38" t="inlineStr">
        <is>
          <t>Benguela</t>
        </is>
      </c>
      <c r="D1334" s="39">
        <f>IFERROR(CLASIF_General_F!$F$7,"")</f>
        <v/>
      </c>
      <c r="E1334" s="40" t="n"/>
      <c r="F1334" s="39">
        <f>IFERROR(CLASIF_General_F!$F$18,"")</f>
        <v/>
      </c>
      <c r="G1334" s="40" t="n"/>
      <c r="H1334" s="41" t="n"/>
      <c r="I1334" s="42">
        <f>IF($H1334="","",MAX(0,$H1334-N($E1334)))</f>
        <v/>
      </c>
      <c r="J1334" s="42">
        <f>IF($H1334="","",MAX(0,$H1334-N($G1334)))</f>
        <v/>
      </c>
    </row>
    <row r="1335" ht="19.5" customHeight="1" s="72">
      <c r="A1335" s="38" t="inlineStr">
        <is>
          <t>GeneralF-OCT-P03-SBA</t>
        </is>
      </c>
      <c r="B1335" s="38" t="inlineStr">
        <is>
          <t>Octavas</t>
        </is>
      </c>
      <c r="C1335" s="38" t="inlineStr">
        <is>
          <t>São Bento da Abadá</t>
        </is>
      </c>
      <c r="D1335" s="39">
        <f>IFERROR(CLASIF_General_F!$F$7,"")</f>
        <v/>
      </c>
      <c r="E1335" s="40" t="n"/>
      <c r="F1335" s="39">
        <f>IFERROR(CLASIF_General_F!$F$18,"")</f>
        <v/>
      </c>
      <c r="G1335" s="40" t="n"/>
      <c r="H1335" s="41" t="n"/>
      <c r="I1335" s="42">
        <f>IF($H1335="","",MAX(0,$H1335-N($E1335)))</f>
        <v/>
      </c>
      <c r="J1335" s="42">
        <f>IF($H1335="","",MAX(0,$H1335-N($G1335)))</f>
        <v/>
      </c>
    </row>
    <row r="1336" ht="19.5" customHeight="1" s="72">
      <c r="A1336" s="38" t="inlineStr">
        <is>
          <t>GeneralF-OCT-P03-SIR</t>
        </is>
      </c>
      <c r="B1336" s="38" t="inlineStr">
        <is>
          <t>Octavas</t>
        </is>
      </c>
      <c r="C1336" s="38" t="inlineStr">
        <is>
          <t>Siriuna</t>
        </is>
      </c>
      <c r="D1336" s="39">
        <f>IFERROR(CLASIF_General_F!$F$7,"")</f>
        <v/>
      </c>
      <c r="E1336" s="40" t="n"/>
      <c r="F1336" s="39">
        <f>IFERROR(CLASIF_General_F!$F$18,"")</f>
        <v/>
      </c>
      <c r="G1336" s="40" t="n"/>
      <c r="H1336" s="41" t="n"/>
      <c r="I1336" s="42">
        <f>IF($H1336="","",MAX(0,$H1336-N($E1336)))</f>
        <v/>
      </c>
      <c r="J1336" s="42">
        <f>IF($H1336="","",MAX(0,$H1336-N($G1336)))</f>
        <v/>
      </c>
    </row>
    <row r="1337" ht="19.5" customHeight="1" s="72">
      <c r="A1337" s="38" t="inlineStr">
        <is>
          <t>GeneralF-OCT-P04-BEN</t>
        </is>
      </c>
      <c r="B1337" s="38" t="inlineStr">
        <is>
          <t>Octavas</t>
        </is>
      </c>
      <c r="C1337" s="38" t="inlineStr">
        <is>
          <t>Benguela</t>
        </is>
      </c>
      <c r="D1337" s="39">
        <f>IFERROR(CLASIF_General_F!$F$8,"")</f>
        <v/>
      </c>
      <c r="E1337" s="40" t="n"/>
      <c r="F1337" s="39">
        <f>IFERROR(CLASIF_General_F!$F$17,"")</f>
        <v/>
      </c>
      <c r="G1337" s="40" t="n"/>
      <c r="H1337" s="41" t="n"/>
      <c r="I1337" s="42">
        <f>IF($H1337="","",MAX(0,$H1337-N($E1337)))</f>
        <v/>
      </c>
      <c r="J1337" s="42">
        <f>IF($H1337="","",MAX(0,$H1337-N($G1337)))</f>
        <v/>
      </c>
    </row>
    <row r="1338" ht="19.5" customHeight="1" s="72">
      <c r="A1338" s="38" t="inlineStr">
        <is>
          <t>GeneralF-OCT-P04-SBA</t>
        </is>
      </c>
      <c r="B1338" s="38" t="inlineStr">
        <is>
          <t>Octavas</t>
        </is>
      </c>
      <c r="C1338" s="38" t="inlineStr">
        <is>
          <t>São Bento da Abadá</t>
        </is>
      </c>
      <c r="D1338" s="39">
        <f>IFERROR(CLASIF_General_F!$F$8,"")</f>
        <v/>
      </c>
      <c r="E1338" s="40" t="n"/>
      <c r="F1338" s="39">
        <f>IFERROR(CLASIF_General_F!$F$17,"")</f>
        <v/>
      </c>
      <c r="G1338" s="40" t="n"/>
      <c r="H1338" s="41" t="n"/>
      <c r="I1338" s="42">
        <f>IF($H1338="","",MAX(0,$H1338-N($E1338)))</f>
        <v/>
      </c>
      <c r="J1338" s="42">
        <f>IF($H1338="","",MAX(0,$H1338-N($G1338)))</f>
        <v/>
      </c>
    </row>
    <row r="1339" ht="19.5" customHeight="1" s="72">
      <c r="A1339" s="38" t="inlineStr">
        <is>
          <t>GeneralF-OCT-P04-SIR</t>
        </is>
      </c>
      <c r="B1339" s="38" t="inlineStr">
        <is>
          <t>Octavas</t>
        </is>
      </c>
      <c r="C1339" s="38" t="inlineStr">
        <is>
          <t>Siriuna</t>
        </is>
      </c>
      <c r="D1339" s="39">
        <f>IFERROR(CLASIF_General_F!$F$8,"")</f>
        <v/>
      </c>
      <c r="E1339" s="40" t="n"/>
      <c r="F1339" s="39">
        <f>IFERROR(CLASIF_General_F!$F$17,"")</f>
        <v/>
      </c>
      <c r="G1339" s="40" t="n"/>
      <c r="H1339" s="41" t="n"/>
      <c r="I1339" s="42">
        <f>IF($H1339="","",MAX(0,$H1339-N($E1339)))</f>
        <v/>
      </c>
      <c r="J1339" s="42">
        <f>IF($H1339="","",MAX(0,$H1339-N($G1339)))</f>
        <v/>
      </c>
    </row>
    <row r="1340" ht="19.5" customHeight="1" s="72">
      <c r="A1340" s="38" t="inlineStr">
        <is>
          <t>GeneralF-OCT-P05-BEN</t>
        </is>
      </c>
      <c r="B1340" s="38" t="inlineStr">
        <is>
          <t>Octavas</t>
        </is>
      </c>
      <c r="C1340" s="38" t="inlineStr">
        <is>
          <t>Benguela</t>
        </is>
      </c>
      <c r="D1340" s="39">
        <f>IFERROR(CLASIF_General_F!$F$9,"")</f>
        <v/>
      </c>
      <c r="E1340" s="40" t="n"/>
      <c r="F1340" s="39">
        <f>IFERROR(CLASIF_General_F!$F$16,"")</f>
        <v/>
      </c>
      <c r="G1340" s="40" t="n"/>
      <c r="H1340" s="41" t="n"/>
      <c r="I1340" s="42">
        <f>IF($H1340="","",MAX(0,$H1340-N($E1340)))</f>
        <v/>
      </c>
      <c r="J1340" s="42">
        <f>IF($H1340="","",MAX(0,$H1340-N($G1340)))</f>
        <v/>
      </c>
    </row>
    <row r="1341" ht="19.5" customHeight="1" s="72">
      <c r="A1341" s="38" t="inlineStr">
        <is>
          <t>GeneralF-OCT-P05-SBA</t>
        </is>
      </c>
      <c r="B1341" s="38" t="inlineStr">
        <is>
          <t>Octavas</t>
        </is>
      </c>
      <c r="C1341" s="38" t="inlineStr">
        <is>
          <t>São Bento da Abadá</t>
        </is>
      </c>
      <c r="D1341" s="39">
        <f>IFERROR(CLASIF_General_F!$F$9,"")</f>
        <v/>
      </c>
      <c r="E1341" s="40" t="n"/>
      <c r="F1341" s="39">
        <f>IFERROR(CLASIF_General_F!$F$16,"")</f>
        <v/>
      </c>
      <c r="G1341" s="40" t="n"/>
      <c r="H1341" s="41" t="n"/>
      <c r="I1341" s="42">
        <f>IF($H1341="","",MAX(0,$H1341-N($E1341)))</f>
        <v/>
      </c>
      <c r="J1341" s="42">
        <f>IF($H1341="","",MAX(0,$H1341-N($G1341)))</f>
        <v/>
      </c>
    </row>
    <row r="1342" ht="19.5" customHeight="1" s="72">
      <c r="A1342" s="38" t="inlineStr">
        <is>
          <t>GeneralF-OCT-P05-SIR</t>
        </is>
      </c>
      <c r="B1342" s="38" t="inlineStr">
        <is>
          <t>Octavas</t>
        </is>
      </c>
      <c r="C1342" s="38" t="inlineStr">
        <is>
          <t>Siriuna</t>
        </is>
      </c>
      <c r="D1342" s="39">
        <f>IFERROR(CLASIF_General_F!$F$9,"")</f>
        <v/>
      </c>
      <c r="E1342" s="40" t="n"/>
      <c r="F1342" s="39">
        <f>IFERROR(CLASIF_General_F!$F$16,"")</f>
        <v/>
      </c>
      <c r="G1342" s="40" t="n"/>
      <c r="H1342" s="41" t="n"/>
      <c r="I1342" s="42">
        <f>IF($H1342="","",MAX(0,$H1342-N($E1342)))</f>
        <v/>
      </c>
      <c r="J1342" s="42">
        <f>IF($H1342="","",MAX(0,$H1342-N($G1342)))</f>
        <v/>
      </c>
    </row>
    <row r="1343" ht="19.5" customHeight="1" s="72">
      <c r="A1343" s="38" t="inlineStr">
        <is>
          <t>GeneralF-OCT-P06-BEN</t>
        </is>
      </c>
      <c r="B1343" s="38" t="inlineStr">
        <is>
          <t>Octavas</t>
        </is>
      </c>
      <c r="C1343" s="38" t="inlineStr">
        <is>
          <t>Benguela</t>
        </is>
      </c>
      <c r="D1343" s="39">
        <f>IFERROR(CLASIF_General_F!$F$10,"")</f>
        <v/>
      </c>
      <c r="E1343" s="40" t="n"/>
      <c r="F1343" s="39">
        <f>IFERROR(CLASIF_General_F!$F$15,"")</f>
        <v/>
      </c>
      <c r="G1343" s="40" t="n"/>
      <c r="H1343" s="41" t="n"/>
      <c r="I1343" s="42">
        <f>IF($H1343="","",MAX(0,$H1343-N($E1343)))</f>
        <v/>
      </c>
      <c r="J1343" s="42">
        <f>IF($H1343="","",MAX(0,$H1343-N($G1343)))</f>
        <v/>
      </c>
    </row>
    <row r="1344" ht="19.5" customHeight="1" s="72">
      <c r="A1344" s="38" t="inlineStr">
        <is>
          <t>GeneralF-OCT-P06-SBA</t>
        </is>
      </c>
      <c r="B1344" s="38" t="inlineStr">
        <is>
          <t>Octavas</t>
        </is>
      </c>
      <c r="C1344" s="38" t="inlineStr">
        <is>
          <t>São Bento da Abadá</t>
        </is>
      </c>
      <c r="D1344" s="39">
        <f>IFERROR(CLASIF_General_F!$F$10,"")</f>
        <v/>
      </c>
      <c r="E1344" s="40" t="n"/>
      <c r="F1344" s="39">
        <f>IFERROR(CLASIF_General_F!$F$15,"")</f>
        <v/>
      </c>
      <c r="G1344" s="40" t="n"/>
      <c r="H1344" s="41" t="n"/>
      <c r="I1344" s="42">
        <f>IF($H1344="","",MAX(0,$H1344-N($E1344)))</f>
        <v/>
      </c>
      <c r="J1344" s="42">
        <f>IF($H1344="","",MAX(0,$H1344-N($G1344)))</f>
        <v/>
      </c>
    </row>
    <row r="1345" ht="19.5" customHeight="1" s="72">
      <c r="A1345" s="38" t="inlineStr">
        <is>
          <t>GeneralF-OCT-P06-SIR</t>
        </is>
      </c>
      <c r="B1345" s="38" t="inlineStr">
        <is>
          <t>Octavas</t>
        </is>
      </c>
      <c r="C1345" s="38" t="inlineStr">
        <is>
          <t>Siriuna</t>
        </is>
      </c>
      <c r="D1345" s="39">
        <f>IFERROR(CLASIF_General_F!$F$10,"")</f>
        <v/>
      </c>
      <c r="E1345" s="40" t="n"/>
      <c r="F1345" s="39">
        <f>IFERROR(CLASIF_General_F!$F$15,"")</f>
        <v/>
      </c>
      <c r="G1345" s="40" t="n"/>
      <c r="H1345" s="41" t="n"/>
      <c r="I1345" s="42">
        <f>IF($H1345="","",MAX(0,$H1345-N($E1345)))</f>
        <v/>
      </c>
      <c r="J1345" s="42">
        <f>IF($H1345="","",MAX(0,$H1345-N($G1345)))</f>
        <v/>
      </c>
    </row>
    <row r="1346" ht="19.5" customHeight="1" s="72">
      <c r="A1346" s="38" t="inlineStr">
        <is>
          <t>GeneralF-OCT-P07-BEN</t>
        </is>
      </c>
      <c r="B1346" s="38" t="inlineStr">
        <is>
          <t>Octavas</t>
        </is>
      </c>
      <c r="C1346" s="38" t="inlineStr">
        <is>
          <t>Benguela</t>
        </is>
      </c>
      <c r="D1346" s="39">
        <f>IFERROR(CLASIF_General_F!$F$11,"")</f>
        <v/>
      </c>
      <c r="E1346" s="40" t="n"/>
      <c r="F1346" s="39">
        <f>IFERROR(CLASIF_General_F!$F$14,"")</f>
        <v/>
      </c>
      <c r="G1346" s="40" t="n"/>
      <c r="H1346" s="41" t="n"/>
      <c r="I1346" s="42">
        <f>IF($H1346="","",MAX(0,$H1346-N($E1346)))</f>
        <v/>
      </c>
      <c r="J1346" s="42">
        <f>IF($H1346="","",MAX(0,$H1346-N($G1346)))</f>
        <v/>
      </c>
    </row>
    <row r="1347" ht="19.5" customHeight="1" s="72">
      <c r="A1347" s="38" t="inlineStr">
        <is>
          <t>GeneralF-OCT-P07-SBA</t>
        </is>
      </c>
      <c r="B1347" s="38" t="inlineStr">
        <is>
          <t>Octavas</t>
        </is>
      </c>
      <c r="C1347" s="38" t="inlineStr">
        <is>
          <t>São Bento da Abadá</t>
        </is>
      </c>
      <c r="D1347" s="39">
        <f>IFERROR(CLASIF_General_F!$F$11,"")</f>
        <v/>
      </c>
      <c r="E1347" s="40" t="n"/>
      <c r="F1347" s="39">
        <f>IFERROR(CLASIF_General_F!$F$14,"")</f>
        <v/>
      </c>
      <c r="G1347" s="40" t="n"/>
      <c r="H1347" s="41" t="n"/>
      <c r="I1347" s="42">
        <f>IF($H1347="","",MAX(0,$H1347-N($E1347)))</f>
        <v/>
      </c>
      <c r="J1347" s="42">
        <f>IF($H1347="","",MAX(0,$H1347-N($G1347)))</f>
        <v/>
      </c>
    </row>
    <row r="1348" ht="19.5" customHeight="1" s="72">
      <c r="A1348" s="38" t="inlineStr">
        <is>
          <t>GeneralF-OCT-P07-SIR</t>
        </is>
      </c>
      <c r="B1348" s="38" t="inlineStr">
        <is>
          <t>Octavas</t>
        </is>
      </c>
      <c r="C1348" s="38" t="inlineStr">
        <is>
          <t>Siriuna</t>
        </is>
      </c>
      <c r="D1348" s="39">
        <f>IFERROR(CLASIF_General_F!$F$11,"")</f>
        <v/>
      </c>
      <c r="E1348" s="40" t="n"/>
      <c r="F1348" s="39">
        <f>IFERROR(CLASIF_General_F!$F$14,"")</f>
        <v/>
      </c>
      <c r="G1348" s="40" t="n"/>
      <c r="H1348" s="41" t="n"/>
      <c r="I1348" s="42">
        <f>IF($H1348="","",MAX(0,$H1348-N($E1348)))</f>
        <v/>
      </c>
      <c r="J1348" s="42">
        <f>IF($H1348="","",MAX(0,$H1348-N($G1348)))</f>
        <v/>
      </c>
    </row>
    <row r="1349" ht="19.5" customHeight="1" s="72">
      <c r="A1349" s="38" t="inlineStr">
        <is>
          <t>GeneralF-OCT-P08-BEN</t>
        </is>
      </c>
      <c r="B1349" s="38" t="inlineStr">
        <is>
          <t>Octavas</t>
        </is>
      </c>
      <c r="C1349" s="38" t="inlineStr">
        <is>
          <t>Benguela</t>
        </is>
      </c>
      <c r="D1349" s="39">
        <f>IFERROR(CLASIF_General_F!$F$12,"")</f>
        <v/>
      </c>
      <c r="E1349" s="40" t="n"/>
      <c r="F1349" s="39">
        <f>IFERROR(CLASIF_General_F!$F$13,"")</f>
        <v/>
      </c>
      <c r="G1349" s="40" t="n"/>
      <c r="H1349" s="41" t="n"/>
      <c r="I1349" s="42">
        <f>IF($H1349="","",MAX(0,$H1349-N($E1349)))</f>
        <v/>
      </c>
      <c r="J1349" s="42">
        <f>IF($H1349="","",MAX(0,$H1349-N($G1349)))</f>
        <v/>
      </c>
    </row>
    <row r="1350" ht="19.5" customHeight="1" s="72">
      <c r="A1350" s="38" t="inlineStr">
        <is>
          <t>GeneralF-OCT-P08-SBA</t>
        </is>
      </c>
      <c r="B1350" s="38" t="inlineStr">
        <is>
          <t>Octavas</t>
        </is>
      </c>
      <c r="C1350" s="38" t="inlineStr">
        <is>
          <t>São Bento da Abadá</t>
        </is>
      </c>
      <c r="D1350" s="39">
        <f>IFERROR(CLASIF_General_F!$F$12,"")</f>
        <v/>
      </c>
      <c r="E1350" s="40" t="n"/>
      <c r="F1350" s="39">
        <f>IFERROR(CLASIF_General_F!$F$13,"")</f>
        <v/>
      </c>
      <c r="G1350" s="40" t="n"/>
      <c r="H1350" s="41" t="n"/>
      <c r="I1350" s="42">
        <f>IF($H1350="","",MAX(0,$H1350-N($E1350)))</f>
        <v/>
      </c>
      <c r="J1350" s="42">
        <f>IF($H1350="","",MAX(0,$H1350-N($G1350)))</f>
        <v/>
      </c>
    </row>
    <row r="1351" ht="19.5" customHeight="1" s="72">
      <c r="A1351" s="38" t="inlineStr">
        <is>
          <t>GeneralF-OCT-P08-SIR</t>
        </is>
      </c>
      <c r="B1351" s="38" t="inlineStr">
        <is>
          <t>Octavas</t>
        </is>
      </c>
      <c r="C1351" s="38" t="inlineStr">
        <is>
          <t>Siriuna</t>
        </is>
      </c>
      <c r="D1351" s="39">
        <f>IFERROR(CLASIF_General_F!$F$12,"")</f>
        <v/>
      </c>
      <c r="E1351" s="40" t="n"/>
      <c r="F1351" s="39">
        <f>IFERROR(CLASIF_General_F!$F$13,"")</f>
        <v/>
      </c>
      <c r="G1351" s="40" t="n"/>
      <c r="H1351" s="41" t="n"/>
      <c r="I1351" s="42">
        <f>IF($H1351="","",MAX(0,$H1351-N($E1351)))</f>
        <v/>
      </c>
      <c r="J1351" s="42">
        <f>IF($H1351="","",MAX(0,$H1351-N($G1351)))</f>
        <v/>
      </c>
    </row>
    <row r="1352" ht="19.5" customHeight="1" s="72">
      <c r="A1352" s="38" t="inlineStr">
        <is>
          <t>GeneralF-SEM-P01-BEN</t>
        </is>
      </c>
      <c r="B1352" s="38" t="inlineStr">
        <is>
          <t>Semifinal</t>
        </is>
      </c>
      <c r="C1352" s="38" t="inlineStr">
        <is>
          <t>Benguela</t>
        </is>
      </c>
      <c r="D1352" s="39">
        <f>IFERROR(CLASIF_General_F!$O$5,"")</f>
        <v/>
      </c>
      <c r="E1352" s="40" t="n"/>
      <c r="F1352" s="39">
        <f>IFERROR(CLASIF_General_F!$O$12,"")</f>
        <v/>
      </c>
      <c r="G1352" s="40" t="n"/>
      <c r="H1352" s="41" t="n"/>
      <c r="I1352" s="42">
        <f>IF($H1352="","",MAX(0,$H1352-N($E1352)))</f>
        <v/>
      </c>
      <c r="J1352" s="42">
        <f>IF($H1352="","",MAX(0,$H1352-N($G1352)))</f>
        <v/>
      </c>
    </row>
    <row r="1353" ht="19.5" customHeight="1" s="72">
      <c r="A1353" s="38" t="inlineStr">
        <is>
          <t>GeneralF-SEM-P01-SBA</t>
        </is>
      </c>
      <c r="B1353" s="38" t="inlineStr">
        <is>
          <t>Semifinal</t>
        </is>
      </c>
      <c r="C1353" s="38" t="inlineStr">
        <is>
          <t>São Bento da Abadá</t>
        </is>
      </c>
      <c r="D1353" s="39">
        <f>IFERROR(CLASIF_General_F!$O$5,"")</f>
        <v/>
      </c>
      <c r="E1353" s="40" t="n"/>
      <c r="F1353" s="39">
        <f>IFERROR(CLASIF_General_F!$O$12,"")</f>
        <v/>
      </c>
      <c r="G1353" s="40" t="n"/>
      <c r="H1353" s="41" t="n"/>
      <c r="I1353" s="42">
        <f>IF($H1353="","",MAX(0,$H1353-N($E1353)))</f>
        <v/>
      </c>
      <c r="J1353" s="42">
        <f>IF($H1353="","",MAX(0,$H1353-N($G1353)))</f>
        <v/>
      </c>
    </row>
    <row r="1354" ht="19.5" customHeight="1" s="72">
      <c r="A1354" s="38" t="inlineStr">
        <is>
          <t>GeneralF-SEM-P01-SIR</t>
        </is>
      </c>
      <c r="B1354" s="38" t="inlineStr">
        <is>
          <t>Semifinal</t>
        </is>
      </c>
      <c r="C1354" s="38" t="inlineStr">
        <is>
          <t>Siriuna</t>
        </is>
      </c>
      <c r="D1354" s="39">
        <f>IFERROR(CLASIF_General_F!$O$5,"")</f>
        <v/>
      </c>
      <c r="E1354" s="40" t="n"/>
      <c r="F1354" s="39">
        <f>IFERROR(CLASIF_General_F!$O$12,"")</f>
        <v/>
      </c>
      <c r="G1354" s="40" t="n"/>
      <c r="H1354" s="41" t="n"/>
      <c r="I1354" s="42">
        <f>IF($H1354="","",MAX(0,$H1354-N($E1354)))</f>
        <v/>
      </c>
      <c r="J1354" s="42">
        <f>IF($H1354="","",MAX(0,$H1354-N($G1354)))</f>
        <v/>
      </c>
    </row>
    <row r="1355" ht="19.5" customHeight="1" s="72">
      <c r="A1355" s="38" t="inlineStr">
        <is>
          <t>GeneralF-SEM-P02-BEN</t>
        </is>
      </c>
      <c r="B1355" s="38" t="inlineStr">
        <is>
          <t>Semifinal</t>
        </is>
      </c>
      <c r="C1355" s="38" t="inlineStr">
        <is>
          <t>Benguela</t>
        </is>
      </c>
      <c r="D1355" s="39">
        <f>IFERROR(CLASIF_General_F!$O$6,"")</f>
        <v/>
      </c>
      <c r="E1355" s="40" t="n"/>
      <c r="F1355" s="39">
        <f>IFERROR(CLASIF_General_F!$O$11,"")</f>
        <v/>
      </c>
      <c r="G1355" s="40" t="n"/>
      <c r="H1355" s="41" t="n"/>
      <c r="I1355" s="42">
        <f>IF($H1355="","",MAX(0,$H1355-N($E1355)))</f>
        <v/>
      </c>
      <c r="J1355" s="42">
        <f>IF($H1355="","",MAX(0,$H1355-N($G1355)))</f>
        <v/>
      </c>
    </row>
    <row r="1356" ht="19.5" customHeight="1" s="72">
      <c r="A1356" s="38" t="inlineStr">
        <is>
          <t>GeneralF-SEM-P02-SBA</t>
        </is>
      </c>
      <c r="B1356" s="38" t="inlineStr">
        <is>
          <t>Semifinal</t>
        </is>
      </c>
      <c r="C1356" s="38" t="inlineStr">
        <is>
          <t>São Bento da Abadá</t>
        </is>
      </c>
      <c r="D1356" s="39">
        <f>IFERROR(CLASIF_General_F!$O$6,"")</f>
        <v/>
      </c>
      <c r="E1356" s="40" t="n"/>
      <c r="F1356" s="39">
        <f>IFERROR(CLASIF_General_F!$O$11,"")</f>
        <v/>
      </c>
      <c r="G1356" s="40" t="n"/>
      <c r="H1356" s="41" t="n"/>
      <c r="I1356" s="42">
        <f>IF($H1356="","",MAX(0,$H1356-N($E1356)))</f>
        <v/>
      </c>
      <c r="J1356" s="42">
        <f>IF($H1356="","",MAX(0,$H1356-N($G1356)))</f>
        <v/>
      </c>
    </row>
    <row r="1357" ht="19.5" customHeight="1" s="72">
      <c r="A1357" s="38" t="inlineStr">
        <is>
          <t>GeneralF-SEM-P02-SIR</t>
        </is>
      </c>
      <c r="B1357" s="38" t="inlineStr">
        <is>
          <t>Semifinal</t>
        </is>
      </c>
      <c r="C1357" s="38" t="inlineStr">
        <is>
          <t>Siriuna</t>
        </is>
      </c>
      <c r="D1357" s="39">
        <f>IFERROR(CLASIF_General_F!$O$6,"")</f>
        <v/>
      </c>
      <c r="E1357" s="40" t="n"/>
      <c r="F1357" s="39">
        <f>IFERROR(CLASIF_General_F!$O$11,"")</f>
        <v/>
      </c>
      <c r="G1357" s="40" t="n"/>
      <c r="H1357" s="41" t="n"/>
      <c r="I1357" s="42">
        <f>IF($H1357="","",MAX(0,$H1357-N($E1357)))</f>
        <v/>
      </c>
      <c r="J1357" s="42">
        <f>IF($H1357="","",MAX(0,$H1357-N($G1357)))</f>
        <v/>
      </c>
    </row>
    <row r="1358" ht="19.5" customHeight="1" s="72">
      <c r="A1358" s="38" t="inlineStr">
        <is>
          <t>GeneralF-SEM-P03-BEN</t>
        </is>
      </c>
      <c r="B1358" s="38" t="inlineStr">
        <is>
          <t>Semifinal</t>
        </is>
      </c>
      <c r="C1358" s="38" t="inlineStr">
        <is>
          <t>Benguela</t>
        </is>
      </c>
      <c r="D1358" s="39">
        <f>IFERROR(CLASIF_General_F!$O$7,"")</f>
        <v/>
      </c>
      <c r="E1358" s="40" t="n"/>
      <c r="F1358" s="39">
        <f>IFERROR(CLASIF_General_F!$O$10,"")</f>
        <v/>
      </c>
      <c r="G1358" s="40" t="n"/>
      <c r="H1358" s="41" t="n"/>
      <c r="I1358" s="42">
        <f>IF($H1358="","",MAX(0,$H1358-N($E1358)))</f>
        <v/>
      </c>
      <c r="J1358" s="42">
        <f>IF($H1358="","",MAX(0,$H1358-N($G1358)))</f>
        <v/>
      </c>
    </row>
    <row r="1359" ht="19.5" customHeight="1" s="72">
      <c r="A1359" s="38" t="inlineStr">
        <is>
          <t>GeneralF-SEM-P03-SBA</t>
        </is>
      </c>
      <c r="B1359" s="38" t="inlineStr">
        <is>
          <t>Semifinal</t>
        </is>
      </c>
      <c r="C1359" s="38" t="inlineStr">
        <is>
          <t>São Bento da Abadá</t>
        </is>
      </c>
      <c r="D1359" s="39">
        <f>IFERROR(CLASIF_General_F!$O$7,"")</f>
        <v/>
      </c>
      <c r="E1359" s="40" t="n"/>
      <c r="F1359" s="39">
        <f>IFERROR(CLASIF_General_F!$O$10,"")</f>
        <v/>
      </c>
      <c r="G1359" s="40" t="n"/>
      <c r="H1359" s="41" t="n"/>
      <c r="I1359" s="42">
        <f>IF($H1359="","",MAX(0,$H1359-N($E1359)))</f>
        <v/>
      </c>
      <c r="J1359" s="42">
        <f>IF($H1359="","",MAX(0,$H1359-N($G1359)))</f>
        <v/>
      </c>
    </row>
    <row r="1360" ht="19.5" customHeight="1" s="72">
      <c r="A1360" s="38" t="inlineStr">
        <is>
          <t>GeneralF-SEM-P03-SIR</t>
        </is>
      </c>
      <c r="B1360" s="38" t="inlineStr">
        <is>
          <t>Semifinal</t>
        </is>
      </c>
      <c r="C1360" s="38" t="inlineStr">
        <is>
          <t>Siriuna</t>
        </is>
      </c>
      <c r="D1360" s="39">
        <f>IFERROR(CLASIF_General_F!$O$7,"")</f>
        <v/>
      </c>
      <c r="E1360" s="40" t="n"/>
      <c r="F1360" s="39">
        <f>IFERROR(CLASIF_General_F!$O$10,"")</f>
        <v/>
      </c>
      <c r="G1360" s="40" t="n"/>
      <c r="H1360" s="41" t="n"/>
      <c r="I1360" s="42">
        <f>IF($H1360="","",MAX(0,$H1360-N($E1360)))</f>
        <v/>
      </c>
      <c r="J1360" s="42">
        <f>IF($H1360="","",MAX(0,$H1360-N($G1360)))</f>
        <v/>
      </c>
    </row>
    <row r="1361" ht="19.5" customHeight="1" s="72">
      <c r="A1361" s="38" t="inlineStr">
        <is>
          <t>GeneralF-SEM-P04-BEN</t>
        </is>
      </c>
      <c r="B1361" s="38" t="inlineStr">
        <is>
          <t>Semifinal</t>
        </is>
      </c>
      <c r="C1361" s="38" t="inlineStr">
        <is>
          <t>Benguela</t>
        </is>
      </c>
      <c r="D1361" s="39">
        <f>IFERROR(CLASIF_General_F!$O$8,"")</f>
        <v/>
      </c>
      <c r="E1361" s="40" t="n"/>
      <c r="F1361" s="39">
        <f>IFERROR(CLASIF_General_F!$O$9,"")</f>
        <v/>
      </c>
      <c r="G1361" s="40" t="n"/>
      <c r="H1361" s="41" t="n"/>
      <c r="I1361" s="42">
        <f>IF($H1361="","",MAX(0,$H1361-N($E1361)))</f>
        <v/>
      </c>
      <c r="J1361" s="42">
        <f>IF($H1361="","",MAX(0,$H1361-N($G1361)))</f>
        <v/>
      </c>
    </row>
    <row r="1362" ht="19.5" customHeight="1" s="72">
      <c r="A1362" s="38" t="inlineStr">
        <is>
          <t>GeneralF-SEM-P04-SBA</t>
        </is>
      </c>
      <c r="B1362" s="38" t="inlineStr">
        <is>
          <t>Semifinal</t>
        </is>
      </c>
      <c r="C1362" s="38" t="inlineStr">
        <is>
          <t>São Bento da Abadá</t>
        </is>
      </c>
      <c r="D1362" s="39">
        <f>IFERROR(CLASIF_General_F!$O$8,"")</f>
        <v/>
      </c>
      <c r="E1362" s="40" t="n"/>
      <c r="F1362" s="39">
        <f>IFERROR(CLASIF_General_F!$O$9,"")</f>
        <v/>
      </c>
      <c r="G1362" s="40" t="n"/>
      <c r="H1362" s="41" t="n"/>
      <c r="I1362" s="42">
        <f>IF($H1362="","",MAX(0,$H1362-N($E1362)))</f>
        <v/>
      </c>
      <c r="J1362" s="42">
        <f>IF($H1362="","",MAX(0,$H1362-N($G1362)))</f>
        <v/>
      </c>
    </row>
    <row r="1363" ht="19.5" customHeight="1" s="72">
      <c r="A1363" s="38" t="inlineStr">
        <is>
          <t>GeneralF-SEM-P04-SIR</t>
        </is>
      </c>
      <c r="B1363" s="38" t="inlineStr">
        <is>
          <t>Semifinal</t>
        </is>
      </c>
      <c r="C1363" s="38" t="inlineStr">
        <is>
          <t>Siriuna</t>
        </is>
      </c>
      <c r="D1363" s="39">
        <f>IFERROR(CLASIF_General_F!$O$8,"")</f>
        <v/>
      </c>
      <c r="E1363" s="40" t="n"/>
      <c r="F1363" s="39">
        <f>IFERROR(CLASIF_General_F!$O$9,"")</f>
        <v/>
      </c>
      <c r="G1363" s="40" t="n"/>
      <c r="H1363" s="41" t="n"/>
      <c r="I1363" s="42">
        <f>IF($H1363="","",MAX(0,$H1363-N($E1363)))</f>
        <v/>
      </c>
      <c r="J1363" s="42">
        <f>IF($H1363="","",MAX(0,$H1363-N($G1363)))</f>
        <v/>
      </c>
    </row>
    <row r="1364" ht="19.5" customHeight="1" s="72">
      <c r="A1364" s="38" t="inlineStr">
        <is>
          <t>GeneralF-FIN-P01-BEN</t>
        </is>
      </c>
      <c r="B1364" s="38" t="inlineStr">
        <is>
          <t>Final</t>
        </is>
      </c>
      <c r="C1364" s="38" t="inlineStr">
        <is>
          <t>Benguela</t>
        </is>
      </c>
      <c r="D1364" s="39">
        <f>IFERROR(CLASIF_General_F!$X$5,"")</f>
        <v/>
      </c>
      <c r="E1364" s="40" t="n"/>
      <c r="F1364" s="39">
        <f>IFERROR(CLASIF_General_F!$X$8,"")</f>
        <v/>
      </c>
      <c r="G1364" s="40" t="n"/>
      <c r="H1364" s="41" t="n"/>
      <c r="I1364" s="42">
        <f>IF($H1364="","",MAX(0,$H1364-N($E1364)))</f>
        <v/>
      </c>
      <c r="J1364" s="42">
        <f>IF($H1364="","",MAX(0,$H1364-N($G1364)))</f>
        <v/>
      </c>
    </row>
    <row r="1365" ht="19.5" customHeight="1" s="72">
      <c r="A1365" s="38" t="inlineStr">
        <is>
          <t>GeneralF-FIN-P01-SBA</t>
        </is>
      </c>
      <c r="B1365" s="38" t="inlineStr">
        <is>
          <t>Final</t>
        </is>
      </c>
      <c r="C1365" s="38" t="inlineStr">
        <is>
          <t>São Bento da Abadá</t>
        </is>
      </c>
      <c r="D1365" s="39">
        <f>IFERROR(CLASIF_General_F!$X$5,"")</f>
        <v/>
      </c>
      <c r="E1365" s="40" t="n"/>
      <c r="F1365" s="39">
        <f>IFERROR(CLASIF_General_F!$X$8,"")</f>
        <v/>
      </c>
      <c r="G1365" s="40" t="n"/>
      <c r="H1365" s="41" t="n"/>
      <c r="I1365" s="42">
        <f>IF($H1365="","",MAX(0,$H1365-N($E1365)))</f>
        <v/>
      </c>
      <c r="J1365" s="42">
        <f>IF($H1365="","",MAX(0,$H1365-N($G1365)))</f>
        <v/>
      </c>
    </row>
    <row r="1366" ht="19.5" customHeight="1" s="72">
      <c r="A1366" s="38" t="inlineStr">
        <is>
          <t>GeneralF-FIN-P01-SIR</t>
        </is>
      </c>
      <c r="B1366" s="38" t="inlineStr">
        <is>
          <t>Final</t>
        </is>
      </c>
      <c r="C1366" s="38" t="inlineStr">
        <is>
          <t>Siriuna</t>
        </is>
      </c>
      <c r="D1366" s="39">
        <f>IFERROR(CLASIF_General_F!$X$5,"")</f>
        <v/>
      </c>
      <c r="E1366" s="40" t="n"/>
      <c r="F1366" s="39">
        <f>IFERROR(CLASIF_General_F!$X$8,"")</f>
        <v/>
      </c>
      <c r="G1366" s="40" t="n"/>
      <c r="H1366" s="41" t="n"/>
      <c r="I1366" s="42">
        <f>IF($H1366="","",MAX(0,$H1366-N($E1366)))</f>
        <v/>
      </c>
      <c r="J1366" s="42">
        <f>IF($H1366="","",MAX(0,$H1366-N($G1366)))</f>
        <v/>
      </c>
    </row>
    <row r="1367" ht="19.5" customHeight="1" s="72">
      <c r="A1367" s="38" t="inlineStr">
        <is>
          <t>GeneralF-FIN-P02-BEN</t>
        </is>
      </c>
      <c r="B1367" s="38" t="inlineStr">
        <is>
          <t>Final</t>
        </is>
      </c>
      <c r="C1367" s="38" t="inlineStr">
        <is>
          <t>Benguela</t>
        </is>
      </c>
      <c r="D1367" s="39">
        <f>IFERROR(CLASIF_General_F!$X$6,"")</f>
        <v/>
      </c>
      <c r="E1367" s="40" t="n"/>
      <c r="F1367" s="39">
        <f>IFERROR(CLASIF_General_F!$X$7,"")</f>
        <v/>
      </c>
      <c r="G1367" s="40" t="n"/>
      <c r="H1367" s="41" t="n"/>
      <c r="I1367" s="42">
        <f>IF($H1367="","",MAX(0,$H1367-N($E1367)))</f>
        <v/>
      </c>
      <c r="J1367" s="42">
        <f>IF($H1367="","",MAX(0,$H1367-N($G1367)))</f>
        <v/>
      </c>
    </row>
    <row r="1368" ht="19.5" customHeight="1" s="72">
      <c r="A1368" s="38" t="inlineStr">
        <is>
          <t>GeneralF-FIN-P02-SBA</t>
        </is>
      </c>
      <c r="B1368" s="38" t="inlineStr">
        <is>
          <t>Final</t>
        </is>
      </c>
      <c r="C1368" s="38" t="inlineStr">
        <is>
          <t>São Bento da Abadá</t>
        </is>
      </c>
      <c r="D1368" s="39">
        <f>IFERROR(CLASIF_General_F!$X$6,"")</f>
        <v/>
      </c>
      <c r="E1368" s="40" t="n"/>
      <c r="F1368" s="39">
        <f>IFERROR(CLASIF_General_F!$X$7,"")</f>
        <v/>
      </c>
      <c r="G1368" s="40" t="n"/>
      <c r="H1368" s="41" t="n"/>
      <c r="I1368" s="42">
        <f>IF($H1368="","",MAX(0,$H1368-N($E1368)))</f>
        <v/>
      </c>
      <c r="J1368" s="42">
        <f>IF($H1368="","",MAX(0,$H1368-N($G1368)))</f>
        <v/>
      </c>
    </row>
    <row r="1369" ht="19.5" customHeight="1" s="72">
      <c r="A1369" s="38" t="inlineStr">
        <is>
          <t>GeneralF-FIN-P02-SIR</t>
        </is>
      </c>
      <c r="B1369" s="38" t="inlineStr">
        <is>
          <t>Final</t>
        </is>
      </c>
      <c r="C1369" s="38" t="inlineStr">
        <is>
          <t>Siriuna</t>
        </is>
      </c>
      <c r="D1369" s="39">
        <f>IFERROR(CLASIF_General_F!$X$6,"")</f>
        <v/>
      </c>
      <c r="E1369" s="40" t="n"/>
      <c r="F1369" s="39">
        <f>IFERROR(CLASIF_General_F!$X$7,"")</f>
        <v/>
      </c>
      <c r="G1369" s="40" t="n"/>
      <c r="H1369" s="41" t="n"/>
      <c r="I1369" s="42">
        <f>IF($H1369="","",MAX(0,$H1369-N($E1369)))</f>
        <v/>
      </c>
      <c r="J1369" s="42">
        <f>IF($H1369="","",MAX(0,$H1369-N($G1369)))</f>
        <v/>
      </c>
    </row>
    <row r="1370" ht="19.5" customHeight="1" s="72"/>
    <row r="1371" ht="19.5" customHeight="1" s="72">
      <c r="A1371" s="88" t="inlineStr">
        <is>
          <t>═══ INFANTIL · Mixto · Rueda · Toque: São Bento da Abadá ═══</t>
        </is>
      </c>
    </row>
    <row r="1372" ht="19.5" customHeight="1" s="72">
      <c r="A1372" s="8" t="inlineStr">
        <is>
          <t>Nº</t>
        </is>
      </c>
      <c r="B1372" s="8" t="n"/>
      <c r="C1372" s="8" t="inlineStr">
        <is>
          <t>Toque</t>
        </is>
      </c>
      <c r="D1372" s="8" t="inlineStr">
        <is>
          <t>Participante</t>
        </is>
      </c>
      <c r="E1372" s="8" t="n"/>
      <c r="F1372" s="8" t="n"/>
      <c r="G1372" s="8" t="n"/>
      <c r="H1372" s="8" t="inlineStr">
        <is>
          <t>NOTA (0-5)</t>
        </is>
      </c>
      <c r="I1372" s="8" t="n"/>
      <c r="J1372" s="8" t="n"/>
    </row>
    <row r="1373" ht="19.5" customHeight="1" s="72">
      <c r="A1373" s="38" t="n">
        <v>1</v>
      </c>
      <c r="B1373" s="38" t="inlineStr">
        <is>
          <t>Rueda</t>
        </is>
      </c>
      <c r="C1373" s="38" t="inlineStr">
        <is>
          <t>São Bento da Abadá</t>
        </is>
      </c>
      <c r="D1373" s="54" t="inlineStr">
        <is>
          <t>INF_1</t>
        </is>
      </c>
      <c r="E1373" s="11" t="n"/>
      <c r="F1373" s="11" t="n"/>
      <c r="G1373" s="11" t="n"/>
      <c r="H1373" s="41" t="n"/>
      <c r="I1373" s="11" t="n"/>
      <c r="J1373" s="11" t="n"/>
    </row>
    <row r="1374" ht="19.5" customHeight="1" s="72">
      <c r="A1374" s="38" t="n">
        <v>2</v>
      </c>
      <c r="B1374" s="38" t="inlineStr">
        <is>
          <t>Rueda</t>
        </is>
      </c>
      <c r="C1374" s="38" t="inlineStr">
        <is>
          <t>São Bento da Abadá</t>
        </is>
      </c>
      <c r="D1374" s="54" t="inlineStr">
        <is>
          <t>INF_2</t>
        </is>
      </c>
      <c r="E1374" s="11" t="n"/>
      <c r="F1374" s="11" t="n"/>
      <c r="G1374" s="11" t="n"/>
      <c r="H1374" s="41" t="n"/>
      <c r="I1374" s="11" t="n"/>
      <c r="J1374" s="11" t="n"/>
    </row>
    <row r="1375" ht="19.5" customHeight="1" s="72">
      <c r="A1375" s="38" t="n">
        <v>3</v>
      </c>
      <c r="B1375" s="38" t="inlineStr">
        <is>
          <t>Rueda</t>
        </is>
      </c>
      <c r="C1375" s="38" t="inlineStr">
        <is>
          <t>São Bento da Abadá</t>
        </is>
      </c>
      <c r="D1375" s="54" t="inlineStr">
        <is>
          <t>INF_3</t>
        </is>
      </c>
      <c r="E1375" s="11" t="n"/>
      <c r="F1375" s="11" t="n"/>
      <c r="G1375" s="11" t="n"/>
      <c r="H1375" s="41" t="n"/>
      <c r="I1375" s="11" t="n"/>
      <c r="J1375" s="11" t="n"/>
    </row>
    <row r="1376" ht="19.5" customHeight="1" s="72">
      <c r="A1376" s="38" t="n">
        <v>4</v>
      </c>
      <c r="B1376" s="38" t="inlineStr">
        <is>
          <t>Rueda</t>
        </is>
      </c>
      <c r="C1376" s="38" t="inlineStr">
        <is>
          <t>São Bento da Abadá</t>
        </is>
      </c>
      <c r="D1376" s="54" t="inlineStr">
        <is>
          <t>INF_4</t>
        </is>
      </c>
      <c r="E1376" s="11" t="n"/>
      <c r="F1376" s="11" t="n"/>
      <c r="G1376" s="11" t="n"/>
      <c r="H1376" s="41" t="n"/>
      <c r="I1376" s="11" t="n"/>
      <c r="J1376" s="11" t="n"/>
    </row>
    <row r="1377" ht="19.5" customHeight="1" s="72">
      <c r="A1377" s="38" t="n">
        <v>5</v>
      </c>
      <c r="B1377" s="38" t="inlineStr">
        <is>
          <t>Rueda</t>
        </is>
      </c>
      <c r="C1377" s="38" t="inlineStr">
        <is>
          <t>São Bento da Abadá</t>
        </is>
      </c>
      <c r="D1377" s="54" t="inlineStr">
        <is>
          <t>INF_5</t>
        </is>
      </c>
      <c r="E1377" s="11" t="n"/>
      <c r="F1377" s="11" t="n"/>
      <c r="G1377" s="11" t="n"/>
      <c r="H1377" s="41" t="n"/>
      <c r="I1377" s="11" t="n"/>
      <c r="J1377" s="11" t="n"/>
    </row>
    <row r="1378" ht="19.5" customHeight="1" s="72">
      <c r="A1378" s="38" t="n">
        <v>6</v>
      </c>
      <c r="B1378" s="38" t="inlineStr">
        <is>
          <t>Rueda</t>
        </is>
      </c>
      <c r="C1378" s="38" t="inlineStr">
        <is>
          <t>São Bento da Abadá</t>
        </is>
      </c>
      <c r="D1378" s="54" t="inlineStr">
        <is>
          <t>INF_6</t>
        </is>
      </c>
      <c r="E1378" s="11" t="n"/>
      <c r="F1378" s="11" t="n"/>
      <c r="G1378" s="11" t="n"/>
      <c r="H1378" s="41" t="n"/>
      <c r="I1378" s="11" t="n"/>
      <c r="J1378" s="11" t="n"/>
    </row>
    <row r="1379" ht="19.5" customHeight="1" s="72">
      <c r="A1379" s="38" t="n">
        <v>7</v>
      </c>
      <c r="B1379" s="38" t="inlineStr">
        <is>
          <t>Rueda</t>
        </is>
      </c>
      <c r="C1379" s="38" t="inlineStr">
        <is>
          <t>São Bento da Abadá</t>
        </is>
      </c>
      <c r="D1379" s="54" t="inlineStr">
        <is>
          <t>INF_7</t>
        </is>
      </c>
      <c r="E1379" s="11" t="n"/>
      <c r="F1379" s="11" t="n"/>
      <c r="G1379" s="11" t="n"/>
      <c r="H1379" s="41" t="n"/>
      <c r="I1379" s="11" t="n"/>
      <c r="J1379" s="11" t="n"/>
    </row>
    <row r="1380" ht="19.5" customHeight="1" s="72">
      <c r="A1380" s="38" t="n">
        <v>8</v>
      </c>
      <c r="B1380" s="38" t="inlineStr">
        <is>
          <t>Rueda</t>
        </is>
      </c>
      <c r="C1380" s="38" t="inlineStr">
        <is>
          <t>São Bento da Abadá</t>
        </is>
      </c>
      <c r="D1380" s="54" t="inlineStr">
        <is>
          <t>INF_8</t>
        </is>
      </c>
      <c r="E1380" s="11" t="n"/>
      <c r="F1380" s="11" t="n"/>
      <c r="G1380" s="11" t="n"/>
      <c r="H1380" s="41" t="n"/>
      <c r="I1380" s="11" t="n"/>
      <c r="J1380" s="11" t="n"/>
    </row>
    <row r="1381" ht="19.5" customHeight="1" s="72">
      <c r="A1381" s="38" t="n">
        <v>9</v>
      </c>
      <c r="B1381" s="38" t="inlineStr">
        <is>
          <t>Rueda</t>
        </is>
      </c>
      <c r="C1381" s="38" t="inlineStr">
        <is>
          <t>São Bento da Abadá</t>
        </is>
      </c>
      <c r="D1381" s="54" t="inlineStr">
        <is>
          <t>INF_9</t>
        </is>
      </c>
      <c r="E1381" s="11" t="n"/>
      <c r="F1381" s="11" t="n"/>
      <c r="G1381" s="11" t="n"/>
      <c r="H1381" s="41" t="n"/>
      <c r="I1381" s="11" t="n"/>
      <c r="J1381" s="11" t="n"/>
    </row>
    <row r="1382" ht="19.5" customHeight="1" s="72">
      <c r="A1382" s="38" t="n">
        <v>10</v>
      </c>
      <c r="B1382" s="38" t="inlineStr">
        <is>
          <t>Rueda</t>
        </is>
      </c>
      <c r="C1382" s="38" t="inlineStr">
        <is>
          <t>São Bento da Abadá</t>
        </is>
      </c>
      <c r="D1382" s="54" t="inlineStr">
        <is>
          <t>INF_10</t>
        </is>
      </c>
      <c r="E1382" s="11" t="n"/>
      <c r="F1382" s="11" t="n"/>
      <c r="G1382" s="11" t="n"/>
      <c r="H1382" s="41" t="n"/>
      <c r="I1382" s="11" t="n"/>
      <c r="J1382" s="11" t="n"/>
    </row>
    <row r="1383" ht="19.5" customHeight="1" s="72">
      <c r="A1383" s="38" t="n">
        <v>11</v>
      </c>
      <c r="B1383" s="38" t="inlineStr">
        <is>
          <t>Rueda</t>
        </is>
      </c>
      <c r="C1383" s="38" t="inlineStr">
        <is>
          <t>São Bento da Abadá</t>
        </is>
      </c>
      <c r="D1383" s="54" t="inlineStr">
        <is>
          <t>INF_11</t>
        </is>
      </c>
      <c r="E1383" s="11" t="n"/>
      <c r="F1383" s="11" t="n"/>
      <c r="G1383" s="11" t="n"/>
      <c r="H1383" s="41" t="n"/>
      <c r="I1383" s="11" t="n"/>
      <c r="J1383" s="11" t="n"/>
    </row>
    <row r="1384" ht="19.5" customHeight="1" s="72">
      <c r="A1384" s="38" t="n">
        <v>12</v>
      </c>
      <c r="B1384" s="38" t="inlineStr">
        <is>
          <t>Rueda</t>
        </is>
      </c>
      <c r="C1384" s="38" t="inlineStr">
        <is>
          <t>São Bento da Abadá</t>
        </is>
      </c>
      <c r="D1384" s="54" t="inlineStr">
        <is>
          <t>INF_12</t>
        </is>
      </c>
      <c r="E1384" s="11" t="n"/>
      <c r="F1384" s="11" t="n"/>
      <c r="G1384" s="11" t="n"/>
      <c r="H1384" s="41" t="n"/>
      <c r="I1384" s="11" t="n"/>
      <c r="J1384" s="11" t="n"/>
    </row>
    <row r="1385" ht="19.5" customHeight="1" s="72">
      <c r="A1385" s="38" t="n">
        <v>13</v>
      </c>
      <c r="B1385" s="38" t="inlineStr">
        <is>
          <t>Rueda</t>
        </is>
      </c>
      <c r="C1385" s="38" t="inlineStr">
        <is>
          <t>São Bento da Abadá</t>
        </is>
      </c>
      <c r="D1385" s="54" t="inlineStr">
        <is>
          <t>INF_13</t>
        </is>
      </c>
      <c r="E1385" s="11" t="n"/>
      <c r="F1385" s="11" t="n"/>
      <c r="G1385" s="11" t="n"/>
      <c r="H1385" s="41" t="n"/>
      <c r="I1385" s="11" t="n"/>
      <c r="J1385" s="11" t="n"/>
    </row>
    <row r="1386" ht="19.5" customHeight="1" s="72">
      <c r="A1386" s="38" t="n">
        <v>14</v>
      </c>
      <c r="B1386" s="38" t="inlineStr">
        <is>
          <t>Rueda</t>
        </is>
      </c>
      <c r="C1386" s="38" t="inlineStr">
        <is>
          <t>São Bento da Abadá</t>
        </is>
      </c>
      <c r="D1386" s="54" t="inlineStr">
        <is>
          <t>INF_14</t>
        </is>
      </c>
      <c r="E1386" s="11" t="n"/>
      <c r="F1386" s="11" t="n"/>
      <c r="G1386" s="11" t="n"/>
      <c r="H1386" s="41" t="n"/>
      <c r="I1386" s="11" t="n"/>
      <c r="J1386" s="11" t="n"/>
    </row>
    <row r="1387" ht="19.5" customHeight="1" s="72">
      <c r="A1387" s="38" t="n">
        <v>15</v>
      </c>
      <c r="B1387" s="38" t="inlineStr">
        <is>
          <t>Rueda</t>
        </is>
      </c>
      <c r="C1387" s="38" t="inlineStr">
        <is>
          <t>São Bento da Abadá</t>
        </is>
      </c>
      <c r="D1387" s="54" t="inlineStr">
        <is>
          <t>INF_15</t>
        </is>
      </c>
      <c r="E1387" s="11" t="n"/>
      <c r="F1387" s="11" t="n"/>
      <c r="G1387" s="11" t="n"/>
      <c r="H1387" s="41" t="n"/>
      <c r="I1387" s="11" t="n"/>
      <c r="J1387" s="11" t="n"/>
    </row>
    <row r="1388" ht="19.5" customHeight="1" s="72">
      <c r="A1388" s="38" t="n">
        <v>16</v>
      </c>
      <c r="B1388" s="38" t="inlineStr">
        <is>
          <t>Rueda</t>
        </is>
      </c>
      <c r="C1388" s="38" t="inlineStr">
        <is>
          <t>São Bento da Abadá</t>
        </is>
      </c>
      <c r="D1388" s="54" t="inlineStr">
        <is>
          <t>INF_16</t>
        </is>
      </c>
      <c r="E1388" s="11" t="n"/>
      <c r="F1388" s="11" t="n"/>
      <c r="G1388" s="11" t="n"/>
      <c r="H1388" s="41" t="n"/>
      <c r="I1388" s="11" t="n"/>
      <c r="J1388" s="11" t="n"/>
    </row>
    <row r="1389" ht="19.5" customHeight="1" s="72">
      <c r="A1389" s="38" t="n">
        <v>17</v>
      </c>
      <c r="B1389" s="38" t="inlineStr">
        <is>
          <t>Rueda</t>
        </is>
      </c>
      <c r="C1389" s="38" t="inlineStr">
        <is>
          <t>São Bento da Abadá</t>
        </is>
      </c>
      <c r="D1389" s="54" t="inlineStr">
        <is>
          <t>INF_17</t>
        </is>
      </c>
      <c r="E1389" s="11" t="n"/>
      <c r="F1389" s="11" t="n"/>
      <c r="G1389" s="11" t="n"/>
      <c r="H1389" s="41" t="n"/>
      <c r="I1389" s="11" t="n"/>
      <c r="J1389" s="11" t="n"/>
    </row>
    <row r="1390" ht="19.5" customHeight="1" s="72">
      <c r="A1390" s="38" t="n">
        <v>18</v>
      </c>
      <c r="B1390" s="38" t="inlineStr">
        <is>
          <t>Rueda</t>
        </is>
      </c>
      <c r="C1390" s="38" t="inlineStr">
        <is>
          <t>São Bento da Abadá</t>
        </is>
      </c>
      <c r="D1390" s="54" t="inlineStr">
        <is>
          <t>INF_18</t>
        </is>
      </c>
      <c r="E1390" s="11" t="n"/>
      <c r="F1390" s="11" t="n"/>
      <c r="G1390" s="11" t="n"/>
      <c r="H1390" s="41" t="n"/>
      <c r="I1390" s="11" t="n"/>
      <c r="J1390" s="11" t="n"/>
    </row>
    <row r="1391" ht="19.5" customHeight="1" s="72">
      <c r="A1391" s="38" t="n">
        <v>19</v>
      </c>
      <c r="B1391" s="38" t="inlineStr">
        <is>
          <t>Rueda</t>
        </is>
      </c>
      <c r="C1391" s="38" t="inlineStr">
        <is>
          <t>São Bento da Abadá</t>
        </is>
      </c>
      <c r="D1391" s="54" t="inlineStr">
        <is>
          <t>INF_19</t>
        </is>
      </c>
      <c r="E1391" s="11" t="n"/>
      <c r="F1391" s="11" t="n"/>
      <c r="G1391" s="11" t="n"/>
      <c r="H1391" s="41" t="n"/>
      <c r="I1391" s="11" t="n"/>
      <c r="J1391" s="11" t="n"/>
    </row>
    <row r="1392" ht="19.5" customHeight="1" s="72">
      <c r="A1392" s="38" t="n">
        <v>20</v>
      </c>
      <c r="B1392" s="38" t="inlineStr">
        <is>
          <t>Rueda</t>
        </is>
      </c>
      <c r="C1392" s="38" t="inlineStr">
        <is>
          <t>São Bento da Abadá</t>
        </is>
      </c>
      <c r="D1392" s="54" t="inlineStr">
        <is>
          <t>INF_20</t>
        </is>
      </c>
      <c r="E1392" s="11" t="n"/>
      <c r="F1392" s="11" t="n"/>
      <c r="G1392" s="11" t="n"/>
      <c r="H1392" s="41" t="n"/>
      <c r="I1392" s="11" t="n"/>
      <c r="J1392" s="11" t="n"/>
    </row>
    <row r="1393" ht="19.5" customHeight="1" s="72">
      <c r="A1393" s="38" t="n">
        <v>21</v>
      </c>
      <c r="B1393" s="38" t="inlineStr">
        <is>
          <t>Rueda</t>
        </is>
      </c>
      <c r="C1393" s="38" t="inlineStr">
        <is>
          <t>São Bento da Abadá</t>
        </is>
      </c>
      <c r="D1393" s="54" t="inlineStr">
        <is>
          <t>INF_21</t>
        </is>
      </c>
      <c r="E1393" s="11" t="n"/>
      <c r="F1393" s="11" t="n"/>
      <c r="G1393" s="11" t="n"/>
      <c r="H1393" s="41" t="n"/>
      <c r="I1393" s="11" t="n"/>
      <c r="J1393" s="11" t="n"/>
    </row>
    <row r="1394" ht="19.5" customHeight="1" s="72">
      <c r="A1394" s="38" t="n">
        <v>22</v>
      </c>
      <c r="B1394" s="38" t="inlineStr">
        <is>
          <t>Rueda</t>
        </is>
      </c>
      <c r="C1394" s="38" t="inlineStr">
        <is>
          <t>São Bento da Abadá</t>
        </is>
      </c>
      <c r="D1394" s="54" t="inlineStr">
        <is>
          <t>INF_22</t>
        </is>
      </c>
      <c r="E1394" s="11" t="n"/>
      <c r="F1394" s="11" t="n"/>
      <c r="G1394" s="11" t="n"/>
      <c r="H1394" s="41" t="n"/>
      <c r="I1394" s="11" t="n"/>
      <c r="J1394" s="11" t="n"/>
    </row>
    <row r="1395" ht="19.5" customHeight="1" s="72">
      <c r="A1395" s="38" t="n">
        <v>23</v>
      </c>
      <c r="B1395" s="38" t="inlineStr">
        <is>
          <t>Rueda</t>
        </is>
      </c>
      <c r="C1395" s="38" t="inlineStr">
        <is>
          <t>São Bento da Abadá</t>
        </is>
      </c>
      <c r="D1395" s="54" t="inlineStr">
        <is>
          <t>INF_23</t>
        </is>
      </c>
      <c r="E1395" s="11" t="n"/>
      <c r="F1395" s="11" t="n"/>
      <c r="G1395" s="11" t="n"/>
      <c r="H1395" s="41" t="n"/>
      <c r="I1395" s="11" t="n"/>
      <c r="J1395" s="11" t="n"/>
    </row>
    <row r="1396" ht="19.5" customHeight="1" s="72">
      <c r="A1396" s="38" t="n">
        <v>24</v>
      </c>
      <c r="B1396" s="38" t="inlineStr">
        <is>
          <t>Rueda</t>
        </is>
      </c>
      <c r="C1396" s="38" t="inlineStr">
        <is>
          <t>São Bento da Abadá</t>
        </is>
      </c>
      <c r="D1396" s="54" t="inlineStr">
        <is>
          <t>INF_24</t>
        </is>
      </c>
      <c r="E1396" s="11" t="n"/>
      <c r="F1396" s="11" t="n"/>
      <c r="G1396" s="11" t="n"/>
      <c r="H1396" s="41" t="n"/>
      <c r="I1396" s="11" t="n"/>
      <c r="J1396" s="11" t="n"/>
    </row>
    <row r="1397" ht="19.5" customHeight="1" s="72">
      <c r="A1397" s="38" t="n">
        <v>25</v>
      </c>
      <c r="B1397" s="38" t="inlineStr">
        <is>
          <t>Rueda</t>
        </is>
      </c>
      <c r="C1397" s="38" t="inlineStr">
        <is>
          <t>São Bento da Abadá</t>
        </is>
      </c>
      <c r="D1397" s="54" t="inlineStr">
        <is>
          <t>INF_25</t>
        </is>
      </c>
      <c r="E1397" s="11" t="n"/>
      <c r="F1397" s="11" t="n"/>
      <c r="G1397" s="11" t="n"/>
      <c r="H1397" s="41" t="n"/>
      <c r="I1397" s="11" t="n"/>
      <c r="J1397" s="11" t="n"/>
    </row>
    <row r="1398" ht="19.5" customHeight="1" s="72">
      <c r="A1398" s="38" t="n">
        <v>26</v>
      </c>
      <c r="B1398" s="38" t="inlineStr">
        <is>
          <t>Rueda</t>
        </is>
      </c>
      <c r="C1398" s="38" t="inlineStr">
        <is>
          <t>São Bento da Abadá</t>
        </is>
      </c>
      <c r="D1398" s="54" t="inlineStr">
        <is>
          <t>INF_26</t>
        </is>
      </c>
      <c r="E1398" s="11" t="n"/>
      <c r="F1398" s="11" t="n"/>
      <c r="G1398" s="11" t="n"/>
      <c r="H1398" s="41" t="n"/>
      <c r="I1398" s="11" t="n"/>
      <c r="J1398" s="11" t="n"/>
    </row>
    <row r="1399" ht="19.5" customHeight="1" s="72">
      <c r="A1399" s="38" t="n">
        <v>27</v>
      </c>
      <c r="B1399" s="38" t="inlineStr">
        <is>
          <t>Rueda</t>
        </is>
      </c>
      <c r="C1399" s="38" t="inlineStr">
        <is>
          <t>São Bento da Abadá</t>
        </is>
      </c>
      <c r="D1399" s="54" t="inlineStr">
        <is>
          <t>INF_27</t>
        </is>
      </c>
      <c r="E1399" s="11" t="n"/>
      <c r="F1399" s="11" t="n"/>
      <c r="G1399" s="11" t="n"/>
      <c r="H1399" s="41" t="n"/>
      <c r="I1399" s="11" t="n"/>
      <c r="J1399" s="11" t="n"/>
    </row>
    <row r="1400" ht="19.5" customHeight="1" s="72">
      <c r="A1400" s="38" t="n">
        <v>28</v>
      </c>
      <c r="B1400" s="38" t="inlineStr">
        <is>
          <t>Rueda</t>
        </is>
      </c>
      <c r="C1400" s="38" t="inlineStr">
        <is>
          <t>São Bento da Abadá</t>
        </is>
      </c>
      <c r="D1400" s="54" t="inlineStr">
        <is>
          <t>INF_28</t>
        </is>
      </c>
      <c r="E1400" s="11" t="n"/>
      <c r="F1400" s="11" t="n"/>
      <c r="G1400" s="11" t="n"/>
      <c r="H1400" s="41" t="n"/>
      <c r="I1400" s="11" t="n"/>
      <c r="J1400" s="11" t="n"/>
    </row>
    <row r="1401" ht="19.5" customHeight="1" s="72">
      <c r="A1401" s="38" t="n">
        <v>29</v>
      </c>
      <c r="B1401" s="38" t="inlineStr">
        <is>
          <t>Rueda</t>
        </is>
      </c>
      <c r="C1401" s="38" t="inlineStr">
        <is>
          <t>São Bento da Abadá</t>
        </is>
      </c>
      <c r="D1401" s="54" t="inlineStr">
        <is>
          <t>INF_29</t>
        </is>
      </c>
      <c r="E1401" s="11" t="n"/>
      <c r="F1401" s="11" t="n"/>
      <c r="G1401" s="11" t="n"/>
      <c r="H1401" s="41" t="n"/>
      <c r="I1401" s="11" t="n"/>
      <c r="J1401" s="11" t="n"/>
    </row>
    <row r="1402" ht="19.5" customHeight="1" s="72">
      <c r="A1402" s="38" t="n">
        <v>30</v>
      </c>
      <c r="B1402" s="38" t="inlineStr">
        <is>
          <t>Rueda</t>
        </is>
      </c>
      <c r="C1402" s="38" t="inlineStr">
        <is>
          <t>São Bento da Abadá</t>
        </is>
      </c>
      <c r="D1402" s="54" t="inlineStr">
        <is>
          <t>INF_30</t>
        </is>
      </c>
      <c r="E1402" s="11" t="n"/>
      <c r="F1402" s="11" t="n"/>
      <c r="G1402" s="11" t="n"/>
      <c r="H1402" s="41" t="n"/>
      <c r="I1402" s="11" t="n"/>
      <c r="J1402" s="11" t="n"/>
    </row>
    <row r="1403" ht="19.5" customHeight="1" s="72">
      <c r="A1403" s="38" t="n">
        <v>31</v>
      </c>
      <c r="B1403" s="38" t="inlineStr">
        <is>
          <t>Rueda</t>
        </is>
      </c>
      <c r="C1403" s="38" t="inlineStr">
        <is>
          <t>São Bento da Abadá</t>
        </is>
      </c>
      <c r="D1403" s="54" t="inlineStr">
        <is>
          <t>INF_31</t>
        </is>
      </c>
      <c r="E1403" s="11" t="n"/>
      <c r="F1403" s="11" t="n"/>
      <c r="G1403" s="11" t="n"/>
      <c r="H1403" s="41" t="n"/>
      <c r="I1403" s="11" t="n"/>
      <c r="J1403" s="11" t="n"/>
    </row>
    <row r="1404" ht="19.5" customHeight="1" s="72">
      <c r="A1404" s="38" t="n">
        <v>32</v>
      </c>
      <c r="B1404" s="38" t="inlineStr">
        <is>
          <t>Rueda</t>
        </is>
      </c>
      <c r="C1404" s="38" t="inlineStr">
        <is>
          <t>São Bento da Abadá</t>
        </is>
      </c>
      <c r="D1404" s="54" t="inlineStr">
        <is>
          <t>INF_32</t>
        </is>
      </c>
      <c r="E1404" s="11" t="n"/>
      <c r="F1404" s="11" t="n"/>
      <c r="G1404" s="11" t="n"/>
      <c r="H1404" s="41" t="n"/>
      <c r="I1404" s="11" t="n"/>
      <c r="J1404" s="11" t="n"/>
    </row>
    <row r="1405" ht="19.5" customHeight="1" s="72">
      <c r="A1405" s="38" t="n">
        <v>33</v>
      </c>
      <c r="B1405" s="38" t="inlineStr">
        <is>
          <t>Rueda</t>
        </is>
      </c>
      <c r="C1405" s="38" t="inlineStr">
        <is>
          <t>São Bento da Abadá</t>
        </is>
      </c>
      <c r="D1405" s="54" t="inlineStr">
        <is>
          <t>INF_33</t>
        </is>
      </c>
      <c r="E1405" s="11" t="n"/>
      <c r="F1405" s="11" t="n"/>
      <c r="G1405" s="11" t="n"/>
      <c r="H1405" s="41" t="n"/>
      <c r="I1405" s="11" t="n"/>
      <c r="J1405" s="11" t="n"/>
    </row>
    <row r="1406" ht="19.5" customHeight="1" s="72">
      <c r="A1406" s="38" t="n">
        <v>34</v>
      </c>
      <c r="B1406" s="38" t="inlineStr">
        <is>
          <t>Rueda</t>
        </is>
      </c>
      <c r="C1406" s="38" t="inlineStr">
        <is>
          <t>São Bento da Abadá</t>
        </is>
      </c>
      <c r="D1406" s="54" t="inlineStr">
        <is>
          <t>INF_34</t>
        </is>
      </c>
      <c r="E1406" s="11" t="n"/>
      <c r="F1406" s="11" t="n"/>
      <c r="G1406" s="11" t="n"/>
      <c r="H1406" s="41" t="n"/>
      <c r="I1406" s="11" t="n"/>
      <c r="J1406" s="11" t="n"/>
    </row>
    <row r="1407" ht="19.5" customHeight="1" s="72">
      <c r="A1407" s="38" t="n">
        <v>35</v>
      </c>
      <c r="B1407" s="38" t="inlineStr">
        <is>
          <t>Rueda</t>
        </is>
      </c>
      <c r="C1407" s="38" t="inlineStr">
        <is>
          <t>São Bento da Abadá</t>
        </is>
      </c>
      <c r="D1407" s="54" t="inlineStr">
        <is>
          <t>INF_35</t>
        </is>
      </c>
      <c r="E1407" s="11" t="n"/>
      <c r="F1407" s="11" t="n"/>
      <c r="G1407" s="11" t="n"/>
      <c r="H1407" s="41" t="n"/>
      <c r="I1407" s="11" t="n"/>
      <c r="J1407" s="11" t="n"/>
    </row>
    <row r="1408" ht="19.5" customHeight="1" s="72">
      <c r="A1408" s="38" t="n">
        <v>36</v>
      </c>
      <c r="B1408" s="38" t="inlineStr">
        <is>
          <t>Rueda</t>
        </is>
      </c>
      <c r="C1408" s="38" t="inlineStr">
        <is>
          <t>São Bento da Abadá</t>
        </is>
      </c>
      <c r="D1408" s="54" t="inlineStr">
        <is>
          <t>INF_36</t>
        </is>
      </c>
      <c r="E1408" s="11" t="n"/>
      <c r="F1408" s="11" t="n"/>
      <c r="G1408" s="11" t="n"/>
      <c r="H1408" s="41" t="n"/>
      <c r="I1408" s="11" t="n"/>
      <c r="J1408" s="11" t="n"/>
    </row>
    <row r="1409" ht="19.5" customHeight="1" s="72">
      <c r="A1409" s="38" t="n">
        <v>37</v>
      </c>
      <c r="B1409" s="38" t="inlineStr">
        <is>
          <t>Rueda</t>
        </is>
      </c>
      <c r="C1409" s="38" t="inlineStr">
        <is>
          <t>São Bento da Abadá</t>
        </is>
      </c>
      <c r="D1409" s="54" t="inlineStr">
        <is>
          <t>INF_37</t>
        </is>
      </c>
      <c r="E1409" s="11" t="n"/>
      <c r="F1409" s="11" t="n"/>
      <c r="G1409" s="11" t="n"/>
      <c r="H1409" s="41" t="n"/>
      <c r="I1409" s="11" t="n"/>
      <c r="J1409" s="11" t="n"/>
    </row>
    <row r="1410" ht="19.5" customHeight="1" s="72">
      <c r="A1410" s="38" t="n">
        <v>38</v>
      </c>
      <c r="B1410" s="38" t="inlineStr">
        <is>
          <t>Rueda</t>
        </is>
      </c>
      <c r="C1410" s="38" t="inlineStr">
        <is>
          <t>São Bento da Abadá</t>
        </is>
      </c>
      <c r="D1410" s="54" t="inlineStr">
        <is>
          <t>INF_38</t>
        </is>
      </c>
      <c r="E1410" s="11" t="n"/>
      <c r="F1410" s="11" t="n"/>
      <c r="G1410" s="11" t="n"/>
      <c r="H1410" s="41" t="n"/>
      <c r="I1410" s="11" t="n"/>
      <c r="J1410" s="11" t="n"/>
    </row>
    <row r="1411" ht="19.5" customHeight="1" s="72">
      <c r="A1411" s="38" t="n">
        <v>39</v>
      </c>
      <c r="B1411" s="38" t="inlineStr">
        <is>
          <t>Rueda</t>
        </is>
      </c>
      <c r="C1411" s="38" t="inlineStr">
        <is>
          <t>São Bento da Abadá</t>
        </is>
      </c>
      <c r="D1411" s="54" t="inlineStr">
        <is>
          <t>INF_39</t>
        </is>
      </c>
      <c r="E1411" s="11" t="n"/>
      <c r="F1411" s="11" t="n"/>
      <c r="G1411" s="11" t="n"/>
      <c r="H1411" s="41" t="n"/>
      <c r="I1411" s="11" t="n"/>
      <c r="J1411" s="11" t="n"/>
    </row>
    <row r="1412" ht="19.5" customHeight="1" s="72">
      <c r="A1412" s="38" t="n">
        <v>40</v>
      </c>
      <c r="B1412" s="38" t="inlineStr">
        <is>
          <t>Rueda</t>
        </is>
      </c>
      <c r="C1412" s="38" t="inlineStr">
        <is>
          <t>São Bento da Abadá</t>
        </is>
      </c>
      <c r="D1412" s="54" t="inlineStr">
        <is>
          <t>INF_40</t>
        </is>
      </c>
      <c r="E1412" s="11" t="n"/>
      <c r="F1412" s="11" t="n"/>
      <c r="G1412" s="11" t="n"/>
      <c r="H1412" s="41" t="n"/>
      <c r="I1412" s="11" t="n"/>
      <c r="J1412" s="11" t="n"/>
    </row>
  </sheetData>
  <mergeCells count="18">
    <mergeCell ref="A1:J1"/>
    <mergeCell ref="A966:J966"/>
    <mergeCell ref="A1185:J1185"/>
    <mergeCell ref="A1278:J1278"/>
    <mergeCell ref="A375:J375"/>
    <mergeCell ref="A282:J282"/>
    <mergeCell ref="A561:J561"/>
    <mergeCell ref="A468:J468"/>
    <mergeCell ref="A189:J189"/>
    <mergeCell ref="A873:J873"/>
    <mergeCell ref="A3:J3"/>
    <mergeCell ref="A654:J654"/>
    <mergeCell ref="A747:J747"/>
    <mergeCell ref="A96:J96"/>
    <mergeCell ref="A1059:J1059"/>
    <mergeCell ref="A1122:J1122"/>
    <mergeCell ref="A1371:J1371"/>
    <mergeCell ref="A810:J810"/>
  </mergeCell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1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.14" customWidth="1" style="72" min="1" max="1"/>
    <col width="11.14" customWidth="1" style="72" min="2" max="2"/>
    <col width="24.14" customWidth="1" style="72" min="3" max="3"/>
    <col width="17.57" customWidth="1" style="72" min="4" max="4"/>
    <col width="10.29" customWidth="1" style="72" min="5" max="5"/>
    <col width="17.57" customWidth="1" style="72" min="6" max="6"/>
    <col width="10.29" customWidth="1" style="72" min="7" max="7"/>
    <col width="15.71" customWidth="1" style="72" min="8" max="8"/>
    <col width="12" customWidth="1" style="72" min="9" max="10"/>
    <col width="8.710000000000001" customWidth="1" style="72" min="11" max="26"/>
  </cols>
  <sheetData>
    <row r="1" ht="25.5" customHeight="1" s="72">
      <c r="A1" s="73" t="inlineStr">
        <is>
          <t>JUEZ 2 · EVENTO COMPLETO · Rellena NOTA y puntos a quitar por jugador en cada jogo</t>
        </is>
      </c>
    </row>
    <row r="2" ht="14.25" customHeight="1" s="72"/>
    <row r="3" ht="14.25" customHeight="1" s="72">
      <c r="A3" s="80" t="inlineStr">
        <is>
          <t>═══ CATEGORÍA A · Masculino · Marrón (Profesores) · Toques: Benguela, São Bento da Abadá, Siriuna ═══</t>
        </is>
      </c>
    </row>
    <row r="4" ht="14.25" customHeight="1" s="72">
      <c r="A4" s="8" t="inlineStr">
        <is>
          <t>Jogo</t>
        </is>
      </c>
      <c r="B4" s="8" t="inlineStr">
        <is>
          <t>Fase</t>
        </is>
      </c>
      <c r="C4" s="8" t="inlineStr">
        <is>
          <t>Toque</t>
        </is>
      </c>
      <c r="D4" s="8" t="inlineStr">
        <is>
          <t>Jugador A</t>
        </is>
      </c>
      <c r="E4" s="8" t="inlineStr">
        <is>
          <t>Quita A</t>
        </is>
      </c>
      <c r="F4" s="8" t="inlineStr">
        <is>
          <t>Jugador B</t>
        </is>
      </c>
      <c r="G4" s="8" t="inlineStr">
        <is>
          <t>Quita B</t>
        </is>
      </c>
      <c r="H4" s="8" t="inlineStr">
        <is>
          <t>NOTA (0-5)</t>
        </is>
      </c>
      <c r="I4" s="8" t="inlineStr">
        <is>
          <t>Final A</t>
        </is>
      </c>
      <c r="J4" s="8" t="inlineStr">
        <is>
          <t>Final B</t>
        </is>
      </c>
    </row>
    <row r="5" ht="19.5" customHeight="1" s="72">
      <c r="A5" s="38" t="inlineStr">
        <is>
          <t>AM-32-P01-BEN</t>
        </is>
      </c>
      <c r="B5" s="38" t="inlineStr">
        <is>
          <t>Fase 32</t>
        </is>
      </c>
      <c r="C5" s="38" t="inlineStr">
        <is>
          <t>Benguela</t>
        </is>
      </c>
      <c r="D5" s="39" t="inlineStr">
        <is>
          <t>A_A_M_32_P1</t>
        </is>
      </c>
      <c r="E5" s="40" t="n"/>
      <c r="F5" s="39" t="inlineStr">
        <is>
          <t>B_A_M_32_P1</t>
        </is>
      </c>
      <c r="G5" s="40" t="n"/>
      <c r="H5" s="41" t="n"/>
      <c r="I5" s="42">
        <f>IF($H5="","",MAX(0,$H5-N($E5)))</f>
        <v/>
      </c>
      <c r="J5" s="42">
        <f>IF($H5="","",MAX(0,$H5-N($G5)))</f>
        <v/>
      </c>
    </row>
    <row r="6" ht="19.5" customHeight="1" s="72">
      <c r="A6" s="38" t="inlineStr">
        <is>
          <t>AM-32-P01-SBA</t>
        </is>
      </c>
      <c r="B6" s="38" t="inlineStr">
        <is>
          <t>Fase 32</t>
        </is>
      </c>
      <c r="C6" s="38" t="inlineStr">
        <is>
          <t>São Bento da Abadá</t>
        </is>
      </c>
      <c r="D6" s="39" t="inlineStr">
        <is>
          <t>A_A_M_32_P1</t>
        </is>
      </c>
      <c r="E6" s="40" t="n"/>
      <c r="F6" s="39" t="inlineStr">
        <is>
          <t>B_A_M_32_P1</t>
        </is>
      </c>
      <c r="G6" s="40" t="n"/>
      <c r="H6" s="41" t="n"/>
      <c r="I6" s="42">
        <f>IF($H6="","",MAX(0,$H6-N($E6)))</f>
        <v/>
      </c>
      <c r="J6" s="42">
        <f>IF($H6="","",MAX(0,$H6-N($G6)))</f>
        <v/>
      </c>
    </row>
    <row r="7" ht="19.5" customHeight="1" s="72">
      <c r="A7" s="38" t="inlineStr">
        <is>
          <t>AM-32-P01-SIR</t>
        </is>
      </c>
      <c r="B7" s="38" t="inlineStr">
        <is>
          <t>Fase 32</t>
        </is>
      </c>
      <c r="C7" s="38" t="inlineStr">
        <is>
          <t>Siriuna</t>
        </is>
      </c>
      <c r="D7" s="39" t="inlineStr">
        <is>
          <t>A_A_M_32_P1</t>
        </is>
      </c>
      <c r="E7" s="40" t="n"/>
      <c r="F7" s="39" t="inlineStr">
        <is>
          <t>B_A_M_32_P1</t>
        </is>
      </c>
      <c r="G7" s="40" t="n"/>
      <c r="H7" s="41" t="n"/>
      <c r="I7" s="42">
        <f>IF($H7="","",MAX(0,$H7-N($E7)))</f>
        <v/>
      </c>
      <c r="J7" s="42">
        <f>IF($H7="","",MAX(0,$H7-N($G7)))</f>
        <v/>
      </c>
    </row>
    <row r="8" ht="19.5" customHeight="1" s="72">
      <c r="A8" s="38" t="inlineStr">
        <is>
          <t>AM-32-P02-BEN</t>
        </is>
      </c>
      <c r="B8" s="38" t="inlineStr">
        <is>
          <t>Fase 32</t>
        </is>
      </c>
      <c r="C8" s="38" t="inlineStr">
        <is>
          <t>Benguela</t>
        </is>
      </c>
      <c r="D8" s="39" t="inlineStr">
        <is>
          <t>A_A_M_32_P2</t>
        </is>
      </c>
      <c r="E8" s="40" t="n"/>
      <c r="F8" s="39" t="inlineStr">
        <is>
          <t>B_A_M_32_P2</t>
        </is>
      </c>
      <c r="G8" s="40" t="n"/>
      <c r="H8" s="41" t="n"/>
      <c r="I8" s="42">
        <f>IF($H8="","",MAX(0,$H8-N($E8)))</f>
        <v/>
      </c>
      <c r="J8" s="42">
        <f>IF($H8="","",MAX(0,$H8-N($G8)))</f>
        <v/>
      </c>
    </row>
    <row r="9" ht="19.5" customHeight="1" s="72">
      <c r="A9" s="38" t="inlineStr">
        <is>
          <t>AM-32-P02-SBA</t>
        </is>
      </c>
      <c r="B9" s="38" t="inlineStr">
        <is>
          <t>Fase 32</t>
        </is>
      </c>
      <c r="C9" s="38" t="inlineStr">
        <is>
          <t>São Bento da Abadá</t>
        </is>
      </c>
      <c r="D9" s="39" t="inlineStr">
        <is>
          <t>A_A_M_32_P2</t>
        </is>
      </c>
      <c r="E9" s="40" t="n"/>
      <c r="F9" s="39" t="inlineStr">
        <is>
          <t>B_A_M_32_P2</t>
        </is>
      </c>
      <c r="G9" s="40" t="n"/>
      <c r="H9" s="41" t="n"/>
      <c r="I9" s="42">
        <f>IF($H9="","",MAX(0,$H9-N($E9)))</f>
        <v/>
      </c>
      <c r="J9" s="42">
        <f>IF($H9="","",MAX(0,$H9-N($G9)))</f>
        <v/>
      </c>
    </row>
    <row r="10" ht="19.5" customHeight="1" s="72">
      <c r="A10" s="38" t="inlineStr">
        <is>
          <t>AM-32-P02-SIR</t>
        </is>
      </c>
      <c r="B10" s="38" t="inlineStr">
        <is>
          <t>Fase 32</t>
        </is>
      </c>
      <c r="C10" s="38" t="inlineStr">
        <is>
          <t>Siriuna</t>
        </is>
      </c>
      <c r="D10" s="39" t="inlineStr">
        <is>
          <t>A_A_M_32_P2</t>
        </is>
      </c>
      <c r="E10" s="40" t="n"/>
      <c r="F10" s="39" t="inlineStr">
        <is>
          <t>B_A_M_32_P2</t>
        </is>
      </c>
      <c r="G10" s="40" t="n"/>
      <c r="H10" s="41" t="n"/>
      <c r="I10" s="42">
        <f>IF($H10="","",MAX(0,$H10-N($E10)))</f>
        <v/>
      </c>
      <c r="J10" s="42">
        <f>IF($H10="","",MAX(0,$H10-N($G10)))</f>
        <v/>
      </c>
    </row>
    <row r="11" ht="19.5" customHeight="1" s="72">
      <c r="A11" s="38" t="inlineStr">
        <is>
          <t>AM-32-P03-BEN</t>
        </is>
      </c>
      <c r="B11" s="38" t="inlineStr">
        <is>
          <t>Fase 32</t>
        </is>
      </c>
      <c r="C11" s="38" t="inlineStr">
        <is>
          <t>Benguela</t>
        </is>
      </c>
      <c r="D11" s="39" t="inlineStr">
        <is>
          <t>A_A_M_32_P3</t>
        </is>
      </c>
      <c r="E11" s="40" t="n"/>
      <c r="F11" s="39" t="inlineStr">
        <is>
          <t>B_A_M_32_P3</t>
        </is>
      </c>
      <c r="G11" s="40" t="n"/>
      <c r="H11" s="41" t="n"/>
      <c r="I11" s="42">
        <f>IF($H11="","",MAX(0,$H11-N($E11)))</f>
        <v/>
      </c>
      <c r="J11" s="42">
        <f>IF($H11="","",MAX(0,$H11-N($G11)))</f>
        <v/>
      </c>
    </row>
    <row r="12" ht="19.5" customHeight="1" s="72">
      <c r="A12" s="38" t="inlineStr">
        <is>
          <t>AM-32-P03-SBA</t>
        </is>
      </c>
      <c r="B12" s="38" t="inlineStr">
        <is>
          <t>Fase 32</t>
        </is>
      </c>
      <c r="C12" s="38" t="inlineStr">
        <is>
          <t>São Bento da Abadá</t>
        </is>
      </c>
      <c r="D12" s="39" t="inlineStr">
        <is>
          <t>A_A_M_32_P3</t>
        </is>
      </c>
      <c r="E12" s="40" t="n"/>
      <c r="F12" s="39" t="inlineStr">
        <is>
          <t>B_A_M_32_P3</t>
        </is>
      </c>
      <c r="G12" s="40" t="n"/>
      <c r="H12" s="41" t="n"/>
      <c r="I12" s="42">
        <f>IF($H12="","",MAX(0,$H12-N($E12)))</f>
        <v/>
      </c>
      <c r="J12" s="42">
        <f>IF($H12="","",MAX(0,$H12-N($G12)))</f>
        <v/>
      </c>
    </row>
    <row r="13" ht="19.5" customHeight="1" s="72">
      <c r="A13" s="38" t="inlineStr">
        <is>
          <t>AM-32-P03-SIR</t>
        </is>
      </c>
      <c r="B13" s="38" t="inlineStr">
        <is>
          <t>Fase 32</t>
        </is>
      </c>
      <c r="C13" s="38" t="inlineStr">
        <is>
          <t>Siriuna</t>
        </is>
      </c>
      <c r="D13" s="39" t="inlineStr">
        <is>
          <t>A_A_M_32_P3</t>
        </is>
      </c>
      <c r="E13" s="40" t="n"/>
      <c r="F13" s="39" t="inlineStr">
        <is>
          <t>B_A_M_32_P3</t>
        </is>
      </c>
      <c r="G13" s="40" t="n"/>
      <c r="H13" s="41" t="n"/>
      <c r="I13" s="42">
        <f>IF($H13="","",MAX(0,$H13-N($E13)))</f>
        <v/>
      </c>
      <c r="J13" s="42">
        <f>IF($H13="","",MAX(0,$H13-N($G13)))</f>
        <v/>
      </c>
    </row>
    <row r="14" ht="19.5" customHeight="1" s="72">
      <c r="A14" s="38" t="inlineStr">
        <is>
          <t>AM-32-P04-BEN</t>
        </is>
      </c>
      <c r="B14" s="38" t="inlineStr">
        <is>
          <t>Fase 32</t>
        </is>
      </c>
      <c r="C14" s="38" t="inlineStr">
        <is>
          <t>Benguela</t>
        </is>
      </c>
      <c r="D14" s="39" t="inlineStr">
        <is>
          <t>A_A_M_32_P4</t>
        </is>
      </c>
      <c r="E14" s="40" t="n"/>
      <c r="F14" s="39" t="inlineStr">
        <is>
          <t>B_A_M_32_P4</t>
        </is>
      </c>
      <c r="G14" s="40" t="n"/>
      <c r="H14" s="41" t="n"/>
      <c r="I14" s="42">
        <f>IF($H14="","",MAX(0,$H14-N($E14)))</f>
        <v/>
      </c>
      <c r="J14" s="42">
        <f>IF($H14="","",MAX(0,$H14-N($G14)))</f>
        <v/>
      </c>
    </row>
    <row r="15" ht="19.5" customHeight="1" s="72">
      <c r="A15" s="38" t="inlineStr">
        <is>
          <t>AM-32-P04-SBA</t>
        </is>
      </c>
      <c r="B15" s="38" t="inlineStr">
        <is>
          <t>Fase 32</t>
        </is>
      </c>
      <c r="C15" s="38" t="inlineStr">
        <is>
          <t>São Bento da Abadá</t>
        </is>
      </c>
      <c r="D15" s="39" t="inlineStr">
        <is>
          <t>A_A_M_32_P4</t>
        </is>
      </c>
      <c r="E15" s="40" t="n"/>
      <c r="F15" s="39" t="inlineStr">
        <is>
          <t>B_A_M_32_P4</t>
        </is>
      </c>
      <c r="G15" s="40" t="n"/>
      <c r="H15" s="41" t="n"/>
      <c r="I15" s="42">
        <f>IF($H15="","",MAX(0,$H15-N($E15)))</f>
        <v/>
      </c>
      <c r="J15" s="42">
        <f>IF($H15="","",MAX(0,$H15-N($G15)))</f>
        <v/>
      </c>
    </row>
    <row r="16" ht="19.5" customHeight="1" s="72">
      <c r="A16" s="38" t="inlineStr">
        <is>
          <t>AM-32-P04-SIR</t>
        </is>
      </c>
      <c r="B16" s="38" t="inlineStr">
        <is>
          <t>Fase 32</t>
        </is>
      </c>
      <c r="C16" s="38" t="inlineStr">
        <is>
          <t>Siriuna</t>
        </is>
      </c>
      <c r="D16" s="39" t="inlineStr">
        <is>
          <t>A_A_M_32_P4</t>
        </is>
      </c>
      <c r="E16" s="40" t="n"/>
      <c r="F16" s="39" t="inlineStr">
        <is>
          <t>B_A_M_32_P4</t>
        </is>
      </c>
      <c r="G16" s="40" t="n"/>
      <c r="H16" s="41" t="n"/>
      <c r="I16" s="42">
        <f>IF($H16="","",MAX(0,$H16-N($E16)))</f>
        <v/>
      </c>
      <c r="J16" s="42">
        <f>IF($H16="","",MAX(0,$H16-N($G16)))</f>
        <v/>
      </c>
    </row>
    <row r="17" ht="19.5" customHeight="1" s="72">
      <c r="A17" s="38" t="inlineStr">
        <is>
          <t>AM-32-P05-BEN</t>
        </is>
      </c>
      <c r="B17" s="38" t="inlineStr">
        <is>
          <t>Fase 32</t>
        </is>
      </c>
      <c r="C17" s="38" t="inlineStr">
        <is>
          <t>Benguela</t>
        </is>
      </c>
      <c r="D17" s="39" t="inlineStr">
        <is>
          <t>A_A_M_32_P5</t>
        </is>
      </c>
      <c r="E17" s="40" t="n"/>
      <c r="F17" s="39" t="inlineStr">
        <is>
          <t>B_A_M_32_P5</t>
        </is>
      </c>
      <c r="G17" s="40" t="n"/>
      <c r="H17" s="41" t="n"/>
      <c r="I17" s="42">
        <f>IF($H17="","",MAX(0,$H17-N($E17)))</f>
        <v/>
      </c>
      <c r="J17" s="42">
        <f>IF($H17="","",MAX(0,$H17-N($G17)))</f>
        <v/>
      </c>
    </row>
    <row r="18" ht="19.5" customHeight="1" s="72">
      <c r="A18" s="38" t="inlineStr">
        <is>
          <t>AM-32-P05-SBA</t>
        </is>
      </c>
      <c r="B18" s="38" t="inlineStr">
        <is>
          <t>Fase 32</t>
        </is>
      </c>
      <c r="C18" s="38" t="inlineStr">
        <is>
          <t>São Bento da Abadá</t>
        </is>
      </c>
      <c r="D18" s="39" t="inlineStr">
        <is>
          <t>A_A_M_32_P5</t>
        </is>
      </c>
      <c r="E18" s="40" t="n"/>
      <c r="F18" s="39" t="inlineStr">
        <is>
          <t>B_A_M_32_P5</t>
        </is>
      </c>
      <c r="G18" s="40" t="n"/>
      <c r="H18" s="41" t="n"/>
      <c r="I18" s="42">
        <f>IF($H18="","",MAX(0,$H18-N($E18)))</f>
        <v/>
      </c>
      <c r="J18" s="42">
        <f>IF($H18="","",MAX(0,$H18-N($G18)))</f>
        <v/>
      </c>
    </row>
    <row r="19" ht="19.5" customHeight="1" s="72">
      <c r="A19" s="38" t="inlineStr">
        <is>
          <t>AM-32-P05-SIR</t>
        </is>
      </c>
      <c r="B19" s="38" t="inlineStr">
        <is>
          <t>Fase 32</t>
        </is>
      </c>
      <c r="C19" s="38" t="inlineStr">
        <is>
          <t>Siriuna</t>
        </is>
      </c>
      <c r="D19" s="39" t="inlineStr">
        <is>
          <t>A_A_M_32_P5</t>
        </is>
      </c>
      <c r="E19" s="40" t="n"/>
      <c r="F19" s="39" t="inlineStr">
        <is>
          <t>B_A_M_32_P5</t>
        </is>
      </c>
      <c r="G19" s="40" t="n"/>
      <c r="H19" s="41" t="n"/>
      <c r="I19" s="42">
        <f>IF($H19="","",MAX(0,$H19-N($E19)))</f>
        <v/>
      </c>
      <c r="J19" s="42">
        <f>IF($H19="","",MAX(0,$H19-N($G19)))</f>
        <v/>
      </c>
    </row>
    <row r="20" ht="19.5" customHeight="1" s="72">
      <c r="A20" s="38" t="inlineStr">
        <is>
          <t>AM-32-P06-BEN</t>
        </is>
      </c>
      <c r="B20" s="38" t="inlineStr">
        <is>
          <t>Fase 32</t>
        </is>
      </c>
      <c r="C20" s="38" t="inlineStr">
        <is>
          <t>Benguela</t>
        </is>
      </c>
      <c r="D20" s="39" t="inlineStr">
        <is>
          <t>A_A_M_32_P6</t>
        </is>
      </c>
      <c r="E20" s="40" t="n"/>
      <c r="F20" s="39" t="inlineStr">
        <is>
          <t>B_A_M_32_P6</t>
        </is>
      </c>
      <c r="G20" s="40" t="n"/>
      <c r="H20" s="41" t="n"/>
      <c r="I20" s="42">
        <f>IF($H20="","",MAX(0,$H20-N($E20)))</f>
        <v/>
      </c>
      <c r="J20" s="42">
        <f>IF($H20="","",MAX(0,$H20-N($G20)))</f>
        <v/>
      </c>
    </row>
    <row r="21" ht="19.5" customHeight="1" s="72">
      <c r="A21" s="38" t="inlineStr">
        <is>
          <t>AM-32-P06-SBA</t>
        </is>
      </c>
      <c r="B21" s="38" t="inlineStr">
        <is>
          <t>Fase 32</t>
        </is>
      </c>
      <c r="C21" s="38" t="inlineStr">
        <is>
          <t>São Bento da Abadá</t>
        </is>
      </c>
      <c r="D21" s="39" t="inlineStr">
        <is>
          <t>A_A_M_32_P6</t>
        </is>
      </c>
      <c r="E21" s="40" t="n"/>
      <c r="F21" s="39" t="inlineStr">
        <is>
          <t>B_A_M_32_P6</t>
        </is>
      </c>
      <c r="G21" s="40" t="n"/>
      <c r="H21" s="41" t="n"/>
      <c r="I21" s="42">
        <f>IF($H21="","",MAX(0,$H21-N($E21)))</f>
        <v/>
      </c>
      <c r="J21" s="42">
        <f>IF($H21="","",MAX(0,$H21-N($G21)))</f>
        <v/>
      </c>
    </row>
    <row r="22" ht="19.5" customHeight="1" s="72">
      <c r="A22" s="38" t="inlineStr">
        <is>
          <t>AM-32-P06-SIR</t>
        </is>
      </c>
      <c r="B22" s="38" t="inlineStr">
        <is>
          <t>Fase 32</t>
        </is>
      </c>
      <c r="C22" s="38" t="inlineStr">
        <is>
          <t>Siriuna</t>
        </is>
      </c>
      <c r="D22" s="39" t="inlineStr">
        <is>
          <t>A_A_M_32_P6</t>
        </is>
      </c>
      <c r="E22" s="40" t="n"/>
      <c r="F22" s="39" t="inlineStr">
        <is>
          <t>B_A_M_32_P6</t>
        </is>
      </c>
      <c r="G22" s="40" t="n"/>
      <c r="H22" s="41" t="n"/>
      <c r="I22" s="42">
        <f>IF($H22="","",MAX(0,$H22-N($E22)))</f>
        <v/>
      </c>
      <c r="J22" s="42">
        <f>IF($H22="","",MAX(0,$H22-N($G22)))</f>
        <v/>
      </c>
    </row>
    <row r="23" ht="19.5" customHeight="1" s="72">
      <c r="A23" s="38" t="inlineStr">
        <is>
          <t>AM-32-P07-BEN</t>
        </is>
      </c>
      <c r="B23" s="38" t="inlineStr">
        <is>
          <t>Fase 32</t>
        </is>
      </c>
      <c r="C23" s="38" t="inlineStr">
        <is>
          <t>Benguela</t>
        </is>
      </c>
      <c r="D23" s="39" t="inlineStr">
        <is>
          <t>A_A_M_32_P7</t>
        </is>
      </c>
      <c r="E23" s="40" t="n"/>
      <c r="F23" s="39" t="inlineStr">
        <is>
          <t>B_A_M_32_P7</t>
        </is>
      </c>
      <c r="G23" s="40" t="n"/>
      <c r="H23" s="41" t="n"/>
      <c r="I23" s="42">
        <f>IF($H23="","",MAX(0,$H23-N($E23)))</f>
        <v/>
      </c>
      <c r="J23" s="42">
        <f>IF($H23="","",MAX(0,$H23-N($G23)))</f>
        <v/>
      </c>
    </row>
    <row r="24" ht="19.5" customHeight="1" s="72">
      <c r="A24" s="38" t="inlineStr">
        <is>
          <t>AM-32-P07-SBA</t>
        </is>
      </c>
      <c r="B24" s="38" t="inlineStr">
        <is>
          <t>Fase 32</t>
        </is>
      </c>
      <c r="C24" s="38" t="inlineStr">
        <is>
          <t>São Bento da Abadá</t>
        </is>
      </c>
      <c r="D24" s="39" t="inlineStr">
        <is>
          <t>A_A_M_32_P7</t>
        </is>
      </c>
      <c r="E24" s="40" t="n"/>
      <c r="F24" s="39" t="inlineStr">
        <is>
          <t>B_A_M_32_P7</t>
        </is>
      </c>
      <c r="G24" s="40" t="n"/>
      <c r="H24" s="41" t="n"/>
      <c r="I24" s="42">
        <f>IF($H24="","",MAX(0,$H24-N($E24)))</f>
        <v/>
      </c>
      <c r="J24" s="42">
        <f>IF($H24="","",MAX(0,$H24-N($G24)))</f>
        <v/>
      </c>
    </row>
    <row r="25" ht="19.5" customHeight="1" s="72">
      <c r="A25" s="38" t="inlineStr">
        <is>
          <t>AM-32-P07-SIR</t>
        </is>
      </c>
      <c r="B25" s="38" t="inlineStr">
        <is>
          <t>Fase 32</t>
        </is>
      </c>
      <c r="C25" s="38" t="inlineStr">
        <is>
          <t>Siriuna</t>
        </is>
      </c>
      <c r="D25" s="39" t="inlineStr">
        <is>
          <t>A_A_M_32_P7</t>
        </is>
      </c>
      <c r="E25" s="40" t="n"/>
      <c r="F25" s="39" t="inlineStr">
        <is>
          <t>B_A_M_32_P7</t>
        </is>
      </c>
      <c r="G25" s="40" t="n"/>
      <c r="H25" s="41" t="n"/>
      <c r="I25" s="42">
        <f>IF($H25="","",MAX(0,$H25-N($E25)))</f>
        <v/>
      </c>
      <c r="J25" s="42">
        <f>IF($H25="","",MAX(0,$H25-N($G25)))</f>
        <v/>
      </c>
    </row>
    <row r="26" ht="19.5" customHeight="1" s="72">
      <c r="A26" s="38" t="inlineStr">
        <is>
          <t>AM-32-P08-BEN</t>
        </is>
      </c>
      <c r="B26" s="38" t="inlineStr">
        <is>
          <t>Fase 32</t>
        </is>
      </c>
      <c r="C26" s="38" t="inlineStr">
        <is>
          <t>Benguela</t>
        </is>
      </c>
      <c r="D26" s="39" t="inlineStr">
        <is>
          <t>A_A_M_32_P8</t>
        </is>
      </c>
      <c r="E26" s="40" t="n"/>
      <c r="F26" s="39" t="inlineStr">
        <is>
          <t>B_A_M_32_P8</t>
        </is>
      </c>
      <c r="G26" s="40" t="n"/>
      <c r="H26" s="41" t="n"/>
      <c r="I26" s="42">
        <f>IF($H26="","",MAX(0,$H26-N($E26)))</f>
        <v/>
      </c>
      <c r="J26" s="42">
        <f>IF($H26="","",MAX(0,$H26-N($G26)))</f>
        <v/>
      </c>
    </row>
    <row r="27" ht="19.5" customHeight="1" s="72">
      <c r="A27" s="38" t="inlineStr">
        <is>
          <t>AM-32-P08-SBA</t>
        </is>
      </c>
      <c r="B27" s="38" t="inlineStr">
        <is>
          <t>Fase 32</t>
        </is>
      </c>
      <c r="C27" s="38" t="inlineStr">
        <is>
          <t>São Bento da Abadá</t>
        </is>
      </c>
      <c r="D27" s="39" t="inlineStr">
        <is>
          <t>A_A_M_32_P8</t>
        </is>
      </c>
      <c r="E27" s="40" t="n"/>
      <c r="F27" s="39" t="inlineStr">
        <is>
          <t>B_A_M_32_P8</t>
        </is>
      </c>
      <c r="G27" s="40" t="n"/>
      <c r="H27" s="41" t="n"/>
      <c r="I27" s="42">
        <f>IF($H27="","",MAX(0,$H27-N($E27)))</f>
        <v/>
      </c>
      <c r="J27" s="42">
        <f>IF($H27="","",MAX(0,$H27-N($G27)))</f>
        <v/>
      </c>
    </row>
    <row r="28" ht="19.5" customHeight="1" s="72">
      <c r="A28" s="38" t="inlineStr">
        <is>
          <t>AM-32-P08-SIR</t>
        </is>
      </c>
      <c r="B28" s="38" t="inlineStr">
        <is>
          <t>Fase 32</t>
        </is>
      </c>
      <c r="C28" s="38" t="inlineStr">
        <is>
          <t>Siriuna</t>
        </is>
      </c>
      <c r="D28" s="39" t="inlineStr">
        <is>
          <t>A_A_M_32_P8</t>
        </is>
      </c>
      <c r="E28" s="40" t="n"/>
      <c r="F28" s="39" t="inlineStr">
        <is>
          <t>B_A_M_32_P8</t>
        </is>
      </c>
      <c r="G28" s="40" t="n"/>
      <c r="H28" s="41" t="n"/>
      <c r="I28" s="42">
        <f>IF($H28="","",MAX(0,$H28-N($E28)))</f>
        <v/>
      </c>
      <c r="J28" s="42">
        <f>IF($H28="","",MAX(0,$H28-N($G28)))</f>
        <v/>
      </c>
    </row>
    <row r="29" ht="19.5" customHeight="1" s="72">
      <c r="A29" s="38" t="inlineStr">
        <is>
          <t>AM-32-P09-BEN</t>
        </is>
      </c>
      <c r="B29" s="38" t="inlineStr">
        <is>
          <t>Fase 32</t>
        </is>
      </c>
      <c r="C29" s="38" t="inlineStr">
        <is>
          <t>Benguela</t>
        </is>
      </c>
      <c r="D29" s="39" t="inlineStr">
        <is>
          <t>A_A_M_32_P9</t>
        </is>
      </c>
      <c r="E29" s="40" t="n"/>
      <c r="F29" s="39" t="inlineStr">
        <is>
          <t>B_A_M_32_P9</t>
        </is>
      </c>
      <c r="G29" s="40" t="n"/>
      <c r="H29" s="41" t="n"/>
      <c r="I29" s="42">
        <f>IF($H29="","",MAX(0,$H29-N($E29)))</f>
        <v/>
      </c>
      <c r="J29" s="42">
        <f>IF($H29="","",MAX(0,$H29-N($G29)))</f>
        <v/>
      </c>
    </row>
    <row r="30" ht="19.5" customHeight="1" s="72">
      <c r="A30" s="38" t="inlineStr">
        <is>
          <t>AM-32-P09-SBA</t>
        </is>
      </c>
      <c r="B30" s="38" t="inlineStr">
        <is>
          <t>Fase 32</t>
        </is>
      </c>
      <c r="C30" s="38" t="inlineStr">
        <is>
          <t>São Bento da Abadá</t>
        </is>
      </c>
      <c r="D30" s="39" t="inlineStr">
        <is>
          <t>A_A_M_32_P9</t>
        </is>
      </c>
      <c r="E30" s="40" t="n"/>
      <c r="F30" s="39" t="inlineStr">
        <is>
          <t>B_A_M_32_P9</t>
        </is>
      </c>
      <c r="G30" s="40" t="n"/>
      <c r="H30" s="41" t="n"/>
      <c r="I30" s="42">
        <f>IF($H30="","",MAX(0,$H30-N($E30)))</f>
        <v/>
      </c>
      <c r="J30" s="42">
        <f>IF($H30="","",MAX(0,$H30-N($G30)))</f>
        <v/>
      </c>
    </row>
    <row r="31" ht="19.5" customHeight="1" s="72">
      <c r="A31" s="38" t="inlineStr">
        <is>
          <t>AM-32-P09-SIR</t>
        </is>
      </c>
      <c r="B31" s="38" t="inlineStr">
        <is>
          <t>Fase 32</t>
        </is>
      </c>
      <c r="C31" s="38" t="inlineStr">
        <is>
          <t>Siriuna</t>
        </is>
      </c>
      <c r="D31" s="39" t="inlineStr">
        <is>
          <t>A_A_M_32_P9</t>
        </is>
      </c>
      <c r="E31" s="40" t="n"/>
      <c r="F31" s="39" t="inlineStr">
        <is>
          <t>B_A_M_32_P9</t>
        </is>
      </c>
      <c r="G31" s="40" t="n"/>
      <c r="H31" s="41" t="n"/>
      <c r="I31" s="42">
        <f>IF($H31="","",MAX(0,$H31-N($E31)))</f>
        <v/>
      </c>
      <c r="J31" s="42">
        <f>IF($H31="","",MAX(0,$H31-N($G31)))</f>
        <v/>
      </c>
    </row>
    <row r="32" ht="19.5" customHeight="1" s="72">
      <c r="A32" s="38" t="inlineStr">
        <is>
          <t>AM-32-P10-BEN</t>
        </is>
      </c>
      <c r="B32" s="38" t="inlineStr">
        <is>
          <t>Fase 32</t>
        </is>
      </c>
      <c r="C32" s="38" t="inlineStr">
        <is>
          <t>Benguela</t>
        </is>
      </c>
      <c r="D32" s="39" t="inlineStr">
        <is>
          <t>A_A_M_32_P10</t>
        </is>
      </c>
      <c r="E32" s="40" t="n"/>
      <c r="F32" s="39" t="inlineStr">
        <is>
          <t>B_A_M_32_P10</t>
        </is>
      </c>
      <c r="G32" s="40" t="n"/>
      <c r="H32" s="41" t="n"/>
      <c r="I32" s="42">
        <f>IF($H32="","",MAX(0,$H32-N($E32)))</f>
        <v/>
      </c>
      <c r="J32" s="42">
        <f>IF($H32="","",MAX(0,$H32-N($G32)))</f>
        <v/>
      </c>
    </row>
    <row r="33" ht="19.5" customHeight="1" s="72">
      <c r="A33" s="38" t="inlineStr">
        <is>
          <t>AM-32-P10-SBA</t>
        </is>
      </c>
      <c r="B33" s="38" t="inlineStr">
        <is>
          <t>Fase 32</t>
        </is>
      </c>
      <c r="C33" s="38" t="inlineStr">
        <is>
          <t>São Bento da Abadá</t>
        </is>
      </c>
      <c r="D33" s="39" t="inlineStr">
        <is>
          <t>A_A_M_32_P10</t>
        </is>
      </c>
      <c r="E33" s="40" t="n"/>
      <c r="F33" s="39" t="inlineStr">
        <is>
          <t>B_A_M_32_P10</t>
        </is>
      </c>
      <c r="G33" s="40" t="n"/>
      <c r="H33" s="41" t="n"/>
      <c r="I33" s="42">
        <f>IF($H33="","",MAX(0,$H33-N($E33)))</f>
        <v/>
      </c>
      <c r="J33" s="42">
        <f>IF($H33="","",MAX(0,$H33-N($G33)))</f>
        <v/>
      </c>
    </row>
    <row r="34" ht="19.5" customHeight="1" s="72">
      <c r="A34" s="38" t="inlineStr">
        <is>
          <t>AM-32-P10-SIR</t>
        </is>
      </c>
      <c r="B34" s="38" t="inlineStr">
        <is>
          <t>Fase 32</t>
        </is>
      </c>
      <c r="C34" s="38" t="inlineStr">
        <is>
          <t>Siriuna</t>
        </is>
      </c>
      <c r="D34" s="39" t="inlineStr">
        <is>
          <t>A_A_M_32_P10</t>
        </is>
      </c>
      <c r="E34" s="40" t="n"/>
      <c r="F34" s="39" t="inlineStr">
        <is>
          <t>B_A_M_32_P10</t>
        </is>
      </c>
      <c r="G34" s="40" t="n"/>
      <c r="H34" s="41" t="n"/>
      <c r="I34" s="42">
        <f>IF($H34="","",MAX(0,$H34-N($E34)))</f>
        <v/>
      </c>
      <c r="J34" s="42">
        <f>IF($H34="","",MAX(0,$H34-N($G34)))</f>
        <v/>
      </c>
    </row>
    <row r="35" ht="19.5" customHeight="1" s="72">
      <c r="A35" s="38" t="inlineStr">
        <is>
          <t>AM-32-P11-BEN</t>
        </is>
      </c>
      <c r="B35" s="38" t="inlineStr">
        <is>
          <t>Fase 32</t>
        </is>
      </c>
      <c r="C35" s="38" t="inlineStr">
        <is>
          <t>Benguela</t>
        </is>
      </c>
      <c r="D35" s="39" t="inlineStr">
        <is>
          <t>A_A_M_32_P11</t>
        </is>
      </c>
      <c r="E35" s="40" t="n"/>
      <c r="F35" s="39" t="inlineStr">
        <is>
          <t>B_A_M_32_P11</t>
        </is>
      </c>
      <c r="G35" s="40" t="n"/>
      <c r="H35" s="41" t="n"/>
      <c r="I35" s="42">
        <f>IF($H35="","",MAX(0,$H35-N($E35)))</f>
        <v/>
      </c>
      <c r="J35" s="42">
        <f>IF($H35="","",MAX(0,$H35-N($G35)))</f>
        <v/>
      </c>
    </row>
    <row r="36" ht="19.5" customHeight="1" s="72">
      <c r="A36" s="38" t="inlineStr">
        <is>
          <t>AM-32-P11-SBA</t>
        </is>
      </c>
      <c r="B36" s="38" t="inlineStr">
        <is>
          <t>Fase 32</t>
        </is>
      </c>
      <c r="C36" s="38" t="inlineStr">
        <is>
          <t>São Bento da Abadá</t>
        </is>
      </c>
      <c r="D36" s="39" t="inlineStr">
        <is>
          <t>A_A_M_32_P11</t>
        </is>
      </c>
      <c r="E36" s="40" t="n"/>
      <c r="F36" s="39" t="inlineStr">
        <is>
          <t>B_A_M_32_P11</t>
        </is>
      </c>
      <c r="G36" s="40" t="n"/>
      <c r="H36" s="41" t="n"/>
      <c r="I36" s="42">
        <f>IF($H36="","",MAX(0,$H36-N($E36)))</f>
        <v/>
      </c>
      <c r="J36" s="42">
        <f>IF($H36="","",MAX(0,$H36-N($G36)))</f>
        <v/>
      </c>
    </row>
    <row r="37" ht="19.5" customHeight="1" s="72">
      <c r="A37" s="38" t="inlineStr">
        <is>
          <t>AM-32-P11-SIR</t>
        </is>
      </c>
      <c r="B37" s="38" t="inlineStr">
        <is>
          <t>Fase 32</t>
        </is>
      </c>
      <c r="C37" s="38" t="inlineStr">
        <is>
          <t>Siriuna</t>
        </is>
      </c>
      <c r="D37" s="39" t="inlineStr">
        <is>
          <t>A_A_M_32_P11</t>
        </is>
      </c>
      <c r="E37" s="40" t="n"/>
      <c r="F37" s="39" t="inlineStr">
        <is>
          <t>B_A_M_32_P11</t>
        </is>
      </c>
      <c r="G37" s="40" t="n"/>
      <c r="H37" s="41" t="n"/>
      <c r="I37" s="42">
        <f>IF($H37="","",MAX(0,$H37-N($E37)))</f>
        <v/>
      </c>
      <c r="J37" s="42">
        <f>IF($H37="","",MAX(0,$H37-N($G37)))</f>
        <v/>
      </c>
    </row>
    <row r="38" ht="19.5" customHeight="1" s="72">
      <c r="A38" s="38" t="inlineStr">
        <is>
          <t>AM-32-P12-BEN</t>
        </is>
      </c>
      <c r="B38" s="38" t="inlineStr">
        <is>
          <t>Fase 32</t>
        </is>
      </c>
      <c r="C38" s="38" t="inlineStr">
        <is>
          <t>Benguela</t>
        </is>
      </c>
      <c r="D38" s="39" t="inlineStr">
        <is>
          <t>A_A_M_32_P12</t>
        </is>
      </c>
      <c r="E38" s="40" t="n"/>
      <c r="F38" s="39" t="inlineStr">
        <is>
          <t>B_A_M_32_P12</t>
        </is>
      </c>
      <c r="G38" s="40" t="n"/>
      <c r="H38" s="41" t="n"/>
      <c r="I38" s="42">
        <f>IF($H38="","",MAX(0,$H38-N($E38)))</f>
        <v/>
      </c>
      <c r="J38" s="42">
        <f>IF($H38="","",MAX(0,$H38-N($G38)))</f>
        <v/>
      </c>
    </row>
    <row r="39" ht="19.5" customHeight="1" s="72">
      <c r="A39" s="38" t="inlineStr">
        <is>
          <t>AM-32-P12-SBA</t>
        </is>
      </c>
      <c r="B39" s="38" t="inlineStr">
        <is>
          <t>Fase 32</t>
        </is>
      </c>
      <c r="C39" s="38" t="inlineStr">
        <is>
          <t>São Bento da Abadá</t>
        </is>
      </c>
      <c r="D39" s="39" t="inlineStr">
        <is>
          <t>A_A_M_32_P12</t>
        </is>
      </c>
      <c r="E39" s="40" t="n"/>
      <c r="F39" s="39" t="inlineStr">
        <is>
          <t>B_A_M_32_P12</t>
        </is>
      </c>
      <c r="G39" s="40" t="n"/>
      <c r="H39" s="41" t="n"/>
      <c r="I39" s="42">
        <f>IF($H39="","",MAX(0,$H39-N($E39)))</f>
        <v/>
      </c>
      <c r="J39" s="42">
        <f>IF($H39="","",MAX(0,$H39-N($G39)))</f>
        <v/>
      </c>
    </row>
    <row r="40" ht="19.5" customHeight="1" s="72">
      <c r="A40" s="38" t="inlineStr">
        <is>
          <t>AM-32-P12-SIR</t>
        </is>
      </c>
      <c r="B40" s="38" t="inlineStr">
        <is>
          <t>Fase 32</t>
        </is>
      </c>
      <c r="C40" s="38" t="inlineStr">
        <is>
          <t>Siriuna</t>
        </is>
      </c>
      <c r="D40" s="39" t="inlineStr">
        <is>
          <t>A_A_M_32_P12</t>
        </is>
      </c>
      <c r="E40" s="40" t="n"/>
      <c r="F40" s="39" t="inlineStr">
        <is>
          <t>B_A_M_32_P12</t>
        </is>
      </c>
      <c r="G40" s="40" t="n"/>
      <c r="H40" s="41" t="n"/>
      <c r="I40" s="42">
        <f>IF($H40="","",MAX(0,$H40-N($E40)))</f>
        <v/>
      </c>
      <c r="J40" s="42">
        <f>IF($H40="","",MAX(0,$H40-N($G40)))</f>
        <v/>
      </c>
    </row>
    <row r="41" ht="19.5" customHeight="1" s="72">
      <c r="A41" s="38" t="inlineStr">
        <is>
          <t>AM-32-P13-BEN</t>
        </is>
      </c>
      <c r="B41" s="38" t="inlineStr">
        <is>
          <t>Fase 32</t>
        </is>
      </c>
      <c r="C41" s="38" t="inlineStr">
        <is>
          <t>Benguela</t>
        </is>
      </c>
      <c r="D41" s="39" t="inlineStr">
        <is>
          <t>A_A_M_32_P13</t>
        </is>
      </c>
      <c r="E41" s="40" t="n"/>
      <c r="F41" s="39" t="inlineStr">
        <is>
          <t>B_A_M_32_P13</t>
        </is>
      </c>
      <c r="G41" s="40" t="n"/>
      <c r="H41" s="41" t="n"/>
      <c r="I41" s="42">
        <f>IF($H41="","",MAX(0,$H41-N($E41)))</f>
        <v/>
      </c>
      <c r="J41" s="42">
        <f>IF($H41="","",MAX(0,$H41-N($G41)))</f>
        <v/>
      </c>
    </row>
    <row r="42" ht="19.5" customHeight="1" s="72">
      <c r="A42" s="38" t="inlineStr">
        <is>
          <t>AM-32-P13-SBA</t>
        </is>
      </c>
      <c r="B42" s="38" t="inlineStr">
        <is>
          <t>Fase 32</t>
        </is>
      </c>
      <c r="C42" s="38" t="inlineStr">
        <is>
          <t>São Bento da Abadá</t>
        </is>
      </c>
      <c r="D42" s="39" t="inlineStr">
        <is>
          <t>A_A_M_32_P13</t>
        </is>
      </c>
      <c r="E42" s="40" t="n"/>
      <c r="F42" s="39" t="inlineStr">
        <is>
          <t>B_A_M_32_P13</t>
        </is>
      </c>
      <c r="G42" s="40" t="n"/>
      <c r="H42" s="41" t="n"/>
      <c r="I42" s="42">
        <f>IF($H42="","",MAX(0,$H42-N($E42)))</f>
        <v/>
      </c>
      <c r="J42" s="42">
        <f>IF($H42="","",MAX(0,$H42-N($G42)))</f>
        <v/>
      </c>
    </row>
    <row r="43" ht="19.5" customHeight="1" s="72">
      <c r="A43" s="38" t="inlineStr">
        <is>
          <t>AM-32-P13-SIR</t>
        </is>
      </c>
      <c r="B43" s="38" t="inlineStr">
        <is>
          <t>Fase 32</t>
        </is>
      </c>
      <c r="C43" s="38" t="inlineStr">
        <is>
          <t>Siriuna</t>
        </is>
      </c>
      <c r="D43" s="39" t="inlineStr">
        <is>
          <t>A_A_M_32_P13</t>
        </is>
      </c>
      <c r="E43" s="40" t="n"/>
      <c r="F43" s="39" t="inlineStr">
        <is>
          <t>B_A_M_32_P13</t>
        </is>
      </c>
      <c r="G43" s="40" t="n"/>
      <c r="H43" s="41" t="n"/>
      <c r="I43" s="42">
        <f>IF($H43="","",MAX(0,$H43-N($E43)))</f>
        <v/>
      </c>
      <c r="J43" s="42">
        <f>IF($H43="","",MAX(0,$H43-N($G43)))</f>
        <v/>
      </c>
    </row>
    <row r="44" ht="19.5" customHeight="1" s="72">
      <c r="A44" s="38" t="inlineStr">
        <is>
          <t>AM-32-P14-BEN</t>
        </is>
      </c>
      <c r="B44" s="38" t="inlineStr">
        <is>
          <t>Fase 32</t>
        </is>
      </c>
      <c r="C44" s="38" t="inlineStr">
        <is>
          <t>Benguela</t>
        </is>
      </c>
      <c r="D44" s="39" t="inlineStr">
        <is>
          <t>A_A_M_32_P14</t>
        </is>
      </c>
      <c r="E44" s="40" t="n"/>
      <c r="F44" s="39" t="inlineStr">
        <is>
          <t>B_A_M_32_P14</t>
        </is>
      </c>
      <c r="G44" s="40" t="n"/>
      <c r="H44" s="41" t="n"/>
      <c r="I44" s="42">
        <f>IF($H44="","",MAX(0,$H44-N($E44)))</f>
        <v/>
      </c>
      <c r="J44" s="42">
        <f>IF($H44="","",MAX(0,$H44-N($G44)))</f>
        <v/>
      </c>
    </row>
    <row r="45" ht="19.5" customHeight="1" s="72">
      <c r="A45" s="38" t="inlineStr">
        <is>
          <t>AM-32-P14-SBA</t>
        </is>
      </c>
      <c r="B45" s="38" t="inlineStr">
        <is>
          <t>Fase 32</t>
        </is>
      </c>
      <c r="C45" s="38" t="inlineStr">
        <is>
          <t>São Bento da Abadá</t>
        </is>
      </c>
      <c r="D45" s="39" t="inlineStr">
        <is>
          <t>A_A_M_32_P14</t>
        </is>
      </c>
      <c r="E45" s="40" t="n"/>
      <c r="F45" s="39" t="inlineStr">
        <is>
          <t>B_A_M_32_P14</t>
        </is>
      </c>
      <c r="G45" s="40" t="n"/>
      <c r="H45" s="41" t="n"/>
      <c r="I45" s="42">
        <f>IF($H45="","",MAX(0,$H45-N($E45)))</f>
        <v/>
      </c>
      <c r="J45" s="42">
        <f>IF($H45="","",MAX(0,$H45-N($G45)))</f>
        <v/>
      </c>
    </row>
    <row r="46" ht="19.5" customHeight="1" s="72">
      <c r="A46" s="38" t="inlineStr">
        <is>
          <t>AM-32-P14-SIR</t>
        </is>
      </c>
      <c r="B46" s="38" t="inlineStr">
        <is>
          <t>Fase 32</t>
        </is>
      </c>
      <c r="C46" s="38" t="inlineStr">
        <is>
          <t>Siriuna</t>
        </is>
      </c>
      <c r="D46" s="39" t="inlineStr">
        <is>
          <t>A_A_M_32_P14</t>
        </is>
      </c>
      <c r="E46" s="40" t="n"/>
      <c r="F46" s="39" t="inlineStr">
        <is>
          <t>B_A_M_32_P14</t>
        </is>
      </c>
      <c r="G46" s="40" t="n"/>
      <c r="H46" s="41" t="n"/>
      <c r="I46" s="42">
        <f>IF($H46="","",MAX(0,$H46-N($E46)))</f>
        <v/>
      </c>
      <c r="J46" s="42">
        <f>IF($H46="","",MAX(0,$H46-N($G46)))</f>
        <v/>
      </c>
    </row>
    <row r="47" ht="19.5" customHeight="1" s="72">
      <c r="A47" s="38" t="inlineStr">
        <is>
          <t>AM-32-P15-BEN</t>
        </is>
      </c>
      <c r="B47" s="38" t="inlineStr">
        <is>
          <t>Fase 32</t>
        </is>
      </c>
      <c r="C47" s="38" t="inlineStr">
        <is>
          <t>Benguela</t>
        </is>
      </c>
      <c r="D47" s="39" t="inlineStr">
        <is>
          <t>A_A_M_32_P15</t>
        </is>
      </c>
      <c r="E47" s="40" t="n"/>
      <c r="F47" s="39" t="inlineStr">
        <is>
          <t>B_A_M_32_P15</t>
        </is>
      </c>
      <c r="G47" s="40" t="n"/>
      <c r="H47" s="41" t="n"/>
      <c r="I47" s="42">
        <f>IF($H47="","",MAX(0,$H47-N($E47)))</f>
        <v/>
      </c>
      <c r="J47" s="42">
        <f>IF($H47="","",MAX(0,$H47-N($G47)))</f>
        <v/>
      </c>
    </row>
    <row r="48" ht="19.5" customHeight="1" s="72">
      <c r="A48" s="38" t="inlineStr">
        <is>
          <t>AM-32-P15-SBA</t>
        </is>
      </c>
      <c r="B48" s="38" t="inlineStr">
        <is>
          <t>Fase 32</t>
        </is>
      </c>
      <c r="C48" s="38" t="inlineStr">
        <is>
          <t>São Bento da Abadá</t>
        </is>
      </c>
      <c r="D48" s="39" t="inlineStr">
        <is>
          <t>A_A_M_32_P15</t>
        </is>
      </c>
      <c r="E48" s="40" t="n"/>
      <c r="F48" s="39" t="inlineStr">
        <is>
          <t>B_A_M_32_P15</t>
        </is>
      </c>
      <c r="G48" s="40" t="n"/>
      <c r="H48" s="41" t="n"/>
      <c r="I48" s="42">
        <f>IF($H48="","",MAX(0,$H48-N($E48)))</f>
        <v/>
      </c>
      <c r="J48" s="42">
        <f>IF($H48="","",MAX(0,$H48-N($G48)))</f>
        <v/>
      </c>
    </row>
    <row r="49" ht="19.5" customHeight="1" s="72">
      <c r="A49" s="38" t="inlineStr">
        <is>
          <t>AM-32-P15-SIR</t>
        </is>
      </c>
      <c r="B49" s="38" t="inlineStr">
        <is>
          <t>Fase 32</t>
        </is>
      </c>
      <c r="C49" s="38" t="inlineStr">
        <is>
          <t>Siriuna</t>
        </is>
      </c>
      <c r="D49" s="39" t="inlineStr">
        <is>
          <t>A_A_M_32_P15</t>
        </is>
      </c>
      <c r="E49" s="40" t="n"/>
      <c r="F49" s="39" t="inlineStr">
        <is>
          <t>B_A_M_32_P15</t>
        </is>
      </c>
      <c r="G49" s="40" t="n"/>
      <c r="H49" s="41" t="n"/>
      <c r="I49" s="42">
        <f>IF($H49="","",MAX(0,$H49-N($E49)))</f>
        <v/>
      </c>
      <c r="J49" s="42">
        <f>IF($H49="","",MAX(0,$H49-N($G49)))</f>
        <v/>
      </c>
    </row>
    <row r="50" ht="19.5" customHeight="1" s="72">
      <c r="A50" s="38" t="inlineStr">
        <is>
          <t>AM-32-P16-BEN</t>
        </is>
      </c>
      <c r="B50" s="38" t="inlineStr">
        <is>
          <t>Fase 32</t>
        </is>
      </c>
      <c r="C50" s="38" t="inlineStr">
        <is>
          <t>Benguela</t>
        </is>
      </c>
      <c r="D50" s="39" t="inlineStr">
        <is>
          <t>A_A_M_32_P16</t>
        </is>
      </c>
      <c r="E50" s="40" t="n"/>
      <c r="F50" s="39" t="inlineStr">
        <is>
          <t>B_A_M_32_P16</t>
        </is>
      </c>
      <c r="G50" s="40" t="n"/>
      <c r="H50" s="41" t="n"/>
      <c r="I50" s="42">
        <f>IF($H50="","",MAX(0,$H50-N($E50)))</f>
        <v/>
      </c>
      <c r="J50" s="42">
        <f>IF($H50="","",MAX(0,$H50-N($G50)))</f>
        <v/>
      </c>
    </row>
    <row r="51" ht="19.5" customHeight="1" s="72">
      <c r="A51" s="38" t="inlineStr">
        <is>
          <t>AM-32-P16-SBA</t>
        </is>
      </c>
      <c r="B51" s="38" t="inlineStr">
        <is>
          <t>Fase 32</t>
        </is>
      </c>
      <c r="C51" s="38" t="inlineStr">
        <is>
          <t>São Bento da Abadá</t>
        </is>
      </c>
      <c r="D51" s="39" t="inlineStr">
        <is>
          <t>A_A_M_32_P16</t>
        </is>
      </c>
      <c r="E51" s="40" t="n"/>
      <c r="F51" s="39" t="inlineStr">
        <is>
          <t>B_A_M_32_P16</t>
        </is>
      </c>
      <c r="G51" s="40" t="n"/>
      <c r="H51" s="41" t="n"/>
      <c r="I51" s="42">
        <f>IF($H51="","",MAX(0,$H51-N($E51)))</f>
        <v/>
      </c>
      <c r="J51" s="42">
        <f>IF($H51="","",MAX(0,$H51-N($G51)))</f>
        <v/>
      </c>
    </row>
    <row r="52" ht="19.5" customHeight="1" s="72">
      <c r="A52" s="38" t="inlineStr">
        <is>
          <t>AM-32-P16-SIR</t>
        </is>
      </c>
      <c r="B52" s="38" t="inlineStr">
        <is>
          <t>Fase 32</t>
        </is>
      </c>
      <c r="C52" s="38" t="inlineStr">
        <is>
          <t>Siriuna</t>
        </is>
      </c>
      <c r="D52" s="39" t="inlineStr">
        <is>
          <t>A_A_M_32_P16</t>
        </is>
      </c>
      <c r="E52" s="40" t="n"/>
      <c r="F52" s="39" t="inlineStr">
        <is>
          <t>B_A_M_32_P16</t>
        </is>
      </c>
      <c r="G52" s="40" t="n"/>
      <c r="H52" s="41" t="n"/>
      <c r="I52" s="42">
        <f>IF($H52="","",MAX(0,$H52-N($E52)))</f>
        <v/>
      </c>
      <c r="J52" s="42">
        <f>IF($H52="","",MAX(0,$H52-N($G52)))</f>
        <v/>
      </c>
    </row>
    <row r="53" ht="19.5" customHeight="1" s="72">
      <c r="A53" s="38" t="inlineStr">
        <is>
          <t>AM-OCT-P01-BEN</t>
        </is>
      </c>
      <c r="B53" s="38" t="inlineStr">
        <is>
          <t>Octavas</t>
        </is>
      </c>
      <c r="C53" s="38" t="inlineStr">
        <is>
          <t>Benguela</t>
        </is>
      </c>
      <c r="D53" s="39">
        <f>IFERROR(CLASIF_A_M!$F$5,"")</f>
        <v/>
      </c>
      <c r="E53" s="40" t="n"/>
      <c r="F53" s="39">
        <f>IFERROR(CLASIF_A_M!$F$20,"")</f>
        <v/>
      </c>
      <c r="G53" s="40" t="n"/>
      <c r="H53" s="41" t="n"/>
      <c r="I53" s="42">
        <f>IF($H53="","",MAX(0,$H53-N($E53)))</f>
        <v/>
      </c>
      <c r="J53" s="42">
        <f>IF($H53="","",MAX(0,$H53-N($G53)))</f>
        <v/>
      </c>
    </row>
    <row r="54" ht="19.5" customHeight="1" s="72">
      <c r="A54" s="38" t="inlineStr">
        <is>
          <t>AM-OCT-P01-SBA</t>
        </is>
      </c>
      <c r="B54" s="38" t="inlineStr">
        <is>
          <t>Octavas</t>
        </is>
      </c>
      <c r="C54" s="38" t="inlineStr">
        <is>
          <t>São Bento da Abadá</t>
        </is>
      </c>
      <c r="D54" s="39">
        <f>IFERROR(CLASIF_A_M!$F$5,"")</f>
        <v/>
      </c>
      <c r="E54" s="40" t="n"/>
      <c r="F54" s="39">
        <f>IFERROR(CLASIF_A_M!$F$20,"")</f>
        <v/>
      </c>
      <c r="G54" s="40" t="n"/>
      <c r="H54" s="41" t="n"/>
      <c r="I54" s="42">
        <f>IF($H54="","",MAX(0,$H54-N($E54)))</f>
        <v/>
      </c>
      <c r="J54" s="42">
        <f>IF($H54="","",MAX(0,$H54-N($G54)))</f>
        <v/>
      </c>
    </row>
    <row r="55" ht="19.5" customHeight="1" s="72">
      <c r="A55" s="38" t="inlineStr">
        <is>
          <t>AM-OCT-P01-SIR</t>
        </is>
      </c>
      <c r="B55" s="38" t="inlineStr">
        <is>
          <t>Octavas</t>
        </is>
      </c>
      <c r="C55" s="38" t="inlineStr">
        <is>
          <t>Siriuna</t>
        </is>
      </c>
      <c r="D55" s="39">
        <f>IFERROR(CLASIF_A_M!$F$5,"")</f>
        <v/>
      </c>
      <c r="E55" s="40" t="n"/>
      <c r="F55" s="39">
        <f>IFERROR(CLASIF_A_M!$F$20,"")</f>
        <v/>
      </c>
      <c r="G55" s="40" t="n"/>
      <c r="H55" s="41" t="n"/>
      <c r="I55" s="42">
        <f>IF($H55="","",MAX(0,$H55-N($E55)))</f>
        <v/>
      </c>
      <c r="J55" s="42">
        <f>IF($H55="","",MAX(0,$H55-N($G55)))</f>
        <v/>
      </c>
    </row>
    <row r="56" ht="19.5" customHeight="1" s="72">
      <c r="A56" s="38" t="inlineStr">
        <is>
          <t>AM-OCT-P02-BEN</t>
        </is>
      </c>
      <c r="B56" s="38" t="inlineStr">
        <is>
          <t>Octavas</t>
        </is>
      </c>
      <c r="C56" s="38" t="inlineStr">
        <is>
          <t>Benguela</t>
        </is>
      </c>
      <c r="D56" s="39">
        <f>IFERROR(CLASIF_A_M!$F$6,"")</f>
        <v/>
      </c>
      <c r="E56" s="40" t="n"/>
      <c r="F56" s="39">
        <f>IFERROR(CLASIF_A_M!$F$19,"")</f>
        <v/>
      </c>
      <c r="G56" s="40" t="n"/>
      <c r="H56" s="41" t="n"/>
      <c r="I56" s="42">
        <f>IF($H56="","",MAX(0,$H56-N($E56)))</f>
        <v/>
      </c>
      <c r="J56" s="42">
        <f>IF($H56="","",MAX(0,$H56-N($G56)))</f>
        <v/>
      </c>
    </row>
    <row r="57" ht="19.5" customHeight="1" s="72">
      <c r="A57" s="38" t="inlineStr">
        <is>
          <t>AM-OCT-P02-SBA</t>
        </is>
      </c>
      <c r="B57" s="38" t="inlineStr">
        <is>
          <t>Octavas</t>
        </is>
      </c>
      <c r="C57" s="38" t="inlineStr">
        <is>
          <t>São Bento da Abadá</t>
        </is>
      </c>
      <c r="D57" s="39">
        <f>IFERROR(CLASIF_A_M!$F$6,"")</f>
        <v/>
      </c>
      <c r="E57" s="40" t="n"/>
      <c r="F57" s="39">
        <f>IFERROR(CLASIF_A_M!$F$19,"")</f>
        <v/>
      </c>
      <c r="G57" s="40" t="n"/>
      <c r="H57" s="41" t="n"/>
      <c r="I57" s="42">
        <f>IF($H57="","",MAX(0,$H57-N($E57)))</f>
        <v/>
      </c>
      <c r="J57" s="42">
        <f>IF($H57="","",MAX(0,$H57-N($G57)))</f>
        <v/>
      </c>
    </row>
    <row r="58" ht="19.5" customHeight="1" s="72">
      <c r="A58" s="38" t="inlineStr">
        <is>
          <t>AM-OCT-P02-SIR</t>
        </is>
      </c>
      <c r="B58" s="38" t="inlineStr">
        <is>
          <t>Octavas</t>
        </is>
      </c>
      <c r="C58" s="38" t="inlineStr">
        <is>
          <t>Siriuna</t>
        </is>
      </c>
      <c r="D58" s="39">
        <f>IFERROR(CLASIF_A_M!$F$6,"")</f>
        <v/>
      </c>
      <c r="E58" s="40" t="n"/>
      <c r="F58" s="39">
        <f>IFERROR(CLASIF_A_M!$F$19,"")</f>
        <v/>
      </c>
      <c r="G58" s="40" t="n"/>
      <c r="H58" s="41" t="n"/>
      <c r="I58" s="42">
        <f>IF($H58="","",MAX(0,$H58-N($E58)))</f>
        <v/>
      </c>
      <c r="J58" s="42">
        <f>IF($H58="","",MAX(0,$H58-N($G58)))</f>
        <v/>
      </c>
    </row>
    <row r="59" ht="19.5" customHeight="1" s="72">
      <c r="A59" s="38" t="inlineStr">
        <is>
          <t>AM-OCT-P03-BEN</t>
        </is>
      </c>
      <c r="B59" s="38" t="inlineStr">
        <is>
          <t>Octavas</t>
        </is>
      </c>
      <c r="C59" s="38" t="inlineStr">
        <is>
          <t>Benguela</t>
        </is>
      </c>
      <c r="D59" s="39">
        <f>IFERROR(CLASIF_A_M!$F$7,"")</f>
        <v/>
      </c>
      <c r="E59" s="40" t="n"/>
      <c r="F59" s="39">
        <f>IFERROR(CLASIF_A_M!$F$18,"")</f>
        <v/>
      </c>
      <c r="G59" s="40" t="n"/>
      <c r="H59" s="41" t="n"/>
      <c r="I59" s="42">
        <f>IF($H59="","",MAX(0,$H59-N($E59)))</f>
        <v/>
      </c>
      <c r="J59" s="42">
        <f>IF($H59="","",MAX(0,$H59-N($G59)))</f>
        <v/>
      </c>
    </row>
    <row r="60" ht="19.5" customHeight="1" s="72">
      <c r="A60" s="38" t="inlineStr">
        <is>
          <t>AM-OCT-P03-SBA</t>
        </is>
      </c>
      <c r="B60" s="38" t="inlineStr">
        <is>
          <t>Octavas</t>
        </is>
      </c>
      <c r="C60" s="38" t="inlineStr">
        <is>
          <t>São Bento da Abadá</t>
        </is>
      </c>
      <c r="D60" s="39">
        <f>IFERROR(CLASIF_A_M!$F$7,"")</f>
        <v/>
      </c>
      <c r="E60" s="40" t="n"/>
      <c r="F60" s="39">
        <f>IFERROR(CLASIF_A_M!$F$18,"")</f>
        <v/>
      </c>
      <c r="G60" s="40" t="n"/>
      <c r="H60" s="41" t="n"/>
      <c r="I60" s="42">
        <f>IF($H60="","",MAX(0,$H60-N($E60)))</f>
        <v/>
      </c>
      <c r="J60" s="42">
        <f>IF($H60="","",MAX(0,$H60-N($G60)))</f>
        <v/>
      </c>
    </row>
    <row r="61" ht="19.5" customHeight="1" s="72">
      <c r="A61" s="38" t="inlineStr">
        <is>
          <t>AM-OCT-P03-SIR</t>
        </is>
      </c>
      <c r="B61" s="38" t="inlineStr">
        <is>
          <t>Octavas</t>
        </is>
      </c>
      <c r="C61" s="38" t="inlineStr">
        <is>
          <t>Siriuna</t>
        </is>
      </c>
      <c r="D61" s="39">
        <f>IFERROR(CLASIF_A_M!$F$7,"")</f>
        <v/>
      </c>
      <c r="E61" s="40" t="n"/>
      <c r="F61" s="39">
        <f>IFERROR(CLASIF_A_M!$F$18,"")</f>
        <v/>
      </c>
      <c r="G61" s="40" t="n"/>
      <c r="H61" s="41" t="n"/>
      <c r="I61" s="42">
        <f>IF($H61="","",MAX(0,$H61-N($E61)))</f>
        <v/>
      </c>
      <c r="J61" s="42">
        <f>IF($H61="","",MAX(0,$H61-N($G61)))</f>
        <v/>
      </c>
    </row>
    <row r="62" ht="19.5" customHeight="1" s="72">
      <c r="A62" s="38" t="inlineStr">
        <is>
          <t>AM-OCT-P04-BEN</t>
        </is>
      </c>
      <c r="B62" s="38" t="inlineStr">
        <is>
          <t>Octavas</t>
        </is>
      </c>
      <c r="C62" s="38" t="inlineStr">
        <is>
          <t>Benguela</t>
        </is>
      </c>
      <c r="D62" s="39">
        <f>IFERROR(CLASIF_A_M!$F$8,"")</f>
        <v/>
      </c>
      <c r="E62" s="40" t="n"/>
      <c r="F62" s="39">
        <f>IFERROR(CLASIF_A_M!$F$17,"")</f>
        <v/>
      </c>
      <c r="G62" s="40" t="n"/>
      <c r="H62" s="41" t="n"/>
      <c r="I62" s="42">
        <f>IF($H62="","",MAX(0,$H62-N($E62)))</f>
        <v/>
      </c>
      <c r="J62" s="42">
        <f>IF($H62="","",MAX(0,$H62-N($G62)))</f>
        <v/>
      </c>
    </row>
    <row r="63" ht="19.5" customHeight="1" s="72">
      <c r="A63" s="38" t="inlineStr">
        <is>
          <t>AM-OCT-P04-SBA</t>
        </is>
      </c>
      <c r="B63" s="38" t="inlineStr">
        <is>
          <t>Octavas</t>
        </is>
      </c>
      <c r="C63" s="38" t="inlineStr">
        <is>
          <t>São Bento da Abadá</t>
        </is>
      </c>
      <c r="D63" s="39">
        <f>IFERROR(CLASIF_A_M!$F$8,"")</f>
        <v/>
      </c>
      <c r="E63" s="40" t="n"/>
      <c r="F63" s="39">
        <f>IFERROR(CLASIF_A_M!$F$17,"")</f>
        <v/>
      </c>
      <c r="G63" s="40" t="n"/>
      <c r="H63" s="41" t="n"/>
      <c r="I63" s="42">
        <f>IF($H63="","",MAX(0,$H63-N($E63)))</f>
        <v/>
      </c>
      <c r="J63" s="42">
        <f>IF($H63="","",MAX(0,$H63-N($G63)))</f>
        <v/>
      </c>
    </row>
    <row r="64" ht="19.5" customHeight="1" s="72">
      <c r="A64" s="38" t="inlineStr">
        <is>
          <t>AM-OCT-P04-SIR</t>
        </is>
      </c>
      <c r="B64" s="38" t="inlineStr">
        <is>
          <t>Octavas</t>
        </is>
      </c>
      <c r="C64" s="38" t="inlineStr">
        <is>
          <t>Siriuna</t>
        </is>
      </c>
      <c r="D64" s="39">
        <f>IFERROR(CLASIF_A_M!$F$8,"")</f>
        <v/>
      </c>
      <c r="E64" s="40" t="n"/>
      <c r="F64" s="39">
        <f>IFERROR(CLASIF_A_M!$F$17,"")</f>
        <v/>
      </c>
      <c r="G64" s="40" t="n"/>
      <c r="H64" s="41" t="n"/>
      <c r="I64" s="42">
        <f>IF($H64="","",MAX(0,$H64-N($E64)))</f>
        <v/>
      </c>
      <c r="J64" s="42">
        <f>IF($H64="","",MAX(0,$H64-N($G64)))</f>
        <v/>
      </c>
    </row>
    <row r="65" ht="19.5" customHeight="1" s="72">
      <c r="A65" s="38" t="inlineStr">
        <is>
          <t>AM-OCT-P05-BEN</t>
        </is>
      </c>
      <c r="B65" s="38" t="inlineStr">
        <is>
          <t>Octavas</t>
        </is>
      </c>
      <c r="C65" s="38" t="inlineStr">
        <is>
          <t>Benguela</t>
        </is>
      </c>
      <c r="D65" s="39">
        <f>IFERROR(CLASIF_A_M!$F$9,"")</f>
        <v/>
      </c>
      <c r="E65" s="40" t="n"/>
      <c r="F65" s="39">
        <f>IFERROR(CLASIF_A_M!$F$16,"")</f>
        <v/>
      </c>
      <c r="G65" s="40" t="n"/>
      <c r="H65" s="41" t="n"/>
      <c r="I65" s="42">
        <f>IF($H65="","",MAX(0,$H65-N($E65)))</f>
        <v/>
      </c>
      <c r="J65" s="42">
        <f>IF($H65="","",MAX(0,$H65-N($G65)))</f>
        <v/>
      </c>
    </row>
    <row r="66" ht="19.5" customHeight="1" s="72">
      <c r="A66" s="38" t="inlineStr">
        <is>
          <t>AM-OCT-P05-SBA</t>
        </is>
      </c>
      <c r="B66" s="38" t="inlineStr">
        <is>
          <t>Octavas</t>
        </is>
      </c>
      <c r="C66" s="38" t="inlineStr">
        <is>
          <t>São Bento da Abadá</t>
        </is>
      </c>
      <c r="D66" s="39">
        <f>IFERROR(CLASIF_A_M!$F$9,"")</f>
        <v/>
      </c>
      <c r="E66" s="40" t="n"/>
      <c r="F66" s="39">
        <f>IFERROR(CLASIF_A_M!$F$16,"")</f>
        <v/>
      </c>
      <c r="G66" s="40" t="n"/>
      <c r="H66" s="41" t="n"/>
      <c r="I66" s="42">
        <f>IF($H66="","",MAX(0,$H66-N($E66)))</f>
        <v/>
      </c>
      <c r="J66" s="42">
        <f>IF($H66="","",MAX(0,$H66-N($G66)))</f>
        <v/>
      </c>
    </row>
    <row r="67" ht="19.5" customHeight="1" s="72">
      <c r="A67" s="38" t="inlineStr">
        <is>
          <t>AM-OCT-P05-SIR</t>
        </is>
      </c>
      <c r="B67" s="38" t="inlineStr">
        <is>
          <t>Octavas</t>
        </is>
      </c>
      <c r="C67" s="38" t="inlineStr">
        <is>
          <t>Siriuna</t>
        </is>
      </c>
      <c r="D67" s="39">
        <f>IFERROR(CLASIF_A_M!$F$9,"")</f>
        <v/>
      </c>
      <c r="E67" s="40" t="n"/>
      <c r="F67" s="39">
        <f>IFERROR(CLASIF_A_M!$F$16,"")</f>
        <v/>
      </c>
      <c r="G67" s="40" t="n"/>
      <c r="H67" s="41" t="n"/>
      <c r="I67" s="42">
        <f>IF($H67="","",MAX(0,$H67-N($E67)))</f>
        <v/>
      </c>
      <c r="J67" s="42">
        <f>IF($H67="","",MAX(0,$H67-N($G67)))</f>
        <v/>
      </c>
    </row>
    <row r="68" ht="19.5" customHeight="1" s="72">
      <c r="A68" s="38" t="inlineStr">
        <is>
          <t>AM-OCT-P06-BEN</t>
        </is>
      </c>
      <c r="B68" s="38" t="inlineStr">
        <is>
          <t>Octavas</t>
        </is>
      </c>
      <c r="C68" s="38" t="inlineStr">
        <is>
          <t>Benguela</t>
        </is>
      </c>
      <c r="D68" s="39">
        <f>IFERROR(CLASIF_A_M!$F$10,"")</f>
        <v/>
      </c>
      <c r="E68" s="40" t="n"/>
      <c r="F68" s="39">
        <f>IFERROR(CLASIF_A_M!$F$15,"")</f>
        <v/>
      </c>
      <c r="G68" s="40" t="n"/>
      <c r="H68" s="41" t="n"/>
      <c r="I68" s="42">
        <f>IF($H68="","",MAX(0,$H68-N($E68)))</f>
        <v/>
      </c>
      <c r="J68" s="42">
        <f>IF($H68="","",MAX(0,$H68-N($G68)))</f>
        <v/>
      </c>
    </row>
    <row r="69" ht="19.5" customHeight="1" s="72">
      <c r="A69" s="38" t="inlineStr">
        <is>
          <t>AM-OCT-P06-SBA</t>
        </is>
      </c>
      <c r="B69" s="38" t="inlineStr">
        <is>
          <t>Octavas</t>
        </is>
      </c>
      <c r="C69" s="38" t="inlineStr">
        <is>
          <t>São Bento da Abadá</t>
        </is>
      </c>
      <c r="D69" s="39">
        <f>IFERROR(CLASIF_A_M!$F$10,"")</f>
        <v/>
      </c>
      <c r="E69" s="40" t="n"/>
      <c r="F69" s="39">
        <f>IFERROR(CLASIF_A_M!$F$15,"")</f>
        <v/>
      </c>
      <c r="G69" s="40" t="n"/>
      <c r="H69" s="41" t="n"/>
      <c r="I69" s="42">
        <f>IF($H69="","",MAX(0,$H69-N($E69)))</f>
        <v/>
      </c>
      <c r="J69" s="42">
        <f>IF($H69="","",MAX(0,$H69-N($G69)))</f>
        <v/>
      </c>
    </row>
    <row r="70" ht="19.5" customHeight="1" s="72">
      <c r="A70" s="38" t="inlineStr">
        <is>
          <t>AM-OCT-P06-SIR</t>
        </is>
      </c>
      <c r="B70" s="38" t="inlineStr">
        <is>
          <t>Octavas</t>
        </is>
      </c>
      <c r="C70" s="38" t="inlineStr">
        <is>
          <t>Siriuna</t>
        </is>
      </c>
      <c r="D70" s="39">
        <f>IFERROR(CLASIF_A_M!$F$10,"")</f>
        <v/>
      </c>
      <c r="E70" s="40" t="n"/>
      <c r="F70" s="39">
        <f>IFERROR(CLASIF_A_M!$F$15,"")</f>
        <v/>
      </c>
      <c r="G70" s="40" t="n"/>
      <c r="H70" s="41" t="n"/>
      <c r="I70" s="42">
        <f>IF($H70="","",MAX(0,$H70-N($E70)))</f>
        <v/>
      </c>
      <c r="J70" s="42">
        <f>IF($H70="","",MAX(0,$H70-N($G70)))</f>
        <v/>
      </c>
    </row>
    <row r="71" ht="19.5" customHeight="1" s="72">
      <c r="A71" s="38" t="inlineStr">
        <is>
          <t>AM-OCT-P07-BEN</t>
        </is>
      </c>
      <c r="B71" s="38" t="inlineStr">
        <is>
          <t>Octavas</t>
        </is>
      </c>
      <c r="C71" s="38" t="inlineStr">
        <is>
          <t>Benguela</t>
        </is>
      </c>
      <c r="D71" s="39">
        <f>IFERROR(CLASIF_A_M!$F$11,"")</f>
        <v/>
      </c>
      <c r="E71" s="40" t="n"/>
      <c r="F71" s="39">
        <f>IFERROR(CLASIF_A_M!$F$14,"")</f>
        <v/>
      </c>
      <c r="G71" s="40" t="n"/>
      <c r="H71" s="41" t="n"/>
      <c r="I71" s="42">
        <f>IF($H71="","",MAX(0,$H71-N($E71)))</f>
        <v/>
      </c>
      <c r="J71" s="42">
        <f>IF($H71="","",MAX(0,$H71-N($G71)))</f>
        <v/>
      </c>
    </row>
    <row r="72" ht="19.5" customHeight="1" s="72">
      <c r="A72" s="38" t="inlineStr">
        <is>
          <t>AM-OCT-P07-SBA</t>
        </is>
      </c>
      <c r="B72" s="38" t="inlineStr">
        <is>
          <t>Octavas</t>
        </is>
      </c>
      <c r="C72" s="38" t="inlineStr">
        <is>
          <t>São Bento da Abadá</t>
        </is>
      </c>
      <c r="D72" s="39">
        <f>IFERROR(CLASIF_A_M!$F$11,"")</f>
        <v/>
      </c>
      <c r="E72" s="40" t="n"/>
      <c r="F72" s="39">
        <f>IFERROR(CLASIF_A_M!$F$14,"")</f>
        <v/>
      </c>
      <c r="G72" s="40" t="n"/>
      <c r="H72" s="41" t="n"/>
      <c r="I72" s="42">
        <f>IF($H72="","",MAX(0,$H72-N($E72)))</f>
        <v/>
      </c>
      <c r="J72" s="42">
        <f>IF($H72="","",MAX(0,$H72-N($G72)))</f>
        <v/>
      </c>
    </row>
    <row r="73" ht="19.5" customHeight="1" s="72">
      <c r="A73" s="38" t="inlineStr">
        <is>
          <t>AM-OCT-P07-SIR</t>
        </is>
      </c>
      <c r="B73" s="38" t="inlineStr">
        <is>
          <t>Octavas</t>
        </is>
      </c>
      <c r="C73" s="38" t="inlineStr">
        <is>
          <t>Siriuna</t>
        </is>
      </c>
      <c r="D73" s="39">
        <f>IFERROR(CLASIF_A_M!$F$11,"")</f>
        <v/>
      </c>
      <c r="E73" s="40" t="n"/>
      <c r="F73" s="39">
        <f>IFERROR(CLASIF_A_M!$F$14,"")</f>
        <v/>
      </c>
      <c r="G73" s="40" t="n"/>
      <c r="H73" s="41" t="n"/>
      <c r="I73" s="42">
        <f>IF($H73="","",MAX(0,$H73-N($E73)))</f>
        <v/>
      </c>
      <c r="J73" s="42">
        <f>IF($H73="","",MAX(0,$H73-N($G73)))</f>
        <v/>
      </c>
    </row>
    <row r="74" ht="19.5" customHeight="1" s="72">
      <c r="A74" s="38" t="inlineStr">
        <is>
          <t>AM-OCT-P08-BEN</t>
        </is>
      </c>
      <c r="B74" s="38" t="inlineStr">
        <is>
          <t>Octavas</t>
        </is>
      </c>
      <c r="C74" s="38" t="inlineStr">
        <is>
          <t>Benguela</t>
        </is>
      </c>
      <c r="D74" s="39">
        <f>IFERROR(CLASIF_A_M!$F$12,"")</f>
        <v/>
      </c>
      <c r="E74" s="40" t="n"/>
      <c r="F74" s="39">
        <f>IFERROR(CLASIF_A_M!$F$13,"")</f>
        <v/>
      </c>
      <c r="G74" s="40" t="n"/>
      <c r="H74" s="41" t="n"/>
      <c r="I74" s="42">
        <f>IF($H74="","",MAX(0,$H74-N($E74)))</f>
        <v/>
      </c>
      <c r="J74" s="42">
        <f>IF($H74="","",MAX(0,$H74-N($G74)))</f>
        <v/>
      </c>
    </row>
    <row r="75" ht="19.5" customHeight="1" s="72">
      <c r="A75" s="38" t="inlineStr">
        <is>
          <t>AM-OCT-P08-SBA</t>
        </is>
      </c>
      <c r="B75" s="38" t="inlineStr">
        <is>
          <t>Octavas</t>
        </is>
      </c>
      <c r="C75" s="38" t="inlineStr">
        <is>
          <t>São Bento da Abadá</t>
        </is>
      </c>
      <c r="D75" s="39">
        <f>IFERROR(CLASIF_A_M!$F$12,"")</f>
        <v/>
      </c>
      <c r="E75" s="40" t="n"/>
      <c r="F75" s="39">
        <f>IFERROR(CLASIF_A_M!$F$13,"")</f>
        <v/>
      </c>
      <c r="G75" s="40" t="n"/>
      <c r="H75" s="41" t="n"/>
      <c r="I75" s="42">
        <f>IF($H75="","",MAX(0,$H75-N($E75)))</f>
        <v/>
      </c>
      <c r="J75" s="42">
        <f>IF($H75="","",MAX(0,$H75-N($G75)))</f>
        <v/>
      </c>
    </row>
    <row r="76" ht="19.5" customHeight="1" s="72">
      <c r="A76" s="38" t="inlineStr">
        <is>
          <t>AM-OCT-P08-SIR</t>
        </is>
      </c>
      <c r="B76" s="38" t="inlineStr">
        <is>
          <t>Octavas</t>
        </is>
      </c>
      <c r="C76" s="38" t="inlineStr">
        <is>
          <t>Siriuna</t>
        </is>
      </c>
      <c r="D76" s="39">
        <f>IFERROR(CLASIF_A_M!$F$12,"")</f>
        <v/>
      </c>
      <c r="E76" s="40" t="n"/>
      <c r="F76" s="39">
        <f>IFERROR(CLASIF_A_M!$F$13,"")</f>
        <v/>
      </c>
      <c r="G76" s="40" t="n"/>
      <c r="H76" s="41" t="n"/>
      <c r="I76" s="42">
        <f>IF($H76="","",MAX(0,$H76-N($E76)))</f>
        <v/>
      </c>
      <c r="J76" s="42">
        <f>IF($H76="","",MAX(0,$H76-N($G76)))</f>
        <v/>
      </c>
    </row>
    <row r="77" ht="19.5" customHeight="1" s="72">
      <c r="A77" s="38" t="inlineStr">
        <is>
          <t>AM-SEM-P01-BEN</t>
        </is>
      </c>
      <c r="B77" s="38" t="inlineStr">
        <is>
          <t>Semifinal</t>
        </is>
      </c>
      <c r="C77" s="38" t="inlineStr">
        <is>
          <t>Benguela</t>
        </is>
      </c>
      <c r="D77" s="39">
        <f>IFERROR(CLASIF_A_M!$O$5,"")</f>
        <v/>
      </c>
      <c r="E77" s="40" t="n"/>
      <c r="F77" s="39">
        <f>IFERROR(CLASIF_A_M!$O$12,"")</f>
        <v/>
      </c>
      <c r="G77" s="40" t="n"/>
      <c r="H77" s="41" t="n"/>
      <c r="I77" s="42">
        <f>IF($H77="","",MAX(0,$H77-N($E77)))</f>
        <v/>
      </c>
      <c r="J77" s="42">
        <f>IF($H77="","",MAX(0,$H77-N($G77)))</f>
        <v/>
      </c>
    </row>
    <row r="78" ht="19.5" customHeight="1" s="72">
      <c r="A78" s="38" t="inlineStr">
        <is>
          <t>AM-SEM-P01-SBA</t>
        </is>
      </c>
      <c r="B78" s="38" t="inlineStr">
        <is>
          <t>Semifinal</t>
        </is>
      </c>
      <c r="C78" s="38" t="inlineStr">
        <is>
          <t>São Bento da Abadá</t>
        </is>
      </c>
      <c r="D78" s="39">
        <f>IFERROR(CLASIF_A_M!$O$5,"")</f>
        <v/>
      </c>
      <c r="E78" s="40" t="n"/>
      <c r="F78" s="39">
        <f>IFERROR(CLASIF_A_M!$O$12,"")</f>
        <v/>
      </c>
      <c r="G78" s="40" t="n"/>
      <c r="H78" s="41" t="n"/>
      <c r="I78" s="42">
        <f>IF($H78="","",MAX(0,$H78-N($E78)))</f>
        <v/>
      </c>
      <c r="J78" s="42">
        <f>IF($H78="","",MAX(0,$H78-N($G78)))</f>
        <v/>
      </c>
    </row>
    <row r="79" ht="19.5" customHeight="1" s="72">
      <c r="A79" s="38" t="inlineStr">
        <is>
          <t>AM-SEM-P01-SIR</t>
        </is>
      </c>
      <c r="B79" s="38" t="inlineStr">
        <is>
          <t>Semifinal</t>
        </is>
      </c>
      <c r="C79" s="38" t="inlineStr">
        <is>
          <t>Siriuna</t>
        </is>
      </c>
      <c r="D79" s="39">
        <f>IFERROR(CLASIF_A_M!$O$5,"")</f>
        <v/>
      </c>
      <c r="E79" s="40" t="n"/>
      <c r="F79" s="39">
        <f>IFERROR(CLASIF_A_M!$O$12,"")</f>
        <v/>
      </c>
      <c r="G79" s="40" t="n"/>
      <c r="H79" s="41" t="n"/>
      <c r="I79" s="42">
        <f>IF($H79="","",MAX(0,$H79-N($E79)))</f>
        <v/>
      </c>
      <c r="J79" s="42">
        <f>IF($H79="","",MAX(0,$H79-N($G79)))</f>
        <v/>
      </c>
    </row>
    <row r="80" ht="19.5" customHeight="1" s="72">
      <c r="A80" s="38" t="inlineStr">
        <is>
          <t>AM-SEM-P02-BEN</t>
        </is>
      </c>
      <c r="B80" s="38" t="inlineStr">
        <is>
          <t>Semifinal</t>
        </is>
      </c>
      <c r="C80" s="38" t="inlineStr">
        <is>
          <t>Benguela</t>
        </is>
      </c>
      <c r="D80" s="39">
        <f>IFERROR(CLASIF_A_M!$O$6,"")</f>
        <v/>
      </c>
      <c r="E80" s="40" t="n"/>
      <c r="F80" s="39">
        <f>IFERROR(CLASIF_A_M!$O$11,"")</f>
        <v/>
      </c>
      <c r="G80" s="40" t="n"/>
      <c r="H80" s="41" t="n"/>
      <c r="I80" s="42">
        <f>IF($H80="","",MAX(0,$H80-N($E80)))</f>
        <v/>
      </c>
      <c r="J80" s="42">
        <f>IF($H80="","",MAX(0,$H80-N($G80)))</f>
        <v/>
      </c>
    </row>
    <row r="81" ht="19.5" customHeight="1" s="72">
      <c r="A81" s="38" t="inlineStr">
        <is>
          <t>AM-SEM-P02-SBA</t>
        </is>
      </c>
      <c r="B81" s="38" t="inlineStr">
        <is>
          <t>Semifinal</t>
        </is>
      </c>
      <c r="C81" s="38" t="inlineStr">
        <is>
          <t>São Bento da Abadá</t>
        </is>
      </c>
      <c r="D81" s="39">
        <f>IFERROR(CLASIF_A_M!$O$6,"")</f>
        <v/>
      </c>
      <c r="E81" s="40" t="n"/>
      <c r="F81" s="39">
        <f>IFERROR(CLASIF_A_M!$O$11,"")</f>
        <v/>
      </c>
      <c r="G81" s="40" t="n"/>
      <c r="H81" s="41" t="n"/>
      <c r="I81" s="42">
        <f>IF($H81="","",MAX(0,$H81-N($E81)))</f>
        <v/>
      </c>
      <c r="J81" s="42">
        <f>IF($H81="","",MAX(0,$H81-N($G81)))</f>
        <v/>
      </c>
    </row>
    <row r="82" ht="19.5" customHeight="1" s="72">
      <c r="A82" s="38" t="inlineStr">
        <is>
          <t>AM-SEM-P02-SIR</t>
        </is>
      </c>
      <c r="B82" s="38" t="inlineStr">
        <is>
          <t>Semifinal</t>
        </is>
      </c>
      <c r="C82" s="38" t="inlineStr">
        <is>
          <t>Siriuna</t>
        </is>
      </c>
      <c r="D82" s="39">
        <f>IFERROR(CLASIF_A_M!$O$6,"")</f>
        <v/>
      </c>
      <c r="E82" s="40" t="n"/>
      <c r="F82" s="39">
        <f>IFERROR(CLASIF_A_M!$O$11,"")</f>
        <v/>
      </c>
      <c r="G82" s="40" t="n"/>
      <c r="H82" s="41" t="n"/>
      <c r="I82" s="42">
        <f>IF($H82="","",MAX(0,$H82-N($E82)))</f>
        <v/>
      </c>
      <c r="J82" s="42">
        <f>IF($H82="","",MAX(0,$H82-N($G82)))</f>
        <v/>
      </c>
    </row>
    <row r="83" ht="19.5" customHeight="1" s="72">
      <c r="A83" s="38" t="inlineStr">
        <is>
          <t>AM-SEM-P03-BEN</t>
        </is>
      </c>
      <c r="B83" s="38" t="inlineStr">
        <is>
          <t>Semifinal</t>
        </is>
      </c>
      <c r="C83" s="38" t="inlineStr">
        <is>
          <t>Benguela</t>
        </is>
      </c>
      <c r="D83" s="39">
        <f>IFERROR(CLASIF_A_M!$O$7,"")</f>
        <v/>
      </c>
      <c r="E83" s="40" t="n"/>
      <c r="F83" s="39">
        <f>IFERROR(CLASIF_A_M!$O$10,"")</f>
        <v/>
      </c>
      <c r="G83" s="40" t="n"/>
      <c r="H83" s="41" t="n"/>
      <c r="I83" s="42">
        <f>IF($H83="","",MAX(0,$H83-N($E83)))</f>
        <v/>
      </c>
      <c r="J83" s="42">
        <f>IF($H83="","",MAX(0,$H83-N($G83)))</f>
        <v/>
      </c>
    </row>
    <row r="84" ht="19.5" customHeight="1" s="72">
      <c r="A84" s="38" t="inlineStr">
        <is>
          <t>AM-SEM-P03-SBA</t>
        </is>
      </c>
      <c r="B84" s="38" t="inlineStr">
        <is>
          <t>Semifinal</t>
        </is>
      </c>
      <c r="C84" s="38" t="inlineStr">
        <is>
          <t>São Bento da Abadá</t>
        </is>
      </c>
      <c r="D84" s="39">
        <f>IFERROR(CLASIF_A_M!$O$7,"")</f>
        <v/>
      </c>
      <c r="E84" s="40" t="n"/>
      <c r="F84" s="39">
        <f>IFERROR(CLASIF_A_M!$O$10,"")</f>
        <v/>
      </c>
      <c r="G84" s="40" t="n"/>
      <c r="H84" s="41" t="n"/>
      <c r="I84" s="42">
        <f>IF($H84="","",MAX(0,$H84-N($E84)))</f>
        <v/>
      </c>
      <c r="J84" s="42">
        <f>IF($H84="","",MAX(0,$H84-N($G84)))</f>
        <v/>
      </c>
    </row>
    <row r="85" ht="19.5" customHeight="1" s="72">
      <c r="A85" s="38" t="inlineStr">
        <is>
          <t>AM-SEM-P03-SIR</t>
        </is>
      </c>
      <c r="B85" s="38" t="inlineStr">
        <is>
          <t>Semifinal</t>
        </is>
      </c>
      <c r="C85" s="38" t="inlineStr">
        <is>
          <t>Siriuna</t>
        </is>
      </c>
      <c r="D85" s="39">
        <f>IFERROR(CLASIF_A_M!$O$7,"")</f>
        <v/>
      </c>
      <c r="E85" s="40" t="n"/>
      <c r="F85" s="39">
        <f>IFERROR(CLASIF_A_M!$O$10,"")</f>
        <v/>
      </c>
      <c r="G85" s="40" t="n"/>
      <c r="H85" s="41" t="n"/>
      <c r="I85" s="42">
        <f>IF($H85="","",MAX(0,$H85-N($E85)))</f>
        <v/>
      </c>
      <c r="J85" s="42">
        <f>IF($H85="","",MAX(0,$H85-N($G85)))</f>
        <v/>
      </c>
    </row>
    <row r="86" ht="19.5" customHeight="1" s="72">
      <c r="A86" s="38" t="inlineStr">
        <is>
          <t>AM-SEM-P04-BEN</t>
        </is>
      </c>
      <c r="B86" s="38" t="inlineStr">
        <is>
          <t>Semifinal</t>
        </is>
      </c>
      <c r="C86" s="38" t="inlineStr">
        <is>
          <t>Benguela</t>
        </is>
      </c>
      <c r="D86" s="39">
        <f>IFERROR(CLASIF_A_M!$O$8,"")</f>
        <v/>
      </c>
      <c r="E86" s="40" t="n"/>
      <c r="F86" s="39">
        <f>IFERROR(CLASIF_A_M!$O$9,"")</f>
        <v/>
      </c>
      <c r="G86" s="40" t="n"/>
      <c r="H86" s="41" t="n"/>
      <c r="I86" s="42">
        <f>IF($H86="","",MAX(0,$H86-N($E86)))</f>
        <v/>
      </c>
      <c r="J86" s="42">
        <f>IF($H86="","",MAX(0,$H86-N($G86)))</f>
        <v/>
      </c>
    </row>
    <row r="87" ht="19.5" customHeight="1" s="72">
      <c r="A87" s="38" t="inlineStr">
        <is>
          <t>AM-SEM-P04-SBA</t>
        </is>
      </c>
      <c r="B87" s="38" t="inlineStr">
        <is>
          <t>Semifinal</t>
        </is>
      </c>
      <c r="C87" s="38" t="inlineStr">
        <is>
          <t>São Bento da Abadá</t>
        </is>
      </c>
      <c r="D87" s="39">
        <f>IFERROR(CLASIF_A_M!$O$8,"")</f>
        <v/>
      </c>
      <c r="E87" s="40" t="n"/>
      <c r="F87" s="39">
        <f>IFERROR(CLASIF_A_M!$O$9,"")</f>
        <v/>
      </c>
      <c r="G87" s="40" t="n"/>
      <c r="H87" s="41" t="n"/>
      <c r="I87" s="42">
        <f>IF($H87="","",MAX(0,$H87-N($E87)))</f>
        <v/>
      </c>
      <c r="J87" s="42">
        <f>IF($H87="","",MAX(0,$H87-N($G87)))</f>
        <v/>
      </c>
    </row>
    <row r="88" ht="19.5" customHeight="1" s="72">
      <c r="A88" s="38" t="inlineStr">
        <is>
          <t>AM-SEM-P04-SIR</t>
        </is>
      </c>
      <c r="B88" s="38" t="inlineStr">
        <is>
          <t>Semifinal</t>
        </is>
      </c>
      <c r="C88" s="38" t="inlineStr">
        <is>
          <t>Siriuna</t>
        </is>
      </c>
      <c r="D88" s="39">
        <f>IFERROR(CLASIF_A_M!$O$8,"")</f>
        <v/>
      </c>
      <c r="E88" s="40" t="n"/>
      <c r="F88" s="39">
        <f>IFERROR(CLASIF_A_M!$O$9,"")</f>
        <v/>
      </c>
      <c r="G88" s="40" t="n"/>
      <c r="H88" s="41" t="n"/>
      <c r="I88" s="42">
        <f>IF($H88="","",MAX(0,$H88-N($E88)))</f>
        <v/>
      </c>
      <c r="J88" s="42">
        <f>IF($H88="","",MAX(0,$H88-N($G88)))</f>
        <v/>
      </c>
    </row>
    <row r="89" ht="19.5" customHeight="1" s="72">
      <c r="A89" s="38" t="inlineStr">
        <is>
          <t>AM-FIN-P01-BEN</t>
        </is>
      </c>
      <c r="B89" s="38" t="inlineStr">
        <is>
          <t>Final</t>
        </is>
      </c>
      <c r="C89" s="38" t="inlineStr">
        <is>
          <t>Benguela</t>
        </is>
      </c>
      <c r="D89" s="39">
        <f>IFERROR(CLASIF_A_M!$X$5,"")</f>
        <v/>
      </c>
      <c r="E89" s="40" t="n"/>
      <c r="F89" s="39">
        <f>IFERROR(CLASIF_A_M!$X$8,"")</f>
        <v/>
      </c>
      <c r="G89" s="40" t="n"/>
      <c r="H89" s="41" t="n"/>
      <c r="I89" s="42">
        <f>IF($H89="","",MAX(0,$H89-N($E89)))</f>
        <v/>
      </c>
      <c r="J89" s="42">
        <f>IF($H89="","",MAX(0,$H89-N($G89)))</f>
        <v/>
      </c>
    </row>
    <row r="90" ht="19.5" customHeight="1" s="72">
      <c r="A90" s="38" t="inlineStr">
        <is>
          <t>AM-FIN-P01-SBA</t>
        </is>
      </c>
      <c r="B90" s="38" t="inlineStr">
        <is>
          <t>Final</t>
        </is>
      </c>
      <c r="C90" s="38" t="inlineStr">
        <is>
          <t>São Bento da Abadá</t>
        </is>
      </c>
      <c r="D90" s="39">
        <f>IFERROR(CLASIF_A_M!$X$5,"")</f>
        <v/>
      </c>
      <c r="E90" s="40" t="n"/>
      <c r="F90" s="39">
        <f>IFERROR(CLASIF_A_M!$X$8,"")</f>
        <v/>
      </c>
      <c r="G90" s="40" t="n"/>
      <c r="H90" s="41" t="n"/>
      <c r="I90" s="42">
        <f>IF($H90="","",MAX(0,$H90-N($E90)))</f>
        <v/>
      </c>
      <c r="J90" s="42">
        <f>IF($H90="","",MAX(0,$H90-N($G90)))</f>
        <v/>
      </c>
    </row>
    <row r="91" ht="19.5" customHeight="1" s="72">
      <c r="A91" s="38" t="inlineStr">
        <is>
          <t>AM-FIN-P01-SIR</t>
        </is>
      </c>
      <c r="B91" s="38" t="inlineStr">
        <is>
          <t>Final</t>
        </is>
      </c>
      <c r="C91" s="38" t="inlineStr">
        <is>
          <t>Siriuna</t>
        </is>
      </c>
      <c r="D91" s="39">
        <f>IFERROR(CLASIF_A_M!$X$5,"")</f>
        <v/>
      </c>
      <c r="E91" s="40" t="n"/>
      <c r="F91" s="39">
        <f>IFERROR(CLASIF_A_M!$X$8,"")</f>
        <v/>
      </c>
      <c r="G91" s="40" t="n"/>
      <c r="H91" s="41" t="n"/>
      <c r="I91" s="42">
        <f>IF($H91="","",MAX(0,$H91-N($E91)))</f>
        <v/>
      </c>
      <c r="J91" s="42">
        <f>IF($H91="","",MAX(0,$H91-N($G91)))</f>
        <v/>
      </c>
    </row>
    <row r="92" ht="19.5" customHeight="1" s="72">
      <c r="A92" s="38" t="inlineStr">
        <is>
          <t>AM-FIN-P02-BEN</t>
        </is>
      </c>
      <c r="B92" s="38" t="inlineStr">
        <is>
          <t>Final</t>
        </is>
      </c>
      <c r="C92" s="38" t="inlineStr">
        <is>
          <t>Benguela</t>
        </is>
      </c>
      <c r="D92" s="39">
        <f>IFERROR(CLASIF_A_M!$X$6,"")</f>
        <v/>
      </c>
      <c r="E92" s="40" t="n"/>
      <c r="F92" s="39">
        <f>IFERROR(CLASIF_A_M!$X$7,"")</f>
        <v/>
      </c>
      <c r="G92" s="40" t="n"/>
      <c r="H92" s="41" t="n"/>
      <c r="I92" s="42">
        <f>IF($H92="","",MAX(0,$H92-N($E92)))</f>
        <v/>
      </c>
      <c r="J92" s="42">
        <f>IF($H92="","",MAX(0,$H92-N($G92)))</f>
        <v/>
      </c>
    </row>
    <row r="93" ht="19.5" customHeight="1" s="72">
      <c r="A93" s="38" t="inlineStr">
        <is>
          <t>AM-FIN-P02-SBA</t>
        </is>
      </c>
      <c r="B93" s="38" t="inlineStr">
        <is>
          <t>Final</t>
        </is>
      </c>
      <c r="C93" s="38" t="inlineStr">
        <is>
          <t>São Bento da Abadá</t>
        </is>
      </c>
      <c r="D93" s="39">
        <f>IFERROR(CLASIF_A_M!$X$6,"")</f>
        <v/>
      </c>
      <c r="E93" s="40" t="n"/>
      <c r="F93" s="39">
        <f>IFERROR(CLASIF_A_M!$X$7,"")</f>
        <v/>
      </c>
      <c r="G93" s="40" t="n"/>
      <c r="H93" s="41" t="n"/>
      <c r="I93" s="42">
        <f>IF($H93="","",MAX(0,$H93-N($E93)))</f>
        <v/>
      </c>
      <c r="J93" s="42">
        <f>IF($H93="","",MAX(0,$H93-N($G93)))</f>
        <v/>
      </c>
    </row>
    <row r="94" ht="19.5" customHeight="1" s="72">
      <c r="A94" s="38" t="inlineStr">
        <is>
          <t>AM-FIN-P02-SIR</t>
        </is>
      </c>
      <c r="B94" s="38" t="inlineStr">
        <is>
          <t>Final</t>
        </is>
      </c>
      <c r="C94" s="38" t="inlineStr">
        <is>
          <t>Siriuna</t>
        </is>
      </c>
      <c r="D94" s="39">
        <f>IFERROR(CLASIF_A_M!$X$6,"")</f>
        <v/>
      </c>
      <c r="E94" s="40" t="n"/>
      <c r="F94" s="39">
        <f>IFERROR(CLASIF_A_M!$X$7,"")</f>
        <v/>
      </c>
      <c r="G94" s="40" t="n"/>
      <c r="H94" s="41" t="n"/>
      <c r="I94" s="42">
        <f>IF($H94="","",MAX(0,$H94-N($E94)))</f>
        <v/>
      </c>
      <c r="J94" s="42">
        <f>IF($H94="","",MAX(0,$H94-N($G94)))</f>
        <v/>
      </c>
    </row>
    <row r="95" ht="19.5" customHeight="1" s="72">
      <c r="A95" s="43" t="n"/>
      <c r="B95" s="43" t="n"/>
      <c r="C95" s="43" t="n"/>
      <c r="D95" s="43" t="n"/>
      <c r="E95" s="43" t="n"/>
      <c r="F95" s="43" t="n"/>
      <c r="G95" s="43" t="n"/>
      <c r="H95" s="44" t="n"/>
      <c r="I95" s="43">
        <f>IF($H95="","",MAX(0,$H95-N($E95)))</f>
        <v/>
      </c>
      <c r="J95" s="43">
        <f>IF($H95="","",MAX(0,$H95-N($G95)))</f>
        <v/>
      </c>
    </row>
    <row r="96" ht="19.5" customHeight="1" s="72">
      <c r="A96" s="80" t="inlineStr">
        <is>
          <t>═══ CATEGORÍA A · Femenino · Marrón (Profesores) · Toques: Benguela, São Bento da Abadá, Siriuna ═══</t>
        </is>
      </c>
    </row>
    <row r="97" ht="19.5" customHeight="1" s="72">
      <c r="A97" s="45" t="inlineStr">
        <is>
          <t>Jogo</t>
        </is>
      </c>
      <c r="B97" s="45" t="inlineStr">
        <is>
          <t>Fase</t>
        </is>
      </c>
      <c r="C97" s="45" t="inlineStr">
        <is>
          <t>Toque</t>
        </is>
      </c>
      <c r="D97" s="45" t="inlineStr">
        <is>
          <t>Jugador A</t>
        </is>
      </c>
      <c r="E97" s="45" t="inlineStr">
        <is>
          <t>Quita A</t>
        </is>
      </c>
      <c r="F97" s="45" t="inlineStr">
        <is>
          <t>Jugador B</t>
        </is>
      </c>
      <c r="G97" s="45" t="inlineStr">
        <is>
          <t>Quita B</t>
        </is>
      </c>
      <c r="H97" s="45" t="inlineStr">
        <is>
          <t>NOTA (0-5)</t>
        </is>
      </c>
      <c r="I97" s="45">
        <f>IF($H97="","",MAX(0,$H97-N($E97)))</f>
        <v/>
      </c>
      <c r="J97" s="45">
        <f>IF($H97="","",MAX(0,$H97-N($G97)))</f>
        <v/>
      </c>
    </row>
    <row r="98" ht="19.5" customHeight="1" s="72">
      <c r="A98" s="38" t="inlineStr">
        <is>
          <t>AF-32-P01-BEN</t>
        </is>
      </c>
      <c r="B98" s="38" t="inlineStr">
        <is>
          <t>Fase 32</t>
        </is>
      </c>
      <c r="C98" s="38" t="inlineStr">
        <is>
          <t>Benguela</t>
        </is>
      </c>
      <c r="D98" s="39" t="inlineStr">
        <is>
          <t>A_A_F_32_P1</t>
        </is>
      </c>
      <c r="E98" s="40" t="n"/>
      <c r="F98" s="39" t="inlineStr">
        <is>
          <t>B_A_F_32_P1</t>
        </is>
      </c>
      <c r="G98" s="40" t="n"/>
      <c r="H98" s="41" t="n"/>
      <c r="I98" s="42">
        <f>IF($H98="","",MAX(0,$H98-N($E98)))</f>
        <v/>
      </c>
      <c r="J98" s="42">
        <f>IF($H98="","",MAX(0,$H98-N($G98)))</f>
        <v/>
      </c>
    </row>
    <row r="99" ht="19.5" customHeight="1" s="72">
      <c r="A99" s="38" t="inlineStr">
        <is>
          <t>AF-32-P01-SBA</t>
        </is>
      </c>
      <c r="B99" s="38" t="inlineStr">
        <is>
          <t>Fase 32</t>
        </is>
      </c>
      <c r="C99" s="38" t="inlineStr">
        <is>
          <t>São Bento da Abadá</t>
        </is>
      </c>
      <c r="D99" s="39" t="inlineStr">
        <is>
          <t>A_A_F_32_P1</t>
        </is>
      </c>
      <c r="E99" s="40" t="n"/>
      <c r="F99" s="39" t="inlineStr">
        <is>
          <t>B_A_F_32_P1</t>
        </is>
      </c>
      <c r="G99" s="40" t="n"/>
      <c r="H99" s="41" t="n"/>
      <c r="I99" s="42">
        <f>IF($H99="","",MAX(0,$H99-N($E99)))</f>
        <v/>
      </c>
      <c r="J99" s="42">
        <f>IF($H99="","",MAX(0,$H99-N($G99)))</f>
        <v/>
      </c>
    </row>
    <row r="100" ht="19.5" customHeight="1" s="72">
      <c r="A100" s="38" t="inlineStr">
        <is>
          <t>AF-32-P01-SIR</t>
        </is>
      </c>
      <c r="B100" s="38" t="inlineStr">
        <is>
          <t>Fase 32</t>
        </is>
      </c>
      <c r="C100" s="38" t="inlineStr">
        <is>
          <t>Siriuna</t>
        </is>
      </c>
      <c r="D100" s="39" t="inlineStr">
        <is>
          <t>A_A_F_32_P1</t>
        </is>
      </c>
      <c r="E100" s="40" t="n"/>
      <c r="F100" s="39" t="inlineStr">
        <is>
          <t>B_A_F_32_P1</t>
        </is>
      </c>
      <c r="G100" s="40" t="n"/>
      <c r="H100" s="41" t="n"/>
      <c r="I100" s="42">
        <f>IF($H100="","",MAX(0,$H100-N($E100)))</f>
        <v/>
      </c>
      <c r="J100" s="42">
        <f>IF($H100="","",MAX(0,$H100-N($G100)))</f>
        <v/>
      </c>
    </row>
    <row r="101" ht="19.5" customHeight="1" s="72">
      <c r="A101" s="38" t="inlineStr">
        <is>
          <t>AF-32-P02-BEN</t>
        </is>
      </c>
      <c r="B101" s="38" t="inlineStr">
        <is>
          <t>Fase 32</t>
        </is>
      </c>
      <c r="C101" s="38" t="inlineStr">
        <is>
          <t>Benguela</t>
        </is>
      </c>
      <c r="D101" s="39" t="inlineStr">
        <is>
          <t>A_A_F_32_P2</t>
        </is>
      </c>
      <c r="E101" s="40" t="n"/>
      <c r="F101" s="39" t="inlineStr">
        <is>
          <t>B_A_F_32_P2</t>
        </is>
      </c>
      <c r="G101" s="40" t="n"/>
      <c r="H101" s="41" t="n"/>
      <c r="I101" s="42">
        <f>IF($H101="","",MAX(0,$H101-N($E101)))</f>
        <v/>
      </c>
      <c r="J101" s="42">
        <f>IF($H101="","",MAX(0,$H101-N($G101)))</f>
        <v/>
      </c>
    </row>
    <row r="102" ht="19.5" customHeight="1" s="72">
      <c r="A102" s="38" t="inlineStr">
        <is>
          <t>AF-32-P02-SBA</t>
        </is>
      </c>
      <c r="B102" s="38" t="inlineStr">
        <is>
          <t>Fase 32</t>
        </is>
      </c>
      <c r="C102" s="38" t="inlineStr">
        <is>
          <t>São Bento da Abadá</t>
        </is>
      </c>
      <c r="D102" s="39" t="inlineStr">
        <is>
          <t>A_A_F_32_P2</t>
        </is>
      </c>
      <c r="E102" s="40" t="n"/>
      <c r="F102" s="39" t="inlineStr">
        <is>
          <t>B_A_F_32_P2</t>
        </is>
      </c>
      <c r="G102" s="40" t="n"/>
      <c r="H102" s="41" t="n"/>
      <c r="I102" s="42">
        <f>IF($H102="","",MAX(0,$H102-N($E102)))</f>
        <v/>
      </c>
      <c r="J102" s="42">
        <f>IF($H102="","",MAX(0,$H102-N($G102)))</f>
        <v/>
      </c>
    </row>
    <row r="103" ht="19.5" customHeight="1" s="72">
      <c r="A103" s="38" t="inlineStr">
        <is>
          <t>AF-32-P02-SIR</t>
        </is>
      </c>
      <c r="B103" s="38" t="inlineStr">
        <is>
          <t>Fase 32</t>
        </is>
      </c>
      <c r="C103" s="38" t="inlineStr">
        <is>
          <t>Siriuna</t>
        </is>
      </c>
      <c r="D103" s="39" t="inlineStr">
        <is>
          <t>A_A_F_32_P2</t>
        </is>
      </c>
      <c r="E103" s="40" t="n"/>
      <c r="F103" s="39" t="inlineStr">
        <is>
          <t>B_A_F_32_P2</t>
        </is>
      </c>
      <c r="G103" s="40" t="n"/>
      <c r="H103" s="41" t="n"/>
      <c r="I103" s="42">
        <f>IF($H103="","",MAX(0,$H103-N($E103)))</f>
        <v/>
      </c>
      <c r="J103" s="42">
        <f>IF($H103="","",MAX(0,$H103-N($G103)))</f>
        <v/>
      </c>
    </row>
    <row r="104" ht="19.5" customHeight="1" s="72">
      <c r="A104" s="38" t="inlineStr">
        <is>
          <t>AF-32-P03-BEN</t>
        </is>
      </c>
      <c r="B104" s="38" t="inlineStr">
        <is>
          <t>Fase 32</t>
        </is>
      </c>
      <c r="C104" s="38" t="inlineStr">
        <is>
          <t>Benguela</t>
        </is>
      </c>
      <c r="D104" s="39" t="inlineStr">
        <is>
          <t>A_A_F_32_P3</t>
        </is>
      </c>
      <c r="E104" s="40" t="n"/>
      <c r="F104" s="39" t="inlineStr">
        <is>
          <t>B_A_F_32_P3</t>
        </is>
      </c>
      <c r="G104" s="40" t="n"/>
      <c r="H104" s="41" t="n"/>
      <c r="I104" s="42">
        <f>IF($H104="","",MAX(0,$H104-N($E104)))</f>
        <v/>
      </c>
      <c r="J104" s="42">
        <f>IF($H104="","",MAX(0,$H104-N($G104)))</f>
        <v/>
      </c>
    </row>
    <row r="105" ht="19.5" customHeight="1" s="72">
      <c r="A105" s="38" t="inlineStr">
        <is>
          <t>AF-32-P03-SBA</t>
        </is>
      </c>
      <c r="B105" s="38" t="inlineStr">
        <is>
          <t>Fase 32</t>
        </is>
      </c>
      <c r="C105" s="38" t="inlineStr">
        <is>
          <t>São Bento da Abadá</t>
        </is>
      </c>
      <c r="D105" s="39" t="inlineStr">
        <is>
          <t>A_A_F_32_P3</t>
        </is>
      </c>
      <c r="E105" s="40" t="n"/>
      <c r="F105" s="39" t="inlineStr">
        <is>
          <t>B_A_F_32_P3</t>
        </is>
      </c>
      <c r="G105" s="40" t="n"/>
      <c r="H105" s="41" t="n"/>
      <c r="I105" s="42">
        <f>IF($H105="","",MAX(0,$H105-N($E105)))</f>
        <v/>
      </c>
      <c r="J105" s="42">
        <f>IF($H105="","",MAX(0,$H105-N($G105)))</f>
        <v/>
      </c>
    </row>
    <row r="106" ht="19.5" customHeight="1" s="72">
      <c r="A106" s="38" t="inlineStr">
        <is>
          <t>AF-32-P03-SIR</t>
        </is>
      </c>
      <c r="B106" s="38" t="inlineStr">
        <is>
          <t>Fase 32</t>
        </is>
      </c>
      <c r="C106" s="38" t="inlineStr">
        <is>
          <t>Siriuna</t>
        </is>
      </c>
      <c r="D106" s="39" t="inlineStr">
        <is>
          <t>A_A_F_32_P3</t>
        </is>
      </c>
      <c r="E106" s="40" t="n"/>
      <c r="F106" s="39" t="inlineStr">
        <is>
          <t>B_A_F_32_P3</t>
        </is>
      </c>
      <c r="G106" s="40" t="n"/>
      <c r="H106" s="41" t="n"/>
      <c r="I106" s="42">
        <f>IF($H106="","",MAX(0,$H106-N($E106)))</f>
        <v/>
      </c>
      <c r="J106" s="42">
        <f>IF($H106="","",MAX(0,$H106-N($G106)))</f>
        <v/>
      </c>
    </row>
    <row r="107" ht="19.5" customHeight="1" s="72">
      <c r="A107" s="38" t="inlineStr">
        <is>
          <t>AF-32-P04-BEN</t>
        </is>
      </c>
      <c r="B107" s="38" t="inlineStr">
        <is>
          <t>Fase 32</t>
        </is>
      </c>
      <c r="C107" s="38" t="inlineStr">
        <is>
          <t>Benguela</t>
        </is>
      </c>
      <c r="D107" s="39" t="inlineStr">
        <is>
          <t>A_A_F_32_P4</t>
        </is>
      </c>
      <c r="E107" s="40" t="n"/>
      <c r="F107" s="39" t="inlineStr">
        <is>
          <t>B_A_F_32_P4</t>
        </is>
      </c>
      <c r="G107" s="40" t="n"/>
      <c r="H107" s="41" t="n"/>
      <c r="I107" s="42">
        <f>IF($H107="","",MAX(0,$H107-N($E107)))</f>
        <v/>
      </c>
      <c r="J107" s="42">
        <f>IF($H107="","",MAX(0,$H107-N($G107)))</f>
        <v/>
      </c>
    </row>
    <row r="108" ht="19.5" customHeight="1" s="72">
      <c r="A108" s="38" t="inlineStr">
        <is>
          <t>AF-32-P04-SBA</t>
        </is>
      </c>
      <c r="B108" s="38" t="inlineStr">
        <is>
          <t>Fase 32</t>
        </is>
      </c>
      <c r="C108" s="38" t="inlineStr">
        <is>
          <t>São Bento da Abadá</t>
        </is>
      </c>
      <c r="D108" s="39" t="inlineStr">
        <is>
          <t>A_A_F_32_P4</t>
        </is>
      </c>
      <c r="E108" s="40" t="n"/>
      <c r="F108" s="39" t="inlineStr">
        <is>
          <t>B_A_F_32_P4</t>
        </is>
      </c>
      <c r="G108" s="40" t="n"/>
      <c r="H108" s="41" t="n"/>
      <c r="I108" s="42">
        <f>IF($H108="","",MAX(0,$H108-N($E108)))</f>
        <v/>
      </c>
      <c r="J108" s="42">
        <f>IF($H108="","",MAX(0,$H108-N($G108)))</f>
        <v/>
      </c>
    </row>
    <row r="109" ht="19.5" customHeight="1" s="72">
      <c r="A109" s="38" t="inlineStr">
        <is>
          <t>AF-32-P04-SIR</t>
        </is>
      </c>
      <c r="B109" s="38" t="inlineStr">
        <is>
          <t>Fase 32</t>
        </is>
      </c>
      <c r="C109" s="38" t="inlineStr">
        <is>
          <t>Siriuna</t>
        </is>
      </c>
      <c r="D109" s="39" t="inlineStr">
        <is>
          <t>A_A_F_32_P4</t>
        </is>
      </c>
      <c r="E109" s="40" t="n"/>
      <c r="F109" s="39" t="inlineStr">
        <is>
          <t>B_A_F_32_P4</t>
        </is>
      </c>
      <c r="G109" s="40" t="n"/>
      <c r="H109" s="41" t="n"/>
      <c r="I109" s="42">
        <f>IF($H109="","",MAX(0,$H109-N($E109)))</f>
        <v/>
      </c>
      <c r="J109" s="42">
        <f>IF($H109="","",MAX(0,$H109-N($G109)))</f>
        <v/>
      </c>
    </row>
    <row r="110" ht="19.5" customHeight="1" s="72">
      <c r="A110" s="38" t="inlineStr">
        <is>
          <t>AF-32-P05-BEN</t>
        </is>
      </c>
      <c r="B110" s="38" t="inlineStr">
        <is>
          <t>Fase 32</t>
        </is>
      </c>
      <c r="C110" s="38" t="inlineStr">
        <is>
          <t>Benguela</t>
        </is>
      </c>
      <c r="D110" s="39" t="inlineStr">
        <is>
          <t>A_A_F_32_P5</t>
        </is>
      </c>
      <c r="E110" s="40" t="n"/>
      <c r="F110" s="39" t="inlineStr">
        <is>
          <t>B_A_F_32_P5</t>
        </is>
      </c>
      <c r="G110" s="40" t="n"/>
      <c r="H110" s="41" t="n"/>
      <c r="I110" s="42">
        <f>IF($H110="","",MAX(0,$H110-N($E110)))</f>
        <v/>
      </c>
      <c r="J110" s="42">
        <f>IF($H110="","",MAX(0,$H110-N($G110)))</f>
        <v/>
      </c>
    </row>
    <row r="111" ht="19.5" customHeight="1" s="72">
      <c r="A111" s="38" t="inlineStr">
        <is>
          <t>AF-32-P05-SBA</t>
        </is>
      </c>
      <c r="B111" s="38" t="inlineStr">
        <is>
          <t>Fase 32</t>
        </is>
      </c>
      <c r="C111" s="38" t="inlineStr">
        <is>
          <t>São Bento da Abadá</t>
        </is>
      </c>
      <c r="D111" s="39" t="inlineStr">
        <is>
          <t>A_A_F_32_P5</t>
        </is>
      </c>
      <c r="E111" s="40" t="n"/>
      <c r="F111" s="39" t="inlineStr">
        <is>
          <t>B_A_F_32_P5</t>
        </is>
      </c>
      <c r="G111" s="40" t="n"/>
      <c r="H111" s="41" t="n"/>
      <c r="I111" s="42">
        <f>IF($H111="","",MAX(0,$H111-N($E111)))</f>
        <v/>
      </c>
      <c r="J111" s="42">
        <f>IF($H111="","",MAX(0,$H111-N($G111)))</f>
        <v/>
      </c>
    </row>
    <row r="112" ht="19.5" customHeight="1" s="72">
      <c r="A112" s="38" t="inlineStr">
        <is>
          <t>AF-32-P05-SIR</t>
        </is>
      </c>
      <c r="B112" s="38" t="inlineStr">
        <is>
          <t>Fase 32</t>
        </is>
      </c>
      <c r="C112" s="38" t="inlineStr">
        <is>
          <t>Siriuna</t>
        </is>
      </c>
      <c r="D112" s="39" t="inlineStr">
        <is>
          <t>A_A_F_32_P5</t>
        </is>
      </c>
      <c r="E112" s="40" t="n"/>
      <c r="F112" s="39" t="inlineStr">
        <is>
          <t>B_A_F_32_P5</t>
        </is>
      </c>
      <c r="G112" s="40" t="n"/>
      <c r="H112" s="41" t="n"/>
      <c r="I112" s="42">
        <f>IF($H112="","",MAX(0,$H112-N($E112)))</f>
        <v/>
      </c>
      <c r="J112" s="42">
        <f>IF($H112="","",MAX(0,$H112-N($G112)))</f>
        <v/>
      </c>
    </row>
    <row r="113" ht="19.5" customHeight="1" s="72">
      <c r="A113" s="38" t="inlineStr">
        <is>
          <t>AF-32-P06-BEN</t>
        </is>
      </c>
      <c r="B113" s="38" t="inlineStr">
        <is>
          <t>Fase 32</t>
        </is>
      </c>
      <c r="C113" s="38" t="inlineStr">
        <is>
          <t>Benguela</t>
        </is>
      </c>
      <c r="D113" s="39" t="inlineStr">
        <is>
          <t>A_A_F_32_P6</t>
        </is>
      </c>
      <c r="E113" s="40" t="n"/>
      <c r="F113" s="39" t="inlineStr">
        <is>
          <t>B_A_F_32_P6</t>
        </is>
      </c>
      <c r="G113" s="40" t="n"/>
      <c r="H113" s="41" t="n"/>
      <c r="I113" s="42">
        <f>IF($H113="","",MAX(0,$H113-N($E113)))</f>
        <v/>
      </c>
      <c r="J113" s="42">
        <f>IF($H113="","",MAX(0,$H113-N($G113)))</f>
        <v/>
      </c>
    </row>
    <row r="114" ht="19.5" customHeight="1" s="72">
      <c r="A114" s="38" t="inlineStr">
        <is>
          <t>AF-32-P06-SBA</t>
        </is>
      </c>
      <c r="B114" s="38" t="inlineStr">
        <is>
          <t>Fase 32</t>
        </is>
      </c>
      <c r="C114" s="38" t="inlineStr">
        <is>
          <t>São Bento da Abadá</t>
        </is>
      </c>
      <c r="D114" s="39" t="inlineStr">
        <is>
          <t>A_A_F_32_P6</t>
        </is>
      </c>
      <c r="E114" s="40" t="n"/>
      <c r="F114" s="39" t="inlineStr">
        <is>
          <t>B_A_F_32_P6</t>
        </is>
      </c>
      <c r="G114" s="40" t="n"/>
      <c r="H114" s="41" t="n"/>
      <c r="I114" s="42">
        <f>IF($H114="","",MAX(0,$H114-N($E114)))</f>
        <v/>
      </c>
      <c r="J114" s="42">
        <f>IF($H114="","",MAX(0,$H114-N($G114)))</f>
        <v/>
      </c>
    </row>
    <row r="115" ht="19.5" customHeight="1" s="72">
      <c r="A115" s="38" t="inlineStr">
        <is>
          <t>AF-32-P06-SIR</t>
        </is>
      </c>
      <c r="B115" s="38" t="inlineStr">
        <is>
          <t>Fase 32</t>
        </is>
      </c>
      <c r="C115" s="38" t="inlineStr">
        <is>
          <t>Siriuna</t>
        </is>
      </c>
      <c r="D115" s="39" t="inlineStr">
        <is>
          <t>A_A_F_32_P6</t>
        </is>
      </c>
      <c r="E115" s="40" t="n"/>
      <c r="F115" s="39" t="inlineStr">
        <is>
          <t>B_A_F_32_P6</t>
        </is>
      </c>
      <c r="G115" s="40" t="n"/>
      <c r="H115" s="41" t="n"/>
      <c r="I115" s="42">
        <f>IF($H115="","",MAX(0,$H115-N($E115)))</f>
        <v/>
      </c>
      <c r="J115" s="42">
        <f>IF($H115="","",MAX(0,$H115-N($G115)))</f>
        <v/>
      </c>
    </row>
    <row r="116" ht="19.5" customHeight="1" s="72">
      <c r="A116" s="38" t="inlineStr">
        <is>
          <t>AF-32-P07-BEN</t>
        </is>
      </c>
      <c r="B116" s="38" t="inlineStr">
        <is>
          <t>Fase 32</t>
        </is>
      </c>
      <c r="C116" s="38" t="inlineStr">
        <is>
          <t>Benguela</t>
        </is>
      </c>
      <c r="D116" s="39" t="inlineStr">
        <is>
          <t>A_A_F_32_P7</t>
        </is>
      </c>
      <c r="E116" s="40" t="n"/>
      <c r="F116" s="39" t="inlineStr">
        <is>
          <t>B_A_F_32_P7</t>
        </is>
      </c>
      <c r="G116" s="40" t="n"/>
      <c r="H116" s="41" t="n"/>
      <c r="I116" s="42">
        <f>IF($H116="","",MAX(0,$H116-N($E116)))</f>
        <v/>
      </c>
      <c r="J116" s="42">
        <f>IF($H116="","",MAX(0,$H116-N($G116)))</f>
        <v/>
      </c>
    </row>
    <row r="117" ht="19.5" customHeight="1" s="72">
      <c r="A117" s="38" t="inlineStr">
        <is>
          <t>AF-32-P07-SBA</t>
        </is>
      </c>
      <c r="B117" s="38" t="inlineStr">
        <is>
          <t>Fase 32</t>
        </is>
      </c>
      <c r="C117" s="38" t="inlineStr">
        <is>
          <t>São Bento da Abadá</t>
        </is>
      </c>
      <c r="D117" s="39" t="inlineStr">
        <is>
          <t>A_A_F_32_P7</t>
        </is>
      </c>
      <c r="E117" s="40" t="n"/>
      <c r="F117" s="39" t="inlineStr">
        <is>
          <t>B_A_F_32_P7</t>
        </is>
      </c>
      <c r="G117" s="40" t="n"/>
      <c r="H117" s="41" t="n"/>
      <c r="I117" s="42">
        <f>IF($H117="","",MAX(0,$H117-N($E117)))</f>
        <v/>
      </c>
      <c r="J117" s="42">
        <f>IF($H117="","",MAX(0,$H117-N($G117)))</f>
        <v/>
      </c>
    </row>
    <row r="118" ht="19.5" customHeight="1" s="72">
      <c r="A118" s="38" t="inlineStr">
        <is>
          <t>AF-32-P07-SIR</t>
        </is>
      </c>
      <c r="B118" s="38" t="inlineStr">
        <is>
          <t>Fase 32</t>
        </is>
      </c>
      <c r="C118" s="38" t="inlineStr">
        <is>
          <t>Siriuna</t>
        </is>
      </c>
      <c r="D118" s="39" t="inlineStr">
        <is>
          <t>A_A_F_32_P7</t>
        </is>
      </c>
      <c r="E118" s="40" t="n"/>
      <c r="F118" s="39" t="inlineStr">
        <is>
          <t>B_A_F_32_P7</t>
        </is>
      </c>
      <c r="G118" s="40" t="n"/>
      <c r="H118" s="41" t="n"/>
      <c r="I118" s="42">
        <f>IF($H118="","",MAX(0,$H118-N($E118)))</f>
        <v/>
      </c>
      <c r="J118" s="42">
        <f>IF($H118="","",MAX(0,$H118-N($G118)))</f>
        <v/>
      </c>
    </row>
    <row r="119" ht="19.5" customHeight="1" s="72">
      <c r="A119" s="38" t="inlineStr">
        <is>
          <t>AF-32-P08-BEN</t>
        </is>
      </c>
      <c r="B119" s="38" t="inlineStr">
        <is>
          <t>Fase 32</t>
        </is>
      </c>
      <c r="C119" s="38" t="inlineStr">
        <is>
          <t>Benguela</t>
        </is>
      </c>
      <c r="D119" s="39" t="inlineStr">
        <is>
          <t>A_A_F_32_P8</t>
        </is>
      </c>
      <c r="E119" s="40" t="n"/>
      <c r="F119" s="39" t="inlineStr">
        <is>
          <t>B_A_F_32_P8</t>
        </is>
      </c>
      <c r="G119" s="40" t="n"/>
      <c r="H119" s="41" t="n"/>
      <c r="I119" s="42">
        <f>IF($H119="","",MAX(0,$H119-N($E119)))</f>
        <v/>
      </c>
      <c r="J119" s="42">
        <f>IF($H119="","",MAX(0,$H119-N($G119)))</f>
        <v/>
      </c>
    </row>
    <row r="120" ht="19.5" customHeight="1" s="72">
      <c r="A120" s="38" t="inlineStr">
        <is>
          <t>AF-32-P08-SBA</t>
        </is>
      </c>
      <c r="B120" s="38" t="inlineStr">
        <is>
          <t>Fase 32</t>
        </is>
      </c>
      <c r="C120" s="38" t="inlineStr">
        <is>
          <t>São Bento da Abadá</t>
        </is>
      </c>
      <c r="D120" s="39" t="inlineStr">
        <is>
          <t>A_A_F_32_P8</t>
        </is>
      </c>
      <c r="E120" s="40" t="n"/>
      <c r="F120" s="39" t="inlineStr">
        <is>
          <t>B_A_F_32_P8</t>
        </is>
      </c>
      <c r="G120" s="40" t="n"/>
      <c r="H120" s="41" t="n"/>
      <c r="I120" s="42">
        <f>IF($H120="","",MAX(0,$H120-N($E120)))</f>
        <v/>
      </c>
      <c r="J120" s="42">
        <f>IF($H120="","",MAX(0,$H120-N($G120)))</f>
        <v/>
      </c>
    </row>
    <row r="121" ht="19.5" customHeight="1" s="72">
      <c r="A121" s="38" t="inlineStr">
        <is>
          <t>AF-32-P08-SIR</t>
        </is>
      </c>
      <c r="B121" s="38" t="inlineStr">
        <is>
          <t>Fase 32</t>
        </is>
      </c>
      <c r="C121" s="38" t="inlineStr">
        <is>
          <t>Siriuna</t>
        </is>
      </c>
      <c r="D121" s="39" t="inlineStr">
        <is>
          <t>A_A_F_32_P8</t>
        </is>
      </c>
      <c r="E121" s="40" t="n"/>
      <c r="F121" s="39" t="inlineStr">
        <is>
          <t>B_A_F_32_P8</t>
        </is>
      </c>
      <c r="G121" s="40" t="n"/>
      <c r="H121" s="41" t="n"/>
      <c r="I121" s="42">
        <f>IF($H121="","",MAX(0,$H121-N($E121)))</f>
        <v/>
      </c>
      <c r="J121" s="42">
        <f>IF($H121="","",MAX(0,$H121-N($G121)))</f>
        <v/>
      </c>
    </row>
    <row r="122" ht="19.5" customHeight="1" s="72">
      <c r="A122" s="38" t="inlineStr">
        <is>
          <t>AF-32-P09-BEN</t>
        </is>
      </c>
      <c r="B122" s="38" t="inlineStr">
        <is>
          <t>Fase 32</t>
        </is>
      </c>
      <c r="C122" s="38" t="inlineStr">
        <is>
          <t>Benguela</t>
        </is>
      </c>
      <c r="D122" s="39" t="inlineStr">
        <is>
          <t>A_A_F_32_P9</t>
        </is>
      </c>
      <c r="E122" s="40" t="n"/>
      <c r="F122" s="39" t="inlineStr">
        <is>
          <t>B_A_F_32_P9</t>
        </is>
      </c>
      <c r="G122" s="40" t="n"/>
      <c r="H122" s="41" t="n"/>
      <c r="I122" s="42">
        <f>IF($H122="","",MAX(0,$H122-N($E122)))</f>
        <v/>
      </c>
      <c r="J122" s="42">
        <f>IF($H122="","",MAX(0,$H122-N($G122)))</f>
        <v/>
      </c>
    </row>
    <row r="123" ht="19.5" customHeight="1" s="72">
      <c r="A123" s="38" t="inlineStr">
        <is>
          <t>AF-32-P09-SBA</t>
        </is>
      </c>
      <c r="B123" s="38" t="inlineStr">
        <is>
          <t>Fase 32</t>
        </is>
      </c>
      <c r="C123" s="38" t="inlineStr">
        <is>
          <t>São Bento da Abadá</t>
        </is>
      </c>
      <c r="D123" s="39" t="inlineStr">
        <is>
          <t>A_A_F_32_P9</t>
        </is>
      </c>
      <c r="E123" s="40" t="n"/>
      <c r="F123" s="39" t="inlineStr">
        <is>
          <t>B_A_F_32_P9</t>
        </is>
      </c>
      <c r="G123" s="40" t="n"/>
      <c r="H123" s="41" t="n"/>
      <c r="I123" s="42">
        <f>IF($H123="","",MAX(0,$H123-N($E123)))</f>
        <v/>
      </c>
      <c r="J123" s="42">
        <f>IF($H123="","",MAX(0,$H123-N($G123)))</f>
        <v/>
      </c>
    </row>
    <row r="124" ht="19.5" customHeight="1" s="72">
      <c r="A124" s="38" t="inlineStr">
        <is>
          <t>AF-32-P09-SIR</t>
        </is>
      </c>
      <c r="B124" s="38" t="inlineStr">
        <is>
          <t>Fase 32</t>
        </is>
      </c>
      <c r="C124" s="38" t="inlineStr">
        <is>
          <t>Siriuna</t>
        </is>
      </c>
      <c r="D124" s="39" t="inlineStr">
        <is>
          <t>A_A_F_32_P9</t>
        </is>
      </c>
      <c r="E124" s="40" t="n"/>
      <c r="F124" s="39" t="inlineStr">
        <is>
          <t>B_A_F_32_P9</t>
        </is>
      </c>
      <c r="G124" s="40" t="n"/>
      <c r="H124" s="41" t="n"/>
      <c r="I124" s="42">
        <f>IF($H124="","",MAX(0,$H124-N($E124)))</f>
        <v/>
      </c>
      <c r="J124" s="42">
        <f>IF($H124="","",MAX(0,$H124-N($G124)))</f>
        <v/>
      </c>
    </row>
    <row r="125" ht="19.5" customHeight="1" s="72">
      <c r="A125" s="38" t="inlineStr">
        <is>
          <t>AF-32-P10-BEN</t>
        </is>
      </c>
      <c r="B125" s="38" t="inlineStr">
        <is>
          <t>Fase 32</t>
        </is>
      </c>
      <c r="C125" s="38" t="inlineStr">
        <is>
          <t>Benguela</t>
        </is>
      </c>
      <c r="D125" s="39" t="inlineStr">
        <is>
          <t>A_A_F_32_P10</t>
        </is>
      </c>
      <c r="E125" s="40" t="n"/>
      <c r="F125" s="39" t="inlineStr">
        <is>
          <t>B_A_F_32_P10</t>
        </is>
      </c>
      <c r="G125" s="40" t="n"/>
      <c r="H125" s="41" t="n"/>
      <c r="I125" s="42">
        <f>IF($H125="","",MAX(0,$H125-N($E125)))</f>
        <v/>
      </c>
      <c r="J125" s="42">
        <f>IF($H125="","",MAX(0,$H125-N($G125)))</f>
        <v/>
      </c>
    </row>
    <row r="126" ht="19.5" customHeight="1" s="72">
      <c r="A126" s="38" t="inlineStr">
        <is>
          <t>AF-32-P10-SBA</t>
        </is>
      </c>
      <c r="B126" s="38" t="inlineStr">
        <is>
          <t>Fase 32</t>
        </is>
      </c>
      <c r="C126" s="38" t="inlineStr">
        <is>
          <t>São Bento da Abadá</t>
        </is>
      </c>
      <c r="D126" s="39" t="inlineStr">
        <is>
          <t>A_A_F_32_P10</t>
        </is>
      </c>
      <c r="E126" s="40" t="n"/>
      <c r="F126" s="39" t="inlineStr">
        <is>
          <t>B_A_F_32_P10</t>
        </is>
      </c>
      <c r="G126" s="40" t="n"/>
      <c r="H126" s="41" t="n"/>
      <c r="I126" s="42">
        <f>IF($H126="","",MAX(0,$H126-N($E126)))</f>
        <v/>
      </c>
      <c r="J126" s="42">
        <f>IF($H126="","",MAX(0,$H126-N($G126)))</f>
        <v/>
      </c>
    </row>
    <row r="127" ht="19.5" customHeight="1" s="72">
      <c r="A127" s="38" t="inlineStr">
        <is>
          <t>AF-32-P10-SIR</t>
        </is>
      </c>
      <c r="B127" s="38" t="inlineStr">
        <is>
          <t>Fase 32</t>
        </is>
      </c>
      <c r="C127" s="38" t="inlineStr">
        <is>
          <t>Siriuna</t>
        </is>
      </c>
      <c r="D127" s="39" t="inlineStr">
        <is>
          <t>A_A_F_32_P10</t>
        </is>
      </c>
      <c r="E127" s="40" t="n"/>
      <c r="F127" s="39" t="inlineStr">
        <is>
          <t>B_A_F_32_P10</t>
        </is>
      </c>
      <c r="G127" s="40" t="n"/>
      <c r="H127" s="41" t="n"/>
      <c r="I127" s="42">
        <f>IF($H127="","",MAX(0,$H127-N($E127)))</f>
        <v/>
      </c>
      <c r="J127" s="42">
        <f>IF($H127="","",MAX(0,$H127-N($G127)))</f>
        <v/>
      </c>
    </row>
    <row r="128" ht="19.5" customHeight="1" s="72">
      <c r="A128" s="38" t="inlineStr">
        <is>
          <t>AF-32-P11-BEN</t>
        </is>
      </c>
      <c r="B128" s="38" t="inlineStr">
        <is>
          <t>Fase 32</t>
        </is>
      </c>
      <c r="C128" s="38" t="inlineStr">
        <is>
          <t>Benguela</t>
        </is>
      </c>
      <c r="D128" s="39" t="inlineStr">
        <is>
          <t>A_A_F_32_P11</t>
        </is>
      </c>
      <c r="E128" s="40" t="n"/>
      <c r="F128" s="39" t="inlineStr">
        <is>
          <t>B_A_F_32_P11</t>
        </is>
      </c>
      <c r="G128" s="40" t="n"/>
      <c r="H128" s="41" t="n"/>
      <c r="I128" s="42">
        <f>IF($H128="","",MAX(0,$H128-N($E128)))</f>
        <v/>
      </c>
      <c r="J128" s="42">
        <f>IF($H128="","",MAX(0,$H128-N($G128)))</f>
        <v/>
      </c>
    </row>
    <row r="129" ht="19.5" customHeight="1" s="72">
      <c r="A129" s="38" t="inlineStr">
        <is>
          <t>AF-32-P11-SBA</t>
        </is>
      </c>
      <c r="B129" s="38" t="inlineStr">
        <is>
          <t>Fase 32</t>
        </is>
      </c>
      <c r="C129" s="38" t="inlineStr">
        <is>
          <t>São Bento da Abadá</t>
        </is>
      </c>
      <c r="D129" s="39" t="inlineStr">
        <is>
          <t>A_A_F_32_P11</t>
        </is>
      </c>
      <c r="E129" s="40" t="n"/>
      <c r="F129" s="39" t="inlineStr">
        <is>
          <t>B_A_F_32_P11</t>
        </is>
      </c>
      <c r="G129" s="40" t="n"/>
      <c r="H129" s="41" t="n"/>
      <c r="I129" s="42">
        <f>IF($H129="","",MAX(0,$H129-N($E129)))</f>
        <v/>
      </c>
      <c r="J129" s="42">
        <f>IF($H129="","",MAX(0,$H129-N($G129)))</f>
        <v/>
      </c>
    </row>
    <row r="130" ht="19.5" customHeight="1" s="72">
      <c r="A130" s="38" t="inlineStr">
        <is>
          <t>AF-32-P11-SIR</t>
        </is>
      </c>
      <c r="B130" s="38" t="inlineStr">
        <is>
          <t>Fase 32</t>
        </is>
      </c>
      <c r="C130" s="38" t="inlineStr">
        <is>
          <t>Siriuna</t>
        </is>
      </c>
      <c r="D130" s="39" t="inlineStr">
        <is>
          <t>A_A_F_32_P11</t>
        </is>
      </c>
      <c r="E130" s="40" t="n"/>
      <c r="F130" s="39" t="inlineStr">
        <is>
          <t>B_A_F_32_P11</t>
        </is>
      </c>
      <c r="G130" s="40" t="n"/>
      <c r="H130" s="41" t="n"/>
      <c r="I130" s="42">
        <f>IF($H130="","",MAX(0,$H130-N($E130)))</f>
        <v/>
      </c>
      <c r="J130" s="42">
        <f>IF($H130="","",MAX(0,$H130-N($G130)))</f>
        <v/>
      </c>
    </row>
    <row r="131" ht="19.5" customHeight="1" s="72">
      <c r="A131" s="38" t="inlineStr">
        <is>
          <t>AF-32-P12-BEN</t>
        </is>
      </c>
      <c r="B131" s="38" t="inlineStr">
        <is>
          <t>Fase 32</t>
        </is>
      </c>
      <c r="C131" s="38" t="inlineStr">
        <is>
          <t>Benguela</t>
        </is>
      </c>
      <c r="D131" s="39" t="inlineStr">
        <is>
          <t>A_A_F_32_P12</t>
        </is>
      </c>
      <c r="E131" s="40" t="n"/>
      <c r="F131" s="39" t="inlineStr">
        <is>
          <t>B_A_F_32_P12</t>
        </is>
      </c>
      <c r="G131" s="40" t="n"/>
      <c r="H131" s="41" t="n"/>
      <c r="I131" s="42">
        <f>IF($H131="","",MAX(0,$H131-N($E131)))</f>
        <v/>
      </c>
      <c r="J131" s="42">
        <f>IF($H131="","",MAX(0,$H131-N($G131)))</f>
        <v/>
      </c>
    </row>
    <row r="132" ht="19.5" customHeight="1" s="72">
      <c r="A132" s="38" t="inlineStr">
        <is>
          <t>AF-32-P12-SBA</t>
        </is>
      </c>
      <c r="B132" s="38" t="inlineStr">
        <is>
          <t>Fase 32</t>
        </is>
      </c>
      <c r="C132" s="38" t="inlineStr">
        <is>
          <t>São Bento da Abadá</t>
        </is>
      </c>
      <c r="D132" s="39" t="inlineStr">
        <is>
          <t>A_A_F_32_P12</t>
        </is>
      </c>
      <c r="E132" s="40" t="n"/>
      <c r="F132" s="39" t="inlineStr">
        <is>
          <t>B_A_F_32_P12</t>
        </is>
      </c>
      <c r="G132" s="40" t="n"/>
      <c r="H132" s="41" t="n"/>
      <c r="I132" s="42">
        <f>IF($H132="","",MAX(0,$H132-N($E132)))</f>
        <v/>
      </c>
      <c r="J132" s="42">
        <f>IF($H132="","",MAX(0,$H132-N($G132)))</f>
        <v/>
      </c>
    </row>
    <row r="133" ht="19.5" customHeight="1" s="72">
      <c r="A133" s="38" t="inlineStr">
        <is>
          <t>AF-32-P12-SIR</t>
        </is>
      </c>
      <c r="B133" s="38" t="inlineStr">
        <is>
          <t>Fase 32</t>
        </is>
      </c>
      <c r="C133" s="38" t="inlineStr">
        <is>
          <t>Siriuna</t>
        </is>
      </c>
      <c r="D133" s="39" t="inlineStr">
        <is>
          <t>A_A_F_32_P12</t>
        </is>
      </c>
      <c r="E133" s="40" t="n"/>
      <c r="F133" s="39" t="inlineStr">
        <is>
          <t>B_A_F_32_P12</t>
        </is>
      </c>
      <c r="G133" s="40" t="n"/>
      <c r="H133" s="41" t="n"/>
      <c r="I133" s="42">
        <f>IF($H133="","",MAX(0,$H133-N($E133)))</f>
        <v/>
      </c>
      <c r="J133" s="42">
        <f>IF($H133="","",MAX(0,$H133-N($G133)))</f>
        <v/>
      </c>
    </row>
    <row r="134" ht="19.5" customHeight="1" s="72">
      <c r="A134" s="38" t="inlineStr">
        <is>
          <t>AF-32-P13-BEN</t>
        </is>
      </c>
      <c r="B134" s="38" t="inlineStr">
        <is>
          <t>Fase 32</t>
        </is>
      </c>
      <c r="C134" s="38" t="inlineStr">
        <is>
          <t>Benguela</t>
        </is>
      </c>
      <c r="D134" s="39" t="inlineStr">
        <is>
          <t>A_A_F_32_P13</t>
        </is>
      </c>
      <c r="E134" s="40" t="n"/>
      <c r="F134" s="39" t="inlineStr">
        <is>
          <t>B_A_F_32_P13</t>
        </is>
      </c>
      <c r="G134" s="40" t="n"/>
      <c r="H134" s="41" t="n"/>
      <c r="I134" s="42">
        <f>IF($H134="","",MAX(0,$H134-N($E134)))</f>
        <v/>
      </c>
      <c r="J134" s="42">
        <f>IF($H134="","",MAX(0,$H134-N($G134)))</f>
        <v/>
      </c>
    </row>
    <row r="135" ht="19.5" customHeight="1" s="72">
      <c r="A135" s="38" t="inlineStr">
        <is>
          <t>AF-32-P13-SBA</t>
        </is>
      </c>
      <c r="B135" s="38" t="inlineStr">
        <is>
          <t>Fase 32</t>
        </is>
      </c>
      <c r="C135" s="38" t="inlineStr">
        <is>
          <t>São Bento da Abadá</t>
        </is>
      </c>
      <c r="D135" s="39" t="inlineStr">
        <is>
          <t>A_A_F_32_P13</t>
        </is>
      </c>
      <c r="E135" s="40" t="n"/>
      <c r="F135" s="39" t="inlineStr">
        <is>
          <t>B_A_F_32_P13</t>
        </is>
      </c>
      <c r="G135" s="40" t="n"/>
      <c r="H135" s="41" t="n"/>
      <c r="I135" s="42">
        <f>IF($H135="","",MAX(0,$H135-N($E135)))</f>
        <v/>
      </c>
      <c r="J135" s="42">
        <f>IF($H135="","",MAX(0,$H135-N($G135)))</f>
        <v/>
      </c>
    </row>
    <row r="136" ht="19.5" customHeight="1" s="72">
      <c r="A136" s="38" t="inlineStr">
        <is>
          <t>AF-32-P13-SIR</t>
        </is>
      </c>
      <c r="B136" s="38" t="inlineStr">
        <is>
          <t>Fase 32</t>
        </is>
      </c>
      <c r="C136" s="38" t="inlineStr">
        <is>
          <t>Siriuna</t>
        </is>
      </c>
      <c r="D136" s="39" t="inlineStr">
        <is>
          <t>A_A_F_32_P13</t>
        </is>
      </c>
      <c r="E136" s="40" t="n"/>
      <c r="F136" s="39" t="inlineStr">
        <is>
          <t>B_A_F_32_P13</t>
        </is>
      </c>
      <c r="G136" s="40" t="n"/>
      <c r="H136" s="41" t="n"/>
      <c r="I136" s="42">
        <f>IF($H136="","",MAX(0,$H136-N($E136)))</f>
        <v/>
      </c>
      <c r="J136" s="42">
        <f>IF($H136="","",MAX(0,$H136-N($G136)))</f>
        <v/>
      </c>
    </row>
    <row r="137" ht="19.5" customHeight="1" s="72">
      <c r="A137" s="38" t="inlineStr">
        <is>
          <t>AF-32-P14-BEN</t>
        </is>
      </c>
      <c r="B137" s="38" t="inlineStr">
        <is>
          <t>Fase 32</t>
        </is>
      </c>
      <c r="C137" s="38" t="inlineStr">
        <is>
          <t>Benguela</t>
        </is>
      </c>
      <c r="D137" s="39" t="inlineStr">
        <is>
          <t>A_A_F_32_P14</t>
        </is>
      </c>
      <c r="E137" s="40" t="n"/>
      <c r="F137" s="39" t="inlineStr">
        <is>
          <t>B_A_F_32_P14</t>
        </is>
      </c>
      <c r="G137" s="40" t="n"/>
      <c r="H137" s="41" t="n"/>
      <c r="I137" s="42">
        <f>IF($H137="","",MAX(0,$H137-N($E137)))</f>
        <v/>
      </c>
      <c r="J137" s="42">
        <f>IF($H137="","",MAX(0,$H137-N($G137)))</f>
        <v/>
      </c>
    </row>
    <row r="138" ht="19.5" customHeight="1" s="72">
      <c r="A138" s="38" t="inlineStr">
        <is>
          <t>AF-32-P14-SBA</t>
        </is>
      </c>
      <c r="B138" s="38" t="inlineStr">
        <is>
          <t>Fase 32</t>
        </is>
      </c>
      <c r="C138" s="38" t="inlineStr">
        <is>
          <t>São Bento da Abadá</t>
        </is>
      </c>
      <c r="D138" s="39" t="inlineStr">
        <is>
          <t>A_A_F_32_P14</t>
        </is>
      </c>
      <c r="E138" s="40" t="n"/>
      <c r="F138" s="39" t="inlineStr">
        <is>
          <t>B_A_F_32_P14</t>
        </is>
      </c>
      <c r="G138" s="40" t="n"/>
      <c r="H138" s="41" t="n"/>
      <c r="I138" s="42">
        <f>IF($H138="","",MAX(0,$H138-N($E138)))</f>
        <v/>
      </c>
      <c r="J138" s="42">
        <f>IF($H138="","",MAX(0,$H138-N($G138)))</f>
        <v/>
      </c>
    </row>
    <row r="139" ht="19.5" customHeight="1" s="72">
      <c r="A139" s="38" t="inlineStr">
        <is>
          <t>AF-32-P14-SIR</t>
        </is>
      </c>
      <c r="B139" s="38" t="inlineStr">
        <is>
          <t>Fase 32</t>
        </is>
      </c>
      <c r="C139" s="38" t="inlineStr">
        <is>
          <t>Siriuna</t>
        </is>
      </c>
      <c r="D139" s="39" t="inlineStr">
        <is>
          <t>A_A_F_32_P14</t>
        </is>
      </c>
      <c r="E139" s="40" t="n"/>
      <c r="F139" s="39" t="inlineStr">
        <is>
          <t>B_A_F_32_P14</t>
        </is>
      </c>
      <c r="G139" s="40" t="n"/>
      <c r="H139" s="41" t="n"/>
      <c r="I139" s="42">
        <f>IF($H139="","",MAX(0,$H139-N($E139)))</f>
        <v/>
      </c>
      <c r="J139" s="42">
        <f>IF($H139="","",MAX(0,$H139-N($G139)))</f>
        <v/>
      </c>
    </row>
    <row r="140" ht="19.5" customHeight="1" s="72">
      <c r="A140" s="38" t="inlineStr">
        <is>
          <t>AF-32-P15-BEN</t>
        </is>
      </c>
      <c r="B140" s="38" t="inlineStr">
        <is>
          <t>Fase 32</t>
        </is>
      </c>
      <c r="C140" s="38" t="inlineStr">
        <is>
          <t>Benguela</t>
        </is>
      </c>
      <c r="D140" s="39" t="inlineStr">
        <is>
          <t>A_A_F_32_P15</t>
        </is>
      </c>
      <c r="E140" s="40" t="n"/>
      <c r="F140" s="39" t="inlineStr">
        <is>
          <t>B_A_F_32_P15</t>
        </is>
      </c>
      <c r="G140" s="40" t="n"/>
      <c r="H140" s="41" t="n"/>
      <c r="I140" s="42">
        <f>IF($H140="","",MAX(0,$H140-N($E140)))</f>
        <v/>
      </c>
      <c r="J140" s="42">
        <f>IF($H140="","",MAX(0,$H140-N($G140)))</f>
        <v/>
      </c>
    </row>
    <row r="141" ht="19.5" customHeight="1" s="72">
      <c r="A141" s="38" t="inlineStr">
        <is>
          <t>AF-32-P15-SBA</t>
        </is>
      </c>
      <c r="B141" s="38" t="inlineStr">
        <is>
          <t>Fase 32</t>
        </is>
      </c>
      <c r="C141" s="38" t="inlineStr">
        <is>
          <t>São Bento da Abadá</t>
        </is>
      </c>
      <c r="D141" s="39" t="inlineStr">
        <is>
          <t>A_A_F_32_P15</t>
        </is>
      </c>
      <c r="E141" s="40" t="n"/>
      <c r="F141" s="39" t="inlineStr">
        <is>
          <t>B_A_F_32_P15</t>
        </is>
      </c>
      <c r="G141" s="40" t="n"/>
      <c r="H141" s="41" t="n"/>
      <c r="I141" s="42">
        <f>IF($H141="","",MAX(0,$H141-N($E141)))</f>
        <v/>
      </c>
      <c r="J141" s="42">
        <f>IF($H141="","",MAX(0,$H141-N($G141)))</f>
        <v/>
      </c>
    </row>
    <row r="142" ht="19.5" customHeight="1" s="72">
      <c r="A142" s="38" t="inlineStr">
        <is>
          <t>AF-32-P15-SIR</t>
        </is>
      </c>
      <c r="B142" s="38" t="inlineStr">
        <is>
          <t>Fase 32</t>
        </is>
      </c>
      <c r="C142" s="38" t="inlineStr">
        <is>
          <t>Siriuna</t>
        </is>
      </c>
      <c r="D142" s="39" t="inlineStr">
        <is>
          <t>A_A_F_32_P15</t>
        </is>
      </c>
      <c r="E142" s="40" t="n"/>
      <c r="F142" s="39" t="inlineStr">
        <is>
          <t>B_A_F_32_P15</t>
        </is>
      </c>
      <c r="G142" s="40" t="n"/>
      <c r="H142" s="41" t="n"/>
      <c r="I142" s="42">
        <f>IF($H142="","",MAX(0,$H142-N($E142)))</f>
        <v/>
      </c>
      <c r="J142" s="42">
        <f>IF($H142="","",MAX(0,$H142-N($G142)))</f>
        <v/>
      </c>
    </row>
    <row r="143" ht="19.5" customHeight="1" s="72">
      <c r="A143" s="38" t="inlineStr">
        <is>
          <t>AF-32-P16-BEN</t>
        </is>
      </c>
      <c r="B143" s="38" t="inlineStr">
        <is>
          <t>Fase 32</t>
        </is>
      </c>
      <c r="C143" s="38" t="inlineStr">
        <is>
          <t>Benguela</t>
        </is>
      </c>
      <c r="D143" s="39" t="inlineStr">
        <is>
          <t>A_A_F_32_P16</t>
        </is>
      </c>
      <c r="E143" s="40" t="n"/>
      <c r="F143" s="39" t="inlineStr">
        <is>
          <t>B_A_F_32_P16</t>
        </is>
      </c>
      <c r="G143" s="40" t="n"/>
      <c r="H143" s="41" t="n"/>
      <c r="I143" s="42">
        <f>IF($H143="","",MAX(0,$H143-N($E143)))</f>
        <v/>
      </c>
      <c r="J143" s="42">
        <f>IF($H143="","",MAX(0,$H143-N($G143)))</f>
        <v/>
      </c>
    </row>
    <row r="144" ht="19.5" customHeight="1" s="72">
      <c r="A144" s="38" t="inlineStr">
        <is>
          <t>AF-32-P16-SBA</t>
        </is>
      </c>
      <c r="B144" s="38" t="inlineStr">
        <is>
          <t>Fase 32</t>
        </is>
      </c>
      <c r="C144" s="38" t="inlineStr">
        <is>
          <t>São Bento da Abadá</t>
        </is>
      </c>
      <c r="D144" s="39" t="inlineStr">
        <is>
          <t>A_A_F_32_P16</t>
        </is>
      </c>
      <c r="E144" s="40" t="n"/>
      <c r="F144" s="39" t="inlineStr">
        <is>
          <t>B_A_F_32_P16</t>
        </is>
      </c>
      <c r="G144" s="40" t="n"/>
      <c r="H144" s="41" t="n"/>
      <c r="I144" s="42">
        <f>IF($H144="","",MAX(0,$H144-N($E144)))</f>
        <v/>
      </c>
      <c r="J144" s="42">
        <f>IF($H144="","",MAX(0,$H144-N($G144)))</f>
        <v/>
      </c>
    </row>
    <row r="145" ht="19.5" customHeight="1" s="72">
      <c r="A145" s="38" t="inlineStr">
        <is>
          <t>AF-32-P16-SIR</t>
        </is>
      </c>
      <c r="B145" s="38" t="inlineStr">
        <is>
          <t>Fase 32</t>
        </is>
      </c>
      <c r="C145" s="38" t="inlineStr">
        <is>
          <t>Siriuna</t>
        </is>
      </c>
      <c r="D145" s="39" t="inlineStr">
        <is>
          <t>A_A_F_32_P16</t>
        </is>
      </c>
      <c r="E145" s="40" t="n"/>
      <c r="F145" s="39" t="inlineStr">
        <is>
          <t>B_A_F_32_P16</t>
        </is>
      </c>
      <c r="G145" s="40" t="n"/>
      <c r="H145" s="41" t="n"/>
      <c r="I145" s="42">
        <f>IF($H145="","",MAX(0,$H145-N($E145)))</f>
        <v/>
      </c>
      <c r="J145" s="42">
        <f>IF($H145="","",MAX(0,$H145-N($G145)))</f>
        <v/>
      </c>
    </row>
    <row r="146" ht="19.5" customHeight="1" s="72">
      <c r="A146" s="38" t="inlineStr">
        <is>
          <t>AF-OCT-P01-BEN</t>
        </is>
      </c>
      <c r="B146" s="38" t="inlineStr">
        <is>
          <t>Octavas</t>
        </is>
      </c>
      <c r="C146" s="38" t="inlineStr">
        <is>
          <t>Benguela</t>
        </is>
      </c>
      <c r="D146" s="39">
        <f>IFERROR(CLASIF_A_F!$F$5,"")</f>
        <v/>
      </c>
      <c r="E146" s="40" t="n"/>
      <c r="F146" s="39">
        <f>IFERROR(CLASIF_A_F!$F$20,"")</f>
        <v/>
      </c>
      <c r="G146" s="40" t="n"/>
      <c r="H146" s="41" t="n"/>
      <c r="I146" s="42">
        <f>IF($H146="","",MAX(0,$H146-N($E146)))</f>
        <v/>
      </c>
      <c r="J146" s="42">
        <f>IF($H146="","",MAX(0,$H146-N($G146)))</f>
        <v/>
      </c>
    </row>
    <row r="147" ht="19.5" customHeight="1" s="72">
      <c r="A147" s="38" t="inlineStr">
        <is>
          <t>AF-OCT-P01-SBA</t>
        </is>
      </c>
      <c r="B147" s="38" t="inlineStr">
        <is>
          <t>Octavas</t>
        </is>
      </c>
      <c r="C147" s="38" t="inlineStr">
        <is>
          <t>São Bento da Abadá</t>
        </is>
      </c>
      <c r="D147" s="39">
        <f>IFERROR(CLASIF_A_F!$F$5,"")</f>
        <v/>
      </c>
      <c r="E147" s="40" t="n"/>
      <c r="F147" s="39">
        <f>IFERROR(CLASIF_A_F!$F$20,"")</f>
        <v/>
      </c>
      <c r="G147" s="40" t="n"/>
      <c r="H147" s="41" t="n"/>
      <c r="I147" s="42">
        <f>IF($H147="","",MAX(0,$H147-N($E147)))</f>
        <v/>
      </c>
      <c r="J147" s="42">
        <f>IF($H147="","",MAX(0,$H147-N($G147)))</f>
        <v/>
      </c>
    </row>
    <row r="148" ht="19.5" customHeight="1" s="72">
      <c r="A148" s="38" t="inlineStr">
        <is>
          <t>AF-OCT-P01-SIR</t>
        </is>
      </c>
      <c r="B148" s="38" t="inlineStr">
        <is>
          <t>Octavas</t>
        </is>
      </c>
      <c r="C148" s="38" t="inlineStr">
        <is>
          <t>Siriuna</t>
        </is>
      </c>
      <c r="D148" s="39">
        <f>IFERROR(CLASIF_A_F!$F$5,"")</f>
        <v/>
      </c>
      <c r="E148" s="40" t="n"/>
      <c r="F148" s="39">
        <f>IFERROR(CLASIF_A_F!$F$20,"")</f>
        <v/>
      </c>
      <c r="G148" s="40" t="n"/>
      <c r="H148" s="41" t="n"/>
      <c r="I148" s="42">
        <f>IF($H148="","",MAX(0,$H148-N($E148)))</f>
        <v/>
      </c>
      <c r="J148" s="42">
        <f>IF($H148="","",MAX(0,$H148-N($G148)))</f>
        <v/>
      </c>
    </row>
    <row r="149" ht="19.5" customHeight="1" s="72">
      <c r="A149" s="38" t="inlineStr">
        <is>
          <t>AF-OCT-P02-BEN</t>
        </is>
      </c>
      <c r="B149" s="38" t="inlineStr">
        <is>
          <t>Octavas</t>
        </is>
      </c>
      <c r="C149" s="38" t="inlineStr">
        <is>
          <t>Benguela</t>
        </is>
      </c>
      <c r="D149" s="39">
        <f>IFERROR(CLASIF_A_F!$F$6,"")</f>
        <v/>
      </c>
      <c r="E149" s="40" t="n"/>
      <c r="F149" s="39">
        <f>IFERROR(CLASIF_A_F!$F$19,"")</f>
        <v/>
      </c>
      <c r="G149" s="40" t="n"/>
      <c r="H149" s="41" t="n"/>
      <c r="I149" s="42">
        <f>IF($H149="","",MAX(0,$H149-N($E149)))</f>
        <v/>
      </c>
      <c r="J149" s="42">
        <f>IF($H149="","",MAX(0,$H149-N($G149)))</f>
        <v/>
      </c>
    </row>
    <row r="150" ht="19.5" customHeight="1" s="72">
      <c r="A150" s="38" t="inlineStr">
        <is>
          <t>AF-OCT-P02-SBA</t>
        </is>
      </c>
      <c r="B150" s="38" t="inlineStr">
        <is>
          <t>Octavas</t>
        </is>
      </c>
      <c r="C150" s="38" t="inlineStr">
        <is>
          <t>São Bento da Abadá</t>
        </is>
      </c>
      <c r="D150" s="39">
        <f>IFERROR(CLASIF_A_F!$F$6,"")</f>
        <v/>
      </c>
      <c r="E150" s="40" t="n"/>
      <c r="F150" s="39">
        <f>IFERROR(CLASIF_A_F!$F$19,"")</f>
        <v/>
      </c>
      <c r="G150" s="40" t="n"/>
      <c r="H150" s="41" t="n"/>
      <c r="I150" s="42">
        <f>IF($H150="","",MAX(0,$H150-N($E150)))</f>
        <v/>
      </c>
      <c r="J150" s="42">
        <f>IF($H150="","",MAX(0,$H150-N($G150)))</f>
        <v/>
      </c>
    </row>
    <row r="151" ht="19.5" customHeight="1" s="72">
      <c r="A151" s="38" t="inlineStr">
        <is>
          <t>AF-OCT-P02-SIR</t>
        </is>
      </c>
      <c r="B151" s="38" t="inlineStr">
        <is>
          <t>Octavas</t>
        </is>
      </c>
      <c r="C151" s="38" t="inlineStr">
        <is>
          <t>Siriuna</t>
        </is>
      </c>
      <c r="D151" s="39">
        <f>IFERROR(CLASIF_A_F!$F$6,"")</f>
        <v/>
      </c>
      <c r="E151" s="40" t="n"/>
      <c r="F151" s="39">
        <f>IFERROR(CLASIF_A_F!$F$19,"")</f>
        <v/>
      </c>
      <c r="G151" s="40" t="n"/>
      <c r="H151" s="41" t="n"/>
      <c r="I151" s="42">
        <f>IF($H151="","",MAX(0,$H151-N($E151)))</f>
        <v/>
      </c>
      <c r="J151" s="42">
        <f>IF($H151="","",MAX(0,$H151-N($G151)))</f>
        <v/>
      </c>
    </row>
    <row r="152" ht="19.5" customHeight="1" s="72">
      <c r="A152" s="38" t="inlineStr">
        <is>
          <t>AF-OCT-P03-BEN</t>
        </is>
      </c>
      <c r="B152" s="38" t="inlineStr">
        <is>
          <t>Octavas</t>
        </is>
      </c>
      <c r="C152" s="38" t="inlineStr">
        <is>
          <t>Benguela</t>
        </is>
      </c>
      <c r="D152" s="39">
        <f>IFERROR(CLASIF_A_F!$F$7,"")</f>
        <v/>
      </c>
      <c r="E152" s="40" t="n"/>
      <c r="F152" s="39">
        <f>IFERROR(CLASIF_A_F!$F$18,"")</f>
        <v/>
      </c>
      <c r="G152" s="40" t="n"/>
      <c r="H152" s="41" t="n"/>
      <c r="I152" s="42">
        <f>IF($H152="","",MAX(0,$H152-N($E152)))</f>
        <v/>
      </c>
      <c r="J152" s="42">
        <f>IF($H152="","",MAX(0,$H152-N($G152)))</f>
        <v/>
      </c>
    </row>
    <row r="153" ht="19.5" customHeight="1" s="72">
      <c r="A153" s="38" t="inlineStr">
        <is>
          <t>AF-OCT-P03-SBA</t>
        </is>
      </c>
      <c r="B153" s="38" t="inlineStr">
        <is>
          <t>Octavas</t>
        </is>
      </c>
      <c r="C153" s="38" t="inlineStr">
        <is>
          <t>São Bento da Abadá</t>
        </is>
      </c>
      <c r="D153" s="39">
        <f>IFERROR(CLASIF_A_F!$F$7,"")</f>
        <v/>
      </c>
      <c r="E153" s="40" t="n"/>
      <c r="F153" s="39">
        <f>IFERROR(CLASIF_A_F!$F$18,"")</f>
        <v/>
      </c>
      <c r="G153" s="40" t="n"/>
      <c r="H153" s="41" t="n"/>
      <c r="I153" s="42">
        <f>IF($H153="","",MAX(0,$H153-N($E153)))</f>
        <v/>
      </c>
      <c r="J153" s="42">
        <f>IF($H153="","",MAX(0,$H153-N($G153)))</f>
        <v/>
      </c>
    </row>
    <row r="154" ht="19.5" customHeight="1" s="72">
      <c r="A154" s="38" t="inlineStr">
        <is>
          <t>AF-OCT-P03-SIR</t>
        </is>
      </c>
      <c r="B154" s="38" t="inlineStr">
        <is>
          <t>Octavas</t>
        </is>
      </c>
      <c r="C154" s="38" t="inlineStr">
        <is>
          <t>Siriuna</t>
        </is>
      </c>
      <c r="D154" s="39">
        <f>IFERROR(CLASIF_A_F!$F$7,"")</f>
        <v/>
      </c>
      <c r="E154" s="40" t="n"/>
      <c r="F154" s="39">
        <f>IFERROR(CLASIF_A_F!$F$18,"")</f>
        <v/>
      </c>
      <c r="G154" s="40" t="n"/>
      <c r="H154" s="41" t="n"/>
      <c r="I154" s="42">
        <f>IF($H154="","",MAX(0,$H154-N($E154)))</f>
        <v/>
      </c>
      <c r="J154" s="42">
        <f>IF($H154="","",MAX(0,$H154-N($G154)))</f>
        <v/>
      </c>
    </row>
    <row r="155" ht="19.5" customHeight="1" s="72">
      <c r="A155" s="38" t="inlineStr">
        <is>
          <t>AF-OCT-P04-BEN</t>
        </is>
      </c>
      <c r="B155" s="38" t="inlineStr">
        <is>
          <t>Octavas</t>
        </is>
      </c>
      <c r="C155" s="38" t="inlineStr">
        <is>
          <t>Benguela</t>
        </is>
      </c>
      <c r="D155" s="39">
        <f>IFERROR(CLASIF_A_F!$F$8,"")</f>
        <v/>
      </c>
      <c r="E155" s="40" t="n"/>
      <c r="F155" s="39">
        <f>IFERROR(CLASIF_A_F!$F$17,"")</f>
        <v/>
      </c>
      <c r="G155" s="40" t="n"/>
      <c r="H155" s="41" t="n"/>
      <c r="I155" s="42">
        <f>IF($H155="","",MAX(0,$H155-N($E155)))</f>
        <v/>
      </c>
      <c r="J155" s="42">
        <f>IF($H155="","",MAX(0,$H155-N($G155)))</f>
        <v/>
      </c>
    </row>
    <row r="156" ht="19.5" customHeight="1" s="72">
      <c r="A156" s="38" t="inlineStr">
        <is>
          <t>AF-OCT-P04-SBA</t>
        </is>
      </c>
      <c r="B156" s="38" t="inlineStr">
        <is>
          <t>Octavas</t>
        </is>
      </c>
      <c r="C156" s="38" t="inlineStr">
        <is>
          <t>São Bento da Abadá</t>
        </is>
      </c>
      <c r="D156" s="39">
        <f>IFERROR(CLASIF_A_F!$F$8,"")</f>
        <v/>
      </c>
      <c r="E156" s="40" t="n"/>
      <c r="F156" s="39">
        <f>IFERROR(CLASIF_A_F!$F$17,"")</f>
        <v/>
      </c>
      <c r="G156" s="40" t="n"/>
      <c r="H156" s="41" t="n"/>
      <c r="I156" s="42">
        <f>IF($H156="","",MAX(0,$H156-N($E156)))</f>
        <v/>
      </c>
      <c r="J156" s="42">
        <f>IF($H156="","",MAX(0,$H156-N($G156)))</f>
        <v/>
      </c>
    </row>
    <row r="157" ht="19.5" customHeight="1" s="72">
      <c r="A157" s="38" t="inlineStr">
        <is>
          <t>AF-OCT-P04-SIR</t>
        </is>
      </c>
      <c r="B157" s="38" t="inlineStr">
        <is>
          <t>Octavas</t>
        </is>
      </c>
      <c r="C157" s="38" t="inlineStr">
        <is>
          <t>Siriuna</t>
        </is>
      </c>
      <c r="D157" s="39">
        <f>IFERROR(CLASIF_A_F!$F$8,"")</f>
        <v/>
      </c>
      <c r="E157" s="40" t="n"/>
      <c r="F157" s="39">
        <f>IFERROR(CLASIF_A_F!$F$17,"")</f>
        <v/>
      </c>
      <c r="G157" s="40" t="n"/>
      <c r="H157" s="41" t="n"/>
      <c r="I157" s="42">
        <f>IF($H157="","",MAX(0,$H157-N($E157)))</f>
        <v/>
      </c>
      <c r="J157" s="42">
        <f>IF($H157="","",MAX(0,$H157-N($G157)))</f>
        <v/>
      </c>
    </row>
    <row r="158" ht="19.5" customHeight="1" s="72">
      <c r="A158" s="38" t="inlineStr">
        <is>
          <t>AF-OCT-P05-BEN</t>
        </is>
      </c>
      <c r="B158" s="38" t="inlineStr">
        <is>
          <t>Octavas</t>
        </is>
      </c>
      <c r="C158" s="38" t="inlineStr">
        <is>
          <t>Benguela</t>
        </is>
      </c>
      <c r="D158" s="39">
        <f>IFERROR(CLASIF_A_F!$F$9,"")</f>
        <v/>
      </c>
      <c r="E158" s="40" t="n"/>
      <c r="F158" s="39">
        <f>IFERROR(CLASIF_A_F!$F$16,"")</f>
        <v/>
      </c>
      <c r="G158" s="40" t="n"/>
      <c r="H158" s="41" t="n"/>
      <c r="I158" s="42">
        <f>IF($H158="","",MAX(0,$H158-N($E158)))</f>
        <v/>
      </c>
      <c r="J158" s="42">
        <f>IF($H158="","",MAX(0,$H158-N($G158)))</f>
        <v/>
      </c>
    </row>
    <row r="159" ht="19.5" customHeight="1" s="72">
      <c r="A159" s="38" t="inlineStr">
        <is>
          <t>AF-OCT-P05-SBA</t>
        </is>
      </c>
      <c r="B159" s="38" t="inlineStr">
        <is>
          <t>Octavas</t>
        </is>
      </c>
      <c r="C159" s="38" t="inlineStr">
        <is>
          <t>São Bento da Abadá</t>
        </is>
      </c>
      <c r="D159" s="39">
        <f>IFERROR(CLASIF_A_F!$F$9,"")</f>
        <v/>
      </c>
      <c r="E159" s="40" t="n"/>
      <c r="F159" s="39">
        <f>IFERROR(CLASIF_A_F!$F$16,"")</f>
        <v/>
      </c>
      <c r="G159" s="40" t="n"/>
      <c r="H159" s="41" t="n"/>
      <c r="I159" s="42">
        <f>IF($H159="","",MAX(0,$H159-N($E159)))</f>
        <v/>
      </c>
      <c r="J159" s="42">
        <f>IF($H159="","",MAX(0,$H159-N($G159)))</f>
        <v/>
      </c>
    </row>
    <row r="160" ht="19.5" customHeight="1" s="72">
      <c r="A160" s="38" t="inlineStr">
        <is>
          <t>AF-OCT-P05-SIR</t>
        </is>
      </c>
      <c r="B160" s="38" t="inlineStr">
        <is>
          <t>Octavas</t>
        </is>
      </c>
      <c r="C160" s="38" t="inlineStr">
        <is>
          <t>Siriuna</t>
        </is>
      </c>
      <c r="D160" s="39">
        <f>IFERROR(CLASIF_A_F!$F$9,"")</f>
        <v/>
      </c>
      <c r="E160" s="40" t="n"/>
      <c r="F160" s="39">
        <f>IFERROR(CLASIF_A_F!$F$16,"")</f>
        <v/>
      </c>
      <c r="G160" s="40" t="n"/>
      <c r="H160" s="41" t="n"/>
      <c r="I160" s="42">
        <f>IF($H160="","",MAX(0,$H160-N($E160)))</f>
        <v/>
      </c>
      <c r="J160" s="42">
        <f>IF($H160="","",MAX(0,$H160-N($G160)))</f>
        <v/>
      </c>
    </row>
    <row r="161" ht="19.5" customHeight="1" s="72">
      <c r="A161" s="38" t="inlineStr">
        <is>
          <t>AF-OCT-P06-BEN</t>
        </is>
      </c>
      <c r="B161" s="38" t="inlineStr">
        <is>
          <t>Octavas</t>
        </is>
      </c>
      <c r="C161" s="38" t="inlineStr">
        <is>
          <t>Benguela</t>
        </is>
      </c>
      <c r="D161" s="39">
        <f>IFERROR(CLASIF_A_F!$F$10,"")</f>
        <v/>
      </c>
      <c r="E161" s="40" t="n"/>
      <c r="F161" s="39">
        <f>IFERROR(CLASIF_A_F!$F$15,"")</f>
        <v/>
      </c>
      <c r="G161" s="40" t="n"/>
      <c r="H161" s="41" t="n"/>
      <c r="I161" s="42">
        <f>IF($H161="","",MAX(0,$H161-N($E161)))</f>
        <v/>
      </c>
      <c r="J161" s="42">
        <f>IF($H161="","",MAX(0,$H161-N($G161)))</f>
        <v/>
      </c>
    </row>
    <row r="162" ht="19.5" customHeight="1" s="72">
      <c r="A162" s="38" t="inlineStr">
        <is>
          <t>AF-OCT-P06-SBA</t>
        </is>
      </c>
      <c r="B162" s="38" t="inlineStr">
        <is>
          <t>Octavas</t>
        </is>
      </c>
      <c r="C162" s="38" t="inlineStr">
        <is>
          <t>São Bento da Abadá</t>
        </is>
      </c>
      <c r="D162" s="39">
        <f>IFERROR(CLASIF_A_F!$F$10,"")</f>
        <v/>
      </c>
      <c r="E162" s="40" t="n"/>
      <c r="F162" s="39">
        <f>IFERROR(CLASIF_A_F!$F$15,"")</f>
        <v/>
      </c>
      <c r="G162" s="40" t="n"/>
      <c r="H162" s="41" t="n"/>
      <c r="I162" s="42">
        <f>IF($H162="","",MAX(0,$H162-N($E162)))</f>
        <v/>
      </c>
      <c r="J162" s="42">
        <f>IF($H162="","",MAX(0,$H162-N($G162)))</f>
        <v/>
      </c>
    </row>
    <row r="163" ht="19.5" customHeight="1" s="72">
      <c r="A163" s="38" t="inlineStr">
        <is>
          <t>AF-OCT-P06-SIR</t>
        </is>
      </c>
      <c r="B163" s="38" t="inlineStr">
        <is>
          <t>Octavas</t>
        </is>
      </c>
      <c r="C163" s="38" t="inlineStr">
        <is>
          <t>Siriuna</t>
        </is>
      </c>
      <c r="D163" s="39">
        <f>IFERROR(CLASIF_A_F!$F$10,"")</f>
        <v/>
      </c>
      <c r="E163" s="40" t="n"/>
      <c r="F163" s="39">
        <f>IFERROR(CLASIF_A_F!$F$15,"")</f>
        <v/>
      </c>
      <c r="G163" s="40" t="n"/>
      <c r="H163" s="41" t="n"/>
      <c r="I163" s="42">
        <f>IF($H163="","",MAX(0,$H163-N($E163)))</f>
        <v/>
      </c>
      <c r="J163" s="42">
        <f>IF($H163="","",MAX(0,$H163-N($G163)))</f>
        <v/>
      </c>
    </row>
    <row r="164" ht="19.5" customHeight="1" s="72">
      <c r="A164" s="38" t="inlineStr">
        <is>
          <t>AF-OCT-P07-BEN</t>
        </is>
      </c>
      <c r="B164" s="38" t="inlineStr">
        <is>
          <t>Octavas</t>
        </is>
      </c>
      <c r="C164" s="38" t="inlineStr">
        <is>
          <t>Benguela</t>
        </is>
      </c>
      <c r="D164" s="39">
        <f>IFERROR(CLASIF_A_F!$F$11,"")</f>
        <v/>
      </c>
      <c r="E164" s="40" t="n"/>
      <c r="F164" s="39">
        <f>IFERROR(CLASIF_A_F!$F$14,"")</f>
        <v/>
      </c>
      <c r="G164" s="40" t="n"/>
      <c r="H164" s="41" t="n"/>
      <c r="I164" s="42">
        <f>IF($H164="","",MAX(0,$H164-N($E164)))</f>
        <v/>
      </c>
      <c r="J164" s="42">
        <f>IF($H164="","",MAX(0,$H164-N($G164)))</f>
        <v/>
      </c>
    </row>
    <row r="165" ht="19.5" customHeight="1" s="72">
      <c r="A165" s="38" t="inlineStr">
        <is>
          <t>AF-OCT-P07-SBA</t>
        </is>
      </c>
      <c r="B165" s="38" t="inlineStr">
        <is>
          <t>Octavas</t>
        </is>
      </c>
      <c r="C165" s="38" t="inlineStr">
        <is>
          <t>São Bento da Abadá</t>
        </is>
      </c>
      <c r="D165" s="39">
        <f>IFERROR(CLASIF_A_F!$F$11,"")</f>
        <v/>
      </c>
      <c r="E165" s="40" t="n"/>
      <c r="F165" s="39">
        <f>IFERROR(CLASIF_A_F!$F$14,"")</f>
        <v/>
      </c>
      <c r="G165" s="40" t="n"/>
      <c r="H165" s="41" t="n"/>
      <c r="I165" s="42">
        <f>IF($H165="","",MAX(0,$H165-N($E165)))</f>
        <v/>
      </c>
      <c r="J165" s="42">
        <f>IF($H165="","",MAX(0,$H165-N($G165)))</f>
        <v/>
      </c>
    </row>
    <row r="166" ht="19.5" customHeight="1" s="72">
      <c r="A166" s="38" t="inlineStr">
        <is>
          <t>AF-OCT-P07-SIR</t>
        </is>
      </c>
      <c r="B166" s="38" t="inlineStr">
        <is>
          <t>Octavas</t>
        </is>
      </c>
      <c r="C166" s="38" t="inlineStr">
        <is>
          <t>Siriuna</t>
        </is>
      </c>
      <c r="D166" s="39">
        <f>IFERROR(CLASIF_A_F!$F$11,"")</f>
        <v/>
      </c>
      <c r="E166" s="40" t="n"/>
      <c r="F166" s="39">
        <f>IFERROR(CLASIF_A_F!$F$14,"")</f>
        <v/>
      </c>
      <c r="G166" s="40" t="n"/>
      <c r="H166" s="41" t="n"/>
      <c r="I166" s="42">
        <f>IF($H166="","",MAX(0,$H166-N($E166)))</f>
        <v/>
      </c>
      <c r="J166" s="42">
        <f>IF($H166="","",MAX(0,$H166-N($G166)))</f>
        <v/>
      </c>
    </row>
    <row r="167" ht="19.5" customHeight="1" s="72">
      <c r="A167" s="38" t="inlineStr">
        <is>
          <t>AF-OCT-P08-BEN</t>
        </is>
      </c>
      <c r="B167" s="38" t="inlineStr">
        <is>
          <t>Octavas</t>
        </is>
      </c>
      <c r="C167" s="38" t="inlineStr">
        <is>
          <t>Benguela</t>
        </is>
      </c>
      <c r="D167" s="39">
        <f>IFERROR(CLASIF_A_F!$F$12,"")</f>
        <v/>
      </c>
      <c r="E167" s="40" t="n"/>
      <c r="F167" s="39">
        <f>IFERROR(CLASIF_A_F!$F$13,"")</f>
        <v/>
      </c>
      <c r="G167" s="40" t="n"/>
      <c r="H167" s="41" t="n"/>
      <c r="I167" s="42">
        <f>IF($H167="","",MAX(0,$H167-N($E167)))</f>
        <v/>
      </c>
      <c r="J167" s="42">
        <f>IF($H167="","",MAX(0,$H167-N($G167)))</f>
        <v/>
      </c>
    </row>
    <row r="168" ht="19.5" customHeight="1" s="72">
      <c r="A168" s="38" t="inlineStr">
        <is>
          <t>AF-OCT-P08-SBA</t>
        </is>
      </c>
      <c r="B168" s="38" t="inlineStr">
        <is>
          <t>Octavas</t>
        </is>
      </c>
      <c r="C168" s="38" t="inlineStr">
        <is>
          <t>São Bento da Abadá</t>
        </is>
      </c>
      <c r="D168" s="39">
        <f>IFERROR(CLASIF_A_F!$F$12,"")</f>
        <v/>
      </c>
      <c r="E168" s="40" t="n"/>
      <c r="F168" s="39">
        <f>IFERROR(CLASIF_A_F!$F$13,"")</f>
        <v/>
      </c>
      <c r="G168" s="40" t="n"/>
      <c r="H168" s="41" t="n"/>
      <c r="I168" s="42">
        <f>IF($H168="","",MAX(0,$H168-N($E168)))</f>
        <v/>
      </c>
      <c r="J168" s="42">
        <f>IF($H168="","",MAX(0,$H168-N($G168)))</f>
        <v/>
      </c>
    </row>
    <row r="169" ht="19.5" customHeight="1" s="72">
      <c r="A169" s="38" t="inlineStr">
        <is>
          <t>AF-OCT-P08-SIR</t>
        </is>
      </c>
      <c r="B169" s="38" t="inlineStr">
        <is>
          <t>Octavas</t>
        </is>
      </c>
      <c r="C169" s="38" t="inlineStr">
        <is>
          <t>Siriuna</t>
        </is>
      </c>
      <c r="D169" s="39">
        <f>IFERROR(CLASIF_A_F!$F$12,"")</f>
        <v/>
      </c>
      <c r="E169" s="40" t="n"/>
      <c r="F169" s="39">
        <f>IFERROR(CLASIF_A_F!$F$13,"")</f>
        <v/>
      </c>
      <c r="G169" s="40" t="n"/>
      <c r="H169" s="41" t="n"/>
      <c r="I169" s="42">
        <f>IF($H169="","",MAX(0,$H169-N($E169)))</f>
        <v/>
      </c>
      <c r="J169" s="42">
        <f>IF($H169="","",MAX(0,$H169-N($G169)))</f>
        <v/>
      </c>
    </row>
    <row r="170" ht="19.5" customHeight="1" s="72">
      <c r="A170" s="38" t="inlineStr">
        <is>
          <t>AF-SEM-P01-BEN</t>
        </is>
      </c>
      <c r="B170" s="38" t="inlineStr">
        <is>
          <t>Semifinal</t>
        </is>
      </c>
      <c r="C170" s="38" t="inlineStr">
        <is>
          <t>Benguela</t>
        </is>
      </c>
      <c r="D170" s="39">
        <f>IFERROR(CLASIF_A_F!$O$5,"")</f>
        <v/>
      </c>
      <c r="E170" s="40" t="n"/>
      <c r="F170" s="39">
        <f>IFERROR(CLASIF_A_F!$O$12,"")</f>
        <v/>
      </c>
      <c r="G170" s="40" t="n"/>
      <c r="H170" s="41" t="n"/>
      <c r="I170" s="42">
        <f>IF($H170="","",MAX(0,$H170-N($E170)))</f>
        <v/>
      </c>
      <c r="J170" s="42">
        <f>IF($H170="","",MAX(0,$H170-N($G170)))</f>
        <v/>
      </c>
    </row>
    <row r="171" ht="19.5" customHeight="1" s="72">
      <c r="A171" s="38" t="inlineStr">
        <is>
          <t>AF-SEM-P01-SBA</t>
        </is>
      </c>
      <c r="B171" s="38" t="inlineStr">
        <is>
          <t>Semifinal</t>
        </is>
      </c>
      <c r="C171" s="38" t="inlineStr">
        <is>
          <t>São Bento da Abadá</t>
        </is>
      </c>
      <c r="D171" s="39">
        <f>IFERROR(CLASIF_A_F!$O$5,"")</f>
        <v/>
      </c>
      <c r="E171" s="40" t="n"/>
      <c r="F171" s="39">
        <f>IFERROR(CLASIF_A_F!$O$12,"")</f>
        <v/>
      </c>
      <c r="G171" s="40" t="n"/>
      <c r="H171" s="41" t="n"/>
      <c r="I171" s="42">
        <f>IF($H171="","",MAX(0,$H171-N($E171)))</f>
        <v/>
      </c>
      <c r="J171" s="42">
        <f>IF($H171="","",MAX(0,$H171-N($G171)))</f>
        <v/>
      </c>
    </row>
    <row r="172" ht="19.5" customHeight="1" s="72">
      <c r="A172" s="38" t="inlineStr">
        <is>
          <t>AF-SEM-P01-SIR</t>
        </is>
      </c>
      <c r="B172" s="38" t="inlineStr">
        <is>
          <t>Semifinal</t>
        </is>
      </c>
      <c r="C172" s="38" t="inlineStr">
        <is>
          <t>Siriuna</t>
        </is>
      </c>
      <c r="D172" s="39">
        <f>IFERROR(CLASIF_A_F!$O$5,"")</f>
        <v/>
      </c>
      <c r="E172" s="40" t="n"/>
      <c r="F172" s="39">
        <f>IFERROR(CLASIF_A_F!$O$12,"")</f>
        <v/>
      </c>
      <c r="G172" s="40" t="n"/>
      <c r="H172" s="41" t="n"/>
      <c r="I172" s="42">
        <f>IF($H172="","",MAX(0,$H172-N($E172)))</f>
        <v/>
      </c>
      <c r="J172" s="42">
        <f>IF($H172="","",MAX(0,$H172-N($G172)))</f>
        <v/>
      </c>
    </row>
    <row r="173" ht="19.5" customHeight="1" s="72">
      <c r="A173" s="38" t="inlineStr">
        <is>
          <t>AF-SEM-P02-BEN</t>
        </is>
      </c>
      <c r="B173" s="38" t="inlineStr">
        <is>
          <t>Semifinal</t>
        </is>
      </c>
      <c r="C173" s="38" t="inlineStr">
        <is>
          <t>Benguela</t>
        </is>
      </c>
      <c r="D173" s="39">
        <f>IFERROR(CLASIF_A_F!$O$6,"")</f>
        <v/>
      </c>
      <c r="E173" s="40" t="n"/>
      <c r="F173" s="39">
        <f>IFERROR(CLASIF_A_F!$O$11,"")</f>
        <v/>
      </c>
      <c r="G173" s="40" t="n"/>
      <c r="H173" s="41" t="n"/>
      <c r="I173" s="42">
        <f>IF($H173="","",MAX(0,$H173-N($E173)))</f>
        <v/>
      </c>
      <c r="J173" s="42">
        <f>IF($H173="","",MAX(0,$H173-N($G173)))</f>
        <v/>
      </c>
    </row>
    <row r="174" ht="19.5" customHeight="1" s="72">
      <c r="A174" s="38" t="inlineStr">
        <is>
          <t>AF-SEM-P02-SBA</t>
        </is>
      </c>
      <c r="B174" s="38" t="inlineStr">
        <is>
          <t>Semifinal</t>
        </is>
      </c>
      <c r="C174" s="38" t="inlineStr">
        <is>
          <t>São Bento da Abadá</t>
        </is>
      </c>
      <c r="D174" s="39">
        <f>IFERROR(CLASIF_A_F!$O$6,"")</f>
        <v/>
      </c>
      <c r="E174" s="40" t="n"/>
      <c r="F174" s="39">
        <f>IFERROR(CLASIF_A_F!$O$11,"")</f>
        <v/>
      </c>
      <c r="G174" s="40" t="n"/>
      <c r="H174" s="41" t="n"/>
      <c r="I174" s="42">
        <f>IF($H174="","",MAX(0,$H174-N($E174)))</f>
        <v/>
      </c>
      <c r="J174" s="42">
        <f>IF($H174="","",MAX(0,$H174-N($G174)))</f>
        <v/>
      </c>
    </row>
    <row r="175" ht="19.5" customHeight="1" s="72">
      <c r="A175" s="38" t="inlineStr">
        <is>
          <t>AF-SEM-P02-SIR</t>
        </is>
      </c>
      <c r="B175" s="38" t="inlineStr">
        <is>
          <t>Semifinal</t>
        </is>
      </c>
      <c r="C175" s="38" t="inlineStr">
        <is>
          <t>Siriuna</t>
        </is>
      </c>
      <c r="D175" s="39">
        <f>IFERROR(CLASIF_A_F!$O$6,"")</f>
        <v/>
      </c>
      <c r="E175" s="40" t="n"/>
      <c r="F175" s="39">
        <f>IFERROR(CLASIF_A_F!$O$11,"")</f>
        <v/>
      </c>
      <c r="G175" s="40" t="n"/>
      <c r="H175" s="41" t="n"/>
      <c r="I175" s="42">
        <f>IF($H175="","",MAX(0,$H175-N($E175)))</f>
        <v/>
      </c>
      <c r="J175" s="42">
        <f>IF($H175="","",MAX(0,$H175-N($G175)))</f>
        <v/>
      </c>
    </row>
    <row r="176" ht="19.5" customHeight="1" s="72">
      <c r="A176" s="38" t="inlineStr">
        <is>
          <t>AF-SEM-P03-BEN</t>
        </is>
      </c>
      <c r="B176" s="38" t="inlineStr">
        <is>
          <t>Semifinal</t>
        </is>
      </c>
      <c r="C176" s="38" t="inlineStr">
        <is>
          <t>Benguela</t>
        </is>
      </c>
      <c r="D176" s="39">
        <f>IFERROR(CLASIF_A_F!$O$7,"")</f>
        <v/>
      </c>
      <c r="E176" s="40" t="n"/>
      <c r="F176" s="39">
        <f>IFERROR(CLASIF_A_F!$O$10,"")</f>
        <v/>
      </c>
      <c r="G176" s="40" t="n"/>
      <c r="H176" s="41" t="n"/>
      <c r="I176" s="42">
        <f>IF($H176="","",MAX(0,$H176-N($E176)))</f>
        <v/>
      </c>
      <c r="J176" s="42">
        <f>IF($H176="","",MAX(0,$H176-N($G176)))</f>
        <v/>
      </c>
    </row>
    <row r="177" ht="19.5" customHeight="1" s="72">
      <c r="A177" s="38" t="inlineStr">
        <is>
          <t>AF-SEM-P03-SBA</t>
        </is>
      </c>
      <c r="B177" s="38" t="inlineStr">
        <is>
          <t>Semifinal</t>
        </is>
      </c>
      <c r="C177" s="38" t="inlineStr">
        <is>
          <t>São Bento da Abadá</t>
        </is>
      </c>
      <c r="D177" s="39">
        <f>IFERROR(CLASIF_A_F!$O$7,"")</f>
        <v/>
      </c>
      <c r="E177" s="40" t="n"/>
      <c r="F177" s="39">
        <f>IFERROR(CLASIF_A_F!$O$10,"")</f>
        <v/>
      </c>
      <c r="G177" s="40" t="n"/>
      <c r="H177" s="41" t="n"/>
      <c r="I177" s="42">
        <f>IF($H177="","",MAX(0,$H177-N($E177)))</f>
        <v/>
      </c>
      <c r="J177" s="42">
        <f>IF($H177="","",MAX(0,$H177-N($G177)))</f>
        <v/>
      </c>
    </row>
    <row r="178" ht="19.5" customHeight="1" s="72">
      <c r="A178" s="38" t="inlineStr">
        <is>
          <t>AF-SEM-P03-SIR</t>
        </is>
      </c>
      <c r="B178" s="38" t="inlineStr">
        <is>
          <t>Semifinal</t>
        </is>
      </c>
      <c r="C178" s="38" t="inlineStr">
        <is>
          <t>Siriuna</t>
        </is>
      </c>
      <c r="D178" s="39">
        <f>IFERROR(CLASIF_A_F!$O$7,"")</f>
        <v/>
      </c>
      <c r="E178" s="40" t="n"/>
      <c r="F178" s="39">
        <f>IFERROR(CLASIF_A_F!$O$10,"")</f>
        <v/>
      </c>
      <c r="G178" s="40" t="n"/>
      <c r="H178" s="41" t="n"/>
      <c r="I178" s="42">
        <f>IF($H178="","",MAX(0,$H178-N($E178)))</f>
        <v/>
      </c>
      <c r="J178" s="42">
        <f>IF($H178="","",MAX(0,$H178-N($G178)))</f>
        <v/>
      </c>
    </row>
    <row r="179" ht="19.5" customHeight="1" s="72">
      <c r="A179" s="38" t="inlineStr">
        <is>
          <t>AF-SEM-P04-BEN</t>
        </is>
      </c>
      <c r="B179" s="38" t="inlineStr">
        <is>
          <t>Semifinal</t>
        </is>
      </c>
      <c r="C179" s="38" t="inlineStr">
        <is>
          <t>Benguela</t>
        </is>
      </c>
      <c r="D179" s="39">
        <f>IFERROR(CLASIF_A_F!$O$8,"")</f>
        <v/>
      </c>
      <c r="E179" s="40" t="n"/>
      <c r="F179" s="39">
        <f>IFERROR(CLASIF_A_F!$O$9,"")</f>
        <v/>
      </c>
      <c r="G179" s="40" t="n"/>
      <c r="H179" s="41" t="n"/>
      <c r="I179" s="42">
        <f>IF($H179="","",MAX(0,$H179-N($E179)))</f>
        <v/>
      </c>
      <c r="J179" s="42">
        <f>IF($H179="","",MAX(0,$H179-N($G179)))</f>
        <v/>
      </c>
    </row>
    <row r="180" ht="19.5" customHeight="1" s="72">
      <c r="A180" s="38" t="inlineStr">
        <is>
          <t>AF-SEM-P04-SBA</t>
        </is>
      </c>
      <c r="B180" s="38" t="inlineStr">
        <is>
          <t>Semifinal</t>
        </is>
      </c>
      <c r="C180" s="38" t="inlineStr">
        <is>
          <t>São Bento da Abadá</t>
        </is>
      </c>
      <c r="D180" s="39">
        <f>IFERROR(CLASIF_A_F!$O$8,"")</f>
        <v/>
      </c>
      <c r="E180" s="40" t="n"/>
      <c r="F180" s="39">
        <f>IFERROR(CLASIF_A_F!$O$9,"")</f>
        <v/>
      </c>
      <c r="G180" s="40" t="n"/>
      <c r="H180" s="41" t="n"/>
      <c r="I180" s="42">
        <f>IF($H180="","",MAX(0,$H180-N($E180)))</f>
        <v/>
      </c>
      <c r="J180" s="42">
        <f>IF($H180="","",MAX(0,$H180-N($G180)))</f>
        <v/>
      </c>
    </row>
    <row r="181" ht="19.5" customHeight="1" s="72">
      <c r="A181" s="38" t="inlineStr">
        <is>
          <t>AF-SEM-P04-SIR</t>
        </is>
      </c>
      <c r="B181" s="38" t="inlineStr">
        <is>
          <t>Semifinal</t>
        </is>
      </c>
      <c r="C181" s="38" t="inlineStr">
        <is>
          <t>Siriuna</t>
        </is>
      </c>
      <c r="D181" s="39">
        <f>IFERROR(CLASIF_A_F!$O$8,"")</f>
        <v/>
      </c>
      <c r="E181" s="40" t="n"/>
      <c r="F181" s="39">
        <f>IFERROR(CLASIF_A_F!$O$9,"")</f>
        <v/>
      </c>
      <c r="G181" s="40" t="n"/>
      <c r="H181" s="41" t="n"/>
      <c r="I181" s="42">
        <f>IF($H181="","",MAX(0,$H181-N($E181)))</f>
        <v/>
      </c>
      <c r="J181" s="42">
        <f>IF($H181="","",MAX(0,$H181-N($G181)))</f>
        <v/>
      </c>
    </row>
    <row r="182" ht="19.5" customHeight="1" s="72">
      <c r="A182" s="38" t="inlineStr">
        <is>
          <t>AF-FIN-P01-BEN</t>
        </is>
      </c>
      <c r="B182" s="38" t="inlineStr">
        <is>
          <t>Final</t>
        </is>
      </c>
      <c r="C182" s="38" t="inlineStr">
        <is>
          <t>Benguela</t>
        </is>
      </c>
      <c r="D182" s="39">
        <f>IFERROR(CLASIF_A_F!$X$5,"")</f>
        <v/>
      </c>
      <c r="E182" s="40" t="n"/>
      <c r="F182" s="39">
        <f>IFERROR(CLASIF_A_F!$X$8,"")</f>
        <v/>
      </c>
      <c r="G182" s="40" t="n"/>
      <c r="H182" s="41" t="n"/>
      <c r="I182" s="42">
        <f>IF($H182="","",MAX(0,$H182-N($E182)))</f>
        <v/>
      </c>
      <c r="J182" s="42">
        <f>IF($H182="","",MAX(0,$H182-N($G182)))</f>
        <v/>
      </c>
    </row>
    <row r="183" ht="19.5" customHeight="1" s="72">
      <c r="A183" s="38" t="inlineStr">
        <is>
          <t>AF-FIN-P01-SBA</t>
        </is>
      </c>
      <c r="B183" s="38" t="inlineStr">
        <is>
          <t>Final</t>
        </is>
      </c>
      <c r="C183" s="38" t="inlineStr">
        <is>
          <t>São Bento da Abadá</t>
        </is>
      </c>
      <c r="D183" s="39">
        <f>IFERROR(CLASIF_A_F!$X$5,"")</f>
        <v/>
      </c>
      <c r="E183" s="40" t="n"/>
      <c r="F183" s="39">
        <f>IFERROR(CLASIF_A_F!$X$8,"")</f>
        <v/>
      </c>
      <c r="G183" s="40" t="n"/>
      <c r="H183" s="41" t="n"/>
      <c r="I183" s="42">
        <f>IF($H183="","",MAX(0,$H183-N($E183)))</f>
        <v/>
      </c>
      <c r="J183" s="42">
        <f>IF($H183="","",MAX(0,$H183-N($G183)))</f>
        <v/>
      </c>
    </row>
    <row r="184" ht="19.5" customHeight="1" s="72">
      <c r="A184" s="38" t="inlineStr">
        <is>
          <t>AF-FIN-P01-SIR</t>
        </is>
      </c>
      <c r="B184" s="38" t="inlineStr">
        <is>
          <t>Final</t>
        </is>
      </c>
      <c r="C184" s="38" t="inlineStr">
        <is>
          <t>Siriuna</t>
        </is>
      </c>
      <c r="D184" s="39">
        <f>IFERROR(CLASIF_A_F!$X$5,"")</f>
        <v/>
      </c>
      <c r="E184" s="40" t="n"/>
      <c r="F184" s="39">
        <f>IFERROR(CLASIF_A_F!$X$8,"")</f>
        <v/>
      </c>
      <c r="G184" s="40" t="n"/>
      <c r="H184" s="41" t="n"/>
      <c r="I184" s="42">
        <f>IF($H184="","",MAX(0,$H184-N($E184)))</f>
        <v/>
      </c>
      <c r="J184" s="42">
        <f>IF($H184="","",MAX(0,$H184-N($G184)))</f>
        <v/>
      </c>
    </row>
    <row r="185" ht="19.5" customHeight="1" s="72">
      <c r="A185" s="38" t="inlineStr">
        <is>
          <t>AF-FIN-P02-BEN</t>
        </is>
      </c>
      <c r="B185" s="38" t="inlineStr">
        <is>
          <t>Final</t>
        </is>
      </c>
      <c r="C185" s="38" t="inlineStr">
        <is>
          <t>Benguela</t>
        </is>
      </c>
      <c r="D185" s="39">
        <f>IFERROR(CLASIF_A_F!$X$6,"")</f>
        <v/>
      </c>
      <c r="E185" s="40" t="n"/>
      <c r="F185" s="39">
        <f>IFERROR(CLASIF_A_F!$X$7,"")</f>
        <v/>
      </c>
      <c r="G185" s="40" t="n"/>
      <c r="H185" s="41" t="n"/>
      <c r="I185" s="42">
        <f>IF($H185="","",MAX(0,$H185-N($E185)))</f>
        <v/>
      </c>
      <c r="J185" s="42">
        <f>IF($H185="","",MAX(0,$H185-N($G185)))</f>
        <v/>
      </c>
    </row>
    <row r="186" ht="19.5" customHeight="1" s="72">
      <c r="A186" s="38" t="inlineStr">
        <is>
          <t>AF-FIN-P02-SBA</t>
        </is>
      </c>
      <c r="B186" s="38" t="inlineStr">
        <is>
          <t>Final</t>
        </is>
      </c>
      <c r="C186" s="38" t="inlineStr">
        <is>
          <t>São Bento da Abadá</t>
        </is>
      </c>
      <c r="D186" s="39">
        <f>IFERROR(CLASIF_A_F!$X$6,"")</f>
        <v/>
      </c>
      <c r="E186" s="40" t="n"/>
      <c r="F186" s="39">
        <f>IFERROR(CLASIF_A_F!$X$7,"")</f>
        <v/>
      </c>
      <c r="G186" s="40" t="n"/>
      <c r="H186" s="41" t="n"/>
      <c r="I186" s="42">
        <f>IF($H186="","",MAX(0,$H186-N($E186)))</f>
        <v/>
      </c>
      <c r="J186" s="42">
        <f>IF($H186="","",MAX(0,$H186-N($G186)))</f>
        <v/>
      </c>
    </row>
    <row r="187" ht="19.5" customHeight="1" s="72">
      <c r="A187" s="38" t="inlineStr">
        <is>
          <t>AF-FIN-P02-SIR</t>
        </is>
      </c>
      <c r="B187" s="38" t="inlineStr">
        <is>
          <t>Final</t>
        </is>
      </c>
      <c r="C187" s="38" t="inlineStr">
        <is>
          <t>Siriuna</t>
        </is>
      </c>
      <c r="D187" s="39">
        <f>IFERROR(CLASIF_A_F!$X$6,"")</f>
        <v/>
      </c>
      <c r="E187" s="40" t="n"/>
      <c r="F187" s="39">
        <f>IFERROR(CLASIF_A_F!$X$7,"")</f>
        <v/>
      </c>
      <c r="G187" s="40" t="n"/>
      <c r="H187" s="41" t="n"/>
      <c r="I187" s="42">
        <f>IF($H187="","",MAX(0,$H187-N($E187)))</f>
        <v/>
      </c>
      <c r="J187" s="42">
        <f>IF($H187="","",MAX(0,$H187-N($G187)))</f>
        <v/>
      </c>
    </row>
    <row r="188" ht="19.5" customHeight="1" s="72">
      <c r="A188" s="43" t="n"/>
      <c r="B188" s="43" t="n"/>
      <c r="C188" s="43" t="n"/>
      <c r="D188" s="43" t="n"/>
      <c r="E188" s="43" t="n"/>
      <c r="F188" s="43" t="n"/>
      <c r="G188" s="43" t="n"/>
      <c r="H188" s="44" t="n"/>
      <c r="I188" s="43">
        <f>IF($H188="","",MAX(0,$H188-N($E188)))</f>
        <v/>
      </c>
      <c r="J188" s="43">
        <f>IF($H188="","",MAX(0,$H188-N($G188)))</f>
        <v/>
      </c>
    </row>
    <row r="189" ht="19.5" customHeight="1" s="72">
      <c r="A189" s="81" t="inlineStr">
        <is>
          <t>═══ CATEGORÍA B · Masculino · Morada (Instructores) · Toques: Benguela, São Bento da Abadá, Siriuna ═══</t>
        </is>
      </c>
    </row>
    <row r="190" ht="19.5" customHeight="1" s="72">
      <c r="A190" s="8" t="inlineStr">
        <is>
          <t>Jogo</t>
        </is>
      </c>
      <c r="B190" s="8" t="inlineStr">
        <is>
          <t>Fase</t>
        </is>
      </c>
      <c r="C190" s="8" t="inlineStr">
        <is>
          <t>Toque</t>
        </is>
      </c>
      <c r="D190" s="8" t="inlineStr">
        <is>
          <t>Jugador A</t>
        </is>
      </c>
      <c r="E190" s="8" t="inlineStr">
        <is>
          <t>Quita A</t>
        </is>
      </c>
      <c r="F190" s="8" t="inlineStr">
        <is>
          <t>Jugador B</t>
        </is>
      </c>
      <c r="G190" s="8" t="inlineStr">
        <is>
          <t>Quita B</t>
        </is>
      </c>
      <c r="H190" s="8" t="inlineStr">
        <is>
          <t>NOTA (0-5)</t>
        </is>
      </c>
      <c r="I190" s="8">
        <f>IF($H190="","",MAX(0,$H190-N($E190)))</f>
        <v/>
      </c>
      <c r="J190" s="8">
        <f>IF($H190="","",MAX(0,$H190-N($G190)))</f>
        <v/>
      </c>
    </row>
    <row r="191" ht="19.5" customHeight="1" s="72">
      <c r="A191" s="38" t="inlineStr">
        <is>
          <t>BM-32-P01-BEN</t>
        </is>
      </c>
      <c r="B191" s="38" t="inlineStr">
        <is>
          <t>Fase 32</t>
        </is>
      </c>
      <c r="C191" s="38" t="inlineStr">
        <is>
          <t>Benguela</t>
        </is>
      </c>
      <c r="D191" s="39" t="inlineStr">
        <is>
          <t>A_B_M_32_P1</t>
        </is>
      </c>
      <c r="E191" s="40" t="n"/>
      <c r="F191" s="39" t="inlineStr">
        <is>
          <t>B_B_M_32_P1</t>
        </is>
      </c>
      <c r="G191" s="40" t="n"/>
      <c r="H191" s="41" t="n"/>
      <c r="I191" s="42">
        <f>IF($H191="","",MAX(0,$H191-N($E191)))</f>
        <v/>
      </c>
      <c r="J191" s="42">
        <f>IF($H191="","",MAX(0,$H191-N($G191)))</f>
        <v/>
      </c>
    </row>
    <row r="192" ht="19.5" customHeight="1" s="72">
      <c r="A192" s="38" t="inlineStr">
        <is>
          <t>BM-32-P01-SBA</t>
        </is>
      </c>
      <c r="B192" s="38" t="inlineStr">
        <is>
          <t>Fase 32</t>
        </is>
      </c>
      <c r="C192" s="38" t="inlineStr">
        <is>
          <t>São Bento da Abadá</t>
        </is>
      </c>
      <c r="D192" s="39" t="inlineStr">
        <is>
          <t>A_B_M_32_P1</t>
        </is>
      </c>
      <c r="E192" s="40" t="n"/>
      <c r="F192" s="39" t="inlineStr">
        <is>
          <t>B_B_M_32_P1</t>
        </is>
      </c>
      <c r="G192" s="40" t="n"/>
      <c r="H192" s="41" t="n"/>
      <c r="I192" s="42">
        <f>IF($H192="","",MAX(0,$H192-N($E192)))</f>
        <v/>
      </c>
      <c r="J192" s="42">
        <f>IF($H192="","",MAX(0,$H192-N($G192)))</f>
        <v/>
      </c>
    </row>
    <row r="193" ht="19.5" customHeight="1" s="72">
      <c r="A193" s="38" t="inlineStr">
        <is>
          <t>BM-32-P01-SIR</t>
        </is>
      </c>
      <c r="B193" s="38" t="inlineStr">
        <is>
          <t>Fase 32</t>
        </is>
      </c>
      <c r="C193" s="38" t="inlineStr">
        <is>
          <t>Siriuna</t>
        </is>
      </c>
      <c r="D193" s="39" t="inlineStr">
        <is>
          <t>A_B_M_32_P1</t>
        </is>
      </c>
      <c r="E193" s="40" t="n"/>
      <c r="F193" s="39" t="inlineStr">
        <is>
          <t>B_B_M_32_P1</t>
        </is>
      </c>
      <c r="G193" s="40" t="n"/>
      <c r="H193" s="41" t="n"/>
      <c r="I193" s="42">
        <f>IF($H193="","",MAX(0,$H193-N($E193)))</f>
        <v/>
      </c>
      <c r="J193" s="42">
        <f>IF($H193="","",MAX(0,$H193-N($G193)))</f>
        <v/>
      </c>
    </row>
    <row r="194" ht="19.5" customHeight="1" s="72">
      <c r="A194" s="38" t="inlineStr">
        <is>
          <t>BM-32-P02-BEN</t>
        </is>
      </c>
      <c r="B194" s="38" t="inlineStr">
        <is>
          <t>Fase 32</t>
        </is>
      </c>
      <c r="C194" s="38" t="inlineStr">
        <is>
          <t>Benguela</t>
        </is>
      </c>
      <c r="D194" s="39" t="inlineStr">
        <is>
          <t>A_B_M_32_P2</t>
        </is>
      </c>
      <c r="E194" s="40" t="n"/>
      <c r="F194" s="39" t="inlineStr">
        <is>
          <t>B_B_M_32_P2</t>
        </is>
      </c>
      <c r="G194" s="40" t="n"/>
      <c r="H194" s="41" t="n"/>
      <c r="I194" s="42">
        <f>IF($H194="","",MAX(0,$H194-N($E194)))</f>
        <v/>
      </c>
      <c r="J194" s="42">
        <f>IF($H194="","",MAX(0,$H194-N($G194)))</f>
        <v/>
      </c>
    </row>
    <row r="195" ht="19.5" customHeight="1" s="72">
      <c r="A195" s="38" t="inlineStr">
        <is>
          <t>BM-32-P02-SBA</t>
        </is>
      </c>
      <c r="B195" s="38" t="inlineStr">
        <is>
          <t>Fase 32</t>
        </is>
      </c>
      <c r="C195" s="38" t="inlineStr">
        <is>
          <t>São Bento da Abadá</t>
        </is>
      </c>
      <c r="D195" s="39" t="inlineStr">
        <is>
          <t>A_B_M_32_P2</t>
        </is>
      </c>
      <c r="E195" s="40" t="n"/>
      <c r="F195" s="39" t="inlineStr">
        <is>
          <t>B_B_M_32_P2</t>
        </is>
      </c>
      <c r="G195" s="40" t="n"/>
      <c r="H195" s="41" t="n"/>
      <c r="I195" s="42">
        <f>IF($H195="","",MAX(0,$H195-N($E195)))</f>
        <v/>
      </c>
      <c r="J195" s="42">
        <f>IF($H195="","",MAX(0,$H195-N($G195)))</f>
        <v/>
      </c>
    </row>
    <row r="196" ht="19.5" customHeight="1" s="72">
      <c r="A196" s="38" t="inlineStr">
        <is>
          <t>BM-32-P02-SIR</t>
        </is>
      </c>
      <c r="B196" s="38" t="inlineStr">
        <is>
          <t>Fase 32</t>
        </is>
      </c>
      <c r="C196" s="38" t="inlineStr">
        <is>
          <t>Siriuna</t>
        </is>
      </c>
      <c r="D196" s="39" t="inlineStr">
        <is>
          <t>A_B_M_32_P2</t>
        </is>
      </c>
      <c r="E196" s="40" t="n"/>
      <c r="F196" s="39" t="inlineStr">
        <is>
          <t>B_B_M_32_P2</t>
        </is>
      </c>
      <c r="G196" s="40" t="n"/>
      <c r="H196" s="41" t="n"/>
      <c r="I196" s="42">
        <f>IF($H196="","",MAX(0,$H196-N($E196)))</f>
        <v/>
      </c>
      <c r="J196" s="42">
        <f>IF($H196="","",MAX(0,$H196-N($G196)))</f>
        <v/>
      </c>
    </row>
    <row r="197" ht="19.5" customHeight="1" s="72">
      <c r="A197" s="38" t="inlineStr">
        <is>
          <t>BM-32-P03-BEN</t>
        </is>
      </c>
      <c r="B197" s="38" t="inlineStr">
        <is>
          <t>Fase 32</t>
        </is>
      </c>
      <c r="C197" s="38" t="inlineStr">
        <is>
          <t>Benguela</t>
        </is>
      </c>
      <c r="D197" s="39" t="inlineStr">
        <is>
          <t>A_B_M_32_P3</t>
        </is>
      </c>
      <c r="E197" s="40" t="n"/>
      <c r="F197" s="39" t="inlineStr">
        <is>
          <t>B_B_M_32_P3</t>
        </is>
      </c>
      <c r="G197" s="40" t="n"/>
      <c r="H197" s="41" t="n"/>
      <c r="I197" s="42">
        <f>IF($H197="","",MAX(0,$H197-N($E197)))</f>
        <v/>
      </c>
      <c r="J197" s="42">
        <f>IF($H197="","",MAX(0,$H197-N($G197)))</f>
        <v/>
      </c>
    </row>
    <row r="198" ht="19.5" customHeight="1" s="72">
      <c r="A198" s="38" t="inlineStr">
        <is>
          <t>BM-32-P03-SBA</t>
        </is>
      </c>
      <c r="B198" s="38" t="inlineStr">
        <is>
          <t>Fase 32</t>
        </is>
      </c>
      <c r="C198" s="38" t="inlineStr">
        <is>
          <t>São Bento da Abadá</t>
        </is>
      </c>
      <c r="D198" s="39" t="inlineStr">
        <is>
          <t>A_B_M_32_P3</t>
        </is>
      </c>
      <c r="E198" s="40" t="n"/>
      <c r="F198" s="39" t="inlineStr">
        <is>
          <t>B_B_M_32_P3</t>
        </is>
      </c>
      <c r="G198" s="40" t="n"/>
      <c r="H198" s="41" t="n"/>
      <c r="I198" s="42">
        <f>IF($H198="","",MAX(0,$H198-N($E198)))</f>
        <v/>
      </c>
      <c r="J198" s="42">
        <f>IF($H198="","",MAX(0,$H198-N($G198)))</f>
        <v/>
      </c>
    </row>
    <row r="199" ht="19.5" customHeight="1" s="72">
      <c r="A199" s="38" t="inlineStr">
        <is>
          <t>BM-32-P03-SIR</t>
        </is>
      </c>
      <c r="B199" s="38" t="inlineStr">
        <is>
          <t>Fase 32</t>
        </is>
      </c>
      <c r="C199" s="38" t="inlineStr">
        <is>
          <t>Siriuna</t>
        </is>
      </c>
      <c r="D199" s="39" t="inlineStr">
        <is>
          <t>A_B_M_32_P3</t>
        </is>
      </c>
      <c r="E199" s="40" t="n"/>
      <c r="F199" s="39" t="inlineStr">
        <is>
          <t>B_B_M_32_P3</t>
        </is>
      </c>
      <c r="G199" s="40" t="n"/>
      <c r="H199" s="41" t="n"/>
      <c r="I199" s="42">
        <f>IF($H199="","",MAX(0,$H199-N($E199)))</f>
        <v/>
      </c>
      <c r="J199" s="42">
        <f>IF($H199="","",MAX(0,$H199-N($G199)))</f>
        <v/>
      </c>
    </row>
    <row r="200" ht="19.5" customHeight="1" s="72">
      <c r="A200" s="38" t="inlineStr">
        <is>
          <t>BM-32-P04-BEN</t>
        </is>
      </c>
      <c r="B200" s="38" t="inlineStr">
        <is>
          <t>Fase 32</t>
        </is>
      </c>
      <c r="C200" s="38" t="inlineStr">
        <is>
          <t>Benguela</t>
        </is>
      </c>
      <c r="D200" s="39" t="inlineStr">
        <is>
          <t>A_B_M_32_P4</t>
        </is>
      </c>
      <c r="E200" s="40" t="n"/>
      <c r="F200" s="39" t="inlineStr">
        <is>
          <t>B_B_M_32_P4</t>
        </is>
      </c>
      <c r="G200" s="40" t="n"/>
      <c r="H200" s="41" t="n"/>
      <c r="I200" s="42">
        <f>IF($H200="","",MAX(0,$H200-N($E200)))</f>
        <v/>
      </c>
      <c r="J200" s="42">
        <f>IF($H200="","",MAX(0,$H200-N($G200)))</f>
        <v/>
      </c>
    </row>
    <row r="201" ht="19.5" customHeight="1" s="72">
      <c r="A201" s="38" t="inlineStr">
        <is>
          <t>BM-32-P04-SBA</t>
        </is>
      </c>
      <c r="B201" s="38" t="inlineStr">
        <is>
          <t>Fase 32</t>
        </is>
      </c>
      <c r="C201" s="38" t="inlineStr">
        <is>
          <t>São Bento da Abadá</t>
        </is>
      </c>
      <c r="D201" s="39" t="inlineStr">
        <is>
          <t>A_B_M_32_P4</t>
        </is>
      </c>
      <c r="E201" s="40" t="n"/>
      <c r="F201" s="39" t="inlineStr">
        <is>
          <t>B_B_M_32_P4</t>
        </is>
      </c>
      <c r="G201" s="40" t="n"/>
      <c r="H201" s="41" t="n"/>
      <c r="I201" s="42">
        <f>IF($H201="","",MAX(0,$H201-N($E201)))</f>
        <v/>
      </c>
      <c r="J201" s="42">
        <f>IF($H201="","",MAX(0,$H201-N($G201)))</f>
        <v/>
      </c>
    </row>
    <row r="202" ht="19.5" customHeight="1" s="72">
      <c r="A202" s="38" t="inlineStr">
        <is>
          <t>BM-32-P04-SIR</t>
        </is>
      </c>
      <c r="B202" s="38" t="inlineStr">
        <is>
          <t>Fase 32</t>
        </is>
      </c>
      <c r="C202" s="38" t="inlineStr">
        <is>
          <t>Siriuna</t>
        </is>
      </c>
      <c r="D202" s="39" t="inlineStr">
        <is>
          <t>A_B_M_32_P4</t>
        </is>
      </c>
      <c r="E202" s="40" t="n"/>
      <c r="F202" s="39" t="inlineStr">
        <is>
          <t>B_B_M_32_P4</t>
        </is>
      </c>
      <c r="G202" s="40" t="n"/>
      <c r="H202" s="41" t="n"/>
      <c r="I202" s="42">
        <f>IF($H202="","",MAX(0,$H202-N($E202)))</f>
        <v/>
      </c>
      <c r="J202" s="42">
        <f>IF($H202="","",MAX(0,$H202-N($G202)))</f>
        <v/>
      </c>
    </row>
    <row r="203" ht="19.5" customHeight="1" s="72">
      <c r="A203" s="38" t="inlineStr">
        <is>
          <t>BM-32-P05-BEN</t>
        </is>
      </c>
      <c r="B203" s="38" t="inlineStr">
        <is>
          <t>Fase 32</t>
        </is>
      </c>
      <c r="C203" s="38" t="inlineStr">
        <is>
          <t>Benguela</t>
        </is>
      </c>
      <c r="D203" s="39" t="inlineStr">
        <is>
          <t>A_B_M_32_P5</t>
        </is>
      </c>
      <c r="E203" s="40" t="n"/>
      <c r="F203" s="39" t="inlineStr">
        <is>
          <t>B_B_M_32_P5</t>
        </is>
      </c>
      <c r="G203" s="40" t="n"/>
      <c r="H203" s="41" t="n"/>
      <c r="I203" s="42">
        <f>IF($H203="","",MAX(0,$H203-N($E203)))</f>
        <v/>
      </c>
      <c r="J203" s="42">
        <f>IF($H203="","",MAX(0,$H203-N($G203)))</f>
        <v/>
      </c>
    </row>
    <row r="204" ht="19.5" customHeight="1" s="72">
      <c r="A204" s="38" t="inlineStr">
        <is>
          <t>BM-32-P05-SBA</t>
        </is>
      </c>
      <c r="B204" s="38" t="inlineStr">
        <is>
          <t>Fase 32</t>
        </is>
      </c>
      <c r="C204" s="38" t="inlineStr">
        <is>
          <t>São Bento da Abadá</t>
        </is>
      </c>
      <c r="D204" s="39" t="inlineStr">
        <is>
          <t>A_B_M_32_P5</t>
        </is>
      </c>
      <c r="E204" s="40" t="n"/>
      <c r="F204" s="39" t="inlineStr">
        <is>
          <t>B_B_M_32_P5</t>
        </is>
      </c>
      <c r="G204" s="40" t="n"/>
      <c r="H204" s="41" t="n"/>
      <c r="I204" s="42">
        <f>IF($H204="","",MAX(0,$H204-N($E204)))</f>
        <v/>
      </c>
      <c r="J204" s="42">
        <f>IF($H204="","",MAX(0,$H204-N($G204)))</f>
        <v/>
      </c>
    </row>
    <row r="205" ht="19.5" customHeight="1" s="72">
      <c r="A205" s="38" t="inlineStr">
        <is>
          <t>BM-32-P05-SIR</t>
        </is>
      </c>
      <c r="B205" s="38" t="inlineStr">
        <is>
          <t>Fase 32</t>
        </is>
      </c>
      <c r="C205" s="38" t="inlineStr">
        <is>
          <t>Siriuna</t>
        </is>
      </c>
      <c r="D205" s="39" t="inlineStr">
        <is>
          <t>A_B_M_32_P5</t>
        </is>
      </c>
      <c r="E205" s="40" t="n"/>
      <c r="F205" s="39" t="inlineStr">
        <is>
          <t>B_B_M_32_P5</t>
        </is>
      </c>
      <c r="G205" s="40" t="n"/>
      <c r="H205" s="41" t="n"/>
      <c r="I205" s="42">
        <f>IF($H205="","",MAX(0,$H205-N($E205)))</f>
        <v/>
      </c>
      <c r="J205" s="42">
        <f>IF($H205="","",MAX(0,$H205-N($G205)))</f>
        <v/>
      </c>
    </row>
    <row r="206" ht="19.5" customHeight="1" s="72">
      <c r="A206" s="38" t="inlineStr">
        <is>
          <t>BM-32-P06-BEN</t>
        </is>
      </c>
      <c r="B206" s="38" t="inlineStr">
        <is>
          <t>Fase 32</t>
        </is>
      </c>
      <c r="C206" s="38" t="inlineStr">
        <is>
          <t>Benguela</t>
        </is>
      </c>
      <c r="D206" s="39" t="inlineStr">
        <is>
          <t>A_B_M_32_P6</t>
        </is>
      </c>
      <c r="E206" s="40" t="n"/>
      <c r="F206" s="39" t="inlineStr">
        <is>
          <t>B_B_M_32_P6</t>
        </is>
      </c>
      <c r="G206" s="40" t="n"/>
      <c r="H206" s="41" t="n"/>
      <c r="I206" s="42">
        <f>IF($H206="","",MAX(0,$H206-N($E206)))</f>
        <v/>
      </c>
      <c r="J206" s="42">
        <f>IF($H206="","",MAX(0,$H206-N($G206)))</f>
        <v/>
      </c>
    </row>
    <row r="207" ht="19.5" customHeight="1" s="72">
      <c r="A207" s="38" t="inlineStr">
        <is>
          <t>BM-32-P06-SBA</t>
        </is>
      </c>
      <c r="B207" s="38" t="inlineStr">
        <is>
          <t>Fase 32</t>
        </is>
      </c>
      <c r="C207" s="38" t="inlineStr">
        <is>
          <t>São Bento da Abadá</t>
        </is>
      </c>
      <c r="D207" s="39" t="inlineStr">
        <is>
          <t>A_B_M_32_P6</t>
        </is>
      </c>
      <c r="E207" s="40" t="n"/>
      <c r="F207" s="39" t="inlineStr">
        <is>
          <t>B_B_M_32_P6</t>
        </is>
      </c>
      <c r="G207" s="40" t="n"/>
      <c r="H207" s="41" t="n"/>
      <c r="I207" s="42">
        <f>IF($H207="","",MAX(0,$H207-N($E207)))</f>
        <v/>
      </c>
      <c r="J207" s="42">
        <f>IF($H207="","",MAX(0,$H207-N($G207)))</f>
        <v/>
      </c>
    </row>
    <row r="208" ht="19.5" customHeight="1" s="72">
      <c r="A208" s="38" t="inlineStr">
        <is>
          <t>BM-32-P06-SIR</t>
        </is>
      </c>
      <c r="B208" s="38" t="inlineStr">
        <is>
          <t>Fase 32</t>
        </is>
      </c>
      <c r="C208" s="38" t="inlineStr">
        <is>
          <t>Siriuna</t>
        </is>
      </c>
      <c r="D208" s="39" t="inlineStr">
        <is>
          <t>A_B_M_32_P6</t>
        </is>
      </c>
      <c r="E208" s="40" t="n"/>
      <c r="F208" s="39" t="inlineStr">
        <is>
          <t>B_B_M_32_P6</t>
        </is>
      </c>
      <c r="G208" s="40" t="n"/>
      <c r="H208" s="41" t="n"/>
      <c r="I208" s="42">
        <f>IF($H208="","",MAX(0,$H208-N($E208)))</f>
        <v/>
      </c>
      <c r="J208" s="42">
        <f>IF($H208="","",MAX(0,$H208-N($G208)))</f>
        <v/>
      </c>
    </row>
    <row r="209" ht="19.5" customHeight="1" s="72">
      <c r="A209" s="38" t="inlineStr">
        <is>
          <t>BM-32-P07-BEN</t>
        </is>
      </c>
      <c r="B209" s="38" t="inlineStr">
        <is>
          <t>Fase 32</t>
        </is>
      </c>
      <c r="C209" s="38" t="inlineStr">
        <is>
          <t>Benguela</t>
        </is>
      </c>
      <c r="D209" s="39" t="inlineStr">
        <is>
          <t>A_B_M_32_P7</t>
        </is>
      </c>
      <c r="E209" s="40" t="n"/>
      <c r="F209" s="39" t="inlineStr">
        <is>
          <t>B_B_M_32_P7</t>
        </is>
      </c>
      <c r="G209" s="40" t="n"/>
      <c r="H209" s="41" t="n"/>
      <c r="I209" s="42">
        <f>IF($H209="","",MAX(0,$H209-N($E209)))</f>
        <v/>
      </c>
      <c r="J209" s="42">
        <f>IF($H209="","",MAX(0,$H209-N($G209)))</f>
        <v/>
      </c>
    </row>
    <row r="210" ht="19.5" customHeight="1" s="72">
      <c r="A210" s="38" t="inlineStr">
        <is>
          <t>BM-32-P07-SBA</t>
        </is>
      </c>
      <c r="B210" s="38" t="inlineStr">
        <is>
          <t>Fase 32</t>
        </is>
      </c>
      <c r="C210" s="38" t="inlineStr">
        <is>
          <t>São Bento da Abadá</t>
        </is>
      </c>
      <c r="D210" s="39" t="inlineStr">
        <is>
          <t>A_B_M_32_P7</t>
        </is>
      </c>
      <c r="E210" s="40" t="n"/>
      <c r="F210" s="39" t="inlineStr">
        <is>
          <t>B_B_M_32_P7</t>
        </is>
      </c>
      <c r="G210" s="40" t="n"/>
      <c r="H210" s="41" t="n"/>
      <c r="I210" s="42">
        <f>IF($H210="","",MAX(0,$H210-N($E210)))</f>
        <v/>
      </c>
      <c r="J210" s="42">
        <f>IF($H210="","",MAX(0,$H210-N($G210)))</f>
        <v/>
      </c>
    </row>
    <row r="211" ht="19.5" customHeight="1" s="72">
      <c r="A211" s="38" t="inlineStr">
        <is>
          <t>BM-32-P07-SIR</t>
        </is>
      </c>
      <c r="B211" s="38" t="inlineStr">
        <is>
          <t>Fase 32</t>
        </is>
      </c>
      <c r="C211" s="38" t="inlineStr">
        <is>
          <t>Siriuna</t>
        </is>
      </c>
      <c r="D211" s="39" t="inlineStr">
        <is>
          <t>A_B_M_32_P7</t>
        </is>
      </c>
      <c r="E211" s="40" t="n"/>
      <c r="F211" s="39" t="inlineStr">
        <is>
          <t>B_B_M_32_P7</t>
        </is>
      </c>
      <c r="G211" s="40" t="n"/>
      <c r="H211" s="41" t="n"/>
      <c r="I211" s="42">
        <f>IF($H211="","",MAX(0,$H211-N($E211)))</f>
        <v/>
      </c>
      <c r="J211" s="42">
        <f>IF($H211="","",MAX(0,$H211-N($G211)))</f>
        <v/>
      </c>
    </row>
    <row r="212" ht="19.5" customHeight="1" s="72">
      <c r="A212" s="38" t="inlineStr">
        <is>
          <t>BM-32-P08-BEN</t>
        </is>
      </c>
      <c r="B212" s="38" t="inlineStr">
        <is>
          <t>Fase 32</t>
        </is>
      </c>
      <c r="C212" s="38" t="inlineStr">
        <is>
          <t>Benguela</t>
        </is>
      </c>
      <c r="D212" s="39" t="inlineStr">
        <is>
          <t>A_B_M_32_P8</t>
        </is>
      </c>
      <c r="E212" s="40" t="n"/>
      <c r="F212" s="39" t="inlineStr">
        <is>
          <t>B_B_M_32_P8</t>
        </is>
      </c>
      <c r="G212" s="40" t="n"/>
      <c r="H212" s="41" t="n"/>
      <c r="I212" s="42">
        <f>IF($H212="","",MAX(0,$H212-N($E212)))</f>
        <v/>
      </c>
      <c r="J212" s="42">
        <f>IF($H212="","",MAX(0,$H212-N($G212)))</f>
        <v/>
      </c>
    </row>
    <row r="213" ht="19.5" customHeight="1" s="72">
      <c r="A213" s="38" t="inlineStr">
        <is>
          <t>BM-32-P08-SBA</t>
        </is>
      </c>
      <c r="B213" s="38" t="inlineStr">
        <is>
          <t>Fase 32</t>
        </is>
      </c>
      <c r="C213" s="38" t="inlineStr">
        <is>
          <t>São Bento da Abadá</t>
        </is>
      </c>
      <c r="D213" s="39" t="inlineStr">
        <is>
          <t>A_B_M_32_P8</t>
        </is>
      </c>
      <c r="E213" s="40" t="n"/>
      <c r="F213" s="39" t="inlineStr">
        <is>
          <t>B_B_M_32_P8</t>
        </is>
      </c>
      <c r="G213" s="40" t="n"/>
      <c r="H213" s="41" t="n"/>
      <c r="I213" s="42">
        <f>IF($H213="","",MAX(0,$H213-N($E213)))</f>
        <v/>
      </c>
      <c r="J213" s="42">
        <f>IF($H213="","",MAX(0,$H213-N($G213)))</f>
        <v/>
      </c>
    </row>
    <row r="214" ht="19.5" customHeight="1" s="72">
      <c r="A214" s="38" t="inlineStr">
        <is>
          <t>BM-32-P08-SIR</t>
        </is>
      </c>
      <c r="B214" s="38" t="inlineStr">
        <is>
          <t>Fase 32</t>
        </is>
      </c>
      <c r="C214" s="38" t="inlineStr">
        <is>
          <t>Siriuna</t>
        </is>
      </c>
      <c r="D214" s="39" t="inlineStr">
        <is>
          <t>A_B_M_32_P8</t>
        </is>
      </c>
      <c r="E214" s="40" t="n"/>
      <c r="F214" s="39" t="inlineStr">
        <is>
          <t>B_B_M_32_P8</t>
        </is>
      </c>
      <c r="G214" s="40" t="n"/>
      <c r="H214" s="41" t="n"/>
      <c r="I214" s="42">
        <f>IF($H214="","",MAX(0,$H214-N($E214)))</f>
        <v/>
      </c>
      <c r="J214" s="42">
        <f>IF($H214="","",MAX(0,$H214-N($G214)))</f>
        <v/>
      </c>
    </row>
    <row r="215" ht="19.5" customHeight="1" s="72">
      <c r="A215" s="38" t="inlineStr">
        <is>
          <t>BM-32-P09-BEN</t>
        </is>
      </c>
      <c r="B215" s="38" t="inlineStr">
        <is>
          <t>Fase 32</t>
        </is>
      </c>
      <c r="C215" s="38" t="inlineStr">
        <is>
          <t>Benguela</t>
        </is>
      </c>
      <c r="D215" s="39" t="inlineStr">
        <is>
          <t>A_B_M_32_P9</t>
        </is>
      </c>
      <c r="E215" s="40" t="n"/>
      <c r="F215" s="39" t="inlineStr">
        <is>
          <t>B_B_M_32_P9</t>
        </is>
      </c>
      <c r="G215" s="40" t="n"/>
      <c r="H215" s="41" t="n"/>
      <c r="I215" s="42">
        <f>IF($H215="","",MAX(0,$H215-N($E215)))</f>
        <v/>
      </c>
      <c r="J215" s="42">
        <f>IF($H215="","",MAX(0,$H215-N($G215)))</f>
        <v/>
      </c>
    </row>
    <row r="216" ht="19.5" customHeight="1" s="72">
      <c r="A216" s="38" t="inlineStr">
        <is>
          <t>BM-32-P09-SBA</t>
        </is>
      </c>
      <c r="B216" s="38" t="inlineStr">
        <is>
          <t>Fase 32</t>
        </is>
      </c>
      <c r="C216" s="38" t="inlineStr">
        <is>
          <t>São Bento da Abadá</t>
        </is>
      </c>
      <c r="D216" s="39" t="inlineStr">
        <is>
          <t>A_B_M_32_P9</t>
        </is>
      </c>
      <c r="E216" s="40" t="n"/>
      <c r="F216" s="39" t="inlineStr">
        <is>
          <t>B_B_M_32_P9</t>
        </is>
      </c>
      <c r="G216" s="40" t="n"/>
      <c r="H216" s="41" t="n"/>
      <c r="I216" s="42">
        <f>IF($H216="","",MAX(0,$H216-N($E216)))</f>
        <v/>
      </c>
      <c r="J216" s="42">
        <f>IF($H216="","",MAX(0,$H216-N($G216)))</f>
        <v/>
      </c>
    </row>
    <row r="217" ht="19.5" customHeight="1" s="72">
      <c r="A217" s="38" t="inlineStr">
        <is>
          <t>BM-32-P09-SIR</t>
        </is>
      </c>
      <c r="B217" s="38" t="inlineStr">
        <is>
          <t>Fase 32</t>
        </is>
      </c>
      <c r="C217" s="38" t="inlineStr">
        <is>
          <t>Siriuna</t>
        </is>
      </c>
      <c r="D217" s="39" t="inlineStr">
        <is>
          <t>A_B_M_32_P9</t>
        </is>
      </c>
      <c r="E217" s="40" t="n"/>
      <c r="F217" s="39" t="inlineStr">
        <is>
          <t>B_B_M_32_P9</t>
        </is>
      </c>
      <c r="G217" s="40" t="n"/>
      <c r="H217" s="41" t="n"/>
      <c r="I217" s="42">
        <f>IF($H217="","",MAX(0,$H217-N($E217)))</f>
        <v/>
      </c>
      <c r="J217" s="42">
        <f>IF($H217="","",MAX(0,$H217-N($G217)))</f>
        <v/>
      </c>
    </row>
    <row r="218" ht="19.5" customHeight="1" s="72">
      <c r="A218" s="38" t="inlineStr">
        <is>
          <t>BM-32-P10-BEN</t>
        </is>
      </c>
      <c r="B218" s="38" t="inlineStr">
        <is>
          <t>Fase 32</t>
        </is>
      </c>
      <c r="C218" s="38" t="inlineStr">
        <is>
          <t>Benguela</t>
        </is>
      </c>
      <c r="D218" s="39" t="inlineStr">
        <is>
          <t>A_B_M_32_P10</t>
        </is>
      </c>
      <c r="E218" s="40" t="n"/>
      <c r="F218" s="39" t="inlineStr">
        <is>
          <t>B_B_M_32_P10</t>
        </is>
      </c>
      <c r="G218" s="40" t="n"/>
      <c r="H218" s="41" t="n"/>
      <c r="I218" s="42">
        <f>IF($H218="","",MAX(0,$H218-N($E218)))</f>
        <v/>
      </c>
      <c r="J218" s="42">
        <f>IF($H218="","",MAX(0,$H218-N($G218)))</f>
        <v/>
      </c>
    </row>
    <row r="219" ht="19.5" customHeight="1" s="72">
      <c r="A219" s="38" t="inlineStr">
        <is>
          <t>BM-32-P10-SBA</t>
        </is>
      </c>
      <c r="B219" s="38" t="inlineStr">
        <is>
          <t>Fase 32</t>
        </is>
      </c>
      <c r="C219" s="38" t="inlineStr">
        <is>
          <t>São Bento da Abadá</t>
        </is>
      </c>
      <c r="D219" s="39" t="inlineStr">
        <is>
          <t>A_B_M_32_P10</t>
        </is>
      </c>
      <c r="E219" s="40" t="n"/>
      <c r="F219" s="39" t="inlineStr">
        <is>
          <t>B_B_M_32_P10</t>
        </is>
      </c>
      <c r="G219" s="40" t="n"/>
      <c r="H219" s="41" t="n"/>
      <c r="I219" s="42">
        <f>IF($H219="","",MAX(0,$H219-N($E219)))</f>
        <v/>
      </c>
      <c r="J219" s="42">
        <f>IF($H219="","",MAX(0,$H219-N($G219)))</f>
        <v/>
      </c>
    </row>
    <row r="220" ht="19.5" customHeight="1" s="72">
      <c r="A220" s="38" t="inlineStr">
        <is>
          <t>BM-32-P10-SIR</t>
        </is>
      </c>
      <c r="B220" s="38" t="inlineStr">
        <is>
          <t>Fase 32</t>
        </is>
      </c>
      <c r="C220" s="38" t="inlineStr">
        <is>
          <t>Siriuna</t>
        </is>
      </c>
      <c r="D220" s="39" t="inlineStr">
        <is>
          <t>A_B_M_32_P10</t>
        </is>
      </c>
      <c r="E220" s="40" t="n"/>
      <c r="F220" s="39" t="inlineStr">
        <is>
          <t>B_B_M_32_P10</t>
        </is>
      </c>
      <c r="G220" s="40" t="n"/>
      <c r="H220" s="41" t="n"/>
      <c r="I220" s="42">
        <f>IF($H220="","",MAX(0,$H220-N($E220)))</f>
        <v/>
      </c>
      <c r="J220" s="42">
        <f>IF($H220="","",MAX(0,$H220-N($G220)))</f>
        <v/>
      </c>
    </row>
    <row r="221" ht="19.5" customHeight="1" s="72">
      <c r="A221" s="38" t="inlineStr">
        <is>
          <t>BM-32-P11-BEN</t>
        </is>
      </c>
      <c r="B221" s="38" t="inlineStr">
        <is>
          <t>Fase 32</t>
        </is>
      </c>
      <c r="C221" s="38" t="inlineStr">
        <is>
          <t>Benguela</t>
        </is>
      </c>
      <c r="D221" s="39" t="inlineStr">
        <is>
          <t>A_B_M_32_P11</t>
        </is>
      </c>
      <c r="E221" s="40" t="n"/>
      <c r="F221" s="39" t="inlineStr">
        <is>
          <t>B_B_M_32_P11</t>
        </is>
      </c>
      <c r="G221" s="40" t="n"/>
      <c r="H221" s="41" t="n"/>
      <c r="I221" s="42">
        <f>IF($H221="","",MAX(0,$H221-N($E221)))</f>
        <v/>
      </c>
      <c r="J221" s="42">
        <f>IF($H221="","",MAX(0,$H221-N($G221)))</f>
        <v/>
      </c>
    </row>
    <row r="222" ht="19.5" customHeight="1" s="72">
      <c r="A222" s="38" t="inlineStr">
        <is>
          <t>BM-32-P11-SBA</t>
        </is>
      </c>
      <c r="B222" s="38" t="inlineStr">
        <is>
          <t>Fase 32</t>
        </is>
      </c>
      <c r="C222" s="38" t="inlineStr">
        <is>
          <t>São Bento da Abadá</t>
        </is>
      </c>
      <c r="D222" s="39" t="inlineStr">
        <is>
          <t>A_B_M_32_P11</t>
        </is>
      </c>
      <c r="E222" s="40" t="n"/>
      <c r="F222" s="39" t="inlineStr">
        <is>
          <t>B_B_M_32_P11</t>
        </is>
      </c>
      <c r="G222" s="40" t="n"/>
      <c r="H222" s="41" t="n"/>
      <c r="I222" s="42">
        <f>IF($H222="","",MAX(0,$H222-N($E222)))</f>
        <v/>
      </c>
      <c r="J222" s="42">
        <f>IF($H222="","",MAX(0,$H222-N($G222)))</f>
        <v/>
      </c>
    </row>
    <row r="223" ht="19.5" customHeight="1" s="72">
      <c r="A223" s="38" t="inlineStr">
        <is>
          <t>BM-32-P11-SIR</t>
        </is>
      </c>
      <c r="B223" s="38" t="inlineStr">
        <is>
          <t>Fase 32</t>
        </is>
      </c>
      <c r="C223" s="38" t="inlineStr">
        <is>
          <t>Siriuna</t>
        </is>
      </c>
      <c r="D223" s="39" t="inlineStr">
        <is>
          <t>A_B_M_32_P11</t>
        </is>
      </c>
      <c r="E223" s="40" t="n"/>
      <c r="F223" s="39" t="inlineStr">
        <is>
          <t>B_B_M_32_P11</t>
        </is>
      </c>
      <c r="G223" s="40" t="n"/>
      <c r="H223" s="41" t="n"/>
      <c r="I223" s="42">
        <f>IF($H223="","",MAX(0,$H223-N($E223)))</f>
        <v/>
      </c>
      <c r="J223" s="42">
        <f>IF($H223="","",MAX(0,$H223-N($G223)))</f>
        <v/>
      </c>
    </row>
    <row r="224" ht="19.5" customHeight="1" s="72">
      <c r="A224" s="38" t="inlineStr">
        <is>
          <t>BM-32-P12-BEN</t>
        </is>
      </c>
      <c r="B224" s="38" t="inlineStr">
        <is>
          <t>Fase 32</t>
        </is>
      </c>
      <c r="C224" s="38" t="inlineStr">
        <is>
          <t>Benguela</t>
        </is>
      </c>
      <c r="D224" s="39" t="inlineStr">
        <is>
          <t>A_B_M_32_P12</t>
        </is>
      </c>
      <c r="E224" s="40" t="n"/>
      <c r="F224" s="39" t="inlineStr">
        <is>
          <t>B_B_M_32_P12</t>
        </is>
      </c>
      <c r="G224" s="40" t="n"/>
      <c r="H224" s="41" t="n"/>
      <c r="I224" s="42">
        <f>IF($H224="","",MAX(0,$H224-N($E224)))</f>
        <v/>
      </c>
      <c r="J224" s="42">
        <f>IF($H224="","",MAX(0,$H224-N($G224)))</f>
        <v/>
      </c>
    </row>
    <row r="225" ht="19.5" customHeight="1" s="72">
      <c r="A225" s="38" t="inlineStr">
        <is>
          <t>BM-32-P12-SBA</t>
        </is>
      </c>
      <c r="B225" s="38" t="inlineStr">
        <is>
          <t>Fase 32</t>
        </is>
      </c>
      <c r="C225" s="38" t="inlineStr">
        <is>
          <t>São Bento da Abadá</t>
        </is>
      </c>
      <c r="D225" s="39" t="inlineStr">
        <is>
          <t>A_B_M_32_P12</t>
        </is>
      </c>
      <c r="E225" s="40" t="n"/>
      <c r="F225" s="39" t="inlineStr">
        <is>
          <t>B_B_M_32_P12</t>
        </is>
      </c>
      <c r="G225" s="40" t="n"/>
      <c r="H225" s="41" t="n"/>
      <c r="I225" s="42">
        <f>IF($H225="","",MAX(0,$H225-N($E225)))</f>
        <v/>
      </c>
      <c r="J225" s="42">
        <f>IF($H225="","",MAX(0,$H225-N($G225)))</f>
        <v/>
      </c>
    </row>
    <row r="226" ht="19.5" customHeight="1" s="72">
      <c r="A226" s="38" t="inlineStr">
        <is>
          <t>BM-32-P12-SIR</t>
        </is>
      </c>
      <c r="B226" s="38" t="inlineStr">
        <is>
          <t>Fase 32</t>
        </is>
      </c>
      <c r="C226" s="38" t="inlineStr">
        <is>
          <t>Siriuna</t>
        </is>
      </c>
      <c r="D226" s="39" t="inlineStr">
        <is>
          <t>A_B_M_32_P12</t>
        </is>
      </c>
      <c r="E226" s="40" t="n"/>
      <c r="F226" s="39" t="inlineStr">
        <is>
          <t>B_B_M_32_P12</t>
        </is>
      </c>
      <c r="G226" s="40" t="n"/>
      <c r="H226" s="41" t="n"/>
      <c r="I226" s="42">
        <f>IF($H226="","",MAX(0,$H226-N($E226)))</f>
        <v/>
      </c>
      <c r="J226" s="42">
        <f>IF($H226="","",MAX(0,$H226-N($G226)))</f>
        <v/>
      </c>
    </row>
    <row r="227" ht="19.5" customHeight="1" s="72">
      <c r="A227" s="38" t="inlineStr">
        <is>
          <t>BM-32-P13-BEN</t>
        </is>
      </c>
      <c r="B227" s="38" t="inlineStr">
        <is>
          <t>Fase 32</t>
        </is>
      </c>
      <c r="C227" s="38" t="inlineStr">
        <is>
          <t>Benguela</t>
        </is>
      </c>
      <c r="D227" s="39" t="inlineStr">
        <is>
          <t>A_B_M_32_P13</t>
        </is>
      </c>
      <c r="E227" s="40" t="n"/>
      <c r="F227" s="39" t="inlineStr">
        <is>
          <t>B_B_M_32_P13</t>
        </is>
      </c>
      <c r="G227" s="40" t="n"/>
      <c r="H227" s="41" t="n"/>
      <c r="I227" s="42">
        <f>IF($H227="","",MAX(0,$H227-N($E227)))</f>
        <v/>
      </c>
      <c r="J227" s="42">
        <f>IF($H227="","",MAX(0,$H227-N($G227)))</f>
        <v/>
      </c>
    </row>
    <row r="228" ht="19.5" customHeight="1" s="72">
      <c r="A228" s="38" t="inlineStr">
        <is>
          <t>BM-32-P13-SBA</t>
        </is>
      </c>
      <c r="B228" s="38" t="inlineStr">
        <is>
          <t>Fase 32</t>
        </is>
      </c>
      <c r="C228" s="38" t="inlineStr">
        <is>
          <t>São Bento da Abadá</t>
        </is>
      </c>
      <c r="D228" s="39" t="inlineStr">
        <is>
          <t>A_B_M_32_P13</t>
        </is>
      </c>
      <c r="E228" s="40" t="n"/>
      <c r="F228" s="39" t="inlineStr">
        <is>
          <t>B_B_M_32_P13</t>
        </is>
      </c>
      <c r="G228" s="40" t="n"/>
      <c r="H228" s="41" t="n"/>
      <c r="I228" s="42">
        <f>IF($H228="","",MAX(0,$H228-N($E228)))</f>
        <v/>
      </c>
      <c r="J228" s="42">
        <f>IF($H228="","",MAX(0,$H228-N($G228)))</f>
        <v/>
      </c>
    </row>
    <row r="229" ht="19.5" customHeight="1" s="72">
      <c r="A229" s="38" t="inlineStr">
        <is>
          <t>BM-32-P13-SIR</t>
        </is>
      </c>
      <c r="B229" s="38" t="inlineStr">
        <is>
          <t>Fase 32</t>
        </is>
      </c>
      <c r="C229" s="38" t="inlineStr">
        <is>
          <t>Siriuna</t>
        </is>
      </c>
      <c r="D229" s="39" t="inlineStr">
        <is>
          <t>A_B_M_32_P13</t>
        </is>
      </c>
      <c r="E229" s="40" t="n"/>
      <c r="F229" s="39" t="inlineStr">
        <is>
          <t>B_B_M_32_P13</t>
        </is>
      </c>
      <c r="G229" s="40" t="n"/>
      <c r="H229" s="41" t="n"/>
      <c r="I229" s="42">
        <f>IF($H229="","",MAX(0,$H229-N($E229)))</f>
        <v/>
      </c>
      <c r="J229" s="42">
        <f>IF($H229="","",MAX(0,$H229-N($G229)))</f>
        <v/>
      </c>
    </row>
    <row r="230" ht="19.5" customHeight="1" s="72">
      <c r="A230" s="38" t="inlineStr">
        <is>
          <t>BM-32-P14-BEN</t>
        </is>
      </c>
      <c r="B230" s="38" t="inlineStr">
        <is>
          <t>Fase 32</t>
        </is>
      </c>
      <c r="C230" s="38" t="inlineStr">
        <is>
          <t>Benguela</t>
        </is>
      </c>
      <c r="D230" s="39" t="inlineStr">
        <is>
          <t>A_B_M_32_P14</t>
        </is>
      </c>
      <c r="E230" s="40" t="n"/>
      <c r="F230" s="39" t="inlineStr">
        <is>
          <t>B_B_M_32_P14</t>
        </is>
      </c>
      <c r="G230" s="40" t="n"/>
      <c r="H230" s="41" t="n"/>
      <c r="I230" s="42">
        <f>IF($H230="","",MAX(0,$H230-N($E230)))</f>
        <v/>
      </c>
      <c r="J230" s="42">
        <f>IF($H230="","",MAX(0,$H230-N($G230)))</f>
        <v/>
      </c>
    </row>
    <row r="231" ht="19.5" customHeight="1" s="72">
      <c r="A231" s="38" t="inlineStr">
        <is>
          <t>BM-32-P14-SBA</t>
        </is>
      </c>
      <c r="B231" s="38" t="inlineStr">
        <is>
          <t>Fase 32</t>
        </is>
      </c>
      <c r="C231" s="38" t="inlineStr">
        <is>
          <t>São Bento da Abadá</t>
        </is>
      </c>
      <c r="D231" s="39" t="inlineStr">
        <is>
          <t>A_B_M_32_P14</t>
        </is>
      </c>
      <c r="E231" s="40" t="n"/>
      <c r="F231" s="39" t="inlineStr">
        <is>
          <t>B_B_M_32_P14</t>
        </is>
      </c>
      <c r="G231" s="40" t="n"/>
      <c r="H231" s="41" t="n"/>
      <c r="I231" s="42">
        <f>IF($H231="","",MAX(0,$H231-N($E231)))</f>
        <v/>
      </c>
      <c r="J231" s="42">
        <f>IF($H231="","",MAX(0,$H231-N($G231)))</f>
        <v/>
      </c>
    </row>
    <row r="232" ht="19.5" customHeight="1" s="72">
      <c r="A232" s="38" t="inlineStr">
        <is>
          <t>BM-32-P14-SIR</t>
        </is>
      </c>
      <c r="B232" s="38" t="inlineStr">
        <is>
          <t>Fase 32</t>
        </is>
      </c>
      <c r="C232" s="38" t="inlineStr">
        <is>
          <t>Siriuna</t>
        </is>
      </c>
      <c r="D232" s="39" t="inlineStr">
        <is>
          <t>A_B_M_32_P14</t>
        </is>
      </c>
      <c r="E232" s="40" t="n"/>
      <c r="F232" s="39" t="inlineStr">
        <is>
          <t>B_B_M_32_P14</t>
        </is>
      </c>
      <c r="G232" s="40" t="n"/>
      <c r="H232" s="41" t="n"/>
      <c r="I232" s="42">
        <f>IF($H232="","",MAX(0,$H232-N($E232)))</f>
        <v/>
      </c>
      <c r="J232" s="42">
        <f>IF($H232="","",MAX(0,$H232-N($G232)))</f>
        <v/>
      </c>
    </row>
    <row r="233" ht="19.5" customHeight="1" s="72">
      <c r="A233" s="38" t="inlineStr">
        <is>
          <t>BM-32-P15-BEN</t>
        </is>
      </c>
      <c r="B233" s="38" t="inlineStr">
        <is>
          <t>Fase 32</t>
        </is>
      </c>
      <c r="C233" s="38" t="inlineStr">
        <is>
          <t>Benguela</t>
        </is>
      </c>
      <c r="D233" s="39" t="inlineStr">
        <is>
          <t>A_B_M_32_P15</t>
        </is>
      </c>
      <c r="E233" s="40" t="n"/>
      <c r="F233" s="39" t="inlineStr">
        <is>
          <t>B_B_M_32_P15</t>
        </is>
      </c>
      <c r="G233" s="40" t="n"/>
      <c r="H233" s="41" t="n"/>
      <c r="I233" s="42">
        <f>IF($H233="","",MAX(0,$H233-N($E233)))</f>
        <v/>
      </c>
      <c r="J233" s="42">
        <f>IF($H233="","",MAX(0,$H233-N($G233)))</f>
        <v/>
      </c>
    </row>
    <row r="234" ht="19.5" customHeight="1" s="72">
      <c r="A234" s="38" t="inlineStr">
        <is>
          <t>BM-32-P15-SBA</t>
        </is>
      </c>
      <c r="B234" s="38" t="inlineStr">
        <is>
          <t>Fase 32</t>
        </is>
      </c>
      <c r="C234" s="38" t="inlineStr">
        <is>
          <t>São Bento da Abadá</t>
        </is>
      </c>
      <c r="D234" s="39" t="inlineStr">
        <is>
          <t>A_B_M_32_P15</t>
        </is>
      </c>
      <c r="E234" s="40" t="n"/>
      <c r="F234" s="39" t="inlineStr">
        <is>
          <t>B_B_M_32_P15</t>
        </is>
      </c>
      <c r="G234" s="40" t="n"/>
      <c r="H234" s="41" t="n"/>
      <c r="I234" s="42">
        <f>IF($H234="","",MAX(0,$H234-N($E234)))</f>
        <v/>
      </c>
      <c r="J234" s="42">
        <f>IF($H234="","",MAX(0,$H234-N($G234)))</f>
        <v/>
      </c>
    </row>
    <row r="235" ht="19.5" customHeight="1" s="72">
      <c r="A235" s="38" t="inlineStr">
        <is>
          <t>BM-32-P15-SIR</t>
        </is>
      </c>
      <c r="B235" s="38" t="inlineStr">
        <is>
          <t>Fase 32</t>
        </is>
      </c>
      <c r="C235" s="38" t="inlineStr">
        <is>
          <t>Siriuna</t>
        </is>
      </c>
      <c r="D235" s="39" t="inlineStr">
        <is>
          <t>A_B_M_32_P15</t>
        </is>
      </c>
      <c r="E235" s="40" t="n"/>
      <c r="F235" s="39" t="inlineStr">
        <is>
          <t>B_B_M_32_P15</t>
        </is>
      </c>
      <c r="G235" s="40" t="n"/>
      <c r="H235" s="41" t="n"/>
      <c r="I235" s="42">
        <f>IF($H235="","",MAX(0,$H235-N($E235)))</f>
        <v/>
      </c>
      <c r="J235" s="42">
        <f>IF($H235="","",MAX(0,$H235-N($G235)))</f>
        <v/>
      </c>
    </row>
    <row r="236" ht="19.5" customHeight="1" s="72">
      <c r="A236" s="38" t="inlineStr">
        <is>
          <t>BM-32-P16-BEN</t>
        </is>
      </c>
      <c r="B236" s="38" t="inlineStr">
        <is>
          <t>Fase 32</t>
        </is>
      </c>
      <c r="C236" s="38" t="inlineStr">
        <is>
          <t>Benguela</t>
        </is>
      </c>
      <c r="D236" s="39" t="inlineStr">
        <is>
          <t>A_B_M_32_P16</t>
        </is>
      </c>
      <c r="E236" s="40" t="n"/>
      <c r="F236" s="39" t="inlineStr">
        <is>
          <t>B_B_M_32_P16</t>
        </is>
      </c>
      <c r="G236" s="40" t="n"/>
      <c r="H236" s="41" t="n"/>
      <c r="I236" s="42">
        <f>IF($H236="","",MAX(0,$H236-N($E236)))</f>
        <v/>
      </c>
      <c r="J236" s="42">
        <f>IF($H236="","",MAX(0,$H236-N($G236)))</f>
        <v/>
      </c>
    </row>
    <row r="237" ht="19.5" customHeight="1" s="72">
      <c r="A237" s="38" t="inlineStr">
        <is>
          <t>BM-32-P16-SBA</t>
        </is>
      </c>
      <c r="B237" s="38" t="inlineStr">
        <is>
          <t>Fase 32</t>
        </is>
      </c>
      <c r="C237" s="38" t="inlineStr">
        <is>
          <t>São Bento da Abadá</t>
        </is>
      </c>
      <c r="D237" s="39" t="inlineStr">
        <is>
          <t>A_B_M_32_P16</t>
        </is>
      </c>
      <c r="E237" s="40" t="n"/>
      <c r="F237" s="39" t="inlineStr">
        <is>
          <t>B_B_M_32_P16</t>
        </is>
      </c>
      <c r="G237" s="40" t="n"/>
      <c r="H237" s="41" t="n"/>
      <c r="I237" s="42">
        <f>IF($H237="","",MAX(0,$H237-N($E237)))</f>
        <v/>
      </c>
      <c r="J237" s="42">
        <f>IF($H237="","",MAX(0,$H237-N($G237)))</f>
        <v/>
      </c>
    </row>
    <row r="238" ht="19.5" customHeight="1" s="72">
      <c r="A238" s="38" t="inlineStr">
        <is>
          <t>BM-32-P16-SIR</t>
        </is>
      </c>
      <c r="B238" s="38" t="inlineStr">
        <is>
          <t>Fase 32</t>
        </is>
      </c>
      <c r="C238" s="38" t="inlineStr">
        <is>
          <t>Siriuna</t>
        </is>
      </c>
      <c r="D238" s="39" t="inlineStr">
        <is>
          <t>A_B_M_32_P16</t>
        </is>
      </c>
      <c r="E238" s="40" t="n"/>
      <c r="F238" s="39" t="inlineStr">
        <is>
          <t>B_B_M_32_P16</t>
        </is>
      </c>
      <c r="G238" s="40" t="n"/>
      <c r="H238" s="41" t="n"/>
      <c r="I238" s="42">
        <f>IF($H238="","",MAX(0,$H238-N($E238)))</f>
        <v/>
      </c>
      <c r="J238" s="42">
        <f>IF($H238="","",MAX(0,$H238-N($G238)))</f>
        <v/>
      </c>
    </row>
    <row r="239" ht="19.5" customHeight="1" s="72">
      <c r="A239" s="38" t="inlineStr">
        <is>
          <t>BM-OCT-P01-BEN</t>
        </is>
      </c>
      <c r="B239" s="38" t="inlineStr">
        <is>
          <t>Octavas</t>
        </is>
      </c>
      <c r="C239" s="38" t="inlineStr">
        <is>
          <t>Benguela</t>
        </is>
      </c>
      <c r="D239" s="39">
        <f>IFERROR(CLASIF_B_M!$F$5,"")</f>
        <v/>
      </c>
      <c r="E239" s="40" t="n"/>
      <c r="F239" s="39">
        <f>IFERROR(CLASIF_B_M!$F$20,"")</f>
        <v/>
      </c>
      <c r="G239" s="40" t="n"/>
      <c r="H239" s="41" t="n"/>
      <c r="I239" s="42">
        <f>IF($H239="","",MAX(0,$H239-N($E239)))</f>
        <v/>
      </c>
      <c r="J239" s="42">
        <f>IF($H239="","",MAX(0,$H239-N($G239)))</f>
        <v/>
      </c>
    </row>
    <row r="240" ht="19.5" customHeight="1" s="72">
      <c r="A240" s="38" t="inlineStr">
        <is>
          <t>BM-OCT-P01-SBA</t>
        </is>
      </c>
      <c r="B240" s="38" t="inlineStr">
        <is>
          <t>Octavas</t>
        </is>
      </c>
      <c r="C240" s="38" t="inlineStr">
        <is>
          <t>São Bento da Abadá</t>
        </is>
      </c>
      <c r="D240" s="39">
        <f>IFERROR(CLASIF_B_M!$F$5,"")</f>
        <v/>
      </c>
      <c r="E240" s="40" t="n"/>
      <c r="F240" s="39">
        <f>IFERROR(CLASIF_B_M!$F$20,"")</f>
        <v/>
      </c>
      <c r="G240" s="40" t="n"/>
      <c r="H240" s="41" t="n"/>
      <c r="I240" s="42">
        <f>IF($H240="","",MAX(0,$H240-N($E240)))</f>
        <v/>
      </c>
      <c r="J240" s="42">
        <f>IF($H240="","",MAX(0,$H240-N($G240)))</f>
        <v/>
      </c>
    </row>
    <row r="241" ht="19.5" customHeight="1" s="72">
      <c r="A241" s="38" t="inlineStr">
        <is>
          <t>BM-OCT-P01-SIR</t>
        </is>
      </c>
      <c r="B241" s="38" t="inlineStr">
        <is>
          <t>Octavas</t>
        </is>
      </c>
      <c r="C241" s="38" t="inlineStr">
        <is>
          <t>Siriuna</t>
        </is>
      </c>
      <c r="D241" s="39">
        <f>IFERROR(CLASIF_B_M!$F$5,"")</f>
        <v/>
      </c>
      <c r="E241" s="40" t="n"/>
      <c r="F241" s="39">
        <f>IFERROR(CLASIF_B_M!$F$20,"")</f>
        <v/>
      </c>
      <c r="G241" s="40" t="n"/>
      <c r="H241" s="41" t="n"/>
      <c r="I241" s="42">
        <f>IF($H241="","",MAX(0,$H241-N($E241)))</f>
        <v/>
      </c>
      <c r="J241" s="42">
        <f>IF($H241="","",MAX(0,$H241-N($G241)))</f>
        <v/>
      </c>
    </row>
    <row r="242" ht="19.5" customHeight="1" s="72">
      <c r="A242" s="38" t="inlineStr">
        <is>
          <t>BM-OCT-P02-BEN</t>
        </is>
      </c>
      <c r="B242" s="38" t="inlineStr">
        <is>
          <t>Octavas</t>
        </is>
      </c>
      <c r="C242" s="38" t="inlineStr">
        <is>
          <t>Benguela</t>
        </is>
      </c>
      <c r="D242" s="39">
        <f>IFERROR(CLASIF_B_M!$F$6,"")</f>
        <v/>
      </c>
      <c r="E242" s="40" t="n"/>
      <c r="F242" s="39">
        <f>IFERROR(CLASIF_B_M!$F$19,"")</f>
        <v/>
      </c>
      <c r="G242" s="40" t="n"/>
      <c r="H242" s="41" t="n"/>
      <c r="I242" s="42">
        <f>IF($H242="","",MAX(0,$H242-N($E242)))</f>
        <v/>
      </c>
      <c r="J242" s="42">
        <f>IF($H242="","",MAX(0,$H242-N($G242)))</f>
        <v/>
      </c>
    </row>
    <row r="243" ht="19.5" customHeight="1" s="72">
      <c r="A243" s="38" t="inlineStr">
        <is>
          <t>BM-OCT-P02-SBA</t>
        </is>
      </c>
      <c r="B243" s="38" t="inlineStr">
        <is>
          <t>Octavas</t>
        </is>
      </c>
      <c r="C243" s="38" t="inlineStr">
        <is>
          <t>São Bento da Abadá</t>
        </is>
      </c>
      <c r="D243" s="39">
        <f>IFERROR(CLASIF_B_M!$F$6,"")</f>
        <v/>
      </c>
      <c r="E243" s="40" t="n"/>
      <c r="F243" s="39">
        <f>IFERROR(CLASIF_B_M!$F$19,"")</f>
        <v/>
      </c>
      <c r="G243" s="40" t="n"/>
      <c r="H243" s="41" t="n"/>
      <c r="I243" s="42">
        <f>IF($H243="","",MAX(0,$H243-N($E243)))</f>
        <v/>
      </c>
      <c r="J243" s="42">
        <f>IF($H243="","",MAX(0,$H243-N($G243)))</f>
        <v/>
      </c>
    </row>
    <row r="244" ht="19.5" customHeight="1" s="72">
      <c r="A244" s="38" t="inlineStr">
        <is>
          <t>BM-OCT-P02-SIR</t>
        </is>
      </c>
      <c r="B244" s="38" t="inlineStr">
        <is>
          <t>Octavas</t>
        </is>
      </c>
      <c r="C244" s="38" t="inlineStr">
        <is>
          <t>Siriuna</t>
        </is>
      </c>
      <c r="D244" s="39">
        <f>IFERROR(CLASIF_B_M!$F$6,"")</f>
        <v/>
      </c>
      <c r="E244" s="40" t="n"/>
      <c r="F244" s="39">
        <f>IFERROR(CLASIF_B_M!$F$19,"")</f>
        <v/>
      </c>
      <c r="G244" s="40" t="n"/>
      <c r="H244" s="41" t="n"/>
      <c r="I244" s="42">
        <f>IF($H244="","",MAX(0,$H244-N($E244)))</f>
        <v/>
      </c>
      <c r="J244" s="42">
        <f>IF($H244="","",MAX(0,$H244-N($G244)))</f>
        <v/>
      </c>
    </row>
    <row r="245" ht="19.5" customHeight="1" s="72">
      <c r="A245" s="38" t="inlineStr">
        <is>
          <t>BM-OCT-P03-BEN</t>
        </is>
      </c>
      <c r="B245" s="38" t="inlineStr">
        <is>
          <t>Octavas</t>
        </is>
      </c>
      <c r="C245" s="38" t="inlineStr">
        <is>
          <t>Benguela</t>
        </is>
      </c>
      <c r="D245" s="39">
        <f>IFERROR(CLASIF_B_M!$F$7,"")</f>
        <v/>
      </c>
      <c r="E245" s="40" t="n"/>
      <c r="F245" s="39">
        <f>IFERROR(CLASIF_B_M!$F$18,"")</f>
        <v/>
      </c>
      <c r="G245" s="40" t="n"/>
      <c r="H245" s="41" t="n"/>
      <c r="I245" s="42">
        <f>IF($H245="","",MAX(0,$H245-N($E245)))</f>
        <v/>
      </c>
      <c r="J245" s="42">
        <f>IF($H245="","",MAX(0,$H245-N($G245)))</f>
        <v/>
      </c>
    </row>
    <row r="246" ht="19.5" customHeight="1" s="72">
      <c r="A246" s="38" t="inlineStr">
        <is>
          <t>BM-OCT-P03-SBA</t>
        </is>
      </c>
      <c r="B246" s="38" t="inlineStr">
        <is>
          <t>Octavas</t>
        </is>
      </c>
      <c r="C246" s="38" t="inlineStr">
        <is>
          <t>São Bento da Abadá</t>
        </is>
      </c>
      <c r="D246" s="39">
        <f>IFERROR(CLASIF_B_M!$F$7,"")</f>
        <v/>
      </c>
      <c r="E246" s="40" t="n"/>
      <c r="F246" s="39">
        <f>IFERROR(CLASIF_B_M!$F$18,"")</f>
        <v/>
      </c>
      <c r="G246" s="40" t="n"/>
      <c r="H246" s="41" t="n"/>
      <c r="I246" s="42">
        <f>IF($H246="","",MAX(0,$H246-N($E246)))</f>
        <v/>
      </c>
      <c r="J246" s="42">
        <f>IF($H246="","",MAX(0,$H246-N($G246)))</f>
        <v/>
      </c>
    </row>
    <row r="247" ht="19.5" customHeight="1" s="72">
      <c r="A247" s="38" t="inlineStr">
        <is>
          <t>BM-OCT-P03-SIR</t>
        </is>
      </c>
      <c r="B247" s="38" t="inlineStr">
        <is>
          <t>Octavas</t>
        </is>
      </c>
      <c r="C247" s="38" t="inlineStr">
        <is>
          <t>Siriuna</t>
        </is>
      </c>
      <c r="D247" s="39">
        <f>IFERROR(CLASIF_B_M!$F$7,"")</f>
        <v/>
      </c>
      <c r="E247" s="40" t="n"/>
      <c r="F247" s="39">
        <f>IFERROR(CLASIF_B_M!$F$18,"")</f>
        <v/>
      </c>
      <c r="G247" s="40" t="n"/>
      <c r="H247" s="41" t="n"/>
      <c r="I247" s="42">
        <f>IF($H247="","",MAX(0,$H247-N($E247)))</f>
        <v/>
      </c>
      <c r="J247" s="42">
        <f>IF($H247="","",MAX(0,$H247-N($G247)))</f>
        <v/>
      </c>
    </row>
    <row r="248" ht="19.5" customHeight="1" s="72">
      <c r="A248" s="38" t="inlineStr">
        <is>
          <t>BM-OCT-P04-BEN</t>
        </is>
      </c>
      <c r="B248" s="38" t="inlineStr">
        <is>
          <t>Octavas</t>
        </is>
      </c>
      <c r="C248" s="38" t="inlineStr">
        <is>
          <t>Benguela</t>
        </is>
      </c>
      <c r="D248" s="39">
        <f>IFERROR(CLASIF_B_M!$F$8,"")</f>
        <v/>
      </c>
      <c r="E248" s="40" t="n"/>
      <c r="F248" s="39">
        <f>IFERROR(CLASIF_B_M!$F$17,"")</f>
        <v/>
      </c>
      <c r="G248" s="40" t="n"/>
      <c r="H248" s="41" t="n"/>
      <c r="I248" s="42">
        <f>IF($H248="","",MAX(0,$H248-N($E248)))</f>
        <v/>
      </c>
      <c r="J248" s="42">
        <f>IF($H248="","",MAX(0,$H248-N($G248)))</f>
        <v/>
      </c>
    </row>
    <row r="249" ht="19.5" customHeight="1" s="72">
      <c r="A249" s="38" t="inlineStr">
        <is>
          <t>BM-OCT-P04-SBA</t>
        </is>
      </c>
      <c r="B249" s="38" t="inlineStr">
        <is>
          <t>Octavas</t>
        </is>
      </c>
      <c r="C249" s="38" t="inlineStr">
        <is>
          <t>São Bento da Abadá</t>
        </is>
      </c>
      <c r="D249" s="39">
        <f>IFERROR(CLASIF_B_M!$F$8,"")</f>
        <v/>
      </c>
      <c r="E249" s="40" t="n"/>
      <c r="F249" s="39">
        <f>IFERROR(CLASIF_B_M!$F$17,"")</f>
        <v/>
      </c>
      <c r="G249" s="40" t="n"/>
      <c r="H249" s="41" t="n"/>
      <c r="I249" s="42">
        <f>IF($H249="","",MAX(0,$H249-N($E249)))</f>
        <v/>
      </c>
      <c r="J249" s="42">
        <f>IF($H249="","",MAX(0,$H249-N($G249)))</f>
        <v/>
      </c>
    </row>
    <row r="250" ht="19.5" customHeight="1" s="72">
      <c r="A250" s="38" t="inlineStr">
        <is>
          <t>BM-OCT-P04-SIR</t>
        </is>
      </c>
      <c r="B250" s="38" t="inlineStr">
        <is>
          <t>Octavas</t>
        </is>
      </c>
      <c r="C250" s="38" t="inlineStr">
        <is>
          <t>Siriuna</t>
        </is>
      </c>
      <c r="D250" s="39">
        <f>IFERROR(CLASIF_B_M!$F$8,"")</f>
        <v/>
      </c>
      <c r="E250" s="40" t="n"/>
      <c r="F250" s="39">
        <f>IFERROR(CLASIF_B_M!$F$17,"")</f>
        <v/>
      </c>
      <c r="G250" s="40" t="n"/>
      <c r="H250" s="41" t="n"/>
      <c r="I250" s="42">
        <f>IF($H250="","",MAX(0,$H250-N($E250)))</f>
        <v/>
      </c>
      <c r="J250" s="42">
        <f>IF($H250="","",MAX(0,$H250-N($G250)))</f>
        <v/>
      </c>
    </row>
    <row r="251" ht="19.5" customHeight="1" s="72">
      <c r="A251" s="38" t="inlineStr">
        <is>
          <t>BM-OCT-P05-BEN</t>
        </is>
      </c>
      <c r="B251" s="38" t="inlineStr">
        <is>
          <t>Octavas</t>
        </is>
      </c>
      <c r="C251" s="38" t="inlineStr">
        <is>
          <t>Benguela</t>
        </is>
      </c>
      <c r="D251" s="39">
        <f>IFERROR(CLASIF_B_M!$F$9,"")</f>
        <v/>
      </c>
      <c r="E251" s="40" t="n"/>
      <c r="F251" s="39">
        <f>IFERROR(CLASIF_B_M!$F$16,"")</f>
        <v/>
      </c>
      <c r="G251" s="40" t="n"/>
      <c r="H251" s="41" t="n"/>
      <c r="I251" s="42">
        <f>IF($H251="","",MAX(0,$H251-N($E251)))</f>
        <v/>
      </c>
      <c r="J251" s="42">
        <f>IF($H251="","",MAX(0,$H251-N($G251)))</f>
        <v/>
      </c>
    </row>
    <row r="252" ht="19.5" customHeight="1" s="72">
      <c r="A252" s="38" t="inlineStr">
        <is>
          <t>BM-OCT-P05-SBA</t>
        </is>
      </c>
      <c r="B252" s="38" t="inlineStr">
        <is>
          <t>Octavas</t>
        </is>
      </c>
      <c r="C252" s="38" t="inlineStr">
        <is>
          <t>São Bento da Abadá</t>
        </is>
      </c>
      <c r="D252" s="39">
        <f>IFERROR(CLASIF_B_M!$F$9,"")</f>
        <v/>
      </c>
      <c r="E252" s="40" t="n"/>
      <c r="F252" s="39">
        <f>IFERROR(CLASIF_B_M!$F$16,"")</f>
        <v/>
      </c>
      <c r="G252" s="40" t="n"/>
      <c r="H252" s="41" t="n"/>
      <c r="I252" s="42">
        <f>IF($H252="","",MAX(0,$H252-N($E252)))</f>
        <v/>
      </c>
      <c r="J252" s="42">
        <f>IF($H252="","",MAX(0,$H252-N($G252)))</f>
        <v/>
      </c>
    </row>
    <row r="253" ht="19.5" customHeight="1" s="72">
      <c r="A253" s="38" t="inlineStr">
        <is>
          <t>BM-OCT-P05-SIR</t>
        </is>
      </c>
      <c r="B253" s="38" t="inlineStr">
        <is>
          <t>Octavas</t>
        </is>
      </c>
      <c r="C253" s="38" t="inlineStr">
        <is>
          <t>Siriuna</t>
        </is>
      </c>
      <c r="D253" s="39">
        <f>IFERROR(CLASIF_B_M!$F$9,"")</f>
        <v/>
      </c>
      <c r="E253" s="40" t="n"/>
      <c r="F253" s="39">
        <f>IFERROR(CLASIF_B_M!$F$16,"")</f>
        <v/>
      </c>
      <c r="G253" s="40" t="n"/>
      <c r="H253" s="41" t="n"/>
      <c r="I253" s="42">
        <f>IF($H253="","",MAX(0,$H253-N($E253)))</f>
        <v/>
      </c>
      <c r="J253" s="42">
        <f>IF($H253="","",MAX(0,$H253-N($G253)))</f>
        <v/>
      </c>
    </row>
    <row r="254" ht="19.5" customHeight="1" s="72">
      <c r="A254" s="38" t="inlineStr">
        <is>
          <t>BM-OCT-P06-BEN</t>
        </is>
      </c>
      <c r="B254" s="38" t="inlineStr">
        <is>
          <t>Octavas</t>
        </is>
      </c>
      <c r="C254" s="38" t="inlineStr">
        <is>
          <t>Benguela</t>
        </is>
      </c>
      <c r="D254" s="39">
        <f>IFERROR(CLASIF_B_M!$F$10,"")</f>
        <v/>
      </c>
      <c r="E254" s="40" t="n"/>
      <c r="F254" s="39">
        <f>IFERROR(CLASIF_B_M!$F$15,"")</f>
        <v/>
      </c>
      <c r="G254" s="40" t="n"/>
      <c r="H254" s="41" t="n"/>
      <c r="I254" s="42">
        <f>IF($H254="","",MAX(0,$H254-N($E254)))</f>
        <v/>
      </c>
      <c r="J254" s="42">
        <f>IF($H254="","",MAX(0,$H254-N($G254)))</f>
        <v/>
      </c>
    </row>
    <row r="255" ht="19.5" customHeight="1" s="72">
      <c r="A255" s="38" t="inlineStr">
        <is>
          <t>BM-OCT-P06-SBA</t>
        </is>
      </c>
      <c r="B255" s="38" t="inlineStr">
        <is>
          <t>Octavas</t>
        </is>
      </c>
      <c r="C255" s="38" t="inlineStr">
        <is>
          <t>São Bento da Abadá</t>
        </is>
      </c>
      <c r="D255" s="39">
        <f>IFERROR(CLASIF_B_M!$F$10,"")</f>
        <v/>
      </c>
      <c r="E255" s="40" t="n"/>
      <c r="F255" s="39">
        <f>IFERROR(CLASIF_B_M!$F$15,"")</f>
        <v/>
      </c>
      <c r="G255" s="40" t="n"/>
      <c r="H255" s="41" t="n"/>
      <c r="I255" s="42">
        <f>IF($H255="","",MAX(0,$H255-N($E255)))</f>
        <v/>
      </c>
      <c r="J255" s="42">
        <f>IF($H255="","",MAX(0,$H255-N($G255)))</f>
        <v/>
      </c>
    </row>
    <row r="256" ht="19.5" customHeight="1" s="72">
      <c r="A256" s="38" t="inlineStr">
        <is>
          <t>BM-OCT-P06-SIR</t>
        </is>
      </c>
      <c r="B256" s="38" t="inlineStr">
        <is>
          <t>Octavas</t>
        </is>
      </c>
      <c r="C256" s="38" t="inlineStr">
        <is>
          <t>Siriuna</t>
        </is>
      </c>
      <c r="D256" s="39">
        <f>IFERROR(CLASIF_B_M!$F$10,"")</f>
        <v/>
      </c>
      <c r="E256" s="40" t="n"/>
      <c r="F256" s="39">
        <f>IFERROR(CLASIF_B_M!$F$15,"")</f>
        <v/>
      </c>
      <c r="G256" s="40" t="n"/>
      <c r="H256" s="41" t="n"/>
      <c r="I256" s="42">
        <f>IF($H256="","",MAX(0,$H256-N($E256)))</f>
        <v/>
      </c>
      <c r="J256" s="42">
        <f>IF($H256="","",MAX(0,$H256-N($G256)))</f>
        <v/>
      </c>
    </row>
    <row r="257" ht="19.5" customHeight="1" s="72">
      <c r="A257" s="38" t="inlineStr">
        <is>
          <t>BM-OCT-P07-BEN</t>
        </is>
      </c>
      <c r="B257" s="38" t="inlineStr">
        <is>
          <t>Octavas</t>
        </is>
      </c>
      <c r="C257" s="38" t="inlineStr">
        <is>
          <t>Benguela</t>
        </is>
      </c>
      <c r="D257" s="39">
        <f>IFERROR(CLASIF_B_M!$F$11,"")</f>
        <v/>
      </c>
      <c r="E257" s="40" t="n"/>
      <c r="F257" s="39">
        <f>IFERROR(CLASIF_B_M!$F$14,"")</f>
        <v/>
      </c>
      <c r="G257" s="40" t="n"/>
      <c r="H257" s="41" t="n"/>
      <c r="I257" s="42">
        <f>IF($H257="","",MAX(0,$H257-N($E257)))</f>
        <v/>
      </c>
      <c r="J257" s="42">
        <f>IF($H257="","",MAX(0,$H257-N($G257)))</f>
        <v/>
      </c>
    </row>
    <row r="258" ht="19.5" customHeight="1" s="72">
      <c r="A258" s="38" t="inlineStr">
        <is>
          <t>BM-OCT-P07-SBA</t>
        </is>
      </c>
      <c r="B258" s="38" t="inlineStr">
        <is>
          <t>Octavas</t>
        </is>
      </c>
      <c r="C258" s="38" t="inlineStr">
        <is>
          <t>São Bento da Abadá</t>
        </is>
      </c>
      <c r="D258" s="39">
        <f>IFERROR(CLASIF_B_M!$F$11,"")</f>
        <v/>
      </c>
      <c r="E258" s="40" t="n"/>
      <c r="F258" s="39">
        <f>IFERROR(CLASIF_B_M!$F$14,"")</f>
        <v/>
      </c>
      <c r="G258" s="40" t="n"/>
      <c r="H258" s="41" t="n"/>
      <c r="I258" s="42">
        <f>IF($H258="","",MAX(0,$H258-N($E258)))</f>
        <v/>
      </c>
      <c r="J258" s="42">
        <f>IF($H258="","",MAX(0,$H258-N($G258)))</f>
        <v/>
      </c>
    </row>
    <row r="259" ht="19.5" customHeight="1" s="72">
      <c r="A259" s="38" t="inlineStr">
        <is>
          <t>BM-OCT-P07-SIR</t>
        </is>
      </c>
      <c r="B259" s="38" t="inlineStr">
        <is>
          <t>Octavas</t>
        </is>
      </c>
      <c r="C259" s="38" t="inlineStr">
        <is>
          <t>Siriuna</t>
        </is>
      </c>
      <c r="D259" s="39">
        <f>IFERROR(CLASIF_B_M!$F$11,"")</f>
        <v/>
      </c>
      <c r="E259" s="40" t="n"/>
      <c r="F259" s="39">
        <f>IFERROR(CLASIF_B_M!$F$14,"")</f>
        <v/>
      </c>
      <c r="G259" s="40" t="n"/>
      <c r="H259" s="41" t="n"/>
      <c r="I259" s="42">
        <f>IF($H259="","",MAX(0,$H259-N($E259)))</f>
        <v/>
      </c>
      <c r="J259" s="42">
        <f>IF($H259="","",MAX(0,$H259-N($G259)))</f>
        <v/>
      </c>
    </row>
    <row r="260" ht="19.5" customHeight="1" s="72">
      <c r="A260" s="38" t="inlineStr">
        <is>
          <t>BM-OCT-P08-BEN</t>
        </is>
      </c>
      <c r="B260" s="38" t="inlineStr">
        <is>
          <t>Octavas</t>
        </is>
      </c>
      <c r="C260" s="38" t="inlineStr">
        <is>
          <t>Benguela</t>
        </is>
      </c>
      <c r="D260" s="39">
        <f>IFERROR(CLASIF_B_M!$F$12,"")</f>
        <v/>
      </c>
      <c r="E260" s="40" t="n"/>
      <c r="F260" s="39">
        <f>IFERROR(CLASIF_B_M!$F$13,"")</f>
        <v/>
      </c>
      <c r="G260" s="40" t="n"/>
      <c r="H260" s="41" t="n"/>
      <c r="I260" s="42">
        <f>IF($H260="","",MAX(0,$H260-N($E260)))</f>
        <v/>
      </c>
      <c r="J260" s="42">
        <f>IF($H260="","",MAX(0,$H260-N($G260)))</f>
        <v/>
      </c>
    </row>
    <row r="261" ht="19.5" customHeight="1" s="72">
      <c r="A261" s="38" t="inlineStr">
        <is>
          <t>BM-OCT-P08-SBA</t>
        </is>
      </c>
      <c r="B261" s="38" t="inlineStr">
        <is>
          <t>Octavas</t>
        </is>
      </c>
      <c r="C261" s="38" t="inlineStr">
        <is>
          <t>São Bento da Abadá</t>
        </is>
      </c>
      <c r="D261" s="39">
        <f>IFERROR(CLASIF_B_M!$F$12,"")</f>
        <v/>
      </c>
      <c r="E261" s="40" t="n"/>
      <c r="F261" s="39">
        <f>IFERROR(CLASIF_B_M!$F$13,"")</f>
        <v/>
      </c>
      <c r="G261" s="40" t="n"/>
      <c r="H261" s="41" t="n"/>
      <c r="I261" s="42">
        <f>IF($H261="","",MAX(0,$H261-N($E261)))</f>
        <v/>
      </c>
      <c r="J261" s="42">
        <f>IF($H261="","",MAX(0,$H261-N($G261)))</f>
        <v/>
      </c>
    </row>
    <row r="262" ht="19.5" customHeight="1" s="72">
      <c r="A262" s="38" t="inlineStr">
        <is>
          <t>BM-OCT-P08-SIR</t>
        </is>
      </c>
      <c r="B262" s="38" t="inlineStr">
        <is>
          <t>Octavas</t>
        </is>
      </c>
      <c r="C262" s="38" t="inlineStr">
        <is>
          <t>Siriuna</t>
        </is>
      </c>
      <c r="D262" s="39">
        <f>IFERROR(CLASIF_B_M!$F$12,"")</f>
        <v/>
      </c>
      <c r="E262" s="40" t="n"/>
      <c r="F262" s="39">
        <f>IFERROR(CLASIF_B_M!$F$13,"")</f>
        <v/>
      </c>
      <c r="G262" s="40" t="n"/>
      <c r="H262" s="41" t="n"/>
      <c r="I262" s="42">
        <f>IF($H262="","",MAX(0,$H262-N($E262)))</f>
        <v/>
      </c>
      <c r="J262" s="42">
        <f>IF($H262="","",MAX(0,$H262-N($G262)))</f>
        <v/>
      </c>
    </row>
    <row r="263" ht="19.5" customHeight="1" s="72">
      <c r="A263" s="38" t="inlineStr">
        <is>
          <t>BM-SEM-P01-BEN</t>
        </is>
      </c>
      <c r="B263" s="38" t="inlineStr">
        <is>
          <t>Semifinal</t>
        </is>
      </c>
      <c r="C263" s="38" t="inlineStr">
        <is>
          <t>Benguela</t>
        </is>
      </c>
      <c r="D263" s="39">
        <f>IFERROR(CLASIF_B_M!$O$5,"")</f>
        <v/>
      </c>
      <c r="E263" s="40" t="n"/>
      <c r="F263" s="39">
        <f>IFERROR(CLASIF_B_M!$O$12,"")</f>
        <v/>
      </c>
      <c r="G263" s="40" t="n"/>
      <c r="H263" s="41" t="n"/>
      <c r="I263" s="42">
        <f>IF($H263="","",MAX(0,$H263-N($E263)))</f>
        <v/>
      </c>
      <c r="J263" s="42">
        <f>IF($H263="","",MAX(0,$H263-N($G263)))</f>
        <v/>
      </c>
    </row>
    <row r="264" ht="19.5" customHeight="1" s="72">
      <c r="A264" s="38" t="inlineStr">
        <is>
          <t>BM-SEM-P01-SBA</t>
        </is>
      </c>
      <c r="B264" s="38" t="inlineStr">
        <is>
          <t>Semifinal</t>
        </is>
      </c>
      <c r="C264" s="38" t="inlineStr">
        <is>
          <t>São Bento da Abadá</t>
        </is>
      </c>
      <c r="D264" s="39">
        <f>IFERROR(CLASIF_B_M!$O$5,"")</f>
        <v/>
      </c>
      <c r="E264" s="40" t="n"/>
      <c r="F264" s="39">
        <f>IFERROR(CLASIF_B_M!$O$12,"")</f>
        <v/>
      </c>
      <c r="G264" s="40" t="n"/>
      <c r="H264" s="41" t="n"/>
      <c r="I264" s="42">
        <f>IF($H264="","",MAX(0,$H264-N($E264)))</f>
        <v/>
      </c>
      <c r="J264" s="42">
        <f>IF($H264="","",MAX(0,$H264-N($G264)))</f>
        <v/>
      </c>
    </row>
    <row r="265" ht="19.5" customHeight="1" s="72">
      <c r="A265" s="38" t="inlineStr">
        <is>
          <t>BM-SEM-P01-SIR</t>
        </is>
      </c>
      <c r="B265" s="38" t="inlineStr">
        <is>
          <t>Semifinal</t>
        </is>
      </c>
      <c r="C265" s="38" t="inlineStr">
        <is>
          <t>Siriuna</t>
        </is>
      </c>
      <c r="D265" s="39">
        <f>IFERROR(CLASIF_B_M!$O$5,"")</f>
        <v/>
      </c>
      <c r="E265" s="40" t="n"/>
      <c r="F265" s="39">
        <f>IFERROR(CLASIF_B_M!$O$12,"")</f>
        <v/>
      </c>
      <c r="G265" s="40" t="n"/>
      <c r="H265" s="41" t="n"/>
      <c r="I265" s="42">
        <f>IF($H265="","",MAX(0,$H265-N($E265)))</f>
        <v/>
      </c>
      <c r="J265" s="42">
        <f>IF($H265="","",MAX(0,$H265-N($G265)))</f>
        <v/>
      </c>
    </row>
    <row r="266" ht="19.5" customHeight="1" s="72">
      <c r="A266" s="38" t="inlineStr">
        <is>
          <t>BM-SEM-P02-BEN</t>
        </is>
      </c>
      <c r="B266" s="38" t="inlineStr">
        <is>
          <t>Semifinal</t>
        </is>
      </c>
      <c r="C266" s="38" t="inlineStr">
        <is>
          <t>Benguela</t>
        </is>
      </c>
      <c r="D266" s="39">
        <f>IFERROR(CLASIF_B_M!$O$6,"")</f>
        <v/>
      </c>
      <c r="E266" s="40" t="n"/>
      <c r="F266" s="39">
        <f>IFERROR(CLASIF_B_M!$O$11,"")</f>
        <v/>
      </c>
      <c r="G266" s="40" t="n"/>
      <c r="H266" s="41" t="n"/>
      <c r="I266" s="42">
        <f>IF($H266="","",MAX(0,$H266-N($E266)))</f>
        <v/>
      </c>
      <c r="J266" s="42">
        <f>IF($H266="","",MAX(0,$H266-N($G266)))</f>
        <v/>
      </c>
    </row>
    <row r="267" ht="19.5" customHeight="1" s="72">
      <c r="A267" s="38" t="inlineStr">
        <is>
          <t>BM-SEM-P02-SBA</t>
        </is>
      </c>
      <c r="B267" s="38" t="inlineStr">
        <is>
          <t>Semifinal</t>
        </is>
      </c>
      <c r="C267" s="38" t="inlineStr">
        <is>
          <t>São Bento da Abadá</t>
        </is>
      </c>
      <c r="D267" s="39">
        <f>IFERROR(CLASIF_B_M!$O$6,"")</f>
        <v/>
      </c>
      <c r="E267" s="40" t="n"/>
      <c r="F267" s="39">
        <f>IFERROR(CLASIF_B_M!$O$11,"")</f>
        <v/>
      </c>
      <c r="G267" s="40" t="n"/>
      <c r="H267" s="41" t="n"/>
      <c r="I267" s="42">
        <f>IF($H267="","",MAX(0,$H267-N($E267)))</f>
        <v/>
      </c>
      <c r="J267" s="42">
        <f>IF($H267="","",MAX(0,$H267-N($G267)))</f>
        <v/>
      </c>
    </row>
    <row r="268" ht="19.5" customHeight="1" s="72">
      <c r="A268" s="38" t="inlineStr">
        <is>
          <t>BM-SEM-P02-SIR</t>
        </is>
      </c>
      <c r="B268" s="38" t="inlineStr">
        <is>
          <t>Semifinal</t>
        </is>
      </c>
      <c r="C268" s="38" t="inlineStr">
        <is>
          <t>Siriuna</t>
        </is>
      </c>
      <c r="D268" s="39">
        <f>IFERROR(CLASIF_B_M!$O$6,"")</f>
        <v/>
      </c>
      <c r="E268" s="40" t="n"/>
      <c r="F268" s="39">
        <f>IFERROR(CLASIF_B_M!$O$11,"")</f>
        <v/>
      </c>
      <c r="G268" s="40" t="n"/>
      <c r="H268" s="41" t="n"/>
      <c r="I268" s="42">
        <f>IF($H268="","",MAX(0,$H268-N($E268)))</f>
        <v/>
      </c>
      <c r="J268" s="42">
        <f>IF($H268="","",MAX(0,$H268-N($G268)))</f>
        <v/>
      </c>
    </row>
    <row r="269" ht="19.5" customHeight="1" s="72">
      <c r="A269" s="38" t="inlineStr">
        <is>
          <t>BM-SEM-P03-BEN</t>
        </is>
      </c>
      <c r="B269" s="38" t="inlineStr">
        <is>
          <t>Semifinal</t>
        </is>
      </c>
      <c r="C269" s="38" t="inlineStr">
        <is>
          <t>Benguela</t>
        </is>
      </c>
      <c r="D269" s="39">
        <f>IFERROR(CLASIF_B_M!$O$7,"")</f>
        <v/>
      </c>
      <c r="E269" s="40" t="n"/>
      <c r="F269" s="39">
        <f>IFERROR(CLASIF_B_M!$O$10,"")</f>
        <v/>
      </c>
      <c r="G269" s="40" t="n"/>
      <c r="H269" s="41" t="n"/>
      <c r="I269" s="42">
        <f>IF($H269="","",MAX(0,$H269-N($E269)))</f>
        <v/>
      </c>
      <c r="J269" s="42">
        <f>IF($H269="","",MAX(0,$H269-N($G269)))</f>
        <v/>
      </c>
    </row>
    <row r="270" ht="19.5" customHeight="1" s="72">
      <c r="A270" s="38" t="inlineStr">
        <is>
          <t>BM-SEM-P03-SBA</t>
        </is>
      </c>
      <c r="B270" s="38" t="inlineStr">
        <is>
          <t>Semifinal</t>
        </is>
      </c>
      <c r="C270" s="38" t="inlineStr">
        <is>
          <t>São Bento da Abadá</t>
        </is>
      </c>
      <c r="D270" s="39">
        <f>IFERROR(CLASIF_B_M!$O$7,"")</f>
        <v/>
      </c>
      <c r="E270" s="40" t="n"/>
      <c r="F270" s="39">
        <f>IFERROR(CLASIF_B_M!$O$10,"")</f>
        <v/>
      </c>
      <c r="G270" s="40" t="n"/>
      <c r="H270" s="41" t="n"/>
      <c r="I270" s="42">
        <f>IF($H270="","",MAX(0,$H270-N($E270)))</f>
        <v/>
      </c>
      <c r="J270" s="42">
        <f>IF($H270="","",MAX(0,$H270-N($G270)))</f>
        <v/>
      </c>
    </row>
    <row r="271" ht="19.5" customHeight="1" s="72">
      <c r="A271" s="38" t="inlineStr">
        <is>
          <t>BM-SEM-P03-SIR</t>
        </is>
      </c>
      <c r="B271" s="38" t="inlineStr">
        <is>
          <t>Semifinal</t>
        </is>
      </c>
      <c r="C271" s="38" t="inlineStr">
        <is>
          <t>Siriuna</t>
        </is>
      </c>
      <c r="D271" s="39">
        <f>IFERROR(CLASIF_B_M!$O$7,"")</f>
        <v/>
      </c>
      <c r="E271" s="40" t="n"/>
      <c r="F271" s="39">
        <f>IFERROR(CLASIF_B_M!$O$10,"")</f>
        <v/>
      </c>
      <c r="G271" s="40" t="n"/>
      <c r="H271" s="41" t="n"/>
      <c r="I271" s="42">
        <f>IF($H271="","",MAX(0,$H271-N($E271)))</f>
        <v/>
      </c>
      <c r="J271" s="42">
        <f>IF($H271="","",MAX(0,$H271-N($G271)))</f>
        <v/>
      </c>
    </row>
    <row r="272" ht="19.5" customHeight="1" s="72">
      <c r="A272" s="38" t="inlineStr">
        <is>
          <t>BM-SEM-P04-BEN</t>
        </is>
      </c>
      <c r="B272" s="38" t="inlineStr">
        <is>
          <t>Semifinal</t>
        </is>
      </c>
      <c r="C272" s="38" t="inlineStr">
        <is>
          <t>Benguela</t>
        </is>
      </c>
      <c r="D272" s="39">
        <f>IFERROR(CLASIF_B_M!$O$8,"")</f>
        <v/>
      </c>
      <c r="E272" s="40" t="n"/>
      <c r="F272" s="39">
        <f>IFERROR(CLASIF_B_M!$O$9,"")</f>
        <v/>
      </c>
      <c r="G272" s="40" t="n"/>
      <c r="H272" s="41" t="n"/>
      <c r="I272" s="42">
        <f>IF($H272="","",MAX(0,$H272-N($E272)))</f>
        <v/>
      </c>
      <c r="J272" s="42">
        <f>IF($H272="","",MAX(0,$H272-N($G272)))</f>
        <v/>
      </c>
    </row>
    <row r="273" ht="19.5" customHeight="1" s="72">
      <c r="A273" s="38" t="inlineStr">
        <is>
          <t>BM-SEM-P04-SBA</t>
        </is>
      </c>
      <c r="B273" s="38" t="inlineStr">
        <is>
          <t>Semifinal</t>
        </is>
      </c>
      <c r="C273" s="38" t="inlineStr">
        <is>
          <t>São Bento da Abadá</t>
        </is>
      </c>
      <c r="D273" s="39">
        <f>IFERROR(CLASIF_B_M!$O$8,"")</f>
        <v/>
      </c>
      <c r="E273" s="40" t="n"/>
      <c r="F273" s="39">
        <f>IFERROR(CLASIF_B_M!$O$9,"")</f>
        <v/>
      </c>
      <c r="G273" s="40" t="n"/>
      <c r="H273" s="41" t="n"/>
      <c r="I273" s="42">
        <f>IF($H273="","",MAX(0,$H273-N($E273)))</f>
        <v/>
      </c>
      <c r="J273" s="42">
        <f>IF($H273="","",MAX(0,$H273-N($G273)))</f>
        <v/>
      </c>
    </row>
    <row r="274" ht="19.5" customHeight="1" s="72">
      <c r="A274" s="38" t="inlineStr">
        <is>
          <t>BM-SEM-P04-SIR</t>
        </is>
      </c>
      <c r="B274" s="38" t="inlineStr">
        <is>
          <t>Semifinal</t>
        </is>
      </c>
      <c r="C274" s="38" t="inlineStr">
        <is>
          <t>Siriuna</t>
        </is>
      </c>
      <c r="D274" s="39">
        <f>IFERROR(CLASIF_B_M!$O$8,"")</f>
        <v/>
      </c>
      <c r="E274" s="40" t="n"/>
      <c r="F274" s="39">
        <f>IFERROR(CLASIF_B_M!$O$9,"")</f>
        <v/>
      </c>
      <c r="G274" s="40" t="n"/>
      <c r="H274" s="41" t="n"/>
      <c r="I274" s="42">
        <f>IF($H274="","",MAX(0,$H274-N($E274)))</f>
        <v/>
      </c>
      <c r="J274" s="42">
        <f>IF($H274="","",MAX(0,$H274-N($G274)))</f>
        <v/>
      </c>
    </row>
    <row r="275" ht="19.5" customHeight="1" s="72">
      <c r="A275" s="38" t="inlineStr">
        <is>
          <t>BM-FIN-P01-BEN</t>
        </is>
      </c>
      <c r="B275" s="38" t="inlineStr">
        <is>
          <t>Final</t>
        </is>
      </c>
      <c r="C275" s="38" t="inlineStr">
        <is>
          <t>Benguela</t>
        </is>
      </c>
      <c r="D275" s="39">
        <f>IFERROR(CLASIF_B_M!$X$5,"")</f>
        <v/>
      </c>
      <c r="E275" s="40" t="n"/>
      <c r="F275" s="39">
        <f>IFERROR(CLASIF_B_M!$X$8,"")</f>
        <v/>
      </c>
      <c r="G275" s="40" t="n"/>
      <c r="H275" s="41" t="n"/>
      <c r="I275" s="42">
        <f>IF($H275="","",MAX(0,$H275-N($E275)))</f>
        <v/>
      </c>
      <c r="J275" s="42">
        <f>IF($H275="","",MAX(0,$H275-N($G275)))</f>
        <v/>
      </c>
    </row>
    <row r="276" ht="19.5" customHeight="1" s="72">
      <c r="A276" s="38" t="inlineStr">
        <is>
          <t>BM-FIN-P01-SBA</t>
        </is>
      </c>
      <c r="B276" s="38" t="inlineStr">
        <is>
          <t>Final</t>
        </is>
      </c>
      <c r="C276" s="38" t="inlineStr">
        <is>
          <t>São Bento da Abadá</t>
        </is>
      </c>
      <c r="D276" s="39">
        <f>IFERROR(CLASIF_B_M!$X$5,"")</f>
        <v/>
      </c>
      <c r="E276" s="40" t="n"/>
      <c r="F276" s="39">
        <f>IFERROR(CLASIF_B_M!$X$8,"")</f>
        <v/>
      </c>
      <c r="G276" s="40" t="n"/>
      <c r="H276" s="41" t="n"/>
      <c r="I276" s="42">
        <f>IF($H276="","",MAX(0,$H276-N($E276)))</f>
        <v/>
      </c>
      <c r="J276" s="42">
        <f>IF($H276="","",MAX(0,$H276-N($G276)))</f>
        <v/>
      </c>
    </row>
    <row r="277" ht="19.5" customHeight="1" s="72">
      <c r="A277" s="38" t="inlineStr">
        <is>
          <t>BM-FIN-P01-SIR</t>
        </is>
      </c>
      <c r="B277" s="38" t="inlineStr">
        <is>
          <t>Final</t>
        </is>
      </c>
      <c r="C277" s="38" t="inlineStr">
        <is>
          <t>Siriuna</t>
        </is>
      </c>
      <c r="D277" s="39">
        <f>IFERROR(CLASIF_B_M!$X$5,"")</f>
        <v/>
      </c>
      <c r="E277" s="40" t="n"/>
      <c r="F277" s="39">
        <f>IFERROR(CLASIF_B_M!$X$8,"")</f>
        <v/>
      </c>
      <c r="G277" s="40" t="n"/>
      <c r="H277" s="41" t="n"/>
      <c r="I277" s="42">
        <f>IF($H277="","",MAX(0,$H277-N($E277)))</f>
        <v/>
      </c>
      <c r="J277" s="42">
        <f>IF($H277="","",MAX(0,$H277-N($G277)))</f>
        <v/>
      </c>
    </row>
    <row r="278" ht="19.5" customHeight="1" s="72">
      <c r="A278" s="38" t="inlineStr">
        <is>
          <t>BM-FIN-P02-BEN</t>
        </is>
      </c>
      <c r="B278" s="38" t="inlineStr">
        <is>
          <t>Final</t>
        </is>
      </c>
      <c r="C278" s="38" t="inlineStr">
        <is>
          <t>Benguela</t>
        </is>
      </c>
      <c r="D278" s="39">
        <f>IFERROR(CLASIF_B_M!$X$6,"")</f>
        <v/>
      </c>
      <c r="E278" s="40" t="n"/>
      <c r="F278" s="39">
        <f>IFERROR(CLASIF_B_M!$X$7,"")</f>
        <v/>
      </c>
      <c r="G278" s="40" t="n"/>
      <c r="H278" s="41" t="n"/>
      <c r="I278" s="42">
        <f>IF($H278="","",MAX(0,$H278-N($E278)))</f>
        <v/>
      </c>
      <c r="J278" s="42">
        <f>IF($H278="","",MAX(0,$H278-N($G278)))</f>
        <v/>
      </c>
    </row>
    <row r="279" ht="19.5" customHeight="1" s="72">
      <c r="A279" s="38" t="inlineStr">
        <is>
          <t>BM-FIN-P02-SBA</t>
        </is>
      </c>
      <c r="B279" s="38" t="inlineStr">
        <is>
          <t>Final</t>
        </is>
      </c>
      <c r="C279" s="38" t="inlineStr">
        <is>
          <t>São Bento da Abadá</t>
        </is>
      </c>
      <c r="D279" s="39">
        <f>IFERROR(CLASIF_B_M!$X$6,"")</f>
        <v/>
      </c>
      <c r="E279" s="40" t="n"/>
      <c r="F279" s="39">
        <f>IFERROR(CLASIF_B_M!$X$7,"")</f>
        <v/>
      </c>
      <c r="G279" s="40" t="n"/>
      <c r="H279" s="41" t="n"/>
      <c r="I279" s="42">
        <f>IF($H279="","",MAX(0,$H279-N($E279)))</f>
        <v/>
      </c>
      <c r="J279" s="42">
        <f>IF($H279="","",MAX(0,$H279-N($G279)))</f>
        <v/>
      </c>
    </row>
    <row r="280" ht="19.5" customHeight="1" s="72">
      <c r="A280" s="38" t="inlineStr">
        <is>
          <t>BM-FIN-P02-SIR</t>
        </is>
      </c>
      <c r="B280" s="38" t="inlineStr">
        <is>
          <t>Final</t>
        </is>
      </c>
      <c r="C280" s="38" t="inlineStr">
        <is>
          <t>Siriuna</t>
        </is>
      </c>
      <c r="D280" s="39">
        <f>IFERROR(CLASIF_B_M!$X$6,"")</f>
        <v/>
      </c>
      <c r="E280" s="40" t="n"/>
      <c r="F280" s="39">
        <f>IFERROR(CLASIF_B_M!$X$7,"")</f>
        <v/>
      </c>
      <c r="G280" s="40" t="n"/>
      <c r="H280" s="41" t="n"/>
      <c r="I280" s="42">
        <f>IF($H280="","",MAX(0,$H280-N($E280)))</f>
        <v/>
      </c>
      <c r="J280" s="42">
        <f>IF($H280="","",MAX(0,$H280-N($G280)))</f>
        <v/>
      </c>
    </row>
    <row r="281" ht="19.5" customHeight="1" s="72">
      <c r="A281" s="43" t="n"/>
      <c r="B281" s="43" t="n"/>
      <c r="C281" s="43" t="n"/>
      <c r="D281" s="43" t="n"/>
      <c r="E281" s="43" t="n"/>
      <c r="F281" s="43" t="n"/>
      <c r="G281" s="43" t="n"/>
      <c r="H281" s="44" t="n"/>
      <c r="I281" s="43">
        <f>IF($H281="","",MAX(0,$H281-N($E281)))</f>
        <v/>
      </c>
      <c r="J281" s="43">
        <f>IF($H281="","",MAX(0,$H281-N($G281)))</f>
        <v/>
      </c>
    </row>
    <row r="282" ht="19.5" customHeight="1" s="72">
      <c r="A282" s="81" t="inlineStr">
        <is>
          <t>═══ CATEGORÍA B · Femenino · Morada (Instructores) · Toques: Benguela, São Bento da Abadá, Siriuna ═══</t>
        </is>
      </c>
    </row>
    <row r="283" ht="19.5" customHeight="1" s="72">
      <c r="A283" s="45" t="inlineStr">
        <is>
          <t>Jogo</t>
        </is>
      </c>
      <c r="B283" s="45" t="inlineStr">
        <is>
          <t>Fase</t>
        </is>
      </c>
      <c r="C283" s="45" t="inlineStr">
        <is>
          <t>Toque</t>
        </is>
      </c>
      <c r="D283" s="45" t="inlineStr">
        <is>
          <t>Jugador A</t>
        </is>
      </c>
      <c r="E283" s="45" t="inlineStr">
        <is>
          <t>Quita A</t>
        </is>
      </c>
      <c r="F283" s="45" t="inlineStr">
        <is>
          <t>Jugador B</t>
        </is>
      </c>
      <c r="G283" s="45" t="inlineStr">
        <is>
          <t>Quita B</t>
        </is>
      </c>
      <c r="H283" s="45" t="inlineStr">
        <is>
          <t>NOTA (0-5)</t>
        </is>
      </c>
      <c r="I283" s="45">
        <f>IF($H283="","",MAX(0,$H283-N($E283)))</f>
        <v/>
      </c>
      <c r="J283" s="45">
        <f>IF($H283="","",MAX(0,$H283-N($G283)))</f>
        <v/>
      </c>
    </row>
    <row r="284" ht="19.5" customHeight="1" s="72">
      <c r="A284" s="38" t="inlineStr">
        <is>
          <t>BF-32-P01-BEN</t>
        </is>
      </c>
      <c r="B284" s="38" t="inlineStr">
        <is>
          <t>Fase 32</t>
        </is>
      </c>
      <c r="C284" s="38" t="inlineStr">
        <is>
          <t>Benguela</t>
        </is>
      </c>
      <c r="D284" s="39" t="inlineStr">
        <is>
          <t>A_B_F_32_P1</t>
        </is>
      </c>
      <c r="E284" s="40" t="n"/>
      <c r="F284" s="39" t="inlineStr">
        <is>
          <t>B_B_F_32_P1</t>
        </is>
      </c>
      <c r="G284" s="40" t="n"/>
      <c r="H284" s="41" t="n"/>
      <c r="I284" s="42">
        <f>IF($H284="","",MAX(0,$H284-N($E284)))</f>
        <v/>
      </c>
      <c r="J284" s="42">
        <f>IF($H284="","",MAX(0,$H284-N($G284)))</f>
        <v/>
      </c>
    </row>
    <row r="285" ht="19.5" customHeight="1" s="72">
      <c r="A285" s="38" t="inlineStr">
        <is>
          <t>BF-32-P01-SBA</t>
        </is>
      </c>
      <c r="B285" s="38" t="inlineStr">
        <is>
          <t>Fase 32</t>
        </is>
      </c>
      <c r="C285" s="38" t="inlineStr">
        <is>
          <t>São Bento da Abadá</t>
        </is>
      </c>
      <c r="D285" s="39" t="inlineStr">
        <is>
          <t>A_B_F_32_P1</t>
        </is>
      </c>
      <c r="E285" s="40" t="n"/>
      <c r="F285" s="39" t="inlineStr">
        <is>
          <t>B_B_F_32_P1</t>
        </is>
      </c>
      <c r="G285" s="40" t="n"/>
      <c r="H285" s="41" t="n"/>
      <c r="I285" s="42">
        <f>IF($H285="","",MAX(0,$H285-N($E285)))</f>
        <v/>
      </c>
      <c r="J285" s="42">
        <f>IF($H285="","",MAX(0,$H285-N($G285)))</f>
        <v/>
      </c>
    </row>
    <row r="286" ht="19.5" customHeight="1" s="72">
      <c r="A286" s="38" t="inlineStr">
        <is>
          <t>BF-32-P01-SIR</t>
        </is>
      </c>
      <c r="B286" s="38" t="inlineStr">
        <is>
          <t>Fase 32</t>
        </is>
      </c>
      <c r="C286" s="38" t="inlineStr">
        <is>
          <t>Siriuna</t>
        </is>
      </c>
      <c r="D286" s="39" t="inlineStr">
        <is>
          <t>A_B_F_32_P1</t>
        </is>
      </c>
      <c r="E286" s="40" t="n"/>
      <c r="F286" s="39" t="inlineStr">
        <is>
          <t>B_B_F_32_P1</t>
        </is>
      </c>
      <c r="G286" s="40" t="n"/>
      <c r="H286" s="41" t="n"/>
      <c r="I286" s="42">
        <f>IF($H286="","",MAX(0,$H286-N($E286)))</f>
        <v/>
      </c>
      <c r="J286" s="42">
        <f>IF($H286="","",MAX(0,$H286-N($G286)))</f>
        <v/>
      </c>
    </row>
    <row r="287" ht="19.5" customHeight="1" s="72">
      <c r="A287" s="38" t="inlineStr">
        <is>
          <t>BF-32-P02-BEN</t>
        </is>
      </c>
      <c r="B287" s="38" t="inlineStr">
        <is>
          <t>Fase 32</t>
        </is>
      </c>
      <c r="C287" s="38" t="inlineStr">
        <is>
          <t>Benguela</t>
        </is>
      </c>
      <c r="D287" s="39" t="inlineStr">
        <is>
          <t>A_B_F_32_P2</t>
        </is>
      </c>
      <c r="E287" s="40" t="n"/>
      <c r="F287" s="39" t="inlineStr">
        <is>
          <t>B_B_F_32_P2</t>
        </is>
      </c>
      <c r="G287" s="40" t="n"/>
      <c r="H287" s="41" t="n"/>
      <c r="I287" s="42">
        <f>IF($H287="","",MAX(0,$H287-N($E287)))</f>
        <v/>
      </c>
      <c r="J287" s="42">
        <f>IF($H287="","",MAX(0,$H287-N($G287)))</f>
        <v/>
      </c>
    </row>
    <row r="288" ht="19.5" customHeight="1" s="72">
      <c r="A288" s="38" t="inlineStr">
        <is>
          <t>BF-32-P02-SBA</t>
        </is>
      </c>
      <c r="B288" s="38" t="inlineStr">
        <is>
          <t>Fase 32</t>
        </is>
      </c>
      <c r="C288" s="38" t="inlineStr">
        <is>
          <t>São Bento da Abadá</t>
        </is>
      </c>
      <c r="D288" s="39" t="inlineStr">
        <is>
          <t>A_B_F_32_P2</t>
        </is>
      </c>
      <c r="E288" s="40" t="n"/>
      <c r="F288" s="39" t="inlineStr">
        <is>
          <t>B_B_F_32_P2</t>
        </is>
      </c>
      <c r="G288" s="40" t="n"/>
      <c r="H288" s="41" t="n"/>
      <c r="I288" s="42">
        <f>IF($H288="","",MAX(0,$H288-N($E288)))</f>
        <v/>
      </c>
      <c r="J288" s="42">
        <f>IF($H288="","",MAX(0,$H288-N($G288)))</f>
        <v/>
      </c>
    </row>
    <row r="289" ht="19.5" customHeight="1" s="72">
      <c r="A289" s="38" t="inlineStr">
        <is>
          <t>BF-32-P02-SIR</t>
        </is>
      </c>
      <c r="B289" s="38" t="inlineStr">
        <is>
          <t>Fase 32</t>
        </is>
      </c>
      <c r="C289" s="38" t="inlineStr">
        <is>
          <t>Siriuna</t>
        </is>
      </c>
      <c r="D289" s="39" t="inlineStr">
        <is>
          <t>A_B_F_32_P2</t>
        </is>
      </c>
      <c r="E289" s="40" t="n"/>
      <c r="F289" s="39" t="inlineStr">
        <is>
          <t>B_B_F_32_P2</t>
        </is>
      </c>
      <c r="G289" s="40" t="n"/>
      <c r="H289" s="41" t="n"/>
      <c r="I289" s="42">
        <f>IF($H289="","",MAX(0,$H289-N($E289)))</f>
        <v/>
      </c>
      <c r="J289" s="42">
        <f>IF($H289="","",MAX(0,$H289-N($G289)))</f>
        <v/>
      </c>
    </row>
    <row r="290" ht="19.5" customHeight="1" s="72">
      <c r="A290" s="38" t="inlineStr">
        <is>
          <t>BF-32-P03-BEN</t>
        </is>
      </c>
      <c r="B290" s="38" t="inlineStr">
        <is>
          <t>Fase 32</t>
        </is>
      </c>
      <c r="C290" s="38" t="inlineStr">
        <is>
          <t>Benguela</t>
        </is>
      </c>
      <c r="D290" s="39" t="inlineStr">
        <is>
          <t>A_B_F_32_P3</t>
        </is>
      </c>
      <c r="E290" s="40" t="n"/>
      <c r="F290" s="39" t="inlineStr">
        <is>
          <t>B_B_F_32_P3</t>
        </is>
      </c>
      <c r="G290" s="40" t="n"/>
      <c r="H290" s="41" t="n"/>
      <c r="I290" s="42">
        <f>IF($H290="","",MAX(0,$H290-N($E290)))</f>
        <v/>
      </c>
      <c r="J290" s="42">
        <f>IF($H290="","",MAX(0,$H290-N($G290)))</f>
        <v/>
      </c>
    </row>
    <row r="291" ht="19.5" customHeight="1" s="72">
      <c r="A291" s="38" t="inlineStr">
        <is>
          <t>BF-32-P03-SBA</t>
        </is>
      </c>
      <c r="B291" s="38" t="inlineStr">
        <is>
          <t>Fase 32</t>
        </is>
      </c>
      <c r="C291" s="38" t="inlineStr">
        <is>
          <t>São Bento da Abadá</t>
        </is>
      </c>
      <c r="D291" s="39" t="inlineStr">
        <is>
          <t>A_B_F_32_P3</t>
        </is>
      </c>
      <c r="E291" s="40" t="n"/>
      <c r="F291" s="39" t="inlineStr">
        <is>
          <t>B_B_F_32_P3</t>
        </is>
      </c>
      <c r="G291" s="40" t="n"/>
      <c r="H291" s="41" t="n"/>
      <c r="I291" s="42">
        <f>IF($H291="","",MAX(0,$H291-N($E291)))</f>
        <v/>
      </c>
      <c r="J291" s="42">
        <f>IF($H291="","",MAX(0,$H291-N($G291)))</f>
        <v/>
      </c>
    </row>
    <row r="292" ht="19.5" customHeight="1" s="72">
      <c r="A292" s="38" t="inlineStr">
        <is>
          <t>BF-32-P03-SIR</t>
        </is>
      </c>
      <c r="B292" s="38" t="inlineStr">
        <is>
          <t>Fase 32</t>
        </is>
      </c>
      <c r="C292" s="38" t="inlineStr">
        <is>
          <t>Siriuna</t>
        </is>
      </c>
      <c r="D292" s="39" t="inlineStr">
        <is>
          <t>A_B_F_32_P3</t>
        </is>
      </c>
      <c r="E292" s="40" t="n"/>
      <c r="F292" s="39" t="inlineStr">
        <is>
          <t>B_B_F_32_P3</t>
        </is>
      </c>
      <c r="G292" s="40" t="n"/>
      <c r="H292" s="41" t="n"/>
      <c r="I292" s="42">
        <f>IF($H292="","",MAX(0,$H292-N($E292)))</f>
        <v/>
      </c>
      <c r="J292" s="42">
        <f>IF($H292="","",MAX(0,$H292-N($G292)))</f>
        <v/>
      </c>
    </row>
    <row r="293" ht="19.5" customHeight="1" s="72">
      <c r="A293" s="38" t="inlineStr">
        <is>
          <t>BF-32-P04-BEN</t>
        </is>
      </c>
      <c r="B293" s="38" t="inlineStr">
        <is>
          <t>Fase 32</t>
        </is>
      </c>
      <c r="C293" s="38" t="inlineStr">
        <is>
          <t>Benguela</t>
        </is>
      </c>
      <c r="D293" s="39" t="inlineStr">
        <is>
          <t>A_B_F_32_P4</t>
        </is>
      </c>
      <c r="E293" s="40" t="n"/>
      <c r="F293" s="39" t="inlineStr">
        <is>
          <t>B_B_F_32_P4</t>
        </is>
      </c>
      <c r="G293" s="40" t="n"/>
      <c r="H293" s="41" t="n"/>
      <c r="I293" s="42">
        <f>IF($H293="","",MAX(0,$H293-N($E293)))</f>
        <v/>
      </c>
      <c r="J293" s="42">
        <f>IF($H293="","",MAX(0,$H293-N($G293)))</f>
        <v/>
      </c>
    </row>
    <row r="294" ht="19.5" customHeight="1" s="72">
      <c r="A294" s="38" t="inlineStr">
        <is>
          <t>BF-32-P04-SBA</t>
        </is>
      </c>
      <c r="B294" s="38" t="inlineStr">
        <is>
          <t>Fase 32</t>
        </is>
      </c>
      <c r="C294" s="38" t="inlineStr">
        <is>
          <t>São Bento da Abadá</t>
        </is>
      </c>
      <c r="D294" s="39" t="inlineStr">
        <is>
          <t>A_B_F_32_P4</t>
        </is>
      </c>
      <c r="E294" s="40" t="n"/>
      <c r="F294" s="39" t="inlineStr">
        <is>
          <t>B_B_F_32_P4</t>
        </is>
      </c>
      <c r="G294" s="40" t="n"/>
      <c r="H294" s="41" t="n"/>
      <c r="I294" s="42">
        <f>IF($H294="","",MAX(0,$H294-N($E294)))</f>
        <v/>
      </c>
      <c r="J294" s="42">
        <f>IF($H294="","",MAX(0,$H294-N($G294)))</f>
        <v/>
      </c>
    </row>
    <row r="295" ht="19.5" customHeight="1" s="72">
      <c r="A295" s="38" t="inlineStr">
        <is>
          <t>BF-32-P04-SIR</t>
        </is>
      </c>
      <c r="B295" s="38" t="inlineStr">
        <is>
          <t>Fase 32</t>
        </is>
      </c>
      <c r="C295" s="38" t="inlineStr">
        <is>
          <t>Siriuna</t>
        </is>
      </c>
      <c r="D295" s="39" t="inlineStr">
        <is>
          <t>A_B_F_32_P4</t>
        </is>
      </c>
      <c r="E295" s="40" t="n"/>
      <c r="F295" s="39" t="inlineStr">
        <is>
          <t>B_B_F_32_P4</t>
        </is>
      </c>
      <c r="G295" s="40" t="n"/>
      <c r="H295" s="41" t="n"/>
      <c r="I295" s="42">
        <f>IF($H295="","",MAX(0,$H295-N($E295)))</f>
        <v/>
      </c>
      <c r="J295" s="42">
        <f>IF($H295="","",MAX(0,$H295-N($G295)))</f>
        <v/>
      </c>
    </row>
    <row r="296" ht="19.5" customHeight="1" s="72">
      <c r="A296" s="38" t="inlineStr">
        <is>
          <t>BF-32-P05-BEN</t>
        </is>
      </c>
      <c r="B296" s="38" t="inlineStr">
        <is>
          <t>Fase 32</t>
        </is>
      </c>
      <c r="C296" s="38" t="inlineStr">
        <is>
          <t>Benguela</t>
        </is>
      </c>
      <c r="D296" s="39" t="inlineStr">
        <is>
          <t>A_B_F_32_P5</t>
        </is>
      </c>
      <c r="E296" s="40" t="n"/>
      <c r="F296" s="39" t="inlineStr">
        <is>
          <t>B_B_F_32_P5</t>
        </is>
      </c>
      <c r="G296" s="40" t="n"/>
      <c r="H296" s="41" t="n"/>
      <c r="I296" s="42">
        <f>IF($H296="","",MAX(0,$H296-N($E296)))</f>
        <v/>
      </c>
      <c r="J296" s="42">
        <f>IF($H296="","",MAX(0,$H296-N($G296)))</f>
        <v/>
      </c>
    </row>
    <row r="297" ht="19.5" customHeight="1" s="72">
      <c r="A297" s="38" t="inlineStr">
        <is>
          <t>BF-32-P05-SBA</t>
        </is>
      </c>
      <c r="B297" s="38" t="inlineStr">
        <is>
          <t>Fase 32</t>
        </is>
      </c>
      <c r="C297" s="38" t="inlineStr">
        <is>
          <t>São Bento da Abadá</t>
        </is>
      </c>
      <c r="D297" s="39" t="inlineStr">
        <is>
          <t>A_B_F_32_P5</t>
        </is>
      </c>
      <c r="E297" s="40" t="n"/>
      <c r="F297" s="39" t="inlineStr">
        <is>
          <t>B_B_F_32_P5</t>
        </is>
      </c>
      <c r="G297" s="40" t="n"/>
      <c r="H297" s="41" t="n"/>
      <c r="I297" s="42">
        <f>IF($H297="","",MAX(0,$H297-N($E297)))</f>
        <v/>
      </c>
      <c r="J297" s="42">
        <f>IF($H297="","",MAX(0,$H297-N($G297)))</f>
        <v/>
      </c>
    </row>
    <row r="298" ht="19.5" customHeight="1" s="72">
      <c r="A298" s="38" t="inlineStr">
        <is>
          <t>BF-32-P05-SIR</t>
        </is>
      </c>
      <c r="B298" s="38" t="inlineStr">
        <is>
          <t>Fase 32</t>
        </is>
      </c>
      <c r="C298" s="38" t="inlineStr">
        <is>
          <t>Siriuna</t>
        </is>
      </c>
      <c r="D298" s="39" t="inlineStr">
        <is>
          <t>A_B_F_32_P5</t>
        </is>
      </c>
      <c r="E298" s="40" t="n"/>
      <c r="F298" s="39" t="inlineStr">
        <is>
          <t>B_B_F_32_P5</t>
        </is>
      </c>
      <c r="G298" s="40" t="n"/>
      <c r="H298" s="41" t="n"/>
      <c r="I298" s="42">
        <f>IF($H298="","",MAX(0,$H298-N($E298)))</f>
        <v/>
      </c>
      <c r="J298" s="42">
        <f>IF($H298="","",MAX(0,$H298-N($G298)))</f>
        <v/>
      </c>
    </row>
    <row r="299" ht="19.5" customHeight="1" s="72">
      <c r="A299" s="38" t="inlineStr">
        <is>
          <t>BF-32-P06-BEN</t>
        </is>
      </c>
      <c r="B299" s="38" t="inlineStr">
        <is>
          <t>Fase 32</t>
        </is>
      </c>
      <c r="C299" s="38" t="inlineStr">
        <is>
          <t>Benguela</t>
        </is>
      </c>
      <c r="D299" s="39" t="inlineStr">
        <is>
          <t>A_B_F_32_P6</t>
        </is>
      </c>
      <c r="E299" s="40" t="n"/>
      <c r="F299" s="39" t="inlineStr">
        <is>
          <t>B_B_F_32_P6</t>
        </is>
      </c>
      <c r="G299" s="40" t="n"/>
      <c r="H299" s="41" t="n"/>
      <c r="I299" s="42">
        <f>IF($H299="","",MAX(0,$H299-N($E299)))</f>
        <v/>
      </c>
      <c r="J299" s="42">
        <f>IF($H299="","",MAX(0,$H299-N($G299)))</f>
        <v/>
      </c>
    </row>
    <row r="300" ht="19.5" customHeight="1" s="72">
      <c r="A300" s="38" t="inlineStr">
        <is>
          <t>BF-32-P06-SBA</t>
        </is>
      </c>
      <c r="B300" s="38" t="inlineStr">
        <is>
          <t>Fase 32</t>
        </is>
      </c>
      <c r="C300" s="38" t="inlineStr">
        <is>
          <t>São Bento da Abadá</t>
        </is>
      </c>
      <c r="D300" s="39" t="inlineStr">
        <is>
          <t>A_B_F_32_P6</t>
        </is>
      </c>
      <c r="E300" s="40" t="n"/>
      <c r="F300" s="39" t="inlineStr">
        <is>
          <t>B_B_F_32_P6</t>
        </is>
      </c>
      <c r="G300" s="40" t="n"/>
      <c r="H300" s="41" t="n"/>
      <c r="I300" s="42">
        <f>IF($H300="","",MAX(0,$H300-N($E300)))</f>
        <v/>
      </c>
      <c r="J300" s="42">
        <f>IF($H300="","",MAX(0,$H300-N($G300)))</f>
        <v/>
      </c>
    </row>
    <row r="301" ht="19.5" customHeight="1" s="72">
      <c r="A301" s="38" t="inlineStr">
        <is>
          <t>BF-32-P06-SIR</t>
        </is>
      </c>
      <c r="B301" s="38" t="inlineStr">
        <is>
          <t>Fase 32</t>
        </is>
      </c>
      <c r="C301" s="38" t="inlineStr">
        <is>
          <t>Siriuna</t>
        </is>
      </c>
      <c r="D301" s="39" t="inlineStr">
        <is>
          <t>A_B_F_32_P6</t>
        </is>
      </c>
      <c r="E301" s="40" t="n"/>
      <c r="F301" s="39" t="inlineStr">
        <is>
          <t>B_B_F_32_P6</t>
        </is>
      </c>
      <c r="G301" s="40" t="n"/>
      <c r="H301" s="41" t="n"/>
      <c r="I301" s="42">
        <f>IF($H301="","",MAX(0,$H301-N($E301)))</f>
        <v/>
      </c>
      <c r="J301" s="42">
        <f>IF($H301="","",MAX(0,$H301-N($G301)))</f>
        <v/>
      </c>
    </row>
    <row r="302" ht="19.5" customHeight="1" s="72">
      <c r="A302" s="38" t="inlineStr">
        <is>
          <t>BF-32-P07-BEN</t>
        </is>
      </c>
      <c r="B302" s="38" t="inlineStr">
        <is>
          <t>Fase 32</t>
        </is>
      </c>
      <c r="C302" s="38" t="inlineStr">
        <is>
          <t>Benguela</t>
        </is>
      </c>
      <c r="D302" s="39" t="inlineStr">
        <is>
          <t>A_B_F_32_P7</t>
        </is>
      </c>
      <c r="E302" s="40" t="n"/>
      <c r="F302" s="39" t="inlineStr">
        <is>
          <t>B_B_F_32_P7</t>
        </is>
      </c>
      <c r="G302" s="40" t="n"/>
      <c r="H302" s="41" t="n"/>
      <c r="I302" s="42">
        <f>IF($H302="","",MAX(0,$H302-N($E302)))</f>
        <v/>
      </c>
      <c r="J302" s="42">
        <f>IF($H302="","",MAX(0,$H302-N($G302)))</f>
        <v/>
      </c>
    </row>
    <row r="303" ht="19.5" customHeight="1" s="72">
      <c r="A303" s="38" t="inlineStr">
        <is>
          <t>BF-32-P07-SBA</t>
        </is>
      </c>
      <c r="B303" s="38" t="inlineStr">
        <is>
          <t>Fase 32</t>
        </is>
      </c>
      <c r="C303" s="38" t="inlineStr">
        <is>
          <t>São Bento da Abadá</t>
        </is>
      </c>
      <c r="D303" s="39" t="inlineStr">
        <is>
          <t>A_B_F_32_P7</t>
        </is>
      </c>
      <c r="E303" s="40" t="n"/>
      <c r="F303" s="39" t="inlineStr">
        <is>
          <t>B_B_F_32_P7</t>
        </is>
      </c>
      <c r="G303" s="40" t="n"/>
      <c r="H303" s="41" t="n"/>
      <c r="I303" s="42">
        <f>IF($H303="","",MAX(0,$H303-N($E303)))</f>
        <v/>
      </c>
      <c r="J303" s="42">
        <f>IF($H303="","",MAX(0,$H303-N($G303)))</f>
        <v/>
      </c>
    </row>
    <row r="304" ht="19.5" customHeight="1" s="72">
      <c r="A304" s="38" t="inlineStr">
        <is>
          <t>BF-32-P07-SIR</t>
        </is>
      </c>
      <c r="B304" s="38" t="inlineStr">
        <is>
          <t>Fase 32</t>
        </is>
      </c>
      <c r="C304" s="38" t="inlineStr">
        <is>
          <t>Siriuna</t>
        </is>
      </c>
      <c r="D304" s="39" t="inlineStr">
        <is>
          <t>A_B_F_32_P7</t>
        </is>
      </c>
      <c r="E304" s="40" t="n"/>
      <c r="F304" s="39" t="inlineStr">
        <is>
          <t>B_B_F_32_P7</t>
        </is>
      </c>
      <c r="G304" s="40" t="n"/>
      <c r="H304" s="41" t="n"/>
      <c r="I304" s="42">
        <f>IF($H304="","",MAX(0,$H304-N($E304)))</f>
        <v/>
      </c>
      <c r="J304" s="42">
        <f>IF($H304="","",MAX(0,$H304-N($G304)))</f>
        <v/>
      </c>
    </row>
    <row r="305" ht="19.5" customHeight="1" s="72">
      <c r="A305" s="38" t="inlineStr">
        <is>
          <t>BF-32-P08-BEN</t>
        </is>
      </c>
      <c r="B305" s="38" t="inlineStr">
        <is>
          <t>Fase 32</t>
        </is>
      </c>
      <c r="C305" s="38" t="inlineStr">
        <is>
          <t>Benguela</t>
        </is>
      </c>
      <c r="D305" s="39" t="inlineStr">
        <is>
          <t>A_B_F_32_P8</t>
        </is>
      </c>
      <c r="E305" s="40" t="n"/>
      <c r="F305" s="39" t="inlineStr">
        <is>
          <t>B_B_F_32_P8</t>
        </is>
      </c>
      <c r="G305" s="40" t="n"/>
      <c r="H305" s="41" t="n"/>
      <c r="I305" s="42">
        <f>IF($H305="","",MAX(0,$H305-N($E305)))</f>
        <v/>
      </c>
      <c r="J305" s="42">
        <f>IF($H305="","",MAX(0,$H305-N($G305)))</f>
        <v/>
      </c>
    </row>
    <row r="306" ht="19.5" customHeight="1" s="72">
      <c r="A306" s="38" t="inlineStr">
        <is>
          <t>BF-32-P08-SBA</t>
        </is>
      </c>
      <c r="B306" s="38" t="inlineStr">
        <is>
          <t>Fase 32</t>
        </is>
      </c>
      <c r="C306" s="38" t="inlineStr">
        <is>
          <t>São Bento da Abadá</t>
        </is>
      </c>
      <c r="D306" s="39" t="inlineStr">
        <is>
          <t>A_B_F_32_P8</t>
        </is>
      </c>
      <c r="E306" s="40" t="n"/>
      <c r="F306" s="39" t="inlineStr">
        <is>
          <t>B_B_F_32_P8</t>
        </is>
      </c>
      <c r="G306" s="40" t="n"/>
      <c r="H306" s="41" t="n"/>
      <c r="I306" s="42">
        <f>IF($H306="","",MAX(0,$H306-N($E306)))</f>
        <v/>
      </c>
      <c r="J306" s="42">
        <f>IF($H306="","",MAX(0,$H306-N($G306)))</f>
        <v/>
      </c>
    </row>
    <row r="307" ht="19.5" customHeight="1" s="72">
      <c r="A307" s="38" t="inlineStr">
        <is>
          <t>BF-32-P08-SIR</t>
        </is>
      </c>
      <c r="B307" s="38" t="inlineStr">
        <is>
          <t>Fase 32</t>
        </is>
      </c>
      <c r="C307" s="38" t="inlineStr">
        <is>
          <t>Siriuna</t>
        </is>
      </c>
      <c r="D307" s="39" t="inlineStr">
        <is>
          <t>A_B_F_32_P8</t>
        </is>
      </c>
      <c r="E307" s="40" t="n"/>
      <c r="F307" s="39" t="inlineStr">
        <is>
          <t>B_B_F_32_P8</t>
        </is>
      </c>
      <c r="G307" s="40" t="n"/>
      <c r="H307" s="41" t="n"/>
      <c r="I307" s="42">
        <f>IF($H307="","",MAX(0,$H307-N($E307)))</f>
        <v/>
      </c>
      <c r="J307" s="42">
        <f>IF($H307="","",MAX(0,$H307-N($G307)))</f>
        <v/>
      </c>
    </row>
    <row r="308" ht="19.5" customHeight="1" s="72">
      <c r="A308" s="38" t="inlineStr">
        <is>
          <t>BF-32-P09-BEN</t>
        </is>
      </c>
      <c r="B308" s="38" t="inlineStr">
        <is>
          <t>Fase 32</t>
        </is>
      </c>
      <c r="C308" s="38" t="inlineStr">
        <is>
          <t>Benguela</t>
        </is>
      </c>
      <c r="D308" s="39" t="inlineStr">
        <is>
          <t>A_B_F_32_P9</t>
        </is>
      </c>
      <c r="E308" s="40" t="n"/>
      <c r="F308" s="39" t="inlineStr">
        <is>
          <t>B_B_F_32_P9</t>
        </is>
      </c>
      <c r="G308" s="40" t="n"/>
      <c r="H308" s="41" t="n"/>
      <c r="I308" s="42">
        <f>IF($H308="","",MAX(0,$H308-N($E308)))</f>
        <v/>
      </c>
      <c r="J308" s="42">
        <f>IF($H308="","",MAX(0,$H308-N($G308)))</f>
        <v/>
      </c>
    </row>
    <row r="309" ht="19.5" customHeight="1" s="72">
      <c r="A309" s="38" t="inlineStr">
        <is>
          <t>BF-32-P09-SBA</t>
        </is>
      </c>
      <c r="B309" s="38" t="inlineStr">
        <is>
          <t>Fase 32</t>
        </is>
      </c>
      <c r="C309" s="38" t="inlineStr">
        <is>
          <t>São Bento da Abadá</t>
        </is>
      </c>
      <c r="D309" s="39" t="inlineStr">
        <is>
          <t>A_B_F_32_P9</t>
        </is>
      </c>
      <c r="E309" s="40" t="n"/>
      <c r="F309" s="39" t="inlineStr">
        <is>
          <t>B_B_F_32_P9</t>
        </is>
      </c>
      <c r="G309" s="40" t="n"/>
      <c r="H309" s="41" t="n"/>
      <c r="I309" s="42">
        <f>IF($H309="","",MAX(0,$H309-N($E309)))</f>
        <v/>
      </c>
      <c r="J309" s="42">
        <f>IF($H309="","",MAX(0,$H309-N($G309)))</f>
        <v/>
      </c>
    </row>
    <row r="310" ht="19.5" customHeight="1" s="72">
      <c r="A310" s="38" t="inlineStr">
        <is>
          <t>BF-32-P09-SIR</t>
        </is>
      </c>
      <c r="B310" s="38" t="inlineStr">
        <is>
          <t>Fase 32</t>
        </is>
      </c>
      <c r="C310" s="38" t="inlineStr">
        <is>
          <t>Siriuna</t>
        </is>
      </c>
      <c r="D310" s="39" t="inlineStr">
        <is>
          <t>A_B_F_32_P9</t>
        </is>
      </c>
      <c r="E310" s="40" t="n"/>
      <c r="F310" s="39" t="inlineStr">
        <is>
          <t>B_B_F_32_P9</t>
        </is>
      </c>
      <c r="G310" s="40" t="n"/>
      <c r="H310" s="41" t="n"/>
      <c r="I310" s="42">
        <f>IF($H310="","",MAX(0,$H310-N($E310)))</f>
        <v/>
      </c>
      <c r="J310" s="42">
        <f>IF($H310="","",MAX(0,$H310-N($G310)))</f>
        <v/>
      </c>
    </row>
    <row r="311" ht="19.5" customHeight="1" s="72">
      <c r="A311" s="38" t="inlineStr">
        <is>
          <t>BF-32-P10-BEN</t>
        </is>
      </c>
      <c r="B311" s="38" t="inlineStr">
        <is>
          <t>Fase 32</t>
        </is>
      </c>
      <c r="C311" s="38" t="inlineStr">
        <is>
          <t>Benguela</t>
        </is>
      </c>
      <c r="D311" s="39" t="inlineStr">
        <is>
          <t>A_B_F_32_P10</t>
        </is>
      </c>
      <c r="E311" s="40" t="n"/>
      <c r="F311" s="39" t="inlineStr">
        <is>
          <t>B_B_F_32_P10</t>
        </is>
      </c>
      <c r="G311" s="40" t="n"/>
      <c r="H311" s="41" t="n"/>
      <c r="I311" s="42">
        <f>IF($H311="","",MAX(0,$H311-N($E311)))</f>
        <v/>
      </c>
      <c r="J311" s="42">
        <f>IF($H311="","",MAX(0,$H311-N($G311)))</f>
        <v/>
      </c>
    </row>
    <row r="312" ht="19.5" customHeight="1" s="72">
      <c r="A312" s="38" t="inlineStr">
        <is>
          <t>BF-32-P10-SBA</t>
        </is>
      </c>
      <c r="B312" s="38" t="inlineStr">
        <is>
          <t>Fase 32</t>
        </is>
      </c>
      <c r="C312" s="38" t="inlineStr">
        <is>
          <t>São Bento da Abadá</t>
        </is>
      </c>
      <c r="D312" s="39" t="inlineStr">
        <is>
          <t>A_B_F_32_P10</t>
        </is>
      </c>
      <c r="E312" s="40" t="n"/>
      <c r="F312" s="39" t="inlineStr">
        <is>
          <t>B_B_F_32_P10</t>
        </is>
      </c>
      <c r="G312" s="40" t="n"/>
      <c r="H312" s="41" t="n"/>
      <c r="I312" s="42">
        <f>IF($H312="","",MAX(0,$H312-N($E312)))</f>
        <v/>
      </c>
      <c r="J312" s="42">
        <f>IF($H312="","",MAX(0,$H312-N($G312)))</f>
        <v/>
      </c>
    </row>
    <row r="313" ht="19.5" customHeight="1" s="72">
      <c r="A313" s="38" t="inlineStr">
        <is>
          <t>BF-32-P10-SIR</t>
        </is>
      </c>
      <c r="B313" s="38" t="inlineStr">
        <is>
          <t>Fase 32</t>
        </is>
      </c>
      <c r="C313" s="38" t="inlineStr">
        <is>
          <t>Siriuna</t>
        </is>
      </c>
      <c r="D313" s="39" t="inlineStr">
        <is>
          <t>A_B_F_32_P10</t>
        </is>
      </c>
      <c r="E313" s="40" t="n"/>
      <c r="F313" s="39" t="inlineStr">
        <is>
          <t>B_B_F_32_P10</t>
        </is>
      </c>
      <c r="G313" s="40" t="n"/>
      <c r="H313" s="41" t="n"/>
      <c r="I313" s="42">
        <f>IF($H313="","",MAX(0,$H313-N($E313)))</f>
        <v/>
      </c>
      <c r="J313" s="42">
        <f>IF($H313="","",MAX(0,$H313-N($G313)))</f>
        <v/>
      </c>
    </row>
    <row r="314" ht="19.5" customHeight="1" s="72">
      <c r="A314" s="38" t="inlineStr">
        <is>
          <t>BF-32-P11-BEN</t>
        </is>
      </c>
      <c r="B314" s="38" t="inlineStr">
        <is>
          <t>Fase 32</t>
        </is>
      </c>
      <c r="C314" s="38" t="inlineStr">
        <is>
          <t>Benguela</t>
        </is>
      </c>
      <c r="D314" s="39" t="inlineStr">
        <is>
          <t>A_B_F_32_P11</t>
        </is>
      </c>
      <c r="E314" s="40" t="n"/>
      <c r="F314" s="39" t="inlineStr">
        <is>
          <t>B_B_F_32_P11</t>
        </is>
      </c>
      <c r="G314" s="40" t="n"/>
      <c r="H314" s="41" t="n"/>
      <c r="I314" s="42">
        <f>IF($H314="","",MAX(0,$H314-N($E314)))</f>
        <v/>
      </c>
      <c r="J314" s="42">
        <f>IF($H314="","",MAX(0,$H314-N($G314)))</f>
        <v/>
      </c>
    </row>
    <row r="315" ht="19.5" customHeight="1" s="72">
      <c r="A315" s="38" t="inlineStr">
        <is>
          <t>BF-32-P11-SBA</t>
        </is>
      </c>
      <c r="B315" s="38" t="inlineStr">
        <is>
          <t>Fase 32</t>
        </is>
      </c>
      <c r="C315" s="38" t="inlineStr">
        <is>
          <t>São Bento da Abadá</t>
        </is>
      </c>
      <c r="D315" s="39" t="inlineStr">
        <is>
          <t>A_B_F_32_P11</t>
        </is>
      </c>
      <c r="E315" s="40" t="n"/>
      <c r="F315" s="39" t="inlineStr">
        <is>
          <t>B_B_F_32_P11</t>
        </is>
      </c>
      <c r="G315" s="40" t="n"/>
      <c r="H315" s="41" t="n"/>
      <c r="I315" s="42">
        <f>IF($H315="","",MAX(0,$H315-N($E315)))</f>
        <v/>
      </c>
      <c r="J315" s="42">
        <f>IF($H315="","",MAX(0,$H315-N($G315)))</f>
        <v/>
      </c>
    </row>
    <row r="316" ht="19.5" customHeight="1" s="72">
      <c r="A316" s="38" t="inlineStr">
        <is>
          <t>BF-32-P11-SIR</t>
        </is>
      </c>
      <c r="B316" s="38" t="inlineStr">
        <is>
          <t>Fase 32</t>
        </is>
      </c>
      <c r="C316" s="38" t="inlineStr">
        <is>
          <t>Siriuna</t>
        </is>
      </c>
      <c r="D316" s="39" t="inlineStr">
        <is>
          <t>A_B_F_32_P11</t>
        </is>
      </c>
      <c r="E316" s="40" t="n"/>
      <c r="F316" s="39" t="inlineStr">
        <is>
          <t>B_B_F_32_P11</t>
        </is>
      </c>
      <c r="G316" s="40" t="n"/>
      <c r="H316" s="41" t="n"/>
      <c r="I316" s="42">
        <f>IF($H316="","",MAX(0,$H316-N($E316)))</f>
        <v/>
      </c>
      <c r="J316" s="42">
        <f>IF($H316="","",MAX(0,$H316-N($G316)))</f>
        <v/>
      </c>
    </row>
    <row r="317" ht="19.5" customHeight="1" s="72">
      <c r="A317" s="38" t="inlineStr">
        <is>
          <t>BF-32-P12-BEN</t>
        </is>
      </c>
      <c r="B317" s="38" t="inlineStr">
        <is>
          <t>Fase 32</t>
        </is>
      </c>
      <c r="C317" s="38" t="inlineStr">
        <is>
          <t>Benguela</t>
        </is>
      </c>
      <c r="D317" s="39" t="inlineStr">
        <is>
          <t>A_B_F_32_P12</t>
        </is>
      </c>
      <c r="E317" s="40" t="n"/>
      <c r="F317" s="39" t="inlineStr">
        <is>
          <t>B_B_F_32_P12</t>
        </is>
      </c>
      <c r="G317" s="40" t="n"/>
      <c r="H317" s="41" t="n"/>
      <c r="I317" s="42">
        <f>IF($H317="","",MAX(0,$H317-N($E317)))</f>
        <v/>
      </c>
      <c r="J317" s="42">
        <f>IF($H317="","",MAX(0,$H317-N($G317)))</f>
        <v/>
      </c>
    </row>
    <row r="318" ht="19.5" customHeight="1" s="72">
      <c r="A318" s="38" t="inlineStr">
        <is>
          <t>BF-32-P12-SBA</t>
        </is>
      </c>
      <c r="B318" s="38" t="inlineStr">
        <is>
          <t>Fase 32</t>
        </is>
      </c>
      <c r="C318" s="38" t="inlineStr">
        <is>
          <t>São Bento da Abadá</t>
        </is>
      </c>
      <c r="D318" s="39" t="inlineStr">
        <is>
          <t>A_B_F_32_P12</t>
        </is>
      </c>
      <c r="E318" s="40" t="n"/>
      <c r="F318" s="39" t="inlineStr">
        <is>
          <t>B_B_F_32_P12</t>
        </is>
      </c>
      <c r="G318" s="40" t="n"/>
      <c r="H318" s="41" t="n"/>
      <c r="I318" s="42">
        <f>IF($H318="","",MAX(0,$H318-N($E318)))</f>
        <v/>
      </c>
      <c r="J318" s="42">
        <f>IF($H318="","",MAX(0,$H318-N($G318)))</f>
        <v/>
      </c>
    </row>
    <row r="319" ht="19.5" customHeight="1" s="72">
      <c r="A319" s="38" t="inlineStr">
        <is>
          <t>BF-32-P12-SIR</t>
        </is>
      </c>
      <c r="B319" s="38" t="inlineStr">
        <is>
          <t>Fase 32</t>
        </is>
      </c>
      <c r="C319" s="38" t="inlineStr">
        <is>
          <t>Siriuna</t>
        </is>
      </c>
      <c r="D319" s="39" t="inlineStr">
        <is>
          <t>A_B_F_32_P12</t>
        </is>
      </c>
      <c r="E319" s="40" t="n"/>
      <c r="F319" s="39" t="inlineStr">
        <is>
          <t>B_B_F_32_P12</t>
        </is>
      </c>
      <c r="G319" s="40" t="n"/>
      <c r="H319" s="41" t="n"/>
      <c r="I319" s="42">
        <f>IF($H319="","",MAX(0,$H319-N($E319)))</f>
        <v/>
      </c>
      <c r="J319" s="42">
        <f>IF($H319="","",MAX(0,$H319-N($G319)))</f>
        <v/>
      </c>
    </row>
    <row r="320" ht="19.5" customHeight="1" s="72">
      <c r="A320" s="38" t="inlineStr">
        <is>
          <t>BF-32-P13-BEN</t>
        </is>
      </c>
      <c r="B320" s="38" t="inlineStr">
        <is>
          <t>Fase 32</t>
        </is>
      </c>
      <c r="C320" s="38" t="inlineStr">
        <is>
          <t>Benguela</t>
        </is>
      </c>
      <c r="D320" s="39" t="inlineStr">
        <is>
          <t>A_B_F_32_P13</t>
        </is>
      </c>
      <c r="E320" s="40" t="n"/>
      <c r="F320" s="39" t="inlineStr">
        <is>
          <t>B_B_F_32_P13</t>
        </is>
      </c>
      <c r="G320" s="40" t="n"/>
      <c r="H320" s="41" t="n"/>
      <c r="I320" s="42">
        <f>IF($H320="","",MAX(0,$H320-N($E320)))</f>
        <v/>
      </c>
      <c r="J320" s="42">
        <f>IF($H320="","",MAX(0,$H320-N($G320)))</f>
        <v/>
      </c>
    </row>
    <row r="321" ht="19.5" customHeight="1" s="72">
      <c r="A321" s="38" t="inlineStr">
        <is>
          <t>BF-32-P13-SBA</t>
        </is>
      </c>
      <c r="B321" s="38" t="inlineStr">
        <is>
          <t>Fase 32</t>
        </is>
      </c>
      <c r="C321" s="38" t="inlineStr">
        <is>
          <t>São Bento da Abadá</t>
        </is>
      </c>
      <c r="D321" s="39" t="inlineStr">
        <is>
          <t>A_B_F_32_P13</t>
        </is>
      </c>
      <c r="E321" s="40" t="n"/>
      <c r="F321" s="39" t="inlineStr">
        <is>
          <t>B_B_F_32_P13</t>
        </is>
      </c>
      <c r="G321" s="40" t="n"/>
      <c r="H321" s="41" t="n"/>
      <c r="I321" s="42">
        <f>IF($H321="","",MAX(0,$H321-N($E321)))</f>
        <v/>
      </c>
      <c r="J321" s="42">
        <f>IF($H321="","",MAX(0,$H321-N($G321)))</f>
        <v/>
      </c>
    </row>
    <row r="322" ht="19.5" customHeight="1" s="72">
      <c r="A322" s="38" t="inlineStr">
        <is>
          <t>BF-32-P13-SIR</t>
        </is>
      </c>
      <c r="B322" s="38" t="inlineStr">
        <is>
          <t>Fase 32</t>
        </is>
      </c>
      <c r="C322" s="38" t="inlineStr">
        <is>
          <t>Siriuna</t>
        </is>
      </c>
      <c r="D322" s="39" t="inlineStr">
        <is>
          <t>A_B_F_32_P13</t>
        </is>
      </c>
      <c r="E322" s="40" t="n"/>
      <c r="F322" s="39" t="inlineStr">
        <is>
          <t>B_B_F_32_P13</t>
        </is>
      </c>
      <c r="G322" s="40" t="n"/>
      <c r="H322" s="41" t="n"/>
      <c r="I322" s="42">
        <f>IF($H322="","",MAX(0,$H322-N($E322)))</f>
        <v/>
      </c>
      <c r="J322" s="42">
        <f>IF($H322="","",MAX(0,$H322-N($G322)))</f>
        <v/>
      </c>
    </row>
    <row r="323" ht="19.5" customHeight="1" s="72">
      <c r="A323" s="38" t="inlineStr">
        <is>
          <t>BF-32-P14-BEN</t>
        </is>
      </c>
      <c r="B323" s="38" t="inlineStr">
        <is>
          <t>Fase 32</t>
        </is>
      </c>
      <c r="C323" s="38" t="inlineStr">
        <is>
          <t>Benguela</t>
        </is>
      </c>
      <c r="D323" s="39" t="inlineStr">
        <is>
          <t>A_B_F_32_P14</t>
        </is>
      </c>
      <c r="E323" s="40" t="n"/>
      <c r="F323" s="39" t="inlineStr">
        <is>
          <t>B_B_F_32_P14</t>
        </is>
      </c>
      <c r="G323" s="40" t="n"/>
      <c r="H323" s="41" t="n"/>
      <c r="I323" s="42">
        <f>IF($H323="","",MAX(0,$H323-N($E323)))</f>
        <v/>
      </c>
      <c r="J323" s="42">
        <f>IF($H323="","",MAX(0,$H323-N($G323)))</f>
        <v/>
      </c>
    </row>
    <row r="324" ht="19.5" customHeight="1" s="72">
      <c r="A324" s="38" t="inlineStr">
        <is>
          <t>BF-32-P14-SBA</t>
        </is>
      </c>
      <c r="B324" s="38" t="inlineStr">
        <is>
          <t>Fase 32</t>
        </is>
      </c>
      <c r="C324" s="38" t="inlineStr">
        <is>
          <t>São Bento da Abadá</t>
        </is>
      </c>
      <c r="D324" s="39" t="inlineStr">
        <is>
          <t>A_B_F_32_P14</t>
        </is>
      </c>
      <c r="E324" s="40" t="n"/>
      <c r="F324" s="39" t="inlineStr">
        <is>
          <t>B_B_F_32_P14</t>
        </is>
      </c>
      <c r="G324" s="40" t="n"/>
      <c r="H324" s="41" t="n"/>
      <c r="I324" s="42">
        <f>IF($H324="","",MAX(0,$H324-N($E324)))</f>
        <v/>
      </c>
      <c r="J324" s="42">
        <f>IF($H324="","",MAX(0,$H324-N($G324)))</f>
        <v/>
      </c>
    </row>
    <row r="325" ht="19.5" customHeight="1" s="72">
      <c r="A325" s="38" t="inlineStr">
        <is>
          <t>BF-32-P14-SIR</t>
        </is>
      </c>
      <c r="B325" s="38" t="inlineStr">
        <is>
          <t>Fase 32</t>
        </is>
      </c>
      <c r="C325" s="38" t="inlineStr">
        <is>
          <t>Siriuna</t>
        </is>
      </c>
      <c r="D325" s="39" t="inlineStr">
        <is>
          <t>A_B_F_32_P14</t>
        </is>
      </c>
      <c r="E325" s="40" t="n"/>
      <c r="F325" s="39" t="inlineStr">
        <is>
          <t>B_B_F_32_P14</t>
        </is>
      </c>
      <c r="G325" s="40" t="n"/>
      <c r="H325" s="41" t="n"/>
      <c r="I325" s="42">
        <f>IF($H325="","",MAX(0,$H325-N($E325)))</f>
        <v/>
      </c>
      <c r="J325" s="42">
        <f>IF($H325="","",MAX(0,$H325-N($G325)))</f>
        <v/>
      </c>
    </row>
    <row r="326" ht="19.5" customHeight="1" s="72">
      <c r="A326" s="38" t="inlineStr">
        <is>
          <t>BF-32-P15-BEN</t>
        </is>
      </c>
      <c r="B326" s="38" t="inlineStr">
        <is>
          <t>Fase 32</t>
        </is>
      </c>
      <c r="C326" s="38" t="inlineStr">
        <is>
          <t>Benguela</t>
        </is>
      </c>
      <c r="D326" s="39" t="inlineStr">
        <is>
          <t>A_B_F_32_P15</t>
        </is>
      </c>
      <c r="E326" s="40" t="n"/>
      <c r="F326" s="39" t="inlineStr">
        <is>
          <t>B_B_F_32_P15</t>
        </is>
      </c>
      <c r="G326" s="40" t="n"/>
      <c r="H326" s="41" t="n"/>
      <c r="I326" s="42">
        <f>IF($H326="","",MAX(0,$H326-N($E326)))</f>
        <v/>
      </c>
      <c r="J326" s="42">
        <f>IF($H326="","",MAX(0,$H326-N($G326)))</f>
        <v/>
      </c>
    </row>
    <row r="327" ht="19.5" customHeight="1" s="72">
      <c r="A327" s="38" t="inlineStr">
        <is>
          <t>BF-32-P15-SBA</t>
        </is>
      </c>
      <c r="B327" s="38" t="inlineStr">
        <is>
          <t>Fase 32</t>
        </is>
      </c>
      <c r="C327" s="38" t="inlineStr">
        <is>
          <t>São Bento da Abadá</t>
        </is>
      </c>
      <c r="D327" s="39" t="inlineStr">
        <is>
          <t>A_B_F_32_P15</t>
        </is>
      </c>
      <c r="E327" s="40" t="n"/>
      <c r="F327" s="39" t="inlineStr">
        <is>
          <t>B_B_F_32_P15</t>
        </is>
      </c>
      <c r="G327" s="40" t="n"/>
      <c r="H327" s="41" t="n"/>
      <c r="I327" s="42">
        <f>IF($H327="","",MAX(0,$H327-N($E327)))</f>
        <v/>
      </c>
      <c r="J327" s="42">
        <f>IF($H327="","",MAX(0,$H327-N($G327)))</f>
        <v/>
      </c>
    </row>
    <row r="328" ht="19.5" customHeight="1" s="72">
      <c r="A328" s="38" t="inlineStr">
        <is>
          <t>BF-32-P15-SIR</t>
        </is>
      </c>
      <c r="B328" s="38" t="inlineStr">
        <is>
          <t>Fase 32</t>
        </is>
      </c>
      <c r="C328" s="38" t="inlineStr">
        <is>
          <t>Siriuna</t>
        </is>
      </c>
      <c r="D328" s="39" t="inlineStr">
        <is>
          <t>A_B_F_32_P15</t>
        </is>
      </c>
      <c r="E328" s="40" t="n"/>
      <c r="F328" s="39" t="inlineStr">
        <is>
          <t>B_B_F_32_P15</t>
        </is>
      </c>
      <c r="G328" s="40" t="n"/>
      <c r="H328" s="41" t="n"/>
      <c r="I328" s="42">
        <f>IF($H328="","",MAX(0,$H328-N($E328)))</f>
        <v/>
      </c>
      <c r="J328" s="42">
        <f>IF($H328="","",MAX(0,$H328-N($G328)))</f>
        <v/>
      </c>
    </row>
    <row r="329" ht="19.5" customHeight="1" s="72">
      <c r="A329" s="38" t="inlineStr">
        <is>
          <t>BF-32-P16-BEN</t>
        </is>
      </c>
      <c r="B329" s="38" t="inlineStr">
        <is>
          <t>Fase 32</t>
        </is>
      </c>
      <c r="C329" s="38" t="inlineStr">
        <is>
          <t>Benguela</t>
        </is>
      </c>
      <c r="D329" s="39" t="inlineStr">
        <is>
          <t>A_B_F_32_P16</t>
        </is>
      </c>
      <c r="E329" s="40" t="n"/>
      <c r="F329" s="39" t="inlineStr">
        <is>
          <t>B_B_F_32_P16</t>
        </is>
      </c>
      <c r="G329" s="40" t="n"/>
      <c r="H329" s="41" t="n"/>
      <c r="I329" s="42">
        <f>IF($H329="","",MAX(0,$H329-N($E329)))</f>
        <v/>
      </c>
      <c r="J329" s="42">
        <f>IF($H329="","",MAX(0,$H329-N($G329)))</f>
        <v/>
      </c>
    </row>
    <row r="330" ht="19.5" customHeight="1" s="72">
      <c r="A330" s="38" t="inlineStr">
        <is>
          <t>BF-32-P16-SBA</t>
        </is>
      </c>
      <c r="B330" s="38" t="inlineStr">
        <is>
          <t>Fase 32</t>
        </is>
      </c>
      <c r="C330" s="38" t="inlineStr">
        <is>
          <t>São Bento da Abadá</t>
        </is>
      </c>
      <c r="D330" s="39" t="inlineStr">
        <is>
          <t>A_B_F_32_P16</t>
        </is>
      </c>
      <c r="E330" s="40" t="n"/>
      <c r="F330" s="39" t="inlineStr">
        <is>
          <t>B_B_F_32_P16</t>
        </is>
      </c>
      <c r="G330" s="40" t="n"/>
      <c r="H330" s="41" t="n"/>
      <c r="I330" s="42">
        <f>IF($H330="","",MAX(0,$H330-N($E330)))</f>
        <v/>
      </c>
      <c r="J330" s="42">
        <f>IF($H330="","",MAX(0,$H330-N($G330)))</f>
        <v/>
      </c>
    </row>
    <row r="331" ht="19.5" customHeight="1" s="72">
      <c r="A331" s="38" t="inlineStr">
        <is>
          <t>BF-32-P16-SIR</t>
        </is>
      </c>
      <c r="B331" s="38" t="inlineStr">
        <is>
          <t>Fase 32</t>
        </is>
      </c>
      <c r="C331" s="38" t="inlineStr">
        <is>
          <t>Siriuna</t>
        </is>
      </c>
      <c r="D331" s="39" t="inlineStr">
        <is>
          <t>A_B_F_32_P16</t>
        </is>
      </c>
      <c r="E331" s="40" t="n"/>
      <c r="F331" s="39" t="inlineStr">
        <is>
          <t>B_B_F_32_P16</t>
        </is>
      </c>
      <c r="G331" s="40" t="n"/>
      <c r="H331" s="41" t="n"/>
      <c r="I331" s="42">
        <f>IF($H331="","",MAX(0,$H331-N($E331)))</f>
        <v/>
      </c>
      <c r="J331" s="42">
        <f>IF($H331="","",MAX(0,$H331-N($G331)))</f>
        <v/>
      </c>
    </row>
    <row r="332" ht="19.5" customHeight="1" s="72">
      <c r="A332" s="38" t="inlineStr">
        <is>
          <t>BF-OCT-P01-BEN</t>
        </is>
      </c>
      <c r="B332" s="38" t="inlineStr">
        <is>
          <t>Octavas</t>
        </is>
      </c>
      <c r="C332" s="38" t="inlineStr">
        <is>
          <t>Benguela</t>
        </is>
      </c>
      <c r="D332" s="39">
        <f>IFERROR(CLASIF_B_F!$F$5,"")</f>
        <v/>
      </c>
      <c r="E332" s="40" t="n"/>
      <c r="F332" s="39">
        <f>IFERROR(CLASIF_B_F!$F$20,"")</f>
        <v/>
      </c>
      <c r="G332" s="40" t="n"/>
      <c r="H332" s="41" t="n"/>
      <c r="I332" s="42">
        <f>IF($H332="","",MAX(0,$H332-N($E332)))</f>
        <v/>
      </c>
      <c r="J332" s="42">
        <f>IF($H332="","",MAX(0,$H332-N($G332)))</f>
        <v/>
      </c>
    </row>
    <row r="333" ht="19.5" customHeight="1" s="72">
      <c r="A333" s="38" t="inlineStr">
        <is>
          <t>BF-OCT-P01-SBA</t>
        </is>
      </c>
      <c r="B333" s="38" t="inlineStr">
        <is>
          <t>Octavas</t>
        </is>
      </c>
      <c r="C333" s="38" t="inlineStr">
        <is>
          <t>São Bento da Abadá</t>
        </is>
      </c>
      <c r="D333" s="39">
        <f>IFERROR(CLASIF_B_F!$F$5,"")</f>
        <v/>
      </c>
      <c r="E333" s="40" t="n"/>
      <c r="F333" s="39">
        <f>IFERROR(CLASIF_B_F!$F$20,"")</f>
        <v/>
      </c>
      <c r="G333" s="40" t="n"/>
      <c r="H333" s="41" t="n"/>
      <c r="I333" s="42">
        <f>IF($H333="","",MAX(0,$H333-N($E333)))</f>
        <v/>
      </c>
      <c r="J333" s="42">
        <f>IF($H333="","",MAX(0,$H333-N($G333)))</f>
        <v/>
      </c>
    </row>
    <row r="334" ht="19.5" customHeight="1" s="72">
      <c r="A334" s="38" t="inlineStr">
        <is>
          <t>BF-OCT-P01-SIR</t>
        </is>
      </c>
      <c r="B334" s="38" t="inlineStr">
        <is>
          <t>Octavas</t>
        </is>
      </c>
      <c r="C334" s="38" t="inlineStr">
        <is>
          <t>Siriuna</t>
        </is>
      </c>
      <c r="D334" s="39">
        <f>IFERROR(CLASIF_B_F!$F$5,"")</f>
        <v/>
      </c>
      <c r="E334" s="40" t="n"/>
      <c r="F334" s="39">
        <f>IFERROR(CLASIF_B_F!$F$20,"")</f>
        <v/>
      </c>
      <c r="G334" s="40" t="n"/>
      <c r="H334" s="41" t="n"/>
      <c r="I334" s="42">
        <f>IF($H334="","",MAX(0,$H334-N($E334)))</f>
        <v/>
      </c>
      <c r="J334" s="42">
        <f>IF($H334="","",MAX(0,$H334-N($G334)))</f>
        <v/>
      </c>
    </row>
    <row r="335" ht="19.5" customHeight="1" s="72">
      <c r="A335" s="38" t="inlineStr">
        <is>
          <t>BF-OCT-P02-BEN</t>
        </is>
      </c>
      <c r="B335" s="38" t="inlineStr">
        <is>
          <t>Octavas</t>
        </is>
      </c>
      <c r="C335" s="38" t="inlineStr">
        <is>
          <t>Benguela</t>
        </is>
      </c>
      <c r="D335" s="39">
        <f>IFERROR(CLASIF_B_F!$F$6,"")</f>
        <v/>
      </c>
      <c r="E335" s="40" t="n"/>
      <c r="F335" s="39">
        <f>IFERROR(CLASIF_B_F!$F$19,"")</f>
        <v/>
      </c>
      <c r="G335" s="40" t="n"/>
      <c r="H335" s="41" t="n"/>
      <c r="I335" s="42">
        <f>IF($H335="","",MAX(0,$H335-N($E335)))</f>
        <v/>
      </c>
      <c r="J335" s="42">
        <f>IF($H335="","",MAX(0,$H335-N($G335)))</f>
        <v/>
      </c>
    </row>
    <row r="336" ht="19.5" customHeight="1" s="72">
      <c r="A336" s="38" t="inlineStr">
        <is>
          <t>BF-OCT-P02-SBA</t>
        </is>
      </c>
      <c r="B336" s="38" t="inlineStr">
        <is>
          <t>Octavas</t>
        </is>
      </c>
      <c r="C336" s="38" t="inlineStr">
        <is>
          <t>São Bento da Abadá</t>
        </is>
      </c>
      <c r="D336" s="39">
        <f>IFERROR(CLASIF_B_F!$F$6,"")</f>
        <v/>
      </c>
      <c r="E336" s="40" t="n"/>
      <c r="F336" s="39">
        <f>IFERROR(CLASIF_B_F!$F$19,"")</f>
        <v/>
      </c>
      <c r="G336" s="40" t="n"/>
      <c r="H336" s="41" t="n"/>
      <c r="I336" s="42">
        <f>IF($H336="","",MAX(0,$H336-N($E336)))</f>
        <v/>
      </c>
      <c r="J336" s="42">
        <f>IF($H336="","",MAX(0,$H336-N($G336)))</f>
        <v/>
      </c>
    </row>
    <row r="337" ht="19.5" customHeight="1" s="72">
      <c r="A337" s="38" t="inlineStr">
        <is>
          <t>BF-OCT-P02-SIR</t>
        </is>
      </c>
      <c r="B337" s="38" t="inlineStr">
        <is>
          <t>Octavas</t>
        </is>
      </c>
      <c r="C337" s="38" t="inlineStr">
        <is>
          <t>Siriuna</t>
        </is>
      </c>
      <c r="D337" s="39">
        <f>IFERROR(CLASIF_B_F!$F$6,"")</f>
        <v/>
      </c>
      <c r="E337" s="40" t="n"/>
      <c r="F337" s="39">
        <f>IFERROR(CLASIF_B_F!$F$19,"")</f>
        <v/>
      </c>
      <c r="G337" s="40" t="n"/>
      <c r="H337" s="41" t="n"/>
      <c r="I337" s="42">
        <f>IF($H337="","",MAX(0,$H337-N($E337)))</f>
        <v/>
      </c>
      <c r="J337" s="42">
        <f>IF($H337="","",MAX(0,$H337-N($G337)))</f>
        <v/>
      </c>
    </row>
    <row r="338" ht="19.5" customHeight="1" s="72">
      <c r="A338" s="38" t="inlineStr">
        <is>
          <t>BF-OCT-P03-BEN</t>
        </is>
      </c>
      <c r="B338" s="38" t="inlineStr">
        <is>
          <t>Octavas</t>
        </is>
      </c>
      <c r="C338" s="38" t="inlineStr">
        <is>
          <t>Benguela</t>
        </is>
      </c>
      <c r="D338" s="39">
        <f>IFERROR(CLASIF_B_F!$F$7,"")</f>
        <v/>
      </c>
      <c r="E338" s="40" t="n"/>
      <c r="F338" s="39">
        <f>IFERROR(CLASIF_B_F!$F$18,"")</f>
        <v/>
      </c>
      <c r="G338" s="40" t="n"/>
      <c r="H338" s="41" t="n"/>
      <c r="I338" s="42">
        <f>IF($H338="","",MAX(0,$H338-N($E338)))</f>
        <v/>
      </c>
      <c r="J338" s="42">
        <f>IF($H338="","",MAX(0,$H338-N($G338)))</f>
        <v/>
      </c>
    </row>
    <row r="339" ht="19.5" customHeight="1" s="72">
      <c r="A339" s="38" t="inlineStr">
        <is>
          <t>BF-OCT-P03-SBA</t>
        </is>
      </c>
      <c r="B339" s="38" t="inlineStr">
        <is>
          <t>Octavas</t>
        </is>
      </c>
      <c r="C339" s="38" t="inlineStr">
        <is>
          <t>São Bento da Abadá</t>
        </is>
      </c>
      <c r="D339" s="39">
        <f>IFERROR(CLASIF_B_F!$F$7,"")</f>
        <v/>
      </c>
      <c r="E339" s="40" t="n"/>
      <c r="F339" s="39">
        <f>IFERROR(CLASIF_B_F!$F$18,"")</f>
        <v/>
      </c>
      <c r="G339" s="40" t="n"/>
      <c r="H339" s="41" t="n"/>
      <c r="I339" s="42">
        <f>IF($H339="","",MAX(0,$H339-N($E339)))</f>
        <v/>
      </c>
      <c r="J339" s="42">
        <f>IF($H339="","",MAX(0,$H339-N($G339)))</f>
        <v/>
      </c>
    </row>
    <row r="340" ht="19.5" customHeight="1" s="72">
      <c r="A340" s="38" t="inlineStr">
        <is>
          <t>BF-OCT-P03-SIR</t>
        </is>
      </c>
      <c r="B340" s="38" t="inlineStr">
        <is>
          <t>Octavas</t>
        </is>
      </c>
      <c r="C340" s="38" t="inlineStr">
        <is>
          <t>Siriuna</t>
        </is>
      </c>
      <c r="D340" s="39">
        <f>IFERROR(CLASIF_B_F!$F$7,"")</f>
        <v/>
      </c>
      <c r="E340" s="40" t="n"/>
      <c r="F340" s="39">
        <f>IFERROR(CLASIF_B_F!$F$18,"")</f>
        <v/>
      </c>
      <c r="G340" s="40" t="n"/>
      <c r="H340" s="41" t="n"/>
      <c r="I340" s="42">
        <f>IF($H340="","",MAX(0,$H340-N($E340)))</f>
        <v/>
      </c>
      <c r="J340" s="42">
        <f>IF($H340="","",MAX(0,$H340-N($G340)))</f>
        <v/>
      </c>
    </row>
    <row r="341" ht="19.5" customHeight="1" s="72">
      <c r="A341" s="38" t="inlineStr">
        <is>
          <t>BF-OCT-P04-BEN</t>
        </is>
      </c>
      <c r="B341" s="38" t="inlineStr">
        <is>
          <t>Octavas</t>
        </is>
      </c>
      <c r="C341" s="38" t="inlineStr">
        <is>
          <t>Benguela</t>
        </is>
      </c>
      <c r="D341" s="39">
        <f>IFERROR(CLASIF_B_F!$F$8,"")</f>
        <v/>
      </c>
      <c r="E341" s="40" t="n"/>
      <c r="F341" s="39">
        <f>IFERROR(CLASIF_B_F!$F$17,"")</f>
        <v/>
      </c>
      <c r="G341" s="40" t="n"/>
      <c r="H341" s="41" t="n"/>
      <c r="I341" s="42">
        <f>IF($H341="","",MAX(0,$H341-N($E341)))</f>
        <v/>
      </c>
      <c r="J341" s="42">
        <f>IF($H341="","",MAX(0,$H341-N($G341)))</f>
        <v/>
      </c>
    </row>
    <row r="342" ht="19.5" customHeight="1" s="72">
      <c r="A342" s="38" t="inlineStr">
        <is>
          <t>BF-OCT-P04-SBA</t>
        </is>
      </c>
      <c r="B342" s="38" t="inlineStr">
        <is>
          <t>Octavas</t>
        </is>
      </c>
      <c r="C342" s="38" t="inlineStr">
        <is>
          <t>São Bento da Abadá</t>
        </is>
      </c>
      <c r="D342" s="39">
        <f>IFERROR(CLASIF_B_F!$F$8,"")</f>
        <v/>
      </c>
      <c r="E342" s="40" t="n"/>
      <c r="F342" s="39">
        <f>IFERROR(CLASIF_B_F!$F$17,"")</f>
        <v/>
      </c>
      <c r="G342" s="40" t="n"/>
      <c r="H342" s="41" t="n"/>
      <c r="I342" s="42">
        <f>IF($H342="","",MAX(0,$H342-N($E342)))</f>
        <v/>
      </c>
      <c r="J342" s="42">
        <f>IF($H342="","",MAX(0,$H342-N($G342)))</f>
        <v/>
      </c>
    </row>
    <row r="343" ht="19.5" customHeight="1" s="72">
      <c r="A343" s="38" t="inlineStr">
        <is>
          <t>BF-OCT-P04-SIR</t>
        </is>
      </c>
      <c r="B343" s="38" t="inlineStr">
        <is>
          <t>Octavas</t>
        </is>
      </c>
      <c r="C343" s="38" t="inlineStr">
        <is>
          <t>Siriuna</t>
        </is>
      </c>
      <c r="D343" s="39">
        <f>IFERROR(CLASIF_B_F!$F$8,"")</f>
        <v/>
      </c>
      <c r="E343" s="40" t="n"/>
      <c r="F343" s="39">
        <f>IFERROR(CLASIF_B_F!$F$17,"")</f>
        <v/>
      </c>
      <c r="G343" s="40" t="n"/>
      <c r="H343" s="41" t="n"/>
      <c r="I343" s="42">
        <f>IF($H343="","",MAX(0,$H343-N($E343)))</f>
        <v/>
      </c>
      <c r="J343" s="42">
        <f>IF($H343="","",MAX(0,$H343-N($G343)))</f>
        <v/>
      </c>
    </row>
    <row r="344" ht="19.5" customHeight="1" s="72">
      <c r="A344" s="38" t="inlineStr">
        <is>
          <t>BF-OCT-P05-BEN</t>
        </is>
      </c>
      <c r="B344" s="38" t="inlineStr">
        <is>
          <t>Octavas</t>
        </is>
      </c>
      <c r="C344" s="38" t="inlineStr">
        <is>
          <t>Benguela</t>
        </is>
      </c>
      <c r="D344" s="39">
        <f>IFERROR(CLASIF_B_F!$F$9,"")</f>
        <v/>
      </c>
      <c r="E344" s="40" t="n"/>
      <c r="F344" s="39">
        <f>IFERROR(CLASIF_B_F!$F$16,"")</f>
        <v/>
      </c>
      <c r="G344" s="40" t="n"/>
      <c r="H344" s="41" t="n"/>
      <c r="I344" s="42">
        <f>IF($H344="","",MAX(0,$H344-N($E344)))</f>
        <v/>
      </c>
      <c r="J344" s="42">
        <f>IF($H344="","",MAX(0,$H344-N($G344)))</f>
        <v/>
      </c>
    </row>
    <row r="345" ht="19.5" customHeight="1" s="72">
      <c r="A345" s="38" t="inlineStr">
        <is>
          <t>BF-OCT-P05-SBA</t>
        </is>
      </c>
      <c r="B345" s="38" t="inlineStr">
        <is>
          <t>Octavas</t>
        </is>
      </c>
      <c r="C345" s="38" t="inlineStr">
        <is>
          <t>São Bento da Abadá</t>
        </is>
      </c>
      <c r="D345" s="39">
        <f>IFERROR(CLASIF_B_F!$F$9,"")</f>
        <v/>
      </c>
      <c r="E345" s="40" t="n"/>
      <c r="F345" s="39">
        <f>IFERROR(CLASIF_B_F!$F$16,"")</f>
        <v/>
      </c>
      <c r="G345" s="40" t="n"/>
      <c r="H345" s="41" t="n"/>
      <c r="I345" s="42">
        <f>IF($H345="","",MAX(0,$H345-N($E345)))</f>
        <v/>
      </c>
      <c r="J345" s="42">
        <f>IF($H345="","",MAX(0,$H345-N($G345)))</f>
        <v/>
      </c>
    </row>
    <row r="346" ht="19.5" customHeight="1" s="72">
      <c r="A346" s="38" t="inlineStr">
        <is>
          <t>BF-OCT-P05-SIR</t>
        </is>
      </c>
      <c r="B346" s="38" t="inlineStr">
        <is>
          <t>Octavas</t>
        </is>
      </c>
      <c r="C346" s="38" t="inlineStr">
        <is>
          <t>Siriuna</t>
        </is>
      </c>
      <c r="D346" s="39">
        <f>IFERROR(CLASIF_B_F!$F$9,"")</f>
        <v/>
      </c>
      <c r="E346" s="40" t="n"/>
      <c r="F346" s="39">
        <f>IFERROR(CLASIF_B_F!$F$16,"")</f>
        <v/>
      </c>
      <c r="G346" s="40" t="n"/>
      <c r="H346" s="41" t="n"/>
      <c r="I346" s="42">
        <f>IF($H346="","",MAX(0,$H346-N($E346)))</f>
        <v/>
      </c>
      <c r="J346" s="42">
        <f>IF($H346="","",MAX(0,$H346-N($G346)))</f>
        <v/>
      </c>
    </row>
    <row r="347" ht="19.5" customHeight="1" s="72">
      <c r="A347" s="38" t="inlineStr">
        <is>
          <t>BF-OCT-P06-BEN</t>
        </is>
      </c>
      <c r="B347" s="38" t="inlineStr">
        <is>
          <t>Octavas</t>
        </is>
      </c>
      <c r="C347" s="38" t="inlineStr">
        <is>
          <t>Benguela</t>
        </is>
      </c>
      <c r="D347" s="39">
        <f>IFERROR(CLASIF_B_F!$F$10,"")</f>
        <v/>
      </c>
      <c r="E347" s="40" t="n"/>
      <c r="F347" s="39">
        <f>IFERROR(CLASIF_B_F!$F$15,"")</f>
        <v/>
      </c>
      <c r="G347" s="40" t="n"/>
      <c r="H347" s="41" t="n"/>
      <c r="I347" s="42">
        <f>IF($H347="","",MAX(0,$H347-N($E347)))</f>
        <v/>
      </c>
      <c r="J347" s="42">
        <f>IF($H347="","",MAX(0,$H347-N($G347)))</f>
        <v/>
      </c>
    </row>
    <row r="348" ht="19.5" customHeight="1" s="72">
      <c r="A348" s="38" t="inlineStr">
        <is>
          <t>BF-OCT-P06-SBA</t>
        </is>
      </c>
      <c r="B348" s="38" t="inlineStr">
        <is>
          <t>Octavas</t>
        </is>
      </c>
      <c r="C348" s="38" t="inlineStr">
        <is>
          <t>São Bento da Abadá</t>
        </is>
      </c>
      <c r="D348" s="39">
        <f>IFERROR(CLASIF_B_F!$F$10,"")</f>
        <v/>
      </c>
      <c r="E348" s="40" t="n"/>
      <c r="F348" s="39">
        <f>IFERROR(CLASIF_B_F!$F$15,"")</f>
        <v/>
      </c>
      <c r="G348" s="40" t="n"/>
      <c r="H348" s="41" t="n"/>
      <c r="I348" s="42">
        <f>IF($H348="","",MAX(0,$H348-N($E348)))</f>
        <v/>
      </c>
      <c r="J348" s="42">
        <f>IF($H348="","",MAX(0,$H348-N($G348)))</f>
        <v/>
      </c>
    </row>
    <row r="349" ht="19.5" customHeight="1" s="72">
      <c r="A349" s="38" t="inlineStr">
        <is>
          <t>BF-OCT-P06-SIR</t>
        </is>
      </c>
      <c r="B349" s="38" t="inlineStr">
        <is>
          <t>Octavas</t>
        </is>
      </c>
      <c r="C349" s="38" t="inlineStr">
        <is>
          <t>Siriuna</t>
        </is>
      </c>
      <c r="D349" s="39">
        <f>IFERROR(CLASIF_B_F!$F$10,"")</f>
        <v/>
      </c>
      <c r="E349" s="40" t="n"/>
      <c r="F349" s="39">
        <f>IFERROR(CLASIF_B_F!$F$15,"")</f>
        <v/>
      </c>
      <c r="G349" s="40" t="n"/>
      <c r="H349" s="41" t="n"/>
      <c r="I349" s="42">
        <f>IF($H349="","",MAX(0,$H349-N($E349)))</f>
        <v/>
      </c>
      <c r="J349" s="42">
        <f>IF($H349="","",MAX(0,$H349-N($G349)))</f>
        <v/>
      </c>
    </row>
    <row r="350" ht="19.5" customHeight="1" s="72">
      <c r="A350" s="38" t="inlineStr">
        <is>
          <t>BF-OCT-P07-BEN</t>
        </is>
      </c>
      <c r="B350" s="38" t="inlineStr">
        <is>
          <t>Octavas</t>
        </is>
      </c>
      <c r="C350" s="38" t="inlineStr">
        <is>
          <t>Benguela</t>
        </is>
      </c>
      <c r="D350" s="39">
        <f>IFERROR(CLASIF_B_F!$F$11,"")</f>
        <v/>
      </c>
      <c r="E350" s="40" t="n"/>
      <c r="F350" s="39">
        <f>IFERROR(CLASIF_B_F!$F$14,"")</f>
        <v/>
      </c>
      <c r="G350" s="40" t="n"/>
      <c r="H350" s="41" t="n"/>
      <c r="I350" s="42">
        <f>IF($H350="","",MAX(0,$H350-N($E350)))</f>
        <v/>
      </c>
      <c r="J350" s="42">
        <f>IF($H350="","",MAX(0,$H350-N($G350)))</f>
        <v/>
      </c>
    </row>
    <row r="351" ht="19.5" customHeight="1" s="72">
      <c r="A351" s="38" t="inlineStr">
        <is>
          <t>BF-OCT-P07-SBA</t>
        </is>
      </c>
      <c r="B351" s="38" t="inlineStr">
        <is>
          <t>Octavas</t>
        </is>
      </c>
      <c r="C351" s="38" t="inlineStr">
        <is>
          <t>São Bento da Abadá</t>
        </is>
      </c>
      <c r="D351" s="39">
        <f>IFERROR(CLASIF_B_F!$F$11,"")</f>
        <v/>
      </c>
      <c r="E351" s="40" t="n"/>
      <c r="F351" s="39">
        <f>IFERROR(CLASIF_B_F!$F$14,"")</f>
        <v/>
      </c>
      <c r="G351" s="40" t="n"/>
      <c r="H351" s="41" t="n"/>
      <c r="I351" s="42">
        <f>IF($H351="","",MAX(0,$H351-N($E351)))</f>
        <v/>
      </c>
      <c r="J351" s="42">
        <f>IF($H351="","",MAX(0,$H351-N($G351)))</f>
        <v/>
      </c>
    </row>
    <row r="352" ht="19.5" customHeight="1" s="72">
      <c r="A352" s="38" t="inlineStr">
        <is>
          <t>BF-OCT-P07-SIR</t>
        </is>
      </c>
      <c r="B352" s="38" t="inlineStr">
        <is>
          <t>Octavas</t>
        </is>
      </c>
      <c r="C352" s="38" t="inlineStr">
        <is>
          <t>Siriuna</t>
        </is>
      </c>
      <c r="D352" s="39">
        <f>IFERROR(CLASIF_B_F!$F$11,"")</f>
        <v/>
      </c>
      <c r="E352" s="40" t="n"/>
      <c r="F352" s="39">
        <f>IFERROR(CLASIF_B_F!$F$14,"")</f>
        <v/>
      </c>
      <c r="G352" s="40" t="n"/>
      <c r="H352" s="41" t="n"/>
      <c r="I352" s="42">
        <f>IF($H352="","",MAX(0,$H352-N($E352)))</f>
        <v/>
      </c>
      <c r="J352" s="42">
        <f>IF($H352="","",MAX(0,$H352-N($G352)))</f>
        <v/>
      </c>
    </row>
    <row r="353" ht="19.5" customHeight="1" s="72">
      <c r="A353" s="38" t="inlineStr">
        <is>
          <t>BF-OCT-P08-BEN</t>
        </is>
      </c>
      <c r="B353" s="38" t="inlineStr">
        <is>
          <t>Octavas</t>
        </is>
      </c>
      <c r="C353" s="38" t="inlineStr">
        <is>
          <t>Benguela</t>
        </is>
      </c>
      <c r="D353" s="39">
        <f>IFERROR(CLASIF_B_F!$F$12,"")</f>
        <v/>
      </c>
      <c r="E353" s="40" t="n"/>
      <c r="F353" s="39">
        <f>IFERROR(CLASIF_B_F!$F$13,"")</f>
        <v/>
      </c>
      <c r="G353" s="40" t="n"/>
      <c r="H353" s="41" t="n"/>
      <c r="I353" s="42">
        <f>IF($H353="","",MAX(0,$H353-N($E353)))</f>
        <v/>
      </c>
      <c r="J353" s="42">
        <f>IF($H353="","",MAX(0,$H353-N($G353)))</f>
        <v/>
      </c>
    </row>
    <row r="354" ht="19.5" customHeight="1" s="72">
      <c r="A354" s="38" t="inlineStr">
        <is>
          <t>BF-OCT-P08-SBA</t>
        </is>
      </c>
      <c r="B354" s="38" t="inlineStr">
        <is>
          <t>Octavas</t>
        </is>
      </c>
      <c r="C354" s="38" t="inlineStr">
        <is>
          <t>São Bento da Abadá</t>
        </is>
      </c>
      <c r="D354" s="39">
        <f>IFERROR(CLASIF_B_F!$F$12,"")</f>
        <v/>
      </c>
      <c r="E354" s="40" t="n"/>
      <c r="F354" s="39">
        <f>IFERROR(CLASIF_B_F!$F$13,"")</f>
        <v/>
      </c>
      <c r="G354" s="40" t="n"/>
      <c r="H354" s="41" t="n"/>
      <c r="I354" s="42">
        <f>IF($H354="","",MAX(0,$H354-N($E354)))</f>
        <v/>
      </c>
      <c r="J354" s="42">
        <f>IF($H354="","",MAX(0,$H354-N($G354)))</f>
        <v/>
      </c>
    </row>
    <row r="355" ht="19.5" customHeight="1" s="72">
      <c r="A355" s="38" t="inlineStr">
        <is>
          <t>BF-OCT-P08-SIR</t>
        </is>
      </c>
      <c r="B355" s="38" t="inlineStr">
        <is>
          <t>Octavas</t>
        </is>
      </c>
      <c r="C355" s="38" t="inlineStr">
        <is>
          <t>Siriuna</t>
        </is>
      </c>
      <c r="D355" s="39">
        <f>IFERROR(CLASIF_B_F!$F$12,"")</f>
        <v/>
      </c>
      <c r="E355" s="40" t="n"/>
      <c r="F355" s="39">
        <f>IFERROR(CLASIF_B_F!$F$13,"")</f>
        <v/>
      </c>
      <c r="G355" s="40" t="n"/>
      <c r="H355" s="41" t="n"/>
      <c r="I355" s="42">
        <f>IF($H355="","",MAX(0,$H355-N($E355)))</f>
        <v/>
      </c>
      <c r="J355" s="42">
        <f>IF($H355="","",MAX(0,$H355-N($G355)))</f>
        <v/>
      </c>
    </row>
    <row r="356" ht="19.5" customHeight="1" s="72">
      <c r="A356" s="38" t="inlineStr">
        <is>
          <t>BF-SEM-P01-BEN</t>
        </is>
      </c>
      <c r="B356" s="38" t="inlineStr">
        <is>
          <t>Semifinal</t>
        </is>
      </c>
      <c r="C356" s="38" t="inlineStr">
        <is>
          <t>Benguela</t>
        </is>
      </c>
      <c r="D356" s="39">
        <f>IFERROR(CLASIF_B_F!$O$5,"")</f>
        <v/>
      </c>
      <c r="E356" s="40" t="n"/>
      <c r="F356" s="39">
        <f>IFERROR(CLASIF_B_F!$O$12,"")</f>
        <v/>
      </c>
      <c r="G356" s="40" t="n"/>
      <c r="H356" s="41" t="n"/>
      <c r="I356" s="42">
        <f>IF($H356="","",MAX(0,$H356-N($E356)))</f>
        <v/>
      </c>
      <c r="J356" s="42">
        <f>IF($H356="","",MAX(0,$H356-N($G356)))</f>
        <v/>
      </c>
    </row>
    <row r="357" ht="19.5" customHeight="1" s="72">
      <c r="A357" s="38" t="inlineStr">
        <is>
          <t>BF-SEM-P01-SBA</t>
        </is>
      </c>
      <c r="B357" s="38" t="inlineStr">
        <is>
          <t>Semifinal</t>
        </is>
      </c>
      <c r="C357" s="38" t="inlineStr">
        <is>
          <t>São Bento da Abadá</t>
        </is>
      </c>
      <c r="D357" s="39">
        <f>IFERROR(CLASIF_B_F!$O$5,"")</f>
        <v/>
      </c>
      <c r="E357" s="40" t="n"/>
      <c r="F357" s="39">
        <f>IFERROR(CLASIF_B_F!$O$12,"")</f>
        <v/>
      </c>
      <c r="G357" s="40" t="n"/>
      <c r="H357" s="41" t="n"/>
      <c r="I357" s="42">
        <f>IF($H357="","",MAX(0,$H357-N($E357)))</f>
        <v/>
      </c>
      <c r="J357" s="42">
        <f>IF($H357="","",MAX(0,$H357-N($G357)))</f>
        <v/>
      </c>
    </row>
    <row r="358" ht="19.5" customHeight="1" s="72">
      <c r="A358" s="38" t="inlineStr">
        <is>
          <t>BF-SEM-P01-SIR</t>
        </is>
      </c>
      <c r="B358" s="38" t="inlineStr">
        <is>
          <t>Semifinal</t>
        </is>
      </c>
      <c r="C358" s="38" t="inlineStr">
        <is>
          <t>Siriuna</t>
        </is>
      </c>
      <c r="D358" s="39">
        <f>IFERROR(CLASIF_B_F!$O$5,"")</f>
        <v/>
      </c>
      <c r="E358" s="40" t="n"/>
      <c r="F358" s="39">
        <f>IFERROR(CLASIF_B_F!$O$12,"")</f>
        <v/>
      </c>
      <c r="G358" s="40" t="n"/>
      <c r="H358" s="41" t="n"/>
      <c r="I358" s="42">
        <f>IF($H358="","",MAX(0,$H358-N($E358)))</f>
        <v/>
      </c>
      <c r="J358" s="42">
        <f>IF($H358="","",MAX(0,$H358-N($G358)))</f>
        <v/>
      </c>
    </row>
    <row r="359" ht="19.5" customHeight="1" s="72">
      <c r="A359" s="38" t="inlineStr">
        <is>
          <t>BF-SEM-P02-BEN</t>
        </is>
      </c>
      <c r="B359" s="38" t="inlineStr">
        <is>
          <t>Semifinal</t>
        </is>
      </c>
      <c r="C359" s="38" t="inlineStr">
        <is>
          <t>Benguela</t>
        </is>
      </c>
      <c r="D359" s="39">
        <f>IFERROR(CLASIF_B_F!$O$6,"")</f>
        <v/>
      </c>
      <c r="E359" s="40" t="n"/>
      <c r="F359" s="39">
        <f>IFERROR(CLASIF_B_F!$O$11,"")</f>
        <v/>
      </c>
      <c r="G359" s="40" t="n"/>
      <c r="H359" s="41" t="n"/>
      <c r="I359" s="42">
        <f>IF($H359="","",MAX(0,$H359-N($E359)))</f>
        <v/>
      </c>
      <c r="J359" s="42">
        <f>IF($H359="","",MAX(0,$H359-N($G359)))</f>
        <v/>
      </c>
    </row>
    <row r="360" ht="19.5" customHeight="1" s="72">
      <c r="A360" s="38" t="inlineStr">
        <is>
          <t>BF-SEM-P02-SBA</t>
        </is>
      </c>
      <c r="B360" s="38" t="inlineStr">
        <is>
          <t>Semifinal</t>
        </is>
      </c>
      <c r="C360" s="38" t="inlineStr">
        <is>
          <t>São Bento da Abadá</t>
        </is>
      </c>
      <c r="D360" s="39">
        <f>IFERROR(CLASIF_B_F!$O$6,"")</f>
        <v/>
      </c>
      <c r="E360" s="40" t="n"/>
      <c r="F360" s="39">
        <f>IFERROR(CLASIF_B_F!$O$11,"")</f>
        <v/>
      </c>
      <c r="G360" s="40" t="n"/>
      <c r="H360" s="41" t="n"/>
      <c r="I360" s="42">
        <f>IF($H360="","",MAX(0,$H360-N($E360)))</f>
        <v/>
      </c>
      <c r="J360" s="42">
        <f>IF($H360="","",MAX(0,$H360-N($G360)))</f>
        <v/>
      </c>
    </row>
    <row r="361" ht="19.5" customHeight="1" s="72">
      <c r="A361" s="38" t="inlineStr">
        <is>
          <t>BF-SEM-P02-SIR</t>
        </is>
      </c>
      <c r="B361" s="38" t="inlineStr">
        <is>
          <t>Semifinal</t>
        </is>
      </c>
      <c r="C361" s="38" t="inlineStr">
        <is>
          <t>Siriuna</t>
        </is>
      </c>
      <c r="D361" s="39">
        <f>IFERROR(CLASIF_B_F!$O$6,"")</f>
        <v/>
      </c>
      <c r="E361" s="40" t="n"/>
      <c r="F361" s="39">
        <f>IFERROR(CLASIF_B_F!$O$11,"")</f>
        <v/>
      </c>
      <c r="G361" s="40" t="n"/>
      <c r="H361" s="41" t="n"/>
      <c r="I361" s="42">
        <f>IF($H361="","",MAX(0,$H361-N($E361)))</f>
        <v/>
      </c>
      <c r="J361" s="42">
        <f>IF($H361="","",MAX(0,$H361-N($G361)))</f>
        <v/>
      </c>
    </row>
    <row r="362" ht="19.5" customHeight="1" s="72">
      <c r="A362" s="38" t="inlineStr">
        <is>
          <t>BF-SEM-P03-BEN</t>
        </is>
      </c>
      <c r="B362" s="38" t="inlineStr">
        <is>
          <t>Semifinal</t>
        </is>
      </c>
      <c r="C362" s="38" t="inlineStr">
        <is>
          <t>Benguela</t>
        </is>
      </c>
      <c r="D362" s="39">
        <f>IFERROR(CLASIF_B_F!$O$7,"")</f>
        <v/>
      </c>
      <c r="E362" s="40" t="n"/>
      <c r="F362" s="39">
        <f>IFERROR(CLASIF_B_F!$O$10,"")</f>
        <v/>
      </c>
      <c r="G362" s="40" t="n"/>
      <c r="H362" s="41" t="n"/>
      <c r="I362" s="42">
        <f>IF($H362="","",MAX(0,$H362-N($E362)))</f>
        <v/>
      </c>
      <c r="J362" s="42">
        <f>IF($H362="","",MAX(0,$H362-N($G362)))</f>
        <v/>
      </c>
    </row>
    <row r="363" ht="19.5" customHeight="1" s="72">
      <c r="A363" s="38" t="inlineStr">
        <is>
          <t>BF-SEM-P03-SBA</t>
        </is>
      </c>
      <c r="B363" s="38" t="inlineStr">
        <is>
          <t>Semifinal</t>
        </is>
      </c>
      <c r="C363" s="38" t="inlineStr">
        <is>
          <t>São Bento da Abadá</t>
        </is>
      </c>
      <c r="D363" s="39">
        <f>IFERROR(CLASIF_B_F!$O$7,"")</f>
        <v/>
      </c>
      <c r="E363" s="40" t="n"/>
      <c r="F363" s="39">
        <f>IFERROR(CLASIF_B_F!$O$10,"")</f>
        <v/>
      </c>
      <c r="G363" s="40" t="n"/>
      <c r="H363" s="41" t="n"/>
      <c r="I363" s="42">
        <f>IF($H363="","",MAX(0,$H363-N($E363)))</f>
        <v/>
      </c>
      <c r="J363" s="42">
        <f>IF($H363="","",MAX(0,$H363-N($G363)))</f>
        <v/>
      </c>
    </row>
    <row r="364" ht="19.5" customHeight="1" s="72">
      <c r="A364" s="38" t="inlineStr">
        <is>
          <t>BF-SEM-P03-SIR</t>
        </is>
      </c>
      <c r="B364" s="38" t="inlineStr">
        <is>
          <t>Semifinal</t>
        </is>
      </c>
      <c r="C364" s="38" t="inlineStr">
        <is>
          <t>Siriuna</t>
        </is>
      </c>
      <c r="D364" s="39">
        <f>IFERROR(CLASIF_B_F!$O$7,"")</f>
        <v/>
      </c>
      <c r="E364" s="40" t="n"/>
      <c r="F364" s="39">
        <f>IFERROR(CLASIF_B_F!$O$10,"")</f>
        <v/>
      </c>
      <c r="G364" s="40" t="n"/>
      <c r="H364" s="41" t="n"/>
      <c r="I364" s="42">
        <f>IF($H364="","",MAX(0,$H364-N($E364)))</f>
        <v/>
      </c>
      <c r="J364" s="42">
        <f>IF($H364="","",MAX(0,$H364-N($G364)))</f>
        <v/>
      </c>
    </row>
    <row r="365" ht="19.5" customHeight="1" s="72">
      <c r="A365" s="38" t="inlineStr">
        <is>
          <t>BF-SEM-P04-BEN</t>
        </is>
      </c>
      <c r="B365" s="38" t="inlineStr">
        <is>
          <t>Semifinal</t>
        </is>
      </c>
      <c r="C365" s="38" t="inlineStr">
        <is>
          <t>Benguela</t>
        </is>
      </c>
      <c r="D365" s="39">
        <f>IFERROR(CLASIF_B_F!$O$8,"")</f>
        <v/>
      </c>
      <c r="E365" s="40" t="n"/>
      <c r="F365" s="39">
        <f>IFERROR(CLASIF_B_F!$O$9,"")</f>
        <v/>
      </c>
      <c r="G365" s="40" t="n"/>
      <c r="H365" s="41" t="n"/>
      <c r="I365" s="42">
        <f>IF($H365="","",MAX(0,$H365-N($E365)))</f>
        <v/>
      </c>
      <c r="J365" s="42">
        <f>IF($H365="","",MAX(0,$H365-N($G365)))</f>
        <v/>
      </c>
    </row>
    <row r="366" ht="19.5" customHeight="1" s="72">
      <c r="A366" s="38" t="inlineStr">
        <is>
          <t>BF-SEM-P04-SBA</t>
        </is>
      </c>
      <c r="B366" s="38" t="inlineStr">
        <is>
          <t>Semifinal</t>
        </is>
      </c>
      <c r="C366" s="38" t="inlineStr">
        <is>
          <t>São Bento da Abadá</t>
        </is>
      </c>
      <c r="D366" s="39">
        <f>IFERROR(CLASIF_B_F!$O$8,"")</f>
        <v/>
      </c>
      <c r="E366" s="40" t="n"/>
      <c r="F366" s="39">
        <f>IFERROR(CLASIF_B_F!$O$9,"")</f>
        <v/>
      </c>
      <c r="G366" s="40" t="n"/>
      <c r="H366" s="41" t="n"/>
      <c r="I366" s="42">
        <f>IF($H366="","",MAX(0,$H366-N($E366)))</f>
        <v/>
      </c>
      <c r="J366" s="42">
        <f>IF($H366="","",MAX(0,$H366-N($G366)))</f>
        <v/>
      </c>
    </row>
    <row r="367" ht="19.5" customHeight="1" s="72">
      <c r="A367" s="38" t="inlineStr">
        <is>
          <t>BF-SEM-P04-SIR</t>
        </is>
      </c>
      <c r="B367" s="38" t="inlineStr">
        <is>
          <t>Semifinal</t>
        </is>
      </c>
      <c r="C367" s="38" t="inlineStr">
        <is>
          <t>Siriuna</t>
        </is>
      </c>
      <c r="D367" s="39">
        <f>IFERROR(CLASIF_B_F!$O$8,"")</f>
        <v/>
      </c>
      <c r="E367" s="40" t="n"/>
      <c r="F367" s="39">
        <f>IFERROR(CLASIF_B_F!$O$9,"")</f>
        <v/>
      </c>
      <c r="G367" s="40" t="n"/>
      <c r="H367" s="41" t="n"/>
      <c r="I367" s="42">
        <f>IF($H367="","",MAX(0,$H367-N($E367)))</f>
        <v/>
      </c>
      <c r="J367" s="42">
        <f>IF($H367="","",MAX(0,$H367-N($G367)))</f>
        <v/>
      </c>
    </row>
    <row r="368" ht="19.5" customHeight="1" s="72">
      <c r="A368" s="38" t="inlineStr">
        <is>
          <t>BF-FIN-P01-BEN</t>
        </is>
      </c>
      <c r="B368" s="38" t="inlineStr">
        <is>
          <t>Final</t>
        </is>
      </c>
      <c r="C368" s="38" t="inlineStr">
        <is>
          <t>Benguela</t>
        </is>
      </c>
      <c r="D368" s="39">
        <f>IFERROR(CLASIF_B_F!$X$5,"")</f>
        <v/>
      </c>
      <c r="E368" s="40" t="n"/>
      <c r="F368" s="39">
        <f>IFERROR(CLASIF_B_F!$X$8,"")</f>
        <v/>
      </c>
      <c r="G368" s="40" t="n"/>
      <c r="H368" s="41" t="n"/>
      <c r="I368" s="42">
        <f>IF($H368="","",MAX(0,$H368-N($E368)))</f>
        <v/>
      </c>
      <c r="J368" s="42">
        <f>IF($H368="","",MAX(0,$H368-N($G368)))</f>
        <v/>
      </c>
    </row>
    <row r="369" ht="19.5" customHeight="1" s="72">
      <c r="A369" s="38" t="inlineStr">
        <is>
          <t>BF-FIN-P01-SBA</t>
        </is>
      </c>
      <c r="B369" s="38" t="inlineStr">
        <is>
          <t>Final</t>
        </is>
      </c>
      <c r="C369" s="38" t="inlineStr">
        <is>
          <t>São Bento da Abadá</t>
        </is>
      </c>
      <c r="D369" s="39">
        <f>IFERROR(CLASIF_B_F!$X$5,"")</f>
        <v/>
      </c>
      <c r="E369" s="40" t="n"/>
      <c r="F369" s="39">
        <f>IFERROR(CLASIF_B_F!$X$8,"")</f>
        <v/>
      </c>
      <c r="G369" s="40" t="n"/>
      <c r="H369" s="41" t="n"/>
      <c r="I369" s="42">
        <f>IF($H369="","",MAX(0,$H369-N($E369)))</f>
        <v/>
      </c>
      <c r="J369" s="42">
        <f>IF($H369="","",MAX(0,$H369-N($G369)))</f>
        <v/>
      </c>
    </row>
    <row r="370" ht="19.5" customHeight="1" s="72">
      <c r="A370" s="38" t="inlineStr">
        <is>
          <t>BF-FIN-P01-SIR</t>
        </is>
      </c>
      <c r="B370" s="38" t="inlineStr">
        <is>
          <t>Final</t>
        </is>
      </c>
      <c r="C370" s="38" t="inlineStr">
        <is>
          <t>Siriuna</t>
        </is>
      </c>
      <c r="D370" s="39">
        <f>IFERROR(CLASIF_B_F!$X$5,"")</f>
        <v/>
      </c>
      <c r="E370" s="40" t="n"/>
      <c r="F370" s="39">
        <f>IFERROR(CLASIF_B_F!$X$8,"")</f>
        <v/>
      </c>
      <c r="G370" s="40" t="n"/>
      <c r="H370" s="41" t="n"/>
      <c r="I370" s="42">
        <f>IF($H370="","",MAX(0,$H370-N($E370)))</f>
        <v/>
      </c>
      <c r="J370" s="42">
        <f>IF($H370="","",MAX(0,$H370-N($G370)))</f>
        <v/>
      </c>
    </row>
    <row r="371" ht="19.5" customHeight="1" s="72">
      <c r="A371" s="38" t="inlineStr">
        <is>
          <t>BF-FIN-P02-BEN</t>
        </is>
      </c>
      <c r="B371" s="38" t="inlineStr">
        <is>
          <t>Final</t>
        </is>
      </c>
      <c r="C371" s="38" t="inlineStr">
        <is>
          <t>Benguela</t>
        </is>
      </c>
      <c r="D371" s="39">
        <f>IFERROR(CLASIF_B_F!$X$6,"")</f>
        <v/>
      </c>
      <c r="E371" s="40" t="n"/>
      <c r="F371" s="39">
        <f>IFERROR(CLASIF_B_F!$X$7,"")</f>
        <v/>
      </c>
      <c r="G371" s="40" t="n"/>
      <c r="H371" s="41" t="n"/>
      <c r="I371" s="42">
        <f>IF($H371="","",MAX(0,$H371-N($E371)))</f>
        <v/>
      </c>
      <c r="J371" s="42">
        <f>IF($H371="","",MAX(0,$H371-N($G371)))</f>
        <v/>
      </c>
    </row>
    <row r="372" ht="19.5" customHeight="1" s="72">
      <c r="A372" s="38" t="inlineStr">
        <is>
          <t>BF-FIN-P02-SBA</t>
        </is>
      </c>
      <c r="B372" s="38" t="inlineStr">
        <is>
          <t>Final</t>
        </is>
      </c>
      <c r="C372" s="38" t="inlineStr">
        <is>
          <t>São Bento da Abadá</t>
        </is>
      </c>
      <c r="D372" s="39">
        <f>IFERROR(CLASIF_B_F!$X$6,"")</f>
        <v/>
      </c>
      <c r="E372" s="40" t="n"/>
      <c r="F372" s="39">
        <f>IFERROR(CLASIF_B_F!$X$7,"")</f>
        <v/>
      </c>
      <c r="G372" s="40" t="n"/>
      <c r="H372" s="41" t="n"/>
      <c r="I372" s="42">
        <f>IF($H372="","",MAX(0,$H372-N($E372)))</f>
        <v/>
      </c>
      <c r="J372" s="42">
        <f>IF($H372="","",MAX(0,$H372-N($G372)))</f>
        <v/>
      </c>
    </row>
    <row r="373" ht="19.5" customHeight="1" s="72">
      <c r="A373" s="38" t="inlineStr">
        <is>
          <t>BF-FIN-P02-SIR</t>
        </is>
      </c>
      <c r="B373" s="38" t="inlineStr">
        <is>
          <t>Final</t>
        </is>
      </c>
      <c r="C373" s="38" t="inlineStr">
        <is>
          <t>Siriuna</t>
        </is>
      </c>
      <c r="D373" s="39">
        <f>IFERROR(CLASIF_B_F!$X$6,"")</f>
        <v/>
      </c>
      <c r="E373" s="40" t="n"/>
      <c r="F373" s="39">
        <f>IFERROR(CLASIF_B_F!$X$7,"")</f>
        <v/>
      </c>
      <c r="G373" s="40" t="n"/>
      <c r="H373" s="41" t="n"/>
      <c r="I373" s="42">
        <f>IF($H373="","",MAX(0,$H373-N($E373)))</f>
        <v/>
      </c>
      <c r="J373" s="42">
        <f>IF($H373="","",MAX(0,$H373-N($G373)))</f>
        <v/>
      </c>
    </row>
    <row r="374" ht="19.5" customHeight="1" s="72">
      <c r="A374" s="43" t="n"/>
      <c r="B374" s="43" t="n"/>
      <c r="C374" s="43" t="n"/>
      <c r="D374" s="43" t="n"/>
      <c r="E374" s="43" t="n"/>
      <c r="F374" s="43" t="n"/>
      <c r="G374" s="43" t="n"/>
      <c r="H374" s="44" t="n"/>
      <c r="I374" s="43">
        <f>IF($H374="","",MAX(0,$H374-N($E374)))</f>
        <v/>
      </c>
      <c r="J374" s="43">
        <f>IF($H374="","",MAX(0,$H374-N($G374)))</f>
        <v/>
      </c>
    </row>
    <row r="375" ht="19.5" customHeight="1" s="72">
      <c r="A375" s="82" t="inlineStr">
        <is>
          <t>═══ CATEGORÍA C · Masculino · Verde (Graduados) · Toques: Benguela, São Bento da Abadá, Siriuna ═══</t>
        </is>
      </c>
    </row>
    <row r="376" ht="19.5" customHeight="1" s="72">
      <c r="A376" s="8" t="inlineStr">
        <is>
          <t>Jogo</t>
        </is>
      </c>
      <c r="B376" s="8" t="inlineStr">
        <is>
          <t>Fase</t>
        </is>
      </c>
      <c r="C376" s="8" t="inlineStr">
        <is>
          <t>Toque</t>
        </is>
      </c>
      <c r="D376" s="8" t="inlineStr">
        <is>
          <t>Jugador A</t>
        </is>
      </c>
      <c r="E376" s="8" t="inlineStr">
        <is>
          <t>Quita A</t>
        </is>
      </c>
      <c r="F376" s="8" t="inlineStr">
        <is>
          <t>Jugador B</t>
        </is>
      </c>
      <c r="G376" s="8" t="inlineStr">
        <is>
          <t>Quita B</t>
        </is>
      </c>
      <c r="H376" s="8" t="inlineStr">
        <is>
          <t>NOTA (0-5)</t>
        </is>
      </c>
      <c r="I376" s="8">
        <f>IF($H376="","",MAX(0,$H376-N($E376)))</f>
        <v/>
      </c>
      <c r="J376" s="8">
        <f>IF($H376="","",MAX(0,$H376-N($G376)))</f>
        <v/>
      </c>
    </row>
    <row r="377" ht="19.5" customHeight="1" s="72">
      <c r="A377" s="38" t="inlineStr">
        <is>
          <t>CM-32-P01-BEN</t>
        </is>
      </c>
      <c r="B377" s="38" t="inlineStr">
        <is>
          <t>Fase 32</t>
        </is>
      </c>
      <c r="C377" s="38" t="inlineStr">
        <is>
          <t>Benguela</t>
        </is>
      </c>
      <c r="D377" s="39" t="inlineStr">
        <is>
          <t>A_C_M_32_P1</t>
        </is>
      </c>
      <c r="E377" s="40" t="n"/>
      <c r="F377" s="39" t="inlineStr">
        <is>
          <t>B_C_M_32_P1</t>
        </is>
      </c>
      <c r="G377" s="40" t="n"/>
      <c r="H377" s="41" t="n"/>
      <c r="I377" s="42">
        <f>IF($H377="","",MAX(0,$H377-N($E377)))</f>
        <v/>
      </c>
      <c r="J377" s="42">
        <f>IF($H377="","",MAX(0,$H377-N($G377)))</f>
        <v/>
      </c>
    </row>
    <row r="378" ht="19.5" customHeight="1" s="72">
      <c r="A378" s="38" t="inlineStr">
        <is>
          <t>CM-32-P01-SBA</t>
        </is>
      </c>
      <c r="B378" s="38" t="inlineStr">
        <is>
          <t>Fase 32</t>
        </is>
      </c>
      <c r="C378" s="38" t="inlineStr">
        <is>
          <t>São Bento da Abadá</t>
        </is>
      </c>
      <c r="D378" s="39" t="inlineStr">
        <is>
          <t>A_C_M_32_P1</t>
        </is>
      </c>
      <c r="E378" s="40" t="n"/>
      <c r="F378" s="39" t="inlineStr">
        <is>
          <t>B_C_M_32_P1</t>
        </is>
      </c>
      <c r="G378" s="40" t="n"/>
      <c r="H378" s="41" t="n"/>
      <c r="I378" s="42">
        <f>IF($H378="","",MAX(0,$H378-N($E378)))</f>
        <v/>
      </c>
      <c r="J378" s="42">
        <f>IF($H378="","",MAX(0,$H378-N($G378)))</f>
        <v/>
      </c>
    </row>
    <row r="379" ht="19.5" customHeight="1" s="72">
      <c r="A379" s="38" t="inlineStr">
        <is>
          <t>CM-32-P01-SIR</t>
        </is>
      </c>
      <c r="B379" s="38" t="inlineStr">
        <is>
          <t>Fase 32</t>
        </is>
      </c>
      <c r="C379" s="38" t="inlineStr">
        <is>
          <t>Siriuna</t>
        </is>
      </c>
      <c r="D379" s="39" t="inlineStr">
        <is>
          <t>A_C_M_32_P1</t>
        </is>
      </c>
      <c r="E379" s="40" t="n"/>
      <c r="F379" s="39" t="inlineStr">
        <is>
          <t>B_C_M_32_P1</t>
        </is>
      </c>
      <c r="G379" s="40" t="n"/>
      <c r="H379" s="41" t="n"/>
      <c r="I379" s="42">
        <f>IF($H379="","",MAX(0,$H379-N($E379)))</f>
        <v/>
      </c>
      <c r="J379" s="42">
        <f>IF($H379="","",MAX(0,$H379-N($G379)))</f>
        <v/>
      </c>
    </row>
    <row r="380" ht="19.5" customHeight="1" s="72">
      <c r="A380" s="38" t="inlineStr">
        <is>
          <t>CM-32-P02-BEN</t>
        </is>
      </c>
      <c r="B380" s="38" t="inlineStr">
        <is>
          <t>Fase 32</t>
        </is>
      </c>
      <c r="C380" s="38" t="inlineStr">
        <is>
          <t>Benguela</t>
        </is>
      </c>
      <c r="D380" s="39" t="inlineStr">
        <is>
          <t>A_C_M_32_P2</t>
        </is>
      </c>
      <c r="E380" s="40" t="n"/>
      <c r="F380" s="39" t="inlineStr">
        <is>
          <t>B_C_M_32_P2</t>
        </is>
      </c>
      <c r="G380" s="40" t="n"/>
      <c r="H380" s="41" t="n"/>
      <c r="I380" s="42">
        <f>IF($H380="","",MAX(0,$H380-N($E380)))</f>
        <v/>
      </c>
      <c r="J380" s="42">
        <f>IF($H380="","",MAX(0,$H380-N($G380)))</f>
        <v/>
      </c>
    </row>
    <row r="381" ht="19.5" customHeight="1" s="72">
      <c r="A381" s="38" t="inlineStr">
        <is>
          <t>CM-32-P02-SBA</t>
        </is>
      </c>
      <c r="B381" s="38" t="inlineStr">
        <is>
          <t>Fase 32</t>
        </is>
      </c>
      <c r="C381" s="38" t="inlineStr">
        <is>
          <t>São Bento da Abadá</t>
        </is>
      </c>
      <c r="D381" s="39" t="inlineStr">
        <is>
          <t>A_C_M_32_P2</t>
        </is>
      </c>
      <c r="E381" s="40" t="n"/>
      <c r="F381" s="39" t="inlineStr">
        <is>
          <t>B_C_M_32_P2</t>
        </is>
      </c>
      <c r="G381" s="40" t="n"/>
      <c r="H381" s="41" t="n"/>
      <c r="I381" s="42">
        <f>IF($H381="","",MAX(0,$H381-N($E381)))</f>
        <v/>
      </c>
      <c r="J381" s="42">
        <f>IF($H381="","",MAX(0,$H381-N($G381)))</f>
        <v/>
      </c>
    </row>
    <row r="382" ht="19.5" customHeight="1" s="72">
      <c r="A382" s="38" t="inlineStr">
        <is>
          <t>CM-32-P02-SIR</t>
        </is>
      </c>
      <c r="B382" s="38" t="inlineStr">
        <is>
          <t>Fase 32</t>
        </is>
      </c>
      <c r="C382" s="38" t="inlineStr">
        <is>
          <t>Siriuna</t>
        </is>
      </c>
      <c r="D382" s="39" t="inlineStr">
        <is>
          <t>A_C_M_32_P2</t>
        </is>
      </c>
      <c r="E382" s="40" t="n"/>
      <c r="F382" s="39" t="inlineStr">
        <is>
          <t>B_C_M_32_P2</t>
        </is>
      </c>
      <c r="G382" s="40" t="n"/>
      <c r="H382" s="41" t="n"/>
      <c r="I382" s="42">
        <f>IF($H382="","",MAX(0,$H382-N($E382)))</f>
        <v/>
      </c>
      <c r="J382" s="42">
        <f>IF($H382="","",MAX(0,$H382-N($G382)))</f>
        <v/>
      </c>
    </row>
    <row r="383" ht="19.5" customHeight="1" s="72">
      <c r="A383" s="38" t="inlineStr">
        <is>
          <t>CM-32-P03-BEN</t>
        </is>
      </c>
      <c r="B383" s="38" t="inlineStr">
        <is>
          <t>Fase 32</t>
        </is>
      </c>
      <c r="C383" s="38" t="inlineStr">
        <is>
          <t>Benguela</t>
        </is>
      </c>
      <c r="D383" s="39" t="inlineStr">
        <is>
          <t>A_C_M_32_P3</t>
        </is>
      </c>
      <c r="E383" s="40" t="n"/>
      <c r="F383" s="39" t="inlineStr">
        <is>
          <t>B_C_M_32_P3</t>
        </is>
      </c>
      <c r="G383" s="40" t="n"/>
      <c r="H383" s="41" t="n"/>
      <c r="I383" s="42">
        <f>IF($H383="","",MAX(0,$H383-N($E383)))</f>
        <v/>
      </c>
      <c r="J383" s="42">
        <f>IF($H383="","",MAX(0,$H383-N($G383)))</f>
        <v/>
      </c>
    </row>
    <row r="384" ht="19.5" customHeight="1" s="72">
      <c r="A384" s="38" t="inlineStr">
        <is>
          <t>CM-32-P03-SBA</t>
        </is>
      </c>
      <c r="B384" s="38" t="inlineStr">
        <is>
          <t>Fase 32</t>
        </is>
      </c>
      <c r="C384" s="38" t="inlineStr">
        <is>
          <t>São Bento da Abadá</t>
        </is>
      </c>
      <c r="D384" s="39" t="inlineStr">
        <is>
          <t>A_C_M_32_P3</t>
        </is>
      </c>
      <c r="E384" s="40" t="n"/>
      <c r="F384" s="39" t="inlineStr">
        <is>
          <t>B_C_M_32_P3</t>
        </is>
      </c>
      <c r="G384" s="40" t="n"/>
      <c r="H384" s="41" t="n"/>
      <c r="I384" s="42">
        <f>IF($H384="","",MAX(0,$H384-N($E384)))</f>
        <v/>
      </c>
      <c r="J384" s="42">
        <f>IF($H384="","",MAX(0,$H384-N($G384)))</f>
        <v/>
      </c>
    </row>
    <row r="385" ht="19.5" customHeight="1" s="72">
      <c r="A385" s="38" t="inlineStr">
        <is>
          <t>CM-32-P03-SIR</t>
        </is>
      </c>
      <c r="B385" s="38" t="inlineStr">
        <is>
          <t>Fase 32</t>
        </is>
      </c>
      <c r="C385" s="38" t="inlineStr">
        <is>
          <t>Siriuna</t>
        </is>
      </c>
      <c r="D385" s="39" t="inlineStr">
        <is>
          <t>A_C_M_32_P3</t>
        </is>
      </c>
      <c r="E385" s="40" t="n"/>
      <c r="F385" s="39" t="inlineStr">
        <is>
          <t>B_C_M_32_P3</t>
        </is>
      </c>
      <c r="G385" s="40" t="n"/>
      <c r="H385" s="41" t="n"/>
      <c r="I385" s="42">
        <f>IF($H385="","",MAX(0,$H385-N($E385)))</f>
        <v/>
      </c>
      <c r="J385" s="42">
        <f>IF($H385="","",MAX(0,$H385-N($G385)))</f>
        <v/>
      </c>
    </row>
    <row r="386" ht="19.5" customHeight="1" s="72">
      <c r="A386" s="38" t="inlineStr">
        <is>
          <t>CM-32-P04-BEN</t>
        </is>
      </c>
      <c r="B386" s="38" t="inlineStr">
        <is>
          <t>Fase 32</t>
        </is>
      </c>
      <c r="C386" s="38" t="inlineStr">
        <is>
          <t>Benguela</t>
        </is>
      </c>
      <c r="D386" s="39" t="inlineStr">
        <is>
          <t>A_C_M_32_P4</t>
        </is>
      </c>
      <c r="E386" s="40" t="n"/>
      <c r="F386" s="39" t="inlineStr">
        <is>
          <t>B_C_M_32_P4</t>
        </is>
      </c>
      <c r="G386" s="40" t="n"/>
      <c r="H386" s="41" t="n"/>
      <c r="I386" s="42">
        <f>IF($H386="","",MAX(0,$H386-N($E386)))</f>
        <v/>
      </c>
      <c r="J386" s="42">
        <f>IF($H386="","",MAX(0,$H386-N($G386)))</f>
        <v/>
      </c>
    </row>
    <row r="387" ht="19.5" customHeight="1" s="72">
      <c r="A387" s="38" t="inlineStr">
        <is>
          <t>CM-32-P04-SBA</t>
        </is>
      </c>
      <c r="B387" s="38" t="inlineStr">
        <is>
          <t>Fase 32</t>
        </is>
      </c>
      <c r="C387" s="38" t="inlineStr">
        <is>
          <t>São Bento da Abadá</t>
        </is>
      </c>
      <c r="D387" s="39" t="inlineStr">
        <is>
          <t>A_C_M_32_P4</t>
        </is>
      </c>
      <c r="E387" s="40" t="n"/>
      <c r="F387" s="39" t="inlineStr">
        <is>
          <t>B_C_M_32_P4</t>
        </is>
      </c>
      <c r="G387" s="40" t="n"/>
      <c r="H387" s="41" t="n"/>
      <c r="I387" s="42">
        <f>IF($H387="","",MAX(0,$H387-N($E387)))</f>
        <v/>
      </c>
      <c r="J387" s="42">
        <f>IF($H387="","",MAX(0,$H387-N($G387)))</f>
        <v/>
      </c>
    </row>
    <row r="388" ht="19.5" customHeight="1" s="72">
      <c r="A388" s="38" t="inlineStr">
        <is>
          <t>CM-32-P04-SIR</t>
        </is>
      </c>
      <c r="B388" s="38" t="inlineStr">
        <is>
          <t>Fase 32</t>
        </is>
      </c>
      <c r="C388" s="38" t="inlineStr">
        <is>
          <t>Siriuna</t>
        </is>
      </c>
      <c r="D388" s="39" t="inlineStr">
        <is>
          <t>A_C_M_32_P4</t>
        </is>
      </c>
      <c r="E388" s="40" t="n"/>
      <c r="F388" s="39" t="inlineStr">
        <is>
          <t>B_C_M_32_P4</t>
        </is>
      </c>
      <c r="G388" s="40" t="n"/>
      <c r="H388" s="41" t="n"/>
      <c r="I388" s="42">
        <f>IF($H388="","",MAX(0,$H388-N($E388)))</f>
        <v/>
      </c>
      <c r="J388" s="42">
        <f>IF($H388="","",MAX(0,$H388-N($G388)))</f>
        <v/>
      </c>
    </row>
    <row r="389" ht="19.5" customHeight="1" s="72">
      <c r="A389" s="38" t="inlineStr">
        <is>
          <t>CM-32-P05-BEN</t>
        </is>
      </c>
      <c r="B389" s="38" t="inlineStr">
        <is>
          <t>Fase 32</t>
        </is>
      </c>
      <c r="C389" s="38" t="inlineStr">
        <is>
          <t>Benguela</t>
        </is>
      </c>
      <c r="D389" s="39" t="inlineStr">
        <is>
          <t>A_C_M_32_P5</t>
        </is>
      </c>
      <c r="E389" s="40" t="n"/>
      <c r="F389" s="39" t="inlineStr">
        <is>
          <t>B_C_M_32_P5</t>
        </is>
      </c>
      <c r="G389" s="40" t="n"/>
      <c r="H389" s="41" t="n"/>
      <c r="I389" s="42">
        <f>IF($H389="","",MAX(0,$H389-N($E389)))</f>
        <v/>
      </c>
      <c r="J389" s="42">
        <f>IF($H389="","",MAX(0,$H389-N($G389)))</f>
        <v/>
      </c>
    </row>
    <row r="390" ht="19.5" customHeight="1" s="72">
      <c r="A390" s="38" t="inlineStr">
        <is>
          <t>CM-32-P05-SBA</t>
        </is>
      </c>
      <c r="B390" s="38" t="inlineStr">
        <is>
          <t>Fase 32</t>
        </is>
      </c>
      <c r="C390" s="38" t="inlineStr">
        <is>
          <t>São Bento da Abadá</t>
        </is>
      </c>
      <c r="D390" s="39" t="inlineStr">
        <is>
          <t>A_C_M_32_P5</t>
        </is>
      </c>
      <c r="E390" s="40" t="n"/>
      <c r="F390" s="39" t="inlineStr">
        <is>
          <t>B_C_M_32_P5</t>
        </is>
      </c>
      <c r="G390" s="40" t="n"/>
      <c r="H390" s="41" t="n"/>
      <c r="I390" s="42">
        <f>IF($H390="","",MAX(0,$H390-N($E390)))</f>
        <v/>
      </c>
      <c r="J390" s="42">
        <f>IF($H390="","",MAX(0,$H390-N($G390)))</f>
        <v/>
      </c>
    </row>
    <row r="391" ht="19.5" customHeight="1" s="72">
      <c r="A391" s="38" t="inlineStr">
        <is>
          <t>CM-32-P05-SIR</t>
        </is>
      </c>
      <c r="B391" s="38" t="inlineStr">
        <is>
          <t>Fase 32</t>
        </is>
      </c>
      <c r="C391" s="38" t="inlineStr">
        <is>
          <t>Siriuna</t>
        </is>
      </c>
      <c r="D391" s="39" t="inlineStr">
        <is>
          <t>A_C_M_32_P5</t>
        </is>
      </c>
      <c r="E391" s="40" t="n"/>
      <c r="F391" s="39" t="inlineStr">
        <is>
          <t>B_C_M_32_P5</t>
        </is>
      </c>
      <c r="G391" s="40" t="n"/>
      <c r="H391" s="41" t="n"/>
      <c r="I391" s="42">
        <f>IF($H391="","",MAX(0,$H391-N($E391)))</f>
        <v/>
      </c>
      <c r="J391" s="42">
        <f>IF($H391="","",MAX(0,$H391-N($G391)))</f>
        <v/>
      </c>
    </row>
    <row r="392" ht="19.5" customHeight="1" s="72">
      <c r="A392" s="38" t="inlineStr">
        <is>
          <t>CM-32-P06-BEN</t>
        </is>
      </c>
      <c r="B392" s="38" t="inlineStr">
        <is>
          <t>Fase 32</t>
        </is>
      </c>
      <c r="C392" s="38" t="inlineStr">
        <is>
          <t>Benguela</t>
        </is>
      </c>
      <c r="D392" s="39" t="inlineStr">
        <is>
          <t>A_C_M_32_P6</t>
        </is>
      </c>
      <c r="E392" s="40" t="n"/>
      <c r="F392" s="39" t="inlineStr">
        <is>
          <t>B_C_M_32_P6</t>
        </is>
      </c>
      <c r="G392" s="40" t="n"/>
      <c r="H392" s="41" t="n"/>
      <c r="I392" s="42">
        <f>IF($H392="","",MAX(0,$H392-N($E392)))</f>
        <v/>
      </c>
      <c r="J392" s="42">
        <f>IF($H392="","",MAX(0,$H392-N($G392)))</f>
        <v/>
      </c>
    </row>
    <row r="393" ht="19.5" customHeight="1" s="72">
      <c r="A393" s="38" t="inlineStr">
        <is>
          <t>CM-32-P06-SBA</t>
        </is>
      </c>
      <c r="B393" s="38" t="inlineStr">
        <is>
          <t>Fase 32</t>
        </is>
      </c>
      <c r="C393" s="38" t="inlineStr">
        <is>
          <t>São Bento da Abadá</t>
        </is>
      </c>
      <c r="D393" s="39" t="inlineStr">
        <is>
          <t>A_C_M_32_P6</t>
        </is>
      </c>
      <c r="E393" s="40" t="n"/>
      <c r="F393" s="39" t="inlineStr">
        <is>
          <t>B_C_M_32_P6</t>
        </is>
      </c>
      <c r="G393" s="40" t="n"/>
      <c r="H393" s="41" t="n"/>
      <c r="I393" s="42">
        <f>IF($H393="","",MAX(0,$H393-N($E393)))</f>
        <v/>
      </c>
      <c r="J393" s="42">
        <f>IF($H393="","",MAX(0,$H393-N($G393)))</f>
        <v/>
      </c>
    </row>
    <row r="394" ht="19.5" customHeight="1" s="72">
      <c r="A394" s="38" t="inlineStr">
        <is>
          <t>CM-32-P06-SIR</t>
        </is>
      </c>
      <c r="B394" s="38" t="inlineStr">
        <is>
          <t>Fase 32</t>
        </is>
      </c>
      <c r="C394" s="38" t="inlineStr">
        <is>
          <t>Siriuna</t>
        </is>
      </c>
      <c r="D394" s="39" t="inlineStr">
        <is>
          <t>A_C_M_32_P6</t>
        </is>
      </c>
      <c r="E394" s="40" t="n"/>
      <c r="F394" s="39" t="inlineStr">
        <is>
          <t>B_C_M_32_P6</t>
        </is>
      </c>
      <c r="G394" s="40" t="n"/>
      <c r="H394" s="41" t="n"/>
      <c r="I394" s="42">
        <f>IF($H394="","",MAX(0,$H394-N($E394)))</f>
        <v/>
      </c>
      <c r="J394" s="42">
        <f>IF($H394="","",MAX(0,$H394-N($G394)))</f>
        <v/>
      </c>
    </row>
    <row r="395" ht="19.5" customHeight="1" s="72">
      <c r="A395" s="38" t="inlineStr">
        <is>
          <t>CM-32-P07-BEN</t>
        </is>
      </c>
      <c r="B395" s="38" t="inlineStr">
        <is>
          <t>Fase 32</t>
        </is>
      </c>
      <c r="C395" s="38" t="inlineStr">
        <is>
          <t>Benguela</t>
        </is>
      </c>
      <c r="D395" s="39" t="inlineStr">
        <is>
          <t>A_C_M_32_P7</t>
        </is>
      </c>
      <c r="E395" s="40" t="n"/>
      <c r="F395" s="39" t="inlineStr">
        <is>
          <t>B_C_M_32_P7</t>
        </is>
      </c>
      <c r="G395" s="40" t="n"/>
      <c r="H395" s="41" t="n"/>
      <c r="I395" s="42">
        <f>IF($H395="","",MAX(0,$H395-N($E395)))</f>
        <v/>
      </c>
      <c r="J395" s="42">
        <f>IF($H395="","",MAX(0,$H395-N($G395)))</f>
        <v/>
      </c>
    </row>
    <row r="396" ht="19.5" customHeight="1" s="72">
      <c r="A396" s="38" t="inlineStr">
        <is>
          <t>CM-32-P07-SBA</t>
        </is>
      </c>
      <c r="B396" s="38" t="inlineStr">
        <is>
          <t>Fase 32</t>
        </is>
      </c>
      <c r="C396" s="38" t="inlineStr">
        <is>
          <t>São Bento da Abadá</t>
        </is>
      </c>
      <c r="D396" s="39" t="inlineStr">
        <is>
          <t>A_C_M_32_P7</t>
        </is>
      </c>
      <c r="E396" s="40" t="n"/>
      <c r="F396" s="39" t="inlineStr">
        <is>
          <t>B_C_M_32_P7</t>
        </is>
      </c>
      <c r="G396" s="40" t="n"/>
      <c r="H396" s="41" t="n"/>
      <c r="I396" s="42">
        <f>IF($H396="","",MAX(0,$H396-N($E396)))</f>
        <v/>
      </c>
      <c r="J396" s="42">
        <f>IF($H396="","",MAX(0,$H396-N($G396)))</f>
        <v/>
      </c>
    </row>
    <row r="397" ht="19.5" customHeight="1" s="72">
      <c r="A397" s="38" t="inlineStr">
        <is>
          <t>CM-32-P07-SIR</t>
        </is>
      </c>
      <c r="B397" s="38" t="inlineStr">
        <is>
          <t>Fase 32</t>
        </is>
      </c>
      <c r="C397" s="38" t="inlineStr">
        <is>
          <t>Siriuna</t>
        </is>
      </c>
      <c r="D397" s="39" t="inlineStr">
        <is>
          <t>A_C_M_32_P7</t>
        </is>
      </c>
      <c r="E397" s="40" t="n"/>
      <c r="F397" s="39" t="inlineStr">
        <is>
          <t>B_C_M_32_P7</t>
        </is>
      </c>
      <c r="G397" s="40" t="n"/>
      <c r="H397" s="41" t="n"/>
      <c r="I397" s="42">
        <f>IF($H397="","",MAX(0,$H397-N($E397)))</f>
        <v/>
      </c>
      <c r="J397" s="42">
        <f>IF($H397="","",MAX(0,$H397-N($G397)))</f>
        <v/>
      </c>
    </row>
    <row r="398" ht="19.5" customHeight="1" s="72">
      <c r="A398" s="38" t="inlineStr">
        <is>
          <t>CM-32-P08-BEN</t>
        </is>
      </c>
      <c r="B398" s="38" t="inlineStr">
        <is>
          <t>Fase 32</t>
        </is>
      </c>
      <c r="C398" s="38" t="inlineStr">
        <is>
          <t>Benguela</t>
        </is>
      </c>
      <c r="D398" s="39" t="inlineStr">
        <is>
          <t>A_C_M_32_P8</t>
        </is>
      </c>
      <c r="E398" s="40" t="n"/>
      <c r="F398" s="39" t="inlineStr">
        <is>
          <t>B_C_M_32_P8</t>
        </is>
      </c>
      <c r="G398" s="40" t="n"/>
      <c r="H398" s="41" t="n"/>
      <c r="I398" s="42">
        <f>IF($H398="","",MAX(0,$H398-N($E398)))</f>
        <v/>
      </c>
      <c r="J398" s="42">
        <f>IF($H398="","",MAX(0,$H398-N($G398)))</f>
        <v/>
      </c>
    </row>
    <row r="399" ht="19.5" customHeight="1" s="72">
      <c r="A399" s="38" t="inlineStr">
        <is>
          <t>CM-32-P08-SBA</t>
        </is>
      </c>
      <c r="B399" s="38" t="inlineStr">
        <is>
          <t>Fase 32</t>
        </is>
      </c>
      <c r="C399" s="38" t="inlineStr">
        <is>
          <t>São Bento da Abadá</t>
        </is>
      </c>
      <c r="D399" s="39" t="inlineStr">
        <is>
          <t>A_C_M_32_P8</t>
        </is>
      </c>
      <c r="E399" s="40" t="n"/>
      <c r="F399" s="39" t="inlineStr">
        <is>
          <t>B_C_M_32_P8</t>
        </is>
      </c>
      <c r="G399" s="40" t="n"/>
      <c r="H399" s="41" t="n"/>
      <c r="I399" s="42">
        <f>IF($H399="","",MAX(0,$H399-N($E399)))</f>
        <v/>
      </c>
      <c r="J399" s="42">
        <f>IF($H399="","",MAX(0,$H399-N($G399)))</f>
        <v/>
      </c>
    </row>
    <row r="400" ht="19.5" customHeight="1" s="72">
      <c r="A400" s="38" t="inlineStr">
        <is>
          <t>CM-32-P08-SIR</t>
        </is>
      </c>
      <c r="B400" s="38" t="inlineStr">
        <is>
          <t>Fase 32</t>
        </is>
      </c>
      <c r="C400" s="38" t="inlineStr">
        <is>
          <t>Siriuna</t>
        </is>
      </c>
      <c r="D400" s="39" t="inlineStr">
        <is>
          <t>A_C_M_32_P8</t>
        </is>
      </c>
      <c r="E400" s="40" t="n"/>
      <c r="F400" s="39" t="inlineStr">
        <is>
          <t>B_C_M_32_P8</t>
        </is>
      </c>
      <c r="G400" s="40" t="n"/>
      <c r="H400" s="41" t="n"/>
      <c r="I400" s="42">
        <f>IF($H400="","",MAX(0,$H400-N($E400)))</f>
        <v/>
      </c>
      <c r="J400" s="42">
        <f>IF($H400="","",MAX(0,$H400-N($G400)))</f>
        <v/>
      </c>
    </row>
    <row r="401" ht="19.5" customHeight="1" s="72">
      <c r="A401" s="38" t="inlineStr">
        <is>
          <t>CM-32-P09-BEN</t>
        </is>
      </c>
      <c r="B401" s="38" t="inlineStr">
        <is>
          <t>Fase 32</t>
        </is>
      </c>
      <c r="C401" s="38" t="inlineStr">
        <is>
          <t>Benguela</t>
        </is>
      </c>
      <c r="D401" s="39" t="inlineStr">
        <is>
          <t>A_C_M_32_P9</t>
        </is>
      </c>
      <c r="E401" s="40" t="n"/>
      <c r="F401" s="39" t="inlineStr">
        <is>
          <t>B_C_M_32_P9</t>
        </is>
      </c>
      <c r="G401" s="40" t="n"/>
      <c r="H401" s="41" t="n"/>
      <c r="I401" s="42">
        <f>IF($H401="","",MAX(0,$H401-N($E401)))</f>
        <v/>
      </c>
      <c r="J401" s="42">
        <f>IF($H401="","",MAX(0,$H401-N($G401)))</f>
        <v/>
      </c>
    </row>
    <row r="402" ht="19.5" customHeight="1" s="72">
      <c r="A402" s="38" t="inlineStr">
        <is>
          <t>CM-32-P09-SBA</t>
        </is>
      </c>
      <c r="B402" s="38" t="inlineStr">
        <is>
          <t>Fase 32</t>
        </is>
      </c>
      <c r="C402" s="38" t="inlineStr">
        <is>
          <t>São Bento da Abadá</t>
        </is>
      </c>
      <c r="D402" s="39" t="inlineStr">
        <is>
          <t>A_C_M_32_P9</t>
        </is>
      </c>
      <c r="E402" s="40" t="n"/>
      <c r="F402" s="39" t="inlineStr">
        <is>
          <t>B_C_M_32_P9</t>
        </is>
      </c>
      <c r="G402" s="40" t="n"/>
      <c r="H402" s="41" t="n"/>
      <c r="I402" s="42">
        <f>IF($H402="","",MAX(0,$H402-N($E402)))</f>
        <v/>
      </c>
      <c r="J402" s="42">
        <f>IF($H402="","",MAX(0,$H402-N($G402)))</f>
        <v/>
      </c>
    </row>
    <row r="403" ht="19.5" customHeight="1" s="72">
      <c r="A403" s="38" t="inlineStr">
        <is>
          <t>CM-32-P09-SIR</t>
        </is>
      </c>
      <c r="B403" s="38" t="inlineStr">
        <is>
          <t>Fase 32</t>
        </is>
      </c>
      <c r="C403" s="38" t="inlineStr">
        <is>
          <t>Siriuna</t>
        </is>
      </c>
      <c r="D403" s="39" t="inlineStr">
        <is>
          <t>A_C_M_32_P9</t>
        </is>
      </c>
      <c r="E403" s="40" t="n"/>
      <c r="F403" s="39" t="inlineStr">
        <is>
          <t>B_C_M_32_P9</t>
        </is>
      </c>
      <c r="G403" s="40" t="n"/>
      <c r="H403" s="41" t="n"/>
      <c r="I403" s="42">
        <f>IF($H403="","",MAX(0,$H403-N($E403)))</f>
        <v/>
      </c>
      <c r="J403" s="42">
        <f>IF($H403="","",MAX(0,$H403-N($G403)))</f>
        <v/>
      </c>
    </row>
    <row r="404" ht="19.5" customHeight="1" s="72">
      <c r="A404" s="38" t="inlineStr">
        <is>
          <t>CM-32-P10-BEN</t>
        </is>
      </c>
      <c r="B404" s="38" t="inlineStr">
        <is>
          <t>Fase 32</t>
        </is>
      </c>
      <c r="C404" s="38" t="inlineStr">
        <is>
          <t>Benguela</t>
        </is>
      </c>
      <c r="D404" s="39" t="inlineStr">
        <is>
          <t>A_C_M_32_P10</t>
        </is>
      </c>
      <c r="E404" s="40" t="n"/>
      <c r="F404" s="39" t="inlineStr">
        <is>
          <t>B_C_M_32_P10</t>
        </is>
      </c>
      <c r="G404" s="40" t="n"/>
      <c r="H404" s="41" t="n"/>
      <c r="I404" s="42">
        <f>IF($H404="","",MAX(0,$H404-N($E404)))</f>
        <v/>
      </c>
      <c r="J404" s="42">
        <f>IF($H404="","",MAX(0,$H404-N($G404)))</f>
        <v/>
      </c>
    </row>
    <row r="405" ht="19.5" customHeight="1" s="72">
      <c r="A405" s="38" t="inlineStr">
        <is>
          <t>CM-32-P10-SBA</t>
        </is>
      </c>
      <c r="B405" s="38" t="inlineStr">
        <is>
          <t>Fase 32</t>
        </is>
      </c>
      <c r="C405" s="38" t="inlineStr">
        <is>
          <t>São Bento da Abadá</t>
        </is>
      </c>
      <c r="D405" s="39" t="inlineStr">
        <is>
          <t>A_C_M_32_P10</t>
        </is>
      </c>
      <c r="E405" s="40" t="n"/>
      <c r="F405" s="39" t="inlineStr">
        <is>
          <t>B_C_M_32_P10</t>
        </is>
      </c>
      <c r="G405" s="40" t="n"/>
      <c r="H405" s="41" t="n"/>
      <c r="I405" s="42">
        <f>IF($H405="","",MAX(0,$H405-N($E405)))</f>
        <v/>
      </c>
      <c r="J405" s="42">
        <f>IF($H405="","",MAX(0,$H405-N($G405)))</f>
        <v/>
      </c>
    </row>
    <row r="406" ht="19.5" customHeight="1" s="72">
      <c r="A406" s="38" t="inlineStr">
        <is>
          <t>CM-32-P10-SIR</t>
        </is>
      </c>
      <c r="B406" s="38" t="inlineStr">
        <is>
          <t>Fase 32</t>
        </is>
      </c>
      <c r="C406" s="38" t="inlineStr">
        <is>
          <t>Siriuna</t>
        </is>
      </c>
      <c r="D406" s="39" t="inlineStr">
        <is>
          <t>A_C_M_32_P10</t>
        </is>
      </c>
      <c r="E406" s="40" t="n"/>
      <c r="F406" s="39" t="inlineStr">
        <is>
          <t>B_C_M_32_P10</t>
        </is>
      </c>
      <c r="G406" s="40" t="n"/>
      <c r="H406" s="41" t="n"/>
      <c r="I406" s="42">
        <f>IF($H406="","",MAX(0,$H406-N($E406)))</f>
        <v/>
      </c>
      <c r="J406" s="42">
        <f>IF($H406="","",MAX(0,$H406-N($G406)))</f>
        <v/>
      </c>
    </row>
    <row r="407" ht="19.5" customHeight="1" s="72">
      <c r="A407" s="38" t="inlineStr">
        <is>
          <t>CM-32-P11-BEN</t>
        </is>
      </c>
      <c r="B407" s="38" t="inlineStr">
        <is>
          <t>Fase 32</t>
        </is>
      </c>
      <c r="C407" s="38" t="inlineStr">
        <is>
          <t>Benguela</t>
        </is>
      </c>
      <c r="D407" s="39" t="inlineStr">
        <is>
          <t>A_C_M_32_P11</t>
        </is>
      </c>
      <c r="E407" s="40" t="n"/>
      <c r="F407" s="39" t="inlineStr">
        <is>
          <t>B_C_M_32_P11</t>
        </is>
      </c>
      <c r="G407" s="40" t="n"/>
      <c r="H407" s="41" t="n"/>
      <c r="I407" s="42">
        <f>IF($H407="","",MAX(0,$H407-N($E407)))</f>
        <v/>
      </c>
      <c r="J407" s="42">
        <f>IF($H407="","",MAX(0,$H407-N($G407)))</f>
        <v/>
      </c>
    </row>
    <row r="408" ht="19.5" customHeight="1" s="72">
      <c r="A408" s="38" t="inlineStr">
        <is>
          <t>CM-32-P11-SBA</t>
        </is>
      </c>
      <c r="B408" s="38" t="inlineStr">
        <is>
          <t>Fase 32</t>
        </is>
      </c>
      <c r="C408" s="38" t="inlineStr">
        <is>
          <t>São Bento da Abadá</t>
        </is>
      </c>
      <c r="D408" s="39" t="inlineStr">
        <is>
          <t>A_C_M_32_P11</t>
        </is>
      </c>
      <c r="E408" s="40" t="n"/>
      <c r="F408" s="39" t="inlineStr">
        <is>
          <t>B_C_M_32_P11</t>
        </is>
      </c>
      <c r="G408" s="40" t="n"/>
      <c r="H408" s="41" t="n"/>
      <c r="I408" s="42">
        <f>IF($H408="","",MAX(0,$H408-N($E408)))</f>
        <v/>
      </c>
      <c r="J408" s="42">
        <f>IF($H408="","",MAX(0,$H408-N($G408)))</f>
        <v/>
      </c>
    </row>
    <row r="409" ht="19.5" customHeight="1" s="72">
      <c r="A409" s="38" t="inlineStr">
        <is>
          <t>CM-32-P11-SIR</t>
        </is>
      </c>
      <c r="B409" s="38" t="inlineStr">
        <is>
          <t>Fase 32</t>
        </is>
      </c>
      <c r="C409" s="38" t="inlineStr">
        <is>
          <t>Siriuna</t>
        </is>
      </c>
      <c r="D409" s="39" t="inlineStr">
        <is>
          <t>A_C_M_32_P11</t>
        </is>
      </c>
      <c r="E409" s="40" t="n"/>
      <c r="F409" s="39" t="inlineStr">
        <is>
          <t>B_C_M_32_P11</t>
        </is>
      </c>
      <c r="G409" s="40" t="n"/>
      <c r="H409" s="41" t="n"/>
      <c r="I409" s="42">
        <f>IF($H409="","",MAX(0,$H409-N($E409)))</f>
        <v/>
      </c>
      <c r="J409" s="42">
        <f>IF($H409="","",MAX(0,$H409-N($G409)))</f>
        <v/>
      </c>
    </row>
    <row r="410" ht="19.5" customHeight="1" s="72">
      <c r="A410" s="38" t="inlineStr">
        <is>
          <t>CM-32-P12-BEN</t>
        </is>
      </c>
      <c r="B410" s="38" t="inlineStr">
        <is>
          <t>Fase 32</t>
        </is>
      </c>
      <c r="C410" s="38" t="inlineStr">
        <is>
          <t>Benguela</t>
        </is>
      </c>
      <c r="D410" s="39" t="inlineStr">
        <is>
          <t>A_C_M_32_P12</t>
        </is>
      </c>
      <c r="E410" s="40" t="n"/>
      <c r="F410" s="39" t="inlineStr">
        <is>
          <t>B_C_M_32_P12</t>
        </is>
      </c>
      <c r="G410" s="40" t="n"/>
      <c r="H410" s="41" t="n"/>
      <c r="I410" s="42">
        <f>IF($H410="","",MAX(0,$H410-N($E410)))</f>
        <v/>
      </c>
      <c r="J410" s="42">
        <f>IF($H410="","",MAX(0,$H410-N($G410)))</f>
        <v/>
      </c>
    </row>
    <row r="411" ht="19.5" customHeight="1" s="72">
      <c r="A411" s="38" t="inlineStr">
        <is>
          <t>CM-32-P12-SBA</t>
        </is>
      </c>
      <c r="B411" s="38" t="inlineStr">
        <is>
          <t>Fase 32</t>
        </is>
      </c>
      <c r="C411" s="38" t="inlineStr">
        <is>
          <t>São Bento da Abadá</t>
        </is>
      </c>
      <c r="D411" s="39" t="inlineStr">
        <is>
          <t>A_C_M_32_P12</t>
        </is>
      </c>
      <c r="E411" s="40" t="n"/>
      <c r="F411" s="39" t="inlineStr">
        <is>
          <t>B_C_M_32_P12</t>
        </is>
      </c>
      <c r="G411" s="40" t="n"/>
      <c r="H411" s="41" t="n"/>
      <c r="I411" s="42">
        <f>IF($H411="","",MAX(0,$H411-N($E411)))</f>
        <v/>
      </c>
      <c r="J411" s="42">
        <f>IF($H411="","",MAX(0,$H411-N($G411)))</f>
        <v/>
      </c>
    </row>
    <row r="412" ht="19.5" customHeight="1" s="72">
      <c r="A412" s="38" t="inlineStr">
        <is>
          <t>CM-32-P12-SIR</t>
        </is>
      </c>
      <c r="B412" s="38" t="inlineStr">
        <is>
          <t>Fase 32</t>
        </is>
      </c>
      <c r="C412" s="38" t="inlineStr">
        <is>
          <t>Siriuna</t>
        </is>
      </c>
      <c r="D412" s="39" t="inlineStr">
        <is>
          <t>A_C_M_32_P12</t>
        </is>
      </c>
      <c r="E412" s="40" t="n"/>
      <c r="F412" s="39" t="inlineStr">
        <is>
          <t>B_C_M_32_P12</t>
        </is>
      </c>
      <c r="G412" s="40" t="n"/>
      <c r="H412" s="41" t="n"/>
      <c r="I412" s="42">
        <f>IF($H412="","",MAX(0,$H412-N($E412)))</f>
        <v/>
      </c>
      <c r="J412" s="42">
        <f>IF($H412="","",MAX(0,$H412-N($G412)))</f>
        <v/>
      </c>
    </row>
    <row r="413" ht="19.5" customHeight="1" s="72">
      <c r="A413" s="38" t="inlineStr">
        <is>
          <t>CM-32-P13-BEN</t>
        </is>
      </c>
      <c r="B413" s="38" t="inlineStr">
        <is>
          <t>Fase 32</t>
        </is>
      </c>
      <c r="C413" s="38" t="inlineStr">
        <is>
          <t>Benguela</t>
        </is>
      </c>
      <c r="D413" s="39" t="inlineStr">
        <is>
          <t>A_C_M_32_P13</t>
        </is>
      </c>
      <c r="E413" s="40" t="n"/>
      <c r="F413" s="39" t="inlineStr">
        <is>
          <t>B_C_M_32_P13</t>
        </is>
      </c>
      <c r="G413" s="40" t="n"/>
      <c r="H413" s="41" t="n"/>
      <c r="I413" s="42">
        <f>IF($H413="","",MAX(0,$H413-N($E413)))</f>
        <v/>
      </c>
      <c r="J413" s="42">
        <f>IF($H413="","",MAX(0,$H413-N($G413)))</f>
        <v/>
      </c>
    </row>
    <row r="414" ht="19.5" customHeight="1" s="72">
      <c r="A414" s="38" t="inlineStr">
        <is>
          <t>CM-32-P13-SBA</t>
        </is>
      </c>
      <c r="B414" s="38" t="inlineStr">
        <is>
          <t>Fase 32</t>
        </is>
      </c>
      <c r="C414" s="38" t="inlineStr">
        <is>
          <t>São Bento da Abadá</t>
        </is>
      </c>
      <c r="D414" s="39" t="inlineStr">
        <is>
          <t>A_C_M_32_P13</t>
        </is>
      </c>
      <c r="E414" s="40" t="n"/>
      <c r="F414" s="39" t="inlineStr">
        <is>
          <t>B_C_M_32_P13</t>
        </is>
      </c>
      <c r="G414" s="40" t="n"/>
      <c r="H414" s="41" t="n"/>
      <c r="I414" s="42">
        <f>IF($H414="","",MAX(0,$H414-N($E414)))</f>
        <v/>
      </c>
      <c r="J414" s="42">
        <f>IF($H414="","",MAX(0,$H414-N($G414)))</f>
        <v/>
      </c>
    </row>
    <row r="415" ht="19.5" customHeight="1" s="72">
      <c r="A415" s="38" t="inlineStr">
        <is>
          <t>CM-32-P13-SIR</t>
        </is>
      </c>
      <c r="B415" s="38" t="inlineStr">
        <is>
          <t>Fase 32</t>
        </is>
      </c>
      <c r="C415" s="38" t="inlineStr">
        <is>
          <t>Siriuna</t>
        </is>
      </c>
      <c r="D415" s="39" t="inlineStr">
        <is>
          <t>A_C_M_32_P13</t>
        </is>
      </c>
      <c r="E415" s="40" t="n"/>
      <c r="F415" s="39" t="inlineStr">
        <is>
          <t>B_C_M_32_P13</t>
        </is>
      </c>
      <c r="G415" s="40" t="n"/>
      <c r="H415" s="41" t="n"/>
      <c r="I415" s="42">
        <f>IF($H415="","",MAX(0,$H415-N($E415)))</f>
        <v/>
      </c>
      <c r="J415" s="42">
        <f>IF($H415="","",MAX(0,$H415-N($G415)))</f>
        <v/>
      </c>
    </row>
    <row r="416" ht="19.5" customHeight="1" s="72">
      <c r="A416" s="38" t="inlineStr">
        <is>
          <t>CM-32-P14-BEN</t>
        </is>
      </c>
      <c r="B416" s="38" t="inlineStr">
        <is>
          <t>Fase 32</t>
        </is>
      </c>
      <c r="C416" s="38" t="inlineStr">
        <is>
          <t>Benguela</t>
        </is>
      </c>
      <c r="D416" s="39" t="inlineStr">
        <is>
          <t>A_C_M_32_P14</t>
        </is>
      </c>
      <c r="E416" s="40" t="n"/>
      <c r="F416" s="39" t="inlineStr">
        <is>
          <t>B_C_M_32_P14</t>
        </is>
      </c>
      <c r="G416" s="40" t="n"/>
      <c r="H416" s="41" t="n"/>
      <c r="I416" s="42">
        <f>IF($H416="","",MAX(0,$H416-N($E416)))</f>
        <v/>
      </c>
      <c r="J416" s="42">
        <f>IF($H416="","",MAX(0,$H416-N($G416)))</f>
        <v/>
      </c>
    </row>
    <row r="417" ht="19.5" customHeight="1" s="72">
      <c r="A417" s="38" t="inlineStr">
        <is>
          <t>CM-32-P14-SBA</t>
        </is>
      </c>
      <c r="B417" s="38" t="inlineStr">
        <is>
          <t>Fase 32</t>
        </is>
      </c>
      <c r="C417" s="38" t="inlineStr">
        <is>
          <t>São Bento da Abadá</t>
        </is>
      </c>
      <c r="D417" s="39" t="inlineStr">
        <is>
          <t>A_C_M_32_P14</t>
        </is>
      </c>
      <c r="E417" s="40" t="n"/>
      <c r="F417" s="39" t="inlineStr">
        <is>
          <t>B_C_M_32_P14</t>
        </is>
      </c>
      <c r="G417" s="40" t="n"/>
      <c r="H417" s="41" t="n"/>
      <c r="I417" s="42">
        <f>IF($H417="","",MAX(0,$H417-N($E417)))</f>
        <v/>
      </c>
      <c r="J417" s="42">
        <f>IF($H417="","",MAX(0,$H417-N($G417)))</f>
        <v/>
      </c>
    </row>
    <row r="418" ht="19.5" customHeight="1" s="72">
      <c r="A418" s="38" t="inlineStr">
        <is>
          <t>CM-32-P14-SIR</t>
        </is>
      </c>
      <c r="B418" s="38" t="inlineStr">
        <is>
          <t>Fase 32</t>
        </is>
      </c>
      <c r="C418" s="38" t="inlineStr">
        <is>
          <t>Siriuna</t>
        </is>
      </c>
      <c r="D418" s="39" t="inlineStr">
        <is>
          <t>A_C_M_32_P14</t>
        </is>
      </c>
      <c r="E418" s="40" t="n"/>
      <c r="F418" s="39" t="inlineStr">
        <is>
          <t>B_C_M_32_P14</t>
        </is>
      </c>
      <c r="G418" s="40" t="n"/>
      <c r="H418" s="41" t="n"/>
      <c r="I418" s="42">
        <f>IF($H418="","",MAX(0,$H418-N($E418)))</f>
        <v/>
      </c>
      <c r="J418" s="42">
        <f>IF($H418="","",MAX(0,$H418-N($G418)))</f>
        <v/>
      </c>
    </row>
    <row r="419" ht="19.5" customHeight="1" s="72">
      <c r="A419" s="38" t="inlineStr">
        <is>
          <t>CM-32-P15-BEN</t>
        </is>
      </c>
      <c r="B419" s="38" t="inlineStr">
        <is>
          <t>Fase 32</t>
        </is>
      </c>
      <c r="C419" s="38" t="inlineStr">
        <is>
          <t>Benguela</t>
        </is>
      </c>
      <c r="D419" s="39" t="inlineStr">
        <is>
          <t>A_C_M_32_P15</t>
        </is>
      </c>
      <c r="E419" s="40" t="n"/>
      <c r="F419" s="39" t="inlineStr">
        <is>
          <t>B_C_M_32_P15</t>
        </is>
      </c>
      <c r="G419" s="40" t="n"/>
      <c r="H419" s="41" t="n"/>
      <c r="I419" s="42">
        <f>IF($H419="","",MAX(0,$H419-N($E419)))</f>
        <v/>
      </c>
      <c r="J419" s="42">
        <f>IF($H419="","",MAX(0,$H419-N($G419)))</f>
        <v/>
      </c>
    </row>
    <row r="420" ht="19.5" customHeight="1" s="72">
      <c r="A420" s="38" t="inlineStr">
        <is>
          <t>CM-32-P15-SBA</t>
        </is>
      </c>
      <c r="B420" s="38" t="inlineStr">
        <is>
          <t>Fase 32</t>
        </is>
      </c>
      <c r="C420" s="38" t="inlineStr">
        <is>
          <t>São Bento da Abadá</t>
        </is>
      </c>
      <c r="D420" s="39" t="inlineStr">
        <is>
          <t>A_C_M_32_P15</t>
        </is>
      </c>
      <c r="E420" s="40" t="n"/>
      <c r="F420" s="39" t="inlineStr">
        <is>
          <t>B_C_M_32_P15</t>
        </is>
      </c>
      <c r="G420" s="40" t="n"/>
      <c r="H420" s="41" t="n"/>
      <c r="I420" s="42">
        <f>IF($H420="","",MAX(0,$H420-N($E420)))</f>
        <v/>
      </c>
      <c r="J420" s="42">
        <f>IF($H420="","",MAX(0,$H420-N($G420)))</f>
        <v/>
      </c>
    </row>
    <row r="421" ht="19.5" customHeight="1" s="72">
      <c r="A421" s="38" t="inlineStr">
        <is>
          <t>CM-32-P15-SIR</t>
        </is>
      </c>
      <c r="B421" s="38" t="inlineStr">
        <is>
          <t>Fase 32</t>
        </is>
      </c>
      <c r="C421" s="38" t="inlineStr">
        <is>
          <t>Siriuna</t>
        </is>
      </c>
      <c r="D421" s="39" t="inlineStr">
        <is>
          <t>A_C_M_32_P15</t>
        </is>
      </c>
      <c r="E421" s="40" t="n"/>
      <c r="F421" s="39" t="inlineStr">
        <is>
          <t>B_C_M_32_P15</t>
        </is>
      </c>
      <c r="G421" s="40" t="n"/>
      <c r="H421" s="41" t="n"/>
      <c r="I421" s="42">
        <f>IF($H421="","",MAX(0,$H421-N($E421)))</f>
        <v/>
      </c>
      <c r="J421" s="42">
        <f>IF($H421="","",MAX(0,$H421-N($G421)))</f>
        <v/>
      </c>
    </row>
    <row r="422" ht="19.5" customHeight="1" s="72">
      <c r="A422" s="38" t="inlineStr">
        <is>
          <t>CM-32-P16-BEN</t>
        </is>
      </c>
      <c r="B422" s="38" t="inlineStr">
        <is>
          <t>Fase 32</t>
        </is>
      </c>
      <c r="C422" s="38" t="inlineStr">
        <is>
          <t>Benguela</t>
        </is>
      </c>
      <c r="D422" s="39" t="inlineStr">
        <is>
          <t>A_C_M_32_P16</t>
        </is>
      </c>
      <c r="E422" s="40" t="n"/>
      <c r="F422" s="39" t="inlineStr">
        <is>
          <t>B_C_M_32_P16</t>
        </is>
      </c>
      <c r="G422" s="40" t="n"/>
      <c r="H422" s="41" t="n"/>
      <c r="I422" s="42">
        <f>IF($H422="","",MAX(0,$H422-N($E422)))</f>
        <v/>
      </c>
      <c r="J422" s="42">
        <f>IF($H422="","",MAX(0,$H422-N($G422)))</f>
        <v/>
      </c>
    </row>
    <row r="423" ht="19.5" customHeight="1" s="72">
      <c r="A423" s="38" t="inlineStr">
        <is>
          <t>CM-32-P16-SBA</t>
        </is>
      </c>
      <c r="B423" s="38" t="inlineStr">
        <is>
          <t>Fase 32</t>
        </is>
      </c>
      <c r="C423" s="38" t="inlineStr">
        <is>
          <t>São Bento da Abadá</t>
        </is>
      </c>
      <c r="D423" s="39" t="inlineStr">
        <is>
          <t>A_C_M_32_P16</t>
        </is>
      </c>
      <c r="E423" s="40" t="n"/>
      <c r="F423" s="39" t="inlineStr">
        <is>
          <t>B_C_M_32_P16</t>
        </is>
      </c>
      <c r="G423" s="40" t="n"/>
      <c r="H423" s="41" t="n"/>
      <c r="I423" s="42">
        <f>IF($H423="","",MAX(0,$H423-N($E423)))</f>
        <v/>
      </c>
      <c r="J423" s="42">
        <f>IF($H423="","",MAX(0,$H423-N($G423)))</f>
        <v/>
      </c>
    </row>
    <row r="424" ht="19.5" customHeight="1" s="72">
      <c r="A424" s="38" t="inlineStr">
        <is>
          <t>CM-32-P16-SIR</t>
        </is>
      </c>
      <c r="B424" s="38" t="inlineStr">
        <is>
          <t>Fase 32</t>
        </is>
      </c>
      <c r="C424" s="38" t="inlineStr">
        <is>
          <t>Siriuna</t>
        </is>
      </c>
      <c r="D424" s="39" t="inlineStr">
        <is>
          <t>A_C_M_32_P16</t>
        </is>
      </c>
      <c r="E424" s="40" t="n"/>
      <c r="F424" s="39" t="inlineStr">
        <is>
          <t>B_C_M_32_P16</t>
        </is>
      </c>
      <c r="G424" s="40" t="n"/>
      <c r="H424" s="41" t="n"/>
      <c r="I424" s="42">
        <f>IF($H424="","",MAX(0,$H424-N($E424)))</f>
        <v/>
      </c>
      <c r="J424" s="42">
        <f>IF($H424="","",MAX(0,$H424-N($G424)))</f>
        <v/>
      </c>
    </row>
    <row r="425" ht="19.5" customHeight="1" s="72">
      <c r="A425" s="38" t="inlineStr">
        <is>
          <t>CM-OCT-P01-BEN</t>
        </is>
      </c>
      <c r="B425" s="38" t="inlineStr">
        <is>
          <t>Octavas</t>
        </is>
      </c>
      <c r="C425" s="38" t="inlineStr">
        <is>
          <t>Benguela</t>
        </is>
      </c>
      <c r="D425" s="39">
        <f>IFERROR(CLASIF_C_M!$F$5,"")</f>
        <v/>
      </c>
      <c r="E425" s="40" t="n"/>
      <c r="F425" s="39">
        <f>IFERROR(CLASIF_C_M!$F$20,"")</f>
        <v/>
      </c>
      <c r="G425" s="40" t="n"/>
      <c r="H425" s="41" t="n"/>
      <c r="I425" s="42">
        <f>IF($H425="","",MAX(0,$H425-N($E425)))</f>
        <v/>
      </c>
      <c r="J425" s="42">
        <f>IF($H425="","",MAX(0,$H425-N($G425)))</f>
        <v/>
      </c>
    </row>
    <row r="426" ht="19.5" customHeight="1" s="72">
      <c r="A426" s="38" t="inlineStr">
        <is>
          <t>CM-OCT-P01-SBA</t>
        </is>
      </c>
      <c r="B426" s="38" t="inlineStr">
        <is>
          <t>Octavas</t>
        </is>
      </c>
      <c r="C426" s="38" t="inlineStr">
        <is>
          <t>São Bento da Abadá</t>
        </is>
      </c>
      <c r="D426" s="39">
        <f>IFERROR(CLASIF_C_M!$F$5,"")</f>
        <v/>
      </c>
      <c r="E426" s="40" t="n"/>
      <c r="F426" s="39">
        <f>IFERROR(CLASIF_C_M!$F$20,"")</f>
        <v/>
      </c>
      <c r="G426" s="40" t="n"/>
      <c r="H426" s="41" t="n"/>
      <c r="I426" s="42">
        <f>IF($H426="","",MAX(0,$H426-N($E426)))</f>
        <v/>
      </c>
      <c r="J426" s="42">
        <f>IF($H426="","",MAX(0,$H426-N($G426)))</f>
        <v/>
      </c>
    </row>
    <row r="427" ht="19.5" customHeight="1" s="72">
      <c r="A427" s="38" t="inlineStr">
        <is>
          <t>CM-OCT-P01-SIR</t>
        </is>
      </c>
      <c r="B427" s="38" t="inlineStr">
        <is>
          <t>Octavas</t>
        </is>
      </c>
      <c r="C427" s="38" t="inlineStr">
        <is>
          <t>Siriuna</t>
        </is>
      </c>
      <c r="D427" s="39">
        <f>IFERROR(CLASIF_C_M!$F$5,"")</f>
        <v/>
      </c>
      <c r="E427" s="40" t="n"/>
      <c r="F427" s="39">
        <f>IFERROR(CLASIF_C_M!$F$20,"")</f>
        <v/>
      </c>
      <c r="G427" s="40" t="n"/>
      <c r="H427" s="41" t="n"/>
      <c r="I427" s="42">
        <f>IF($H427="","",MAX(0,$H427-N($E427)))</f>
        <v/>
      </c>
      <c r="J427" s="42">
        <f>IF($H427="","",MAX(0,$H427-N($G427)))</f>
        <v/>
      </c>
    </row>
    <row r="428" ht="19.5" customHeight="1" s="72">
      <c r="A428" s="38" t="inlineStr">
        <is>
          <t>CM-OCT-P02-BEN</t>
        </is>
      </c>
      <c r="B428" s="38" t="inlineStr">
        <is>
          <t>Octavas</t>
        </is>
      </c>
      <c r="C428" s="38" t="inlineStr">
        <is>
          <t>Benguela</t>
        </is>
      </c>
      <c r="D428" s="39">
        <f>IFERROR(CLASIF_C_M!$F$6,"")</f>
        <v/>
      </c>
      <c r="E428" s="40" t="n"/>
      <c r="F428" s="39">
        <f>IFERROR(CLASIF_C_M!$F$19,"")</f>
        <v/>
      </c>
      <c r="G428" s="40" t="n"/>
      <c r="H428" s="41" t="n"/>
      <c r="I428" s="42">
        <f>IF($H428="","",MAX(0,$H428-N($E428)))</f>
        <v/>
      </c>
      <c r="J428" s="42">
        <f>IF($H428="","",MAX(0,$H428-N($G428)))</f>
        <v/>
      </c>
    </row>
    <row r="429" ht="19.5" customHeight="1" s="72">
      <c r="A429" s="38" t="inlineStr">
        <is>
          <t>CM-OCT-P02-SBA</t>
        </is>
      </c>
      <c r="B429" s="38" t="inlineStr">
        <is>
          <t>Octavas</t>
        </is>
      </c>
      <c r="C429" s="38" t="inlineStr">
        <is>
          <t>São Bento da Abadá</t>
        </is>
      </c>
      <c r="D429" s="39">
        <f>IFERROR(CLASIF_C_M!$F$6,"")</f>
        <v/>
      </c>
      <c r="E429" s="40" t="n"/>
      <c r="F429" s="39">
        <f>IFERROR(CLASIF_C_M!$F$19,"")</f>
        <v/>
      </c>
      <c r="G429" s="40" t="n"/>
      <c r="H429" s="41" t="n"/>
      <c r="I429" s="42">
        <f>IF($H429="","",MAX(0,$H429-N($E429)))</f>
        <v/>
      </c>
      <c r="J429" s="42">
        <f>IF($H429="","",MAX(0,$H429-N($G429)))</f>
        <v/>
      </c>
    </row>
    <row r="430" ht="19.5" customHeight="1" s="72">
      <c r="A430" s="38" t="inlineStr">
        <is>
          <t>CM-OCT-P02-SIR</t>
        </is>
      </c>
      <c r="B430" s="38" t="inlineStr">
        <is>
          <t>Octavas</t>
        </is>
      </c>
      <c r="C430" s="38" t="inlineStr">
        <is>
          <t>Siriuna</t>
        </is>
      </c>
      <c r="D430" s="39">
        <f>IFERROR(CLASIF_C_M!$F$6,"")</f>
        <v/>
      </c>
      <c r="E430" s="40" t="n"/>
      <c r="F430" s="39">
        <f>IFERROR(CLASIF_C_M!$F$19,"")</f>
        <v/>
      </c>
      <c r="G430" s="40" t="n"/>
      <c r="H430" s="41" t="n"/>
      <c r="I430" s="42">
        <f>IF($H430="","",MAX(0,$H430-N($E430)))</f>
        <v/>
      </c>
      <c r="J430" s="42">
        <f>IF($H430="","",MAX(0,$H430-N($G430)))</f>
        <v/>
      </c>
    </row>
    <row r="431" ht="19.5" customHeight="1" s="72">
      <c r="A431" s="38" t="inlineStr">
        <is>
          <t>CM-OCT-P03-BEN</t>
        </is>
      </c>
      <c r="B431" s="38" t="inlineStr">
        <is>
          <t>Octavas</t>
        </is>
      </c>
      <c r="C431" s="38" t="inlineStr">
        <is>
          <t>Benguela</t>
        </is>
      </c>
      <c r="D431" s="39">
        <f>IFERROR(CLASIF_C_M!$F$7,"")</f>
        <v/>
      </c>
      <c r="E431" s="40" t="n"/>
      <c r="F431" s="39">
        <f>IFERROR(CLASIF_C_M!$F$18,"")</f>
        <v/>
      </c>
      <c r="G431" s="40" t="n"/>
      <c r="H431" s="41" t="n"/>
      <c r="I431" s="42">
        <f>IF($H431="","",MAX(0,$H431-N($E431)))</f>
        <v/>
      </c>
      <c r="J431" s="42">
        <f>IF($H431="","",MAX(0,$H431-N($G431)))</f>
        <v/>
      </c>
    </row>
    <row r="432" ht="19.5" customHeight="1" s="72">
      <c r="A432" s="38" t="inlineStr">
        <is>
          <t>CM-OCT-P03-SBA</t>
        </is>
      </c>
      <c r="B432" s="38" t="inlineStr">
        <is>
          <t>Octavas</t>
        </is>
      </c>
      <c r="C432" s="38" t="inlineStr">
        <is>
          <t>São Bento da Abadá</t>
        </is>
      </c>
      <c r="D432" s="39">
        <f>IFERROR(CLASIF_C_M!$F$7,"")</f>
        <v/>
      </c>
      <c r="E432" s="40" t="n"/>
      <c r="F432" s="39">
        <f>IFERROR(CLASIF_C_M!$F$18,"")</f>
        <v/>
      </c>
      <c r="G432" s="40" t="n"/>
      <c r="H432" s="41" t="n"/>
      <c r="I432" s="42">
        <f>IF($H432="","",MAX(0,$H432-N($E432)))</f>
        <v/>
      </c>
      <c r="J432" s="42">
        <f>IF($H432="","",MAX(0,$H432-N($G432)))</f>
        <v/>
      </c>
    </row>
    <row r="433" ht="19.5" customHeight="1" s="72">
      <c r="A433" s="38" t="inlineStr">
        <is>
          <t>CM-OCT-P03-SIR</t>
        </is>
      </c>
      <c r="B433" s="38" t="inlineStr">
        <is>
          <t>Octavas</t>
        </is>
      </c>
      <c r="C433" s="38" t="inlineStr">
        <is>
          <t>Siriuna</t>
        </is>
      </c>
      <c r="D433" s="39">
        <f>IFERROR(CLASIF_C_M!$F$7,"")</f>
        <v/>
      </c>
      <c r="E433" s="40" t="n"/>
      <c r="F433" s="39">
        <f>IFERROR(CLASIF_C_M!$F$18,"")</f>
        <v/>
      </c>
      <c r="G433" s="40" t="n"/>
      <c r="H433" s="41" t="n"/>
      <c r="I433" s="42">
        <f>IF($H433="","",MAX(0,$H433-N($E433)))</f>
        <v/>
      </c>
      <c r="J433" s="42">
        <f>IF($H433="","",MAX(0,$H433-N($G433)))</f>
        <v/>
      </c>
    </row>
    <row r="434" ht="19.5" customHeight="1" s="72">
      <c r="A434" s="38" t="inlineStr">
        <is>
          <t>CM-OCT-P04-BEN</t>
        </is>
      </c>
      <c r="B434" s="38" t="inlineStr">
        <is>
          <t>Octavas</t>
        </is>
      </c>
      <c r="C434" s="38" t="inlineStr">
        <is>
          <t>Benguela</t>
        </is>
      </c>
      <c r="D434" s="39">
        <f>IFERROR(CLASIF_C_M!$F$8,"")</f>
        <v/>
      </c>
      <c r="E434" s="40" t="n"/>
      <c r="F434" s="39">
        <f>IFERROR(CLASIF_C_M!$F$17,"")</f>
        <v/>
      </c>
      <c r="G434" s="40" t="n"/>
      <c r="H434" s="41" t="n"/>
      <c r="I434" s="42">
        <f>IF($H434="","",MAX(0,$H434-N($E434)))</f>
        <v/>
      </c>
      <c r="J434" s="42">
        <f>IF($H434="","",MAX(0,$H434-N($G434)))</f>
        <v/>
      </c>
    </row>
    <row r="435" ht="19.5" customHeight="1" s="72">
      <c r="A435" s="38" t="inlineStr">
        <is>
          <t>CM-OCT-P04-SBA</t>
        </is>
      </c>
      <c r="B435" s="38" t="inlineStr">
        <is>
          <t>Octavas</t>
        </is>
      </c>
      <c r="C435" s="38" t="inlineStr">
        <is>
          <t>São Bento da Abadá</t>
        </is>
      </c>
      <c r="D435" s="39">
        <f>IFERROR(CLASIF_C_M!$F$8,"")</f>
        <v/>
      </c>
      <c r="E435" s="40" t="n"/>
      <c r="F435" s="39">
        <f>IFERROR(CLASIF_C_M!$F$17,"")</f>
        <v/>
      </c>
      <c r="G435" s="40" t="n"/>
      <c r="H435" s="41" t="n"/>
      <c r="I435" s="42">
        <f>IF($H435="","",MAX(0,$H435-N($E435)))</f>
        <v/>
      </c>
      <c r="J435" s="42">
        <f>IF($H435="","",MAX(0,$H435-N($G435)))</f>
        <v/>
      </c>
    </row>
    <row r="436" ht="19.5" customHeight="1" s="72">
      <c r="A436" s="38" t="inlineStr">
        <is>
          <t>CM-OCT-P04-SIR</t>
        </is>
      </c>
      <c r="B436" s="38" t="inlineStr">
        <is>
          <t>Octavas</t>
        </is>
      </c>
      <c r="C436" s="38" t="inlineStr">
        <is>
          <t>Siriuna</t>
        </is>
      </c>
      <c r="D436" s="39">
        <f>IFERROR(CLASIF_C_M!$F$8,"")</f>
        <v/>
      </c>
      <c r="E436" s="40" t="n"/>
      <c r="F436" s="39">
        <f>IFERROR(CLASIF_C_M!$F$17,"")</f>
        <v/>
      </c>
      <c r="G436" s="40" t="n"/>
      <c r="H436" s="41" t="n"/>
      <c r="I436" s="42">
        <f>IF($H436="","",MAX(0,$H436-N($E436)))</f>
        <v/>
      </c>
      <c r="J436" s="42">
        <f>IF($H436="","",MAX(0,$H436-N($G436)))</f>
        <v/>
      </c>
    </row>
    <row r="437" ht="19.5" customHeight="1" s="72">
      <c r="A437" s="38" t="inlineStr">
        <is>
          <t>CM-OCT-P05-BEN</t>
        </is>
      </c>
      <c r="B437" s="38" t="inlineStr">
        <is>
          <t>Octavas</t>
        </is>
      </c>
      <c r="C437" s="38" t="inlineStr">
        <is>
          <t>Benguela</t>
        </is>
      </c>
      <c r="D437" s="39">
        <f>IFERROR(CLASIF_C_M!$F$9,"")</f>
        <v/>
      </c>
      <c r="E437" s="40" t="n"/>
      <c r="F437" s="39">
        <f>IFERROR(CLASIF_C_M!$F$16,"")</f>
        <v/>
      </c>
      <c r="G437" s="40" t="n"/>
      <c r="H437" s="41" t="n"/>
      <c r="I437" s="42">
        <f>IF($H437="","",MAX(0,$H437-N($E437)))</f>
        <v/>
      </c>
      <c r="J437" s="42">
        <f>IF($H437="","",MAX(0,$H437-N($G437)))</f>
        <v/>
      </c>
    </row>
    <row r="438" ht="19.5" customHeight="1" s="72">
      <c r="A438" s="38" t="inlineStr">
        <is>
          <t>CM-OCT-P05-SBA</t>
        </is>
      </c>
      <c r="B438" s="38" t="inlineStr">
        <is>
          <t>Octavas</t>
        </is>
      </c>
      <c r="C438" s="38" t="inlineStr">
        <is>
          <t>São Bento da Abadá</t>
        </is>
      </c>
      <c r="D438" s="39">
        <f>IFERROR(CLASIF_C_M!$F$9,"")</f>
        <v/>
      </c>
      <c r="E438" s="40" t="n"/>
      <c r="F438" s="39">
        <f>IFERROR(CLASIF_C_M!$F$16,"")</f>
        <v/>
      </c>
      <c r="G438" s="40" t="n"/>
      <c r="H438" s="41" t="n"/>
      <c r="I438" s="42">
        <f>IF($H438="","",MAX(0,$H438-N($E438)))</f>
        <v/>
      </c>
      <c r="J438" s="42">
        <f>IF($H438="","",MAX(0,$H438-N($G438)))</f>
        <v/>
      </c>
    </row>
    <row r="439" ht="19.5" customHeight="1" s="72">
      <c r="A439" s="38" t="inlineStr">
        <is>
          <t>CM-OCT-P05-SIR</t>
        </is>
      </c>
      <c r="B439" s="38" t="inlineStr">
        <is>
          <t>Octavas</t>
        </is>
      </c>
      <c r="C439" s="38" t="inlineStr">
        <is>
          <t>Siriuna</t>
        </is>
      </c>
      <c r="D439" s="39">
        <f>IFERROR(CLASIF_C_M!$F$9,"")</f>
        <v/>
      </c>
      <c r="E439" s="40" t="n"/>
      <c r="F439" s="39">
        <f>IFERROR(CLASIF_C_M!$F$16,"")</f>
        <v/>
      </c>
      <c r="G439" s="40" t="n"/>
      <c r="H439" s="41" t="n"/>
      <c r="I439" s="42">
        <f>IF($H439="","",MAX(0,$H439-N($E439)))</f>
        <v/>
      </c>
      <c r="J439" s="42">
        <f>IF($H439="","",MAX(0,$H439-N($G439)))</f>
        <v/>
      </c>
    </row>
    <row r="440" ht="19.5" customHeight="1" s="72">
      <c r="A440" s="38" t="inlineStr">
        <is>
          <t>CM-OCT-P06-BEN</t>
        </is>
      </c>
      <c r="B440" s="38" t="inlineStr">
        <is>
          <t>Octavas</t>
        </is>
      </c>
      <c r="C440" s="38" t="inlineStr">
        <is>
          <t>Benguela</t>
        </is>
      </c>
      <c r="D440" s="39">
        <f>IFERROR(CLASIF_C_M!$F$10,"")</f>
        <v/>
      </c>
      <c r="E440" s="40" t="n"/>
      <c r="F440" s="39">
        <f>IFERROR(CLASIF_C_M!$F$15,"")</f>
        <v/>
      </c>
      <c r="G440" s="40" t="n"/>
      <c r="H440" s="41" t="n"/>
      <c r="I440" s="42">
        <f>IF($H440="","",MAX(0,$H440-N($E440)))</f>
        <v/>
      </c>
      <c r="J440" s="42">
        <f>IF($H440="","",MAX(0,$H440-N($G440)))</f>
        <v/>
      </c>
    </row>
    <row r="441" ht="19.5" customHeight="1" s="72">
      <c r="A441" s="38" t="inlineStr">
        <is>
          <t>CM-OCT-P06-SBA</t>
        </is>
      </c>
      <c r="B441" s="38" t="inlineStr">
        <is>
          <t>Octavas</t>
        </is>
      </c>
      <c r="C441" s="38" t="inlineStr">
        <is>
          <t>São Bento da Abadá</t>
        </is>
      </c>
      <c r="D441" s="39">
        <f>IFERROR(CLASIF_C_M!$F$10,"")</f>
        <v/>
      </c>
      <c r="E441" s="40" t="n"/>
      <c r="F441" s="39">
        <f>IFERROR(CLASIF_C_M!$F$15,"")</f>
        <v/>
      </c>
      <c r="G441" s="40" t="n"/>
      <c r="H441" s="41" t="n"/>
      <c r="I441" s="42">
        <f>IF($H441="","",MAX(0,$H441-N($E441)))</f>
        <v/>
      </c>
      <c r="J441" s="42">
        <f>IF($H441="","",MAX(0,$H441-N($G441)))</f>
        <v/>
      </c>
    </row>
    <row r="442" ht="19.5" customHeight="1" s="72">
      <c r="A442" s="38" t="inlineStr">
        <is>
          <t>CM-OCT-P06-SIR</t>
        </is>
      </c>
      <c r="B442" s="38" t="inlineStr">
        <is>
          <t>Octavas</t>
        </is>
      </c>
      <c r="C442" s="38" t="inlineStr">
        <is>
          <t>Siriuna</t>
        </is>
      </c>
      <c r="D442" s="39">
        <f>IFERROR(CLASIF_C_M!$F$10,"")</f>
        <v/>
      </c>
      <c r="E442" s="40" t="n"/>
      <c r="F442" s="39">
        <f>IFERROR(CLASIF_C_M!$F$15,"")</f>
        <v/>
      </c>
      <c r="G442" s="40" t="n"/>
      <c r="H442" s="41" t="n"/>
      <c r="I442" s="42">
        <f>IF($H442="","",MAX(0,$H442-N($E442)))</f>
        <v/>
      </c>
      <c r="J442" s="42">
        <f>IF($H442="","",MAX(0,$H442-N($G442)))</f>
        <v/>
      </c>
    </row>
    <row r="443" ht="19.5" customHeight="1" s="72">
      <c r="A443" s="38" t="inlineStr">
        <is>
          <t>CM-OCT-P07-BEN</t>
        </is>
      </c>
      <c r="B443" s="38" t="inlineStr">
        <is>
          <t>Octavas</t>
        </is>
      </c>
      <c r="C443" s="38" t="inlineStr">
        <is>
          <t>Benguela</t>
        </is>
      </c>
      <c r="D443" s="39">
        <f>IFERROR(CLASIF_C_M!$F$11,"")</f>
        <v/>
      </c>
      <c r="E443" s="40" t="n"/>
      <c r="F443" s="39">
        <f>IFERROR(CLASIF_C_M!$F$14,"")</f>
        <v/>
      </c>
      <c r="G443" s="40" t="n"/>
      <c r="H443" s="41" t="n"/>
      <c r="I443" s="42">
        <f>IF($H443="","",MAX(0,$H443-N($E443)))</f>
        <v/>
      </c>
      <c r="J443" s="42">
        <f>IF($H443="","",MAX(0,$H443-N($G443)))</f>
        <v/>
      </c>
    </row>
    <row r="444" ht="19.5" customHeight="1" s="72">
      <c r="A444" s="38" t="inlineStr">
        <is>
          <t>CM-OCT-P07-SBA</t>
        </is>
      </c>
      <c r="B444" s="38" t="inlineStr">
        <is>
          <t>Octavas</t>
        </is>
      </c>
      <c r="C444" s="38" t="inlineStr">
        <is>
          <t>São Bento da Abadá</t>
        </is>
      </c>
      <c r="D444" s="39">
        <f>IFERROR(CLASIF_C_M!$F$11,"")</f>
        <v/>
      </c>
      <c r="E444" s="40" t="n"/>
      <c r="F444" s="39">
        <f>IFERROR(CLASIF_C_M!$F$14,"")</f>
        <v/>
      </c>
      <c r="G444" s="40" t="n"/>
      <c r="H444" s="41" t="n"/>
      <c r="I444" s="42">
        <f>IF($H444="","",MAX(0,$H444-N($E444)))</f>
        <v/>
      </c>
      <c r="J444" s="42">
        <f>IF($H444="","",MAX(0,$H444-N($G444)))</f>
        <v/>
      </c>
    </row>
    <row r="445" ht="19.5" customHeight="1" s="72">
      <c r="A445" s="38" t="inlineStr">
        <is>
          <t>CM-OCT-P07-SIR</t>
        </is>
      </c>
      <c r="B445" s="38" t="inlineStr">
        <is>
          <t>Octavas</t>
        </is>
      </c>
      <c r="C445" s="38" t="inlineStr">
        <is>
          <t>Siriuna</t>
        </is>
      </c>
      <c r="D445" s="39">
        <f>IFERROR(CLASIF_C_M!$F$11,"")</f>
        <v/>
      </c>
      <c r="E445" s="40" t="n"/>
      <c r="F445" s="39">
        <f>IFERROR(CLASIF_C_M!$F$14,"")</f>
        <v/>
      </c>
      <c r="G445" s="40" t="n"/>
      <c r="H445" s="41" t="n"/>
      <c r="I445" s="42">
        <f>IF($H445="","",MAX(0,$H445-N($E445)))</f>
        <v/>
      </c>
      <c r="J445" s="42">
        <f>IF($H445="","",MAX(0,$H445-N($G445)))</f>
        <v/>
      </c>
    </row>
    <row r="446" ht="19.5" customHeight="1" s="72">
      <c r="A446" s="38" t="inlineStr">
        <is>
          <t>CM-OCT-P08-BEN</t>
        </is>
      </c>
      <c r="B446" s="38" t="inlineStr">
        <is>
          <t>Octavas</t>
        </is>
      </c>
      <c r="C446" s="38" t="inlineStr">
        <is>
          <t>Benguela</t>
        </is>
      </c>
      <c r="D446" s="39">
        <f>IFERROR(CLASIF_C_M!$F$12,"")</f>
        <v/>
      </c>
      <c r="E446" s="40" t="n"/>
      <c r="F446" s="39">
        <f>IFERROR(CLASIF_C_M!$F$13,"")</f>
        <v/>
      </c>
      <c r="G446" s="40" t="n"/>
      <c r="H446" s="41" t="n"/>
      <c r="I446" s="42">
        <f>IF($H446="","",MAX(0,$H446-N($E446)))</f>
        <v/>
      </c>
      <c r="J446" s="42">
        <f>IF($H446="","",MAX(0,$H446-N($G446)))</f>
        <v/>
      </c>
    </row>
    <row r="447" ht="19.5" customHeight="1" s="72">
      <c r="A447" s="38" t="inlineStr">
        <is>
          <t>CM-OCT-P08-SBA</t>
        </is>
      </c>
      <c r="B447" s="38" t="inlineStr">
        <is>
          <t>Octavas</t>
        </is>
      </c>
      <c r="C447" s="38" t="inlineStr">
        <is>
          <t>São Bento da Abadá</t>
        </is>
      </c>
      <c r="D447" s="39">
        <f>IFERROR(CLASIF_C_M!$F$12,"")</f>
        <v/>
      </c>
      <c r="E447" s="40" t="n"/>
      <c r="F447" s="39">
        <f>IFERROR(CLASIF_C_M!$F$13,"")</f>
        <v/>
      </c>
      <c r="G447" s="40" t="n"/>
      <c r="H447" s="41" t="n"/>
      <c r="I447" s="42">
        <f>IF($H447="","",MAX(0,$H447-N($E447)))</f>
        <v/>
      </c>
      <c r="J447" s="42">
        <f>IF($H447="","",MAX(0,$H447-N($G447)))</f>
        <v/>
      </c>
    </row>
    <row r="448" ht="19.5" customHeight="1" s="72">
      <c r="A448" s="38" t="inlineStr">
        <is>
          <t>CM-OCT-P08-SIR</t>
        </is>
      </c>
      <c r="B448" s="38" t="inlineStr">
        <is>
          <t>Octavas</t>
        </is>
      </c>
      <c r="C448" s="38" t="inlineStr">
        <is>
          <t>Siriuna</t>
        </is>
      </c>
      <c r="D448" s="39">
        <f>IFERROR(CLASIF_C_M!$F$12,"")</f>
        <v/>
      </c>
      <c r="E448" s="40" t="n"/>
      <c r="F448" s="39">
        <f>IFERROR(CLASIF_C_M!$F$13,"")</f>
        <v/>
      </c>
      <c r="G448" s="40" t="n"/>
      <c r="H448" s="41" t="n"/>
      <c r="I448" s="42">
        <f>IF($H448="","",MAX(0,$H448-N($E448)))</f>
        <v/>
      </c>
      <c r="J448" s="42">
        <f>IF($H448="","",MAX(0,$H448-N($G448)))</f>
        <v/>
      </c>
    </row>
    <row r="449" ht="19.5" customHeight="1" s="72">
      <c r="A449" s="38" t="inlineStr">
        <is>
          <t>CM-SEM-P01-BEN</t>
        </is>
      </c>
      <c r="B449" s="38" t="inlineStr">
        <is>
          <t>Semifinal</t>
        </is>
      </c>
      <c r="C449" s="38" t="inlineStr">
        <is>
          <t>Benguela</t>
        </is>
      </c>
      <c r="D449" s="39">
        <f>IFERROR(CLASIF_C_M!$O$5,"")</f>
        <v/>
      </c>
      <c r="E449" s="40" t="n"/>
      <c r="F449" s="39">
        <f>IFERROR(CLASIF_C_M!$O$12,"")</f>
        <v/>
      </c>
      <c r="G449" s="40" t="n"/>
      <c r="H449" s="41" t="n"/>
      <c r="I449" s="42">
        <f>IF($H449="","",MAX(0,$H449-N($E449)))</f>
        <v/>
      </c>
      <c r="J449" s="42">
        <f>IF($H449="","",MAX(0,$H449-N($G449)))</f>
        <v/>
      </c>
    </row>
    <row r="450" ht="19.5" customHeight="1" s="72">
      <c r="A450" s="38" t="inlineStr">
        <is>
          <t>CM-SEM-P01-SBA</t>
        </is>
      </c>
      <c r="B450" s="38" t="inlineStr">
        <is>
          <t>Semifinal</t>
        </is>
      </c>
      <c r="C450" s="38" t="inlineStr">
        <is>
          <t>São Bento da Abadá</t>
        </is>
      </c>
      <c r="D450" s="39">
        <f>IFERROR(CLASIF_C_M!$O$5,"")</f>
        <v/>
      </c>
      <c r="E450" s="40" t="n"/>
      <c r="F450" s="39">
        <f>IFERROR(CLASIF_C_M!$O$12,"")</f>
        <v/>
      </c>
      <c r="G450" s="40" t="n"/>
      <c r="H450" s="41" t="n"/>
      <c r="I450" s="42">
        <f>IF($H450="","",MAX(0,$H450-N($E450)))</f>
        <v/>
      </c>
      <c r="J450" s="42">
        <f>IF($H450="","",MAX(0,$H450-N($G450)))</f>
        <v/>
      </c>
    </row>
    <row r="451" ht="19.5" customHeight="1" s="72">
      <c r="A451" s="38" t="inlineStr">
        <is>
          <t>CM-SEM-P01-SIR</t>
        </is>
      </c>
      <c r="B451" s="38" t="inlineStr">
        <is>
          <t>Semifinal</t>
        </is>
      </c>
      <c r="C451" s="38" t="inlineStr">
        <is>
          <t>Siriuna</t>
        </is>
      </c>
      <c r="D451" s="39">
        <f>IFERROR(CLASIF_C_M!$O$5,"")</f>
        <v/>
      </c>
      <c r="E451" s="40" t="n"/>
      <c r="F451" s="39">
        <f>IFERROR(CLASIF_C_M!$O$12,"")</f>
        <v/>
      </c>
      <c r="G451" s="40" t="n"/>
      <c r="H451" s="41" t="n"/>
      <c r="I451" s="42">
        <f>IF($H451="","",MAX(0,$H451-N($E451)))</f>
        <v/>
      </c>
      <c r="J451" s="42">
        <f>IF($H451="","",MAX(0,$H451-N($G451)))</f>
        <v/>
      </c>
    </row>
    <row r="452" ht="19.5" customHeight="1" s="72">
      <c r="A452" s="38" t="inlineStr">
        <is>
          <t>CM-SEM-P02-BEN</t>
        </is>
      </c>
      <c r="B452" s="38" t="inlineStr">
        <is>
          <t>Semifinal</t>
        </is>
      </c>
      <c r="C452" s="38" t="inlineStr">
        <is>
          <t>Benguela</t>
        </is>
      </c>
      <c r="D452" s="39">
        <f>IFERROR(CLASIF_C_M!$O$6,"")</f>
        <v/>
      </c>
      <c r="E452" s="40" t="n"/>
      <c r="F452" s="39">
        <f>IFERROR(CLASIF_C_M!$O$11,"")</f>
        <v/>
      </c>
      <c r="G452" s="40" t="n"/>
      <c r="H452" s="41" t="n"/>
      <c r="I452" s="42">
        <f>IF($H452="","",MAX(0,$H452-N($E452)))</f>
        <v/>
      </c>
      <c r="J452" s="42">
        <f>IF($H452="","",MAX(0,$H452-N($G452)))</f>
        <v/>
      </c>
    </row>
    <row r="453" ht="19.5" customHeight="1" s="72">
      <c r="A453" s="38" t="inlineStr">
        <is>
          <t>CM-SEM-P02-SBA</t>
        </is>
      </c>
      <c r="B453" s="38" t="inlineStr">
        <is>
          <t>Semifinal</t>
        </is>
      </c>
      <c r="C453" s="38" t="inlineStr">
        <is>
          <t>São Bento da Abadá</t>
        </is>
      </c>
      <c r="D453" s="39">
        <f>IFERROR(CLASIF_C_M!$O$6,"")</f>
        <v/>
      </c>
      <c r="E453" s="40" t="n"/>
      <c r="F453" s="39">
        <f>IFERROR(CLASIF_C_M!$O$11,"")</f>
        <v/>
      </c>
      <c r="G453" s="40" t="n"/>
      <c r="H453" s="41" t="n"/>
      <c r="I453" s="42">
        <f>IF($H453="","",MAX(0,$H453-N($E453)))</f>
        <v/>
      </c>
      <c r="J453" s="42">
        <f>IF($H453="","",MAX(0,$H453-N($G453)))</f>
        <v/>
      </c>
    </row>
    <row r="454" ht="19.5" customHeight="1" s="72">
      <c r="A454" s="38" t="inlineStr">
        <is>
          <t>CM-SEM-P02-SIR</t>
        </is>
      </c>
      <c r="B454" s="38" t="inlineStr">
        <is>
          <t>Semifinal</t>
        </is>
      </c>
      <c r="C454" s="38" t="inlineStr">
        <is>
          <t>Siriuna</t>
        </is>
      </c>
      <c r="D454" s="39">
        <f>IFERROR(CLASIF_C_M!$O$6,"")</f>
        <v/>
      </c>
      <c r="E454" s="40" t="n"/>
      <c r="F454" s="39">
        <f>IFERROR(CLASIF_C_M!$O$11,"")</f>
        <v/>
      </c>
      <c r="G454" s="40" t="n"/>
      <c r="H454" s="41" t="n"/>
      <c r="I454" s="42">
        <f>IF($H454="","",MAX(0,$H454-N($E454)))</f>
        <v/>
      </c>
      <c r="J454" s="42">
        <f>IF($H454="","",MAX(0,$H454-N($G454)))</f>
        <v/>
      </c>
    </row>
    <row r="455" ht="19.5" customHeight="1" s="72">
      <c r="A455" s="38" t="inlineStr">
        <is>
          <t>CM-SEM-P03-BEN</t>
        </is>
      </c>
      <c r="B455" s="38" t="inlineStr">
        <is>
          <t>Semifinal</t>
        </is>
      </c>
      <c r="C455" s="38" t="inlineStr">
        <is>
          <t>Benguela</t>
        </is>
      </c>
      <c r="D455" s="39">
        <f>IFERROR(CLASIF_C_M!$O$7,"")</f>
        <v/>
      </c>
      <c r="E455" s="40" t="n"/>
      <c r="F455" s="39">
        <f>IFERROR(CLASIF_C_M!$O$10,"")</f>
        <v/>
      </c>
      <c r="G455" s="40" t="n"/>
      <c r="H455" s="41" t="n"/>
      <c r="I455" s="42">
        <f>IF($H455="","",MAX(0,$H455-N($E455)))</f>
        <v/>
      </c>
      <c r="J455" s="42">
        <f>IF($H455="","",MAX(0,$H455-N($G455)))</f>
        <v/>
      </c>
    </row>
    <row r="456" ht="19.5" customHeight="1" s="72">
      <c r="A456" s="38" t="inlineStr">
        <is>
          <t>CM-SEM-P03-SBA</t>
        </is>
      </c>
      <c r="B456" s="38" t="inlineStr">
        <is>
          <t>Semifinal</t>
        </is>
      </c>
      <c r="C456" s="38" t="inlineStr">
        <is>
          <t>São Bento da Abadá</t>
        </is>
      </c>
      <c r="D456" s="39">
        <f>IFERROR(CLASIF_C_M!$O$7,"")</f>
        <v/>
      </c>
      <c r="E456" s="40" t="n"/>
      <c r="F456" s="39">
        <f>IFERROR(CLASIF_C_M!$O$10,"")</f>
        <v/>
      </c>
      <c r="G456" s="40" t="n"/>
      <c r="H456" s="41" t="n"/>
      <c r="I456" s="42">
        <f>IF($H456="","",MAX(0,$H456-N($E456)))</f>
        <v/>
      </c>
      <c r="J456" s="42">
        <f>IF($H456="","",MAX(0,$H456-N($G456)))</f>
        <v/>
      </c>
    </row>
    <row r="457" ht="19.5" customHeight="1" s="72">
      <c r="A457" s="38" t="inlineStr">
        <is>
          <t>CM-SEM-P03-SIR</t>
        </is>
      </c>
      <c r="B457" s="38" t="inlineStr">
        <is>
          <t>Semifinal</t>
        </is>
      </c>
      <c r="C457" s="38" t="inlineStr">
        <is>
          <t>Siriuna</t>
        </is>
      </c>
      <c r="D457" s="39">
        <f>IFERROR(CLASIF_C_M!$O$7,"")</f>
        <v/>
      </c>
      <c r="E457" s="40" t="n"/>
      <c r="F457" s="39">
        <f>IFERROR(CLASIF_C_M!$O$10,"")</f>
        <v/>
      </c>
      <c r="G457" s="40" t="n"/>
      <c r="H457" s="41" t="n"/>
      <c r="I457" s="42">
        <f>IF($H457="","",MAX(0,$H457-N($E457)))</f>
        <v/>
      </c>
      <c r="J457" s="42">
        <f>IF($H457="","",MAX(0,$H457-N($G457)))</f>
        <v/>
      </c>
    </row>
    <row r="458" ht="19.5" customHeight="1" s="72">
      <c r="A458" s="38" t="inlineStr">
        <is>
          <t>CM-SEM-P04-BEN</t>
        </is>
      </c>
      <c r="B458" s="38" t="inlineStr">
        <is>
          <t>Semifinal</t>
        </is>
      </c>
      <c r="C458" s="38" t="inlineStr">
        <is>
          <t>Benguela</t>
        </is>
      </c>
      <c r="D458" s="39">
        <f>IFERROR(CLASIF_C_M!$O$8,"")</f>
        <v/>
      </c>
      <c r="E458" s="40" t="n"/>
      <c r="F458" s="39">
        <f>IFERROR(CLASIF_C_M!$O$9,"")</f>
        <v/>
      </c>
      <c r="G458" s="40" t="n"/>
      <c r="H458" s="41" t="n"/>
      <c r="I458" s="42">
        <f>IF($H458="","",MAX(0,$H458-N($E458)))</f>
        <v/>
      </c>
      <c r="J458" s="42">
        <f>IF($H458="","",MAX(0,$H458-N($G458)))</f>
        <v/>
      </c>
    </row>
    <row r="459" ht="19.5" customHeight="1" s="72">
      <c r="A459" s="38" t="inlineStr">
        <is>
          <t>CM-SEM-P04-SBA</t>
        </is>
      </c>
      <c r="B459" s="38" t="inlineStr">
        <is>
          <t>Semifinal</t>
        </is>
      </c>
      <c r="C459" s="38" t="inlineStr">
        <is>
          <t>São Bento da Abadá</t>
        </is>
      </c>
      <c r="D459" s="39">
        <f>IFERROR(CLASIF_C_M!$O$8,"")</f>
        <v/>
      </c>
      <c r="E459" s="40" t="n"/>
      <c r="F459" s="39">
        <f>IFERROR(CLASIF_C_M!$O$9,"")</f>
        <v/>
      </c>
      <c r="G459" s="40" t="n"/>
      <c r="H459" s="41" t="n"/>
      <c r="I459" s="42">
        <f>IF($H459="","",MAX(0,$H459-N($E459)))</f>
        <v/>
      </c>
      <c r="J459" s="42">
        <f>IF($H459="","",MAX(0,$H459-N($G459)))</f>
        <v/>
      </c>
    </row>
    <row r="460" ht="19.5" customHeight="1" s="72">
      <c r="A460" s="38" t="inlineStr">
        <is>
          <t>CM-SEM-P04-SIR</t>
        </is>
      </c>
      <c r="B460" s="38" t="inlineStr">
        <is>
          <t>Semifinal</t>
        </is>
      </c>
      <c r="C460" s="38" t="inlineStr">
        <is>
          <t>Siriuna</t>
        </is>
      </c>
      <c r="D460" s="39">
        <f>IFERROR(CLASIF_C_M!$O$8,"")</f>
        <v/>
      </c>
      <c r="E460" s="40" t="n"/>
      <c r="F460" s="39">
        <f>IFERROR(CLASIF_C_M!$O$9,"")</f>
        <v/>
      </c>
      <c r="G460" s="40" t="n"/>
      <c r="H460" s="41" t="n"/>
      <c r="I460" s="42">
        <f>IF($H460="","",MAX(0,$H460-N($E460)))</f>
        <v/>
      </c>
      <c r="J460" s="42">
        <f>IF($H460="","",MAX(0,$H460-N($G460)))</f>
        <v/>
      </c>
    </row>
    <row r="461" ht="19.5" customHeight="1" s="72">
      <c r="A461" s="38" t="inlineStr">
        <is>
          <t>CM-FIN-P01-BEN</t>
        </is>
      </c>
      <c r="B461" s="38" t="inlineStr">
        <is>
          <t>Final</t>
        </is>
      </c>
      <c r="C461" s="38" t="inlineStr">
        <is>
          <t>Benguela</t>
        </is>
      </c>
      <c r="D461" s="39">
        <f>IFERROR(CLASIF_C_M!$X$5,"")</f>
        <v/>
      </c>
      <c r="E461" s="40" t="n"/>
      <c r="F461" s="39">
        <f>IFERROR(CLASIF_C_M!$X$8,"")</f>
        <v/>
      </c>
      <c r="G461" s="40" t="n"/>
      <c r="H461" s="41" t="n"/>
      <c r="I461" s="42">
        <f>IF($H461="","",MAX(0,$H461-N($E461)))</f>
        <v/>
      </c>
      <c r="J461" s="42">
        <f>IF($H461="","",MAX(0,$H461-N($G461)))</f>
        <v/>
      </c>
    </row>
    <row r="462" ht="19.5" customHeight="1" s="72">
      <c r="A462" s="38" t="inlineStr">
        <is>
          <t>CM-FIN-P01-SBA</t>
        </is>
      </c>
      <c r="B462" s="38" t="inlineStr">
        <is>
          <t>Final</t>
        </is>
      </c>
      <c r="C462" s="38" t="inlineStr">
        <is>
          <t>São Bento da Abadá</t>
        </is>
      </c>
      <c r="D462" s="39">
        <f>IFERROR(CLASIF_C_M!$X$5,"")</f>
        <v/>
      </c>
      <c r="E462" s="40" t="n"/>
      <c r="F462" s="39">
        <f>IFERROR(CLASIF_C_M!$X$8,"")</f>
        <v/>
      </c>
      <c r="G462" s="40" t="n"/>
      <c r="H462" s="41" t="n"/>
      <c r="I462" s="42">
        <f>IF($H462="","",MAX(0,$H462-N($E462)))</f>
        <v/>
      </c>
      <c r="J462" s="42">
        <f>IF($H462="","",MAX(0,$H462-N($G462)))</f>
        <v/>
      </c>
    </row>
    <row r="463" ht="19.5" customHeight="1" s="72">
      <c r="A463" s="38" t="inlineStr">
        <is>
          <t>CM-FIN-P01-SIR</t>
        </is>
      </c>
      <c r="B463" s="38" t="inlineStr">
        <is>
          <t>Final</t>
        </is>
      </c>
      <c r="C463" s="38" t="inlineStr">
        <is>
          <t>Siriuna</t>
        </is>
      </c>
      <c r="D463" s="39">
        <f>IFERROR(CLASIF_C_M!$X$5,"")</f>
        <v/>
      </c>
      <c r="E463" s="40" t="n"/>
      <c r="F463" s="39">
        <f>IFERROR(CLASIF_C_M!$X$8,"")</f>
        <v/>
      </c>
      <c r="G463" s="40" t="n"/>
      <c r="H463" s="41" t="n"/>
      <c r="I463" s="42">
        <f>IF($H463="","",MAX(0,$H463-N($E463)))</f>
        <v/>
      </c>
      <c r="J463" s="42">
        <f>IF($H463="","",MAX(0,$H463-N($G463)))</f>
        <v/>
      </c>
    </row>
    <row r="464" ht="19.5" customHeight="1" s="72">
      <c r="A464" s="38" t="inlineStr">
        <is>
          <t>CM-FIN-P02-BEN</t>
        </is>
      </c>
      <c r="B464" s="38" t="inlineStr">
        <is>
          <t>Final</t>
        </is>
      </c>
      <c r="C464" s="38" t="inlineStr">
        <is>
          <t>Benguela</t>
        </is>
      </c>
      <c r="D464" s="39">
        <f>IFERROR(CLASIF_C_M!$X$6,"")</f>
        <v/>
      </c>
      <c r="E464" s="40" t="n"/>
      <c r="F464" s="39">
        <f>IFERROR(CLASIF_C_M!$X$7,"")</f>
        <v/>
      </c>
      <c r="G464" s="40" t="n"/>
      <c r="H464" s="41" t="n"/>
      <c r="I464" s="42">
        <f>IF($H464="","",MAX(0,$H464-N($E464)))</f>
        <v/>
      </c>
      <c r="J464" s="42">
        <f>IF($H464="","",MAX(0,$H464-N($G464)))</f>
        <v/>
      </c>
    </row>
    <row r="465" ht="19.5" customHeight="1" s="72">
      <c r="A465" s="38" t="inlineStr">
        <is>
          <t>CM-FIN-P02-SBA</t>
        </is>
      </c>
      <c r="B465" s="38" t="inlineStr">
        <is>
          <t>Final</t>
        </is>
      </c>
      <c r="C465" s="38" t="inlineStr">
        <is>
          <t>São Bento da Abadá</t>
        </is>
      </c>
      <c r="D465" s="39">
        <f>IFERROR(CLASIF_C_M!$X$6,"")</f>
        <v/>
      </c>
      <c r="E465" s="40" t="n"/>
      <c r="F465" s="39">
        <f>IFERROR(CLASIF_C_M!$X$7,"")</f>
        <v/>
      </c>
      <c r="G465" s="40" t="n"/>
      <c r="H465" s="41" t="n"/>
      <c r="I465" s="42">
        <f>IF($H465="","",MAX(0,$H465-N($E465)))</f>
        <v/>
      </c>
      <c r="J465" s="42">
        <f>IF($H465="","",MAX(0,$H465-N($G465)))</f>
        <v/>
      </c>
    </row>
    <row r="466" ht="19.5" customHeight="1" s="72">
      <c r="A466" s="38" t="inlineStr">
        <is>
          <t>CM-FIN-P02-SIR</t>
        </is>
      </c>
      <c r="B466" s="38" t="inlineStr">
        <is>
          <t>Final</t>
        </is>
      </c>
      <c r="C466" s="38" t="inlineStr">
        <is>
          <t>Siriuna</t>
        </is>
      </c>
      <c r="D466" s="39">
        <f>IFERROR(CLASIF_C_M!$X$6,"")</f>
        <v/>
      </c>
      <c r="E466" s="40" t="n"/>
      <c r="F466" s="39">
        <f>IFERROR(CLASIF_C_M!$X$7,"")</f>
        <v/>
      </c>
      <c r="G466" s="40" t="n"/>
      <c r="H466" s="41" t="n"/>
      <c r="I466" s="42">
        <f>IF($H466="","",MAX(0,$H466-N($E466)))</f>
        <v/>
      </c>
      <c r="J466" s="42">
        <f>IF($H466="","",MAX(0,$H466-N($G466)))</f>
        <v/>
      </c>
    </row>
    <row r="467" ht="19.5" customHeight="1" s="72">
      <c r="A467" s="43" t="n"/>
      <c r="B467" s="43" t="n"/>
      <c r="C467" s="43" t="n"/>
      <c r="D467" s="43" t="n"/>
      <c r="E467" s="43" t="n"/>
      <c r="F467" s="43" t="n"/>
      <c r="G467" s="43" t="n"/>
      <c r="H467" s="44" t="n"/>
      <c r="I467" s="43">
        <f>IF($H467="","",MAX(0,$H467-N($E467)))</f>
        <v/>
      </c>
      <c r="J467" s="43">
        <f>IF($H467="","",MAX(0,$H467-N($G467)))</f>
        <v/>
      </c>
    </row>
    <row r="468" ht="19.5" customHeight="1" s="72">
      <c r="A468" s="82" t="inlineStr">
        <is>
          <t>═══ CATEGORÍA C · Femenino · Verde (Graduados) · Toques: Benguela, São Bento da Abadá, Siriuna ═══</t>
        </is>
      </c>
    </row>
    <row r="469" ht="19.5" customHeight="1" s="72">
      <c r="A469" s="45" t="inlineStr">
        <is>
          <t>Jogo</t>
        </is>
      </c>
      <c r="B469" s="45" t="inlineStr">
        <is>
          <t>Fase</t>
        </is>
      </c>
      <c r="C469" s="45" t="inlineStr">
        <is>
          <t>Toque</t>
        </is>
      </c>
      <c r="D469" s="45" t="inlineStr">
        <is>
          <t>Jugador A</t>
        </is>
      </c>
      <c r="E469" s="45" t="inlineStr">
        <is>
          <t>Quita A</t>
        </is>
      </c>
      <c r="F469" s="45" t="inlineStr">
        <is>
          <t>Jugador B</t>
        </is>
      </c>
      <c r="G469" s="45" t="inlineStr">
        <is>
          <t>Quita B</t>
        </is>
      </c>
      <c r="H469" s="45" t="inlineStr">
        <is>
          <t>NOTA (0-5)</t>
        </is>
      </c>
      <c r="I469" s="45">
        <f>IF($H469="","",MAX(0,$H469-N($E469)))</f>
        <v/>
      </c>
      <c r="J469" s="45">
        <f>IF($H469="","",MAX(0,$H469-N($G469)))</f>
        <v/>
      </c>
    </row>
    <row r="470" ht="19.5" customHeight="1" s="72">
      <c r="A470" s="38" t="inlineStr">
        <is>
          <t>CF-32-P01-BEN</t>
        </is>
      </c>
      <c r="B470" s="38" t="inlineStr">
        <is>
          <t>Fase 32</t>
        </is>
      </c>
      <c r="C470" s="38" t="inlineStr">
        <is>
          <t>Benguela</t>
        </is>
      </c>
      <c r="D470" s="39" t="inlineStr">
        <is>
          <t>A_C_F_32_P1</t>
        </is>
      </c>
      <c r="E470" s="40" t="n"/>
      <c r="F470" s="39" t="inlineStr">
        <is>
          <t>B_C_F_32_P1</t>
        </is>
      </c>
      <c r="G470" s="40" t="n"/>
      <c r="H470" s="41" t="n"/>
      <c r="I470" s="42">
        <f>IF($H470="","",MAX(0,$H470-N($E470)))</f>
        <v/>
      </c>
      <c r="J470" s="42">
        <f>IF($H470="","",MAX(0,$H470-N($G470)))</f>
        <v/>
      </c>
    </row>
    <row r="471" ht="19.5" customHeight="1" s="72">
      <c r="A471" s="38" t="inlineStr">
        <is>
          <t>CF-32-P01-SBA</t>
        </is>
      </c>
      <c r="B471" s="38" t="inlineStr">
        <is>
          <t>Fase 32</t>
        </is>
      </c>
      <c r="C471" s="38" t="inlineStr">
        <is>
          <t>São Bento da Abadá</t>
        </is>
      </c>
      <c r="D471" s="39" t="inlineStr">
        <is>
          <t>A_C_F_32_P1</t>
        </is>
      </c>
      <c r="E471" s="40" t="n"/>
      <c r="F471" s="39" t="inlineStr">
        <is>
          <t>B_C_F_32_P1</t>
        </is>
      </c>
      <c r="G471" s="40" t="n"/>
      <c r="H471" s="41" t="n"/>
      <c r="I471" s="42">
        <f>IF($H471="","",MAX(0,$H471-N($E471)))</f>
        <v/>
      </c>
      <c r="J471" s="42">
        <f>IF($H471="","",MAX(0,$H471-N($G471)))</f>
        <v/>
      </c>
    </row>
    <row r="472" ht="19.5" customHeight="1" s="72">
      <c r="A472" s="38" t="inlineStr">
        <is>
          <t>CF-32-P01-SIR</t>
        </is>
      </c>
      <c r="B472" s="38" t="inlineStr">
        <is>
          <t>Fase 32</t>
        </is>
      </c>
      <c r="C472" s="38" t="inlineStr">
        <is>
          <t>Siriuna</t>
        </is>
      </c>
      <c r="D472" s="39" t="inlineStr">
        <is>
          <t>A_C_F_32_P1</t>
        </is>
      </c>
      <c r="E472" s="40" t="n"/>
      <c r="F472" s="39" t="inlineStr">
        <is>
          <t>B_C_F_32_P1</t>
        </is>
      </c>
      <c r="G472" s="40" t="n"/>
      <c r="H472" s="41" t="n"/>
      <c r="I472" s="42">
        <f>IF($H472="","",MAX(0,$H472-N($E472)))</f>
        <v/>
      </c>
      <c r="J472" s="42">
        <f>IF($H472="","",MAX(0,$H472-N($G472)))</f>
        <v/>
      </c>
    </row>
    <row r="473" ht="19.5" customHeight="1" s="72">
      <c r="A473" s="38" t="inlineStr">
        <is>
          <t>CF-32-P02-BEN</t>
        </is>
      </c>
      <c r="B473" s="38" t="inlineStr">
        <is>
          <t>Fase 32</t>
        </is>
      </c>
      <c r="C473" s="38" t="inlineStr">
        <is>
          <t>Benguela</t>
        </is>
      </c>
      <c r="D473" s="39" t="inlineStr">
        <is>
          <t>A_C_F_32_P2</t>
        </is>
      </c>
      <c r="E473" s="40" t="n"/>
      <c r="F473" s="39" t="inlineStr">
        <is>
          <t>B_C_F_32_P2</t>
        </is>
      </c>
      <c r="G473" s="40" t="n"/>
      <c r="H473" s="41" t="n"/>
      <c r="I473" s="42">
        <f>IF($H473="","",MAX(0,$H473-N($E473)))</f>
        <v/>
      </c>
      <c r="J473" s="42">
        <f>IF($H473="","",MAX(0,$H473-N($G473)))</f>
        <v/>
      </c>
    </row>
    <row r="474" ht="19.5" customHeight="1" s="72">
      <c r="A474" s="38" t="inlineStr">
        <is>
          <t>CF-32-P02-SBA</t>
        </is>
      </c>
      <c r="B474" s="38" t="inlineStr">
        <is>
          <t>Fase 32</t>
        </is>
      </c>
      <c r="C474" s="38" t="inlineStr">
        <is>
          <t>São Bento da Abadá</t>
        </is>
      </c>
      <c r="D474" s="39" t="inlineStr">
        <is>
          <t>A_C_F_32_P2</t>
        </is>
      </c>
      <c r="E474" s="40" t="n"/>
      <c r="F474" s="39" t="inlineStr">
        <is>
          <t>B_C_F_32_P2</t>
        </is>
      </c>
      <c r="G474" s="40" t="n"/>
      <c r="H474" s="41" t="n"/>
      <c r="I474" s="42">
        <f>IF($H474="","",MAX(0,$H474-N($E474)))</f>
        <v/>
      </c>
      <c r="J474" s="42">
        <f>IF($H474="","",MAX(0,$H474-N($G474)))</f>
        <v/>
      </c>
    </row>
    <row r="475" ht="19.5" customHeight="1" s="72">
      <c r="A475" s="38" t="inlineStr">
        <is>
          <t>CF-32-P02-SIR</t>
        </is>
      </c>
      <c r="B475" s="38" t="inlineStr">
        <is>
          <t>Fase 32</t>
        </is>
      </c>
      <c r="C475" s="38" t="inlineStr">
        <is>
          <t>Siriuna</t>
        </is>
      </c>
      <c r="D475" s="39" t="inlineStr">
        <is>
          <t>A_C_F_32_P2</t>
        </is>
      </c>
      <c r="E475" s="40" t="n"/>
      <c r="F475" s="39" t="inlineStr">
        <is>
          <t>B_C_F_32_P2</t>
        </is>
      </c>
      <c r="G475" s="40" t="n"/>
      <c r="H475" s="41" t="n"/>
      <c r="I475" s="42">
        <f>IF($H475="","",MAX(0,$H475-N($E475)))</f>
        <v/>
      </c>
      <c r="J475" s="42">
        <f>IF($H475="","",MAX(0,$H475-N($G475)))</f>
        <v/>
      </c>
    </row>
    <row r="476" ht="19.5" customHeight="1" s="72">
      <c r="A476" s="38" t="inlineStr">
        <is>
          <t>CF-32-P03-BEN</t>
        </is>
      </c>
      <c r="B476" s="38" t="inlineStr">
        <is>
          <t>Fase 32</t>
        </is>
      </c>
      <c r="C476" s="38" t="inlineStr">
        <is>
          <t>Benguela</t>
        </is>
      </c>
      <c r="D476" s="39" t="inlineStr">
        <is>
          <t>A_C_F_32_P3</t>
        </is>
      </c>
      <c r="E476" s="40" t="n"/>
      <c r="F476" s="39" t="inlineStr">
        <is>
          <t>B_C_F_32_P3</t>
        </is>
      </c>
      <c r="G476" s="40" t="n"/>
      <c r="H476" s="41" t="n"/>
      <c r="I476" s="42">
        <f>IF($H476="","",MAX(0,$H476-N($E476)))</f>
        <v/>
      </c>
      <c r="J476" s="42">
        <f>IF($H476="","",MAX(0,$H476-N($G476)))</f>
        <v/>
      </c>
    </row>
    <row r="477" ht="19.5" customHeight="1" s="72">
      <c r="A477" s="38" t="inlineStr">
        <is>
          <t>CF-32-P03-SBA</t>
        </is>
      </c>
      <c r="B477" s="38" t="inlineStr">
        <is>
          <t>Fase 32</t>
        </is>
      </c>
      <c r="C477" s="38" t="inlineStr">
        <is>
          <t>São Bento da Abadá</t>
        </is>
      </c>
      <c r="D477" s="39" t="inlineStr">
        <is>
          <t>A_C_F_32_P3</t>
        </is>
      </c>
      <c r="E477" s="40" t="n"/>
      <c r="F477" s="39" t="inlineStr">
        <is>
          <t>B_C_F_32_P3</t>
        </is>
      </c>
      <c r="G477" s="40" t="n"/>
      <c r="H477" s="41" t="n"/>
      <c r="I477" s="42">
        <f>IF($H477="","",MAX(0,$H477-N($E477)))</f>
        <v/>
      </c>
      <c r="J477" s="42">
        <f>IF($H477="","",MAX(0,$H477-N($G477)))</f>
        <v/>
      </c>
    </row>
    <row r="478" ht="19.5" customHeight="1" s="72">
      <c r="A478" s="38" t="inlineStr">
        <is>
          <t>CF-32-P03-SIR</t>
        </is>
      </c>
      <c r="B478" s="38" t="inlineStr">
        <is>
          <t>Fase 32</t>
        </is>
      </c>
      <c r="C478" s="38" t="inlineStr">
        <is>
          <t>Siriuna</t>
        </is>
      </c>
      <c r="D478" s="39" t="inlineStr">
        <is>
          <t>A_C_F_32_P3</t>
        </is>
      </c>
      <c r="E478" s="40" t="n"/>
      <c r="F478" s="39" t="inlineStr">
        <is>
          <t>B_C_F_32_P3</t>
        </is>
      </c>
      <c r="G478" s="40" t="n"/>
      <c r="H478" s="41" t="n"/>
      <c r="I478" s="42">
        <f>IF($H478="","",MAX(0,$H478-N($E478)))</f>
        <v/>
      </c>
      <c r="J478" s="42">
        <f>IF($H478="","",MAX(0,$H478-N($G478)))</f>
        <v/>
      </c>
    </row>
    <row r="479" ht="19.5" customHeight="1" s="72">
      <c r="A479" s="38" t="inlineStr">
        <is>
          <t>CF-32-P04-BEN</t>
        </is>
      </c>
      <c r="B479" s="38" t="inlineStr">
        <is>
          <t>Fase 32</t>
        </is>
      </c>
      <c r="C479" s="38" t="inlineStr">
        <is>
          <t>Benguela</t>
        </is>
      </c>
      <c r="D479" s="39" t="inlineStr">
        <is>
          <t>A_C_F_32_P4</t>
        </is>
      </c>
      <c r="E479" s="40" t="n"/>
      <c r="F479" s="39" t="inlineStr">
        <is>
          <t>B_C_F_32_P4</t>
        </is>
      </c>
      <c r="G479" s="40" t="n"/>
      <c r="H479" s="41" t="n"/>
      <c r="I479" s="42">
        <f>IF($H479="","",MAX(0,$H479-N($E479)))</f>
        <v/>
      </c>
      <c r="J479" s="42">
        <f>IF($H479="","",MAX(0,$H479-N($G479)))</f>
        <v/>
      </c>
    </row>
    <row r="480" ht="19.5" customHeight="1" s="72">
      <c r="A480" s="38" t="inlineStr">
        <is>
          <t>CF-32-P04-SBA</t>
        </is>
      </c>
      <c r="B480" s="38" t="inlineStr">
        <is>
          <t>Fase 32</t>
        </is>
      </c>
      <c r="C480" s="38" t="inlineStr">
        <is>
          <t>São Bento da Abadá</t>
        </is>
      </c>
      <c r="D480" s="39" t="inlineStr">
        <is>
          <t>A_C_F_32_P4</t>
        </is>
      </c>
      <c r="E480" s="40" t="n"/>
      <c r="F480" s="39" t="inlineStr">
        <is>
          <t>B_C_F_32_P4</t>
        </is>
      </c>
      <c r="G480" s="40" t="n"/>
      <c r="H480" s="41" t="n"/>
      <c r="I480" s="42">
        <f>IF($H480="","",MAX(0,$H480-N($E480)))</f>
        <v/>
      </c>
      <c r="J480" s="42">
        <f>IF($H480="","",MAX(0,$H480-N($G480)))</f>
        <v/>
      </c>
    </row>
    <row r="481" ht="19.5" customHeight="1" s="72">
      <c r="A481" s="38" t="inlineStr">
        <is>
          <t>CF-32-P04-SIR</t>
        </is>
      </c>
      <c r="B481" s="38" t="inlineStr">
        <is>
          <t>Fase 32</t>
        </is>
      </c>
      <c r="C481" s="38" t="inlineStr">
        <is>
          <t>Siriuna</t>
        </is>
      </c>
      <c r="D481" s="39" t="inlineStr">
        <is>
          <t>A_C_F_32_P4</t>
        </is>
      </c>
      <c r="E481" s="40" t="n"/>
      <c r="F481" s="39" t="inlineStr">
        <is>
          <t>B_C_F_32_P4</t>
        </is>
      </c>
      <c r="G481" s="40" t="n"/>
      <c r="H481" s="41" t="n"/>
      <c r="I481" s="42">
        <f>IF($H481="","",MAX(0,$H481-N($E481)))</f>
        <v/>
      </c>
      <c r="J481" s="42">
        <f>IF($H481="","",MAX(0,$H481-N($G481)))</f>
        <v/>
      </c>
    </row>
    <row r="482" ht="19.5" customHeight="1" s="72">
      <c r="A482" s="38" t="inlineStr">
        <is>
          <t>CF-32-P05-BEN</t>
        </is>
      </c>
      <c r="B482" s="38" t="inlineStr">
        <is>
          <t>Fase 32</t>
        </is>
      </c>
      <c r="C482" s="38" t="inlineStr">
        <is>
          <t>Benguela</t>
        </is>
      </c>
      <c r="D482" s="39" t="inlineStr">
        <is>
          <t>A_C_F_32_P5</t>
        </is>
      </c>
      <c r="E482" s="40" t="n"/>
      <c r="F482" s="39" t="inlineStr">
        <is>
          <t>B_C_F_32_P5</t>
        </is>
      </c>
      <c r="G482" s="40" t="n"/>
      <c r="H482" s="41" t="n"/>
      <c r="I482" s="42">
        <f>IF($H482="","",MAX(0,$H482-N($E482)))</f>
        <v/>
      </c>
      <c r="J482" s="42">
        <f>IF($H482="","",MAX(0,$H482-N($G482)))</f>
        <v/>
      </c>
    </row>
    <row r="483" ht="19.5" customHeight="1" s="72">
      <c r="A483" s="38" t="inlineStr">
        <is>
          <t>CF-32-P05-SBA</t>
        </is>
      </c>
      <c r="B483" s="38" t="inlineStr">
        <is>
          <t>Fase 32</t>
        </is>
      </c>
      <c r="C483" s="38" t="inlineStr">
        <is>
          <t>São Bento da Abadá</t>
        </is>
      </c>
      <c r="D483" s="39" t="inlineStr">
        <is>
          <t>A_C_F_32_P5</t>
        </is>
      </c>
      <c r="E483" s="40" t="n"/>
      <c r="F483" s="39" t="inlineStr">
        <is>
          <t>B_C_F_32_P5</t>
        </is>
      </c>
      <c r="G483" s="40" t="n"/>
      <c r="H483" s="41" t="n"/>
      <c r="I483" s="42">
        <f>IF($H483="","",MAX(0,$H483-N($E483)))</f>
        <v/>
      </c>
      <c r="J483" s="42">
        <f>IF($H483="","",MAX(0,$H483-N($G483)))</f>
        <v/>
      </c>
    </row>
    <row r="484" ht="19.5" customHeight="1" s="72">
      <c r="A484" s="38" t="inlineStr">
        <is>
          <t>CF-32-P05-SIR</t>
        </is>
      </c>
      <c r="B484" s="38" t="inlineStr">
        <is>
          <t>Fase 32</t>
        </is>
      </c>
      <c r="C484" s="38" t="inlineStr">
        <is>
          <t>Siriuna</t>
        </is>
      </c>
      <c r="D484" s="39" t="inlineStr">
        <is>
          <t>A_C_F_32_P5</t>
        </is>
      </c>
      <c r="E484" s="40" t="n"/>
      <c r="F484" s="39" t="inlineStr">
        <is>
          <t>B_C_F_32_P5</t>
        </is>
      </c>
      <c r="G484" s="40" t="n"/>
      <c r="H484" s="41" t="n"/>
      <c r="I484" s="42">
        <f>IF($H484="","",MAX(0,$H484-N($E484)))</f>
        <v/>
      </c>
      <c r="J484" s="42">
        <f>IF($H484="","",MAX(0,$H484-N($G484)))</f>
        <v/>
      </c>
    </row>
    <row r="485" ht="19.5" customHeight="1" s="72">
      <c r="A485" s="38" t="inlineStr">
        <is>
          <t>CF-32-P06-BEN</t>
        </is>
      </c>
      <c r="B485" s="38" t="inlineStr">
        <is>
          <t>Fase 32</t>
        </is>
      </c>
      <c r="C485" s="38" t="inlineStr">
        <is>
          <t>Benguela</t>
        </is>
      </c>
      <c r="D485" s="39" t="inlineStr">
        <is>
          <t>A_C_F_32_P6</t>
        </is>
      </c>
      <c r="E485" s="40" t="n"/>
      <c r="F485" s="39" t="inlineStr">
        <is>
          <t>B_C_F_32_P6</t>
        </is>
      </c>
      <c r="G485" s="40" t="n"/>
      <c r="H485" s="41" t="n"/>
      <c r="I485" s="42">
        <f>IF($H485="","",MAX(0,$H485-N($E485)))</f>
        <v/>
      </c>
      <c r="J485" s="42">
        <f>IF($H485="","",MAX(0,$H485-N($G485)))</f>
        <v/>
      </c>
    </row>
    <row r="486" ht="19.5" customHeight="1" s="72">
      <c r="A486" s="38" t="inlineStr">
        <is>
          <t>CF-32-P06-SBA</t>
        </is>
      </c>
      <c r="B486" s="38" t="inlineStr">
        <is>
          <t>Fase 32</t>
        </is>
      </c>
      <c r="C486" s="38" t="inlineStr">
        <is>
          <t>São Bento da Abadá</t>
        </is>
      </c>
      <c r="D486" s="39" t="inlineStr">
        <is>
          <t>A_C_F_32_P6</t>
        </is>
      </c>
      <c r="E486" s="40" t="n"/>
      <c r="F486" s="39" t="inlineStr">
        <is>
          <t>B_C_F_32_P6</t>
        </is>
      </c>
      <c r="G486" s="40" t="n"/>
      <c r="H486" s="41" t="n"/>
      <c r="I486" s="42">
        <f>IF($H486="","",MAX(0,$H486-N($E486)))</f>
        <v/>
      </c>
      <c r="J486" s="42">
        <f>IF($H486="","",MAX(0,$H486-N($G486)))</f>
        <v/>
      </c>
    </row>
    <row r="487" ht="19.5" customHeight="1" s="72">
      <c r="A487" s="38" t="inlineStr">
        <is>
          <t>CF-32-P06-SIR</t>
        </is>
      </c>
      <c r="B487" s="38" t="inlineStr">
        <is>
          <t>Fase 32</t>
        </is>
      </c>
      <c r="C487" s="38" t="inlineStr">
        <is>
          <t>Siriuna</t>
        </is>
      </c>
      <c r="D487" s="39" t="inlineStr">
        <is>
          <t>A_C_F_32_P6</t>
        </is>
      </c>
      <c r="E487" s="40" t="n"/>
      <c r="F487" s="39" t="inlineStr">
        <is>
          <t>B_C_F_32_P6</t>
        </is>
      </c>
      <c r="G487" s="40" t="n"/>
      <c r="H487" s="41" t="n"/>
      <c r="I487" s="42">
        <f>IF($H487="","",MAX(0,$H487-N($E487)))</f>
        <v/>
      </c>
      <c r="J487" s="42">
        <f>IF($H487="","",MAX(0,$H487-N($G487)))</f>
        <v/>
      </c>
    </row>
    <row r="488" ht="19.5" customHeight="1" s="72">
      <c r="A488" s="38" t="inlineStr">
        <is>
          <t>CF-32-P07-BEN</t>
        </is>
      </c>
      <c r="B488" s="38" t="inlineStr">
        <is>
          <t>Fase 32</t>
        </is>
      </c>
      <c r="C488" s="38" t="inlineStr">
        <is>
          <t>Benguela</t>
        </is>
      </c>
      <c r="D488" s="39" t="inlineStr">
        <is>
          <t>A_C_F_32_P7</t>
        </is>
      </c>
      <c r="E488" s="40" t="n"/>
      <c r="F488" s="39" t="inlineStr">
        <is>
          <t>B_C_F_32_P7</t>
        </is>
      </c>
      <c r="G488" s="40" t="n"/>
      <c r="H488" s="41" t="n"/>
      <c r="I488" s="42">
        <f>IF($H488="","",MAX(0,$H488-N($E488)))</f>
        <v/>
      </c>
      <c r="J488" s="42">
        <f>IF($H488="","",MAX(0,$H488-N($G488)))</f>
        <v/>
      </c>
    </row>
    <row r="489" ht="19.5" customHeight="1" s="72">
      <c r="A489" s="38" t="inlineStr">
        <is>
          <t>CF-32-P07-SBA</t>
        </is>
      </c>
      <c r="B489" s="38" t="inlineStr">
        <is>
          <t>Fase 32</t>
        </is>
      </c>
      <c r="C489" s="38" t="inlineStr">
        <is>
          <t>São Bento da Abadá</t>
        </is>
      </c>
      <c r="D489" s="39" t="inlineStr">
        <is>
          <t>A_C_F_32_P7</t>
        </is>
      </c>
      <c r="E489" s="40" t="n"/>
      <c r="F489" s="39" t="inlineStr">
        <is>
          <t>B_C_F_32_P7</t>
        </is>
      </c>
      <c r="G489" s="40" t="n"/>
      <c r="H489" s="41" t="n"/>
      <c r="I489" s="42">
        <f>IF($H489="","",MAX(0,$H489-N($E489)))</f>
        <v/>
      </c>
      <c r="J489" s="42">
        <f>IF($H489="","",MAX(0,$H489-N($G489)))</f>
        <v/>
      </c>
    </row>
    <row r="490" ht="19.5" customHeight="1" s="72">
      <c r="A490" s="38" t="inlineStr">
        <is>
          <t>CF-32-P07-SIR</t>
        </is>
      </c>
      <c r="B490" s="38" t="inlineStr">
        <is>
          <t>Fase 32</t>
        </is>
      </c>
      <c r="C490" s="38" t="inlineStr">
        <is>
          <t>Siriuna</t>
        </is>
      </c>
      <c r="D490" s="39" t="inlineStr">
        <is>
          <t>A_C_F_32_P7</t>
        </is>
      </c>
      <c r="E490" s="40" t="n"/>
      <c r="F490" s="39" t="inlineStr">
        <is>
          <t>B_C_F_32_P7</t>
        </is>
      </c>
      <c r="G490" s="40" t="n"/>
      <c r="H490" s="41" t="n"/>
      <c r="I490" s="42">
        <f>IF($H490="","",MAX(0,$H490-N($E490)))</f>
        <v/>
      </c>
      <c r="J490" s="42">
        <f>IF($H490="","",MAX(0,$H490-N($G490)))</f>
        <v/>
      </c>
    </row>
    <row r="491" ht="19.5" customHeight="1" s="72">
      <c r="A491" s="38" t="inlineStr">
        <is>
          <t>CF-32-P08-BEN</t>
        </is>
      </c>
      <c r="B491" s="38" t="inlineStr">
        <is>
          <t>Fase 32</t>
        </is>
      </c>
      <c r="C491" s="38" t="inlineStr">
        <is>
          <t>Benguela</t>
        </is>
      </c>
      <c r="D491" s="39" t="inlineStr">
        <is>
          <t>A_C_F_32_P8</t>
        </is>
      </c>
      <c r="E491" s="40" t="n"/>
      <c r="F491" s="39" t="inlineStr">
        <is>
          <t>B_C_F_32_P8</t>
        </is>
      </c>
      <c r="G491" s="40" t="n"/>
      <c r="H491" s="41" t="n"/>
      <c r="I491" s="42">
        <f>IF($H491="","",MAX(0,$H491-N($E491)))</f>
        <v/>
      </c>
      <c r="J491" s="42">
        <f>IF($H491="","",MAX(0,$H491-N($G491)))</f>
        <v/>
      </c>
    </row>
    <row r="492" ht="19.5" customHeight="1" s="72">
      <c r="A492" s="38" t="inlineStr">
        <is>
          <t>CF-32-P08-SBA</t>
        </is>
      </c>
      <c r="B492" s="38" t="inlineStr">
        <is>
          <t>Fase 32</t>
        </is>
      </c>
      <c r="C492" s="38" t="inlineStr">
        <is>
          <t>São Bento da Abadá</t>
        </is>
      </c>
      <c r="D492" s="39" t="inlineStr">
        <is>
          <t>A_C_F_32_P8</t>
        </is>
      </c>
      <c r="E492" s="40" t="n"/>
      <c r="F492" s="39" t="inlineStr">
        <is>
          <t>B_C_F_32_P8</t>
        </is>
      </c>
      <c r="G492" s="40" t="n"/>
      <c r="H492" s="41" t="n"/>
      <c r="I492" s="42">
        <f>IF($H492="","",MAX(0,$H492-N($E492)))</f>
        <v/>
      </c>
      <c r="J492" s="42">
        <f>IF($H492="","",MAX(0,$H492-N($G492)))</f>
        <v/>
      </c>
    </row>
    <row r="493" ht="19.5" customHeight="1" s="72">
      <c r="A493" s="38" t="inlineStr">
        <is>
          <t>CF-32-P08-SIR</t>
        </is>
      </c>
      <c r="B493" s="38" t="inlineStr">
        <is>
          <t>Fase 32</t>
        </is>
      </c>
      <c r="C493" s="38" t="inlineStr">
        <is>
          <t>Siriuna</t>
        </is>
      </c>
      <c r="D493" s="39" t="inlineStr">
        <is>
          <t>A_C_F_32_P8</t>
        </is>
      </c>
      <c r="E493" s="40" t="n"/>
      <c r="F493" s="39" t="inlineStr">
        <is>
          <t>B_C_F_32_P8</t>
        </is>
      </c>
      <c r="G493" s="40" t="n"/>
      <c r="H493" s="41" t="n"/>
      <c r="I493" s="42">
        <f>IF($H493="","",MAX(0,$H493-N($E493)))</f>
        <v/>
      </c>
      <c r="J493" s="42">
        <f>IF($H493="","",MAX(0,$H493-N($G493)))</f>
        <v/>
      </c>
    </row>
    <row r="494" ht="19.5" customHeight="1" s="72">
      <c r="A494" s="38" t="inlineStr">
        <is>
          <t>CF-32-P09-BEN</t>
        </is>
      </c>
      <c r="B494" s="38" t="inlineStr">
        <is>
          <t>Fase 32</t>
        </is>
      </c>
      <c r="C494" s="38" t="inlineStr">
        <is>
          <t>Benguela</t>
        </is>
      </c>
      <c r="D494" s="39" t="inlineStr">
        <is>
          <t>A_C_F_32_P9</t>
        </is>
      </c>
      <c r="E494" s="40" t="n"/>
      <c r="F494" s="39" t="inlineStr">
        <is>
          <t>B_C_F_32_P9</t>
        </is>
      </c>
      <c r="G494" s="40" t="n"/>
      <c r="H494" s="41" t="n"/>
      <c r="I494" s="42">
        <f>IF($H494="","",MAX(0,$H494-N($E494)))</f>
        <v/>
      </c>
      <c r="J494" s="42">
        <f>IF($H494="","",MAX(0,$H494-N($G494)))</f>
        <v/>
      </c>
    </row>
    <row r="495" ht="19.5" customHeight="1" s="72">
      <c r="A495" s="38" t="inlineStr">
        <is>
          <t>CF-32-P09-SBA</t>
        </is>
      </c>
      <c r="B495" s="38" t="inlineStr">
        <is>
          <t>Fase 32</t>
        </is>
      </c>
      <c r="C495" s="38" t="inlineStr">
        <is>
          <t>São Bento da Abadá</t>
        </is>
      </c>
      <c r="D495" s="39" t="inlineStr">
        <is>
          <t>A_C_F_32_P9</t>
        </is>
      </c>
      <c r="E495" s="40" t="n"/>
      <c r="F495" s="39" t="inlineStr">
        <is>
          <t>B_C_F_32_P9</t>
        </is>
      </c>
      <c r="G495" s="40" t="n"/>
      <c r="H495" s="41" t="n"/>
      <c r="I495" s="42">
        <f>IF($H495="","",MAX(0,$H495-N($E495)))</f>
        <v/>
      </c>
      <c r="J495" s="42">
        <f>IF($H495="","",MAX(0,$H495-N($G495)))</f>
        <v/>
      </c>
    </row>
    <row r="496" ht="19.5" customHeight="1" s="72">
      <c r="A496" s="38" t="inlineStr">
        <is>
          <t>CF-32-P09-SIR</t>
        </is>
      </c>
      <c r="B496" s="38" t="inlineStr">
        <is>
          <t>Fase 32</t>
        </is>
      </c>
      <c r="C496" s="38" t="inlineStr">
        <is>
          <t>Siriuna</t>
        </is>
      </c>
      <c r="D496" s="39" t="inlineStr">
        <is>
          <t>A_C_F_32_P9</t>
        </is>
      </c>
      <c r="E496" s="40" t="n"/>
      <c r="F496" s="39" t="inlineStr">
        <is>
          <t>B_C_F_32_P9</t>
        </is>
      </c>
      <c r="G496" s="40" t="n"/>
      <c r="H496" s="41" t="n"/>
      <c r="I496" s="42">
        <f>IF($H496="","",MAX(0,$H496-N($E496)))</f>
        <v/>
      </c>
      <c r="J496" s="42">
        <f>IF($H496="","",MAX(0,$H496-N($G496)))</f>
        <v/>
      </c>
    </row>
    <row r="497" ht="19.5" customHeight="1" s="72">
      <c r="A497" s="38" t="inlineStr">
        <is>
          <t>CF-32-P10-BEN</t>
        </is>
      </c>
      <c r="B497" s="38" t="inlineStr">
        <is>
          <t>Fase 32</t>
        </is>
      </c>
      <c r="C497" s="38" t="inlineStr">
        <is>
          <t>Benguela</t>
        </is>
      </c>
      <c r="D497" s="39" t="inlineStr">
        <is>
          <t>A_C_F_32_P10</t>
        </is>
      </c>
      <c r="E497" s="40" t="n"/>
      <c r="F497" s="39" t="inlineStr">
        <is>
          <t>B_C_F_32_P10</t>
        </is>
      </c>
      <c r="G497" s="40" t="n"/>
      <c r="H497" s="41" t="n"/>
      <c r="I497" s="42">
        <f>IF($H497="","",MAX(0,$H497-N($E497)))</f>
        <v/>
      </c>
      <c r="J497" s="42">
        <f>IF($H497="","",MAX(0,$H497-N($G497)))</f>
        <v/>
      </c>
    </row>
    <row r="498" ht="19.5" customHeight="1" s="72">
      <c r="A498" s="38" t="inlineStr">
        <is>
          <t>CF-32-P10-SBA</t>
        </is>
      </c>
      <c r="B498" s="38" t="inlineStr">
        <is>
          <t>Fase 32</t>
        </is>
      </c>
      <c r="C498" s="38" t="inlineStr">
        <is>
          <t>São Bento da Abadá</t>
        </is>
      </c>
      <c r="D498" s="39" t="inlineStr">
        <is>
          <t>A_C_F_32_P10</t>
        </is>
      </c>
      <c r="E498" s="40" t="n"/>
      <c r="F498" s="39" t="inlineStr">
        <is>
          <t>B_C_F_32_P10</t>
        </is>
      </c>
      <c r="G498" s="40" t="n"/>
      <c r="H498" s="41" t="n"/>
      <c r="I498" s="42">
        <f>IF($H498="","",MAX(0,$H498-N($E498)))</f>
        <v/>
      </c>
      <c r="J498" s="42">
        <f>IF($H498="","",MAX(0,$H498-N($G498)))</f>
        <v/>
      </c>
    </row>
    <row r="499" ht="19.5" customHeight="1" s="72">
      <c r="A499" s="38" t="inlineStr">
        <is>
          <t>CF-32-P10-SIR</t>
        </is>
      </c>
      <c r="B499" s="38" t="inlineStr">
        <is>
          <t>Fase 32</t>
        </is>
      </c>
      <c r="C499" s="38" t="inlineStr">
        <is>
          <t>Siriuna</t>
        </is>
      </c>
      <c r="D499" s="39" t="inlineStr">
        <is>
          <t>A_C_F_32_P10</t>
        </is>
      </c>
      <c r="E499" s="40" t="n"/>
      <c r="F499" s="39" t="inlineStr">
        <is>
          <t>B_C_F_32_P10</t>
        </is>
      </c>
      <c r="G499" s="40" t="n"/>
      <c r="H499" s="41" t="n"/>
      <c r="I499" s="42">
        <f>IF($H499="","",MAX(0,$H499-N($E499)))</f>
        <v/>
      </c>
      <c r="J499" s="42">
        <f>IF($H499="","",MAX(0,$H499-N($G499)))</f>
        <v/>
      </c>
    </row>
    <row r="500" ht="19.5" customHeight="1" s="72">
      <c r="A500" s="38" t="inlineStr">
        <is>
          <t>CF-32-P11-BEN</t>
        </is>
      </c>
      <c r="B500" s="38" t="inlineStr">
        <is>
          <t>Fase 32</t>
        </is>
      </c>
      <c r="C500" s="38" t="inlineStr">
        <is>
          <t>Benguela</t>
        </is>
      </c>
      <c r="D500" s="39" t="inlineStr">
        <is>
          <t>A_C_F_32_P11</t>
        </is>
      </c>
      <c r="E500" s="40" t="n"/>
      <c r="F500" s="39" t="inlineStr">
        <is>
          <t>B_C_F_32_P11</t>
        </is>
      </c>
      <c r="G500" s="40" t="n"/>
      <c r="H500" s="41" t="n"/>
      <c r="I500" s="42">
        <f>IF($H500="","",MAX(0,$H500-N($E500)))</f>
        <v/>
      </c>
      <c r="J500" s="42">
        <f>IF($H500="","",MAX(0,$H500-N($G500)))</f>
        <v/>
      </c>
    </row>
    <row r="501" ht="19.5" customHeight="1" s="72">
      <c r="A501" s="38" t="inlineStr">
        <is>
          <t>CF-32-P11-SBA</t>
        </is>
      </c>
      <c r="B501" s="38" t="inlineStr">
        <is>
          <t>Fase 32</t>
        </is>
      </c>
      <c r="C501" s="38" t="inlineStr">
        <is>
          <t>São Bento da Abadá</t>
        </is>
      </c>
      <c r="D501" s="39" t="inlineStr">
        <is>
          <t>A_C_F_32_P11</t>
        </is>
      </c>
      <c r="E501" s="40" t="n"/>
      <c r="F501" s="39" t="inlineStr">
        <is>
          <t>B_C_F_32_P11</t>
        </is>
      </c>
      <c r="G501" s="40" t="n"/>
      <c r="H501" s="41" t="n"/>
      <c r="I501" s="42">
        <f>IF($H501="","",MAX(0,$H501-N($E501)))</f>
        <v/>
      </c>
      <c r="J501" s="42">
        <f>IF($H501="","",MAX(0,$H501-N($G501)))</f>
        <v/>
      </c>
    </row>
    <row r="502" ht="19.5" customHeight="1" s="72">
      <c r="A502" s="38" t="inlineStr">
        <is>
          <t>CF-32-P11-SIR</t>
        </is>
      </c>
      <c r="B502" s="38" t="inlineStr">
        <is>
          <t>Fase 32</t>
        </is>
      </c>
      <c r="C502" s="38" t="inlineStr">
        <is>
          <t>Siriuna</t>
        </is>
      </c>
      <c r="D502" s="39" t="inlineStr">
        <is>
          <t>A_C_F_32_P11</t>
        </is>
      </c>
      <c r="E502" s="40" t="n"/>
      <c r="F502" s="39" t="inlineStr">
        <is>
          <t>B_C_F_32_P11</t>
        </is>
      </c>
      <c r="G502" s="40" t="n"/>
      <c r="H502" s="41" t="n"/>
      <c r="I502" s="42">
        <f>IF($H502="","",MAX(0,$H502-N($E502)))</f>
        <v/>
      </c>
      <c r="J502" s="42">
        <f>IF($H502="","",MAX(0,$H502-N($G502)))</f>
        <v/>
      </c>
    </row>
    <row r="503" ht="19.5" customHeight="1" s="72">
      <c r="A503" s="38" t="inlineStr">
        <is>
          <t>CF-32-P12-BEN</t>
        </is>
      </c>
      <c r="B503" s="38" t="inlineStr">
        <is>
          <t>Fase 32</t>
        </is>
      </c>
      <c r="C503" s="38" t="inlineStr">
        <is>
          <t>Benguela</t>
        </is>
      </c>
      <c r="D503" s="39" t="inlineStr">
        <is>
          <t>A_C_F_32_P12</t>
        </is>
      </c>
      <c r="E503" s="40" t="n"/>
      <c r="F503" s="39" t="inlineStr">
        <is>
          <t>B_C_F_32_P12</t>
        </is>
      </c>
      <c r="G503" s="40" t="n"/>
      <c r="H503" s="41" t="n"/>
      <c r="I503" s="42">
        <f>IF($H503="","",MAX(0,$H503-N($E503)))</f>
        <v/>
      </c>
      <c r="J503" s="42">
        <f>IF($H503="","",MAX(0,$H503-N($G503)))</f>
        <v/>
      </c>
    </row>
    <row r="504" ht="19.5" customHeight="1" s="72">
      <c r="A504" s="38" t="inlineStr">
        <is>
          <t>CF-32-P12-SBA</t>
        </is>
      </c>
      <c r="B504" s="38" t="inlineStr">
        <is>
          <t>Fase 32</t>
        </is>
      </c>
      <c r="C504" s="38" t="inlineStr">
        <is>
          <t>São Bento da Abadá</t>
        </is>
      </c>
      <c r="D504" s="39" t="inlineStr">
        <is>
          <t>A_C_F_32_P12</t>
        </is>
      </c>
      <c r="E504" s="40" t="n"/>
      <c r="F504" s="39" t="inlineStr">
        <is>
          <t>B_C_F_32_P12</t>
        </is>
      </c>
      <c r="G504" s="40" t="n"/>
      <c r="H504" s="41" t="n"/>
      <c r="I504" s="42">
        <f>IF($H504="","",MAX(0,$H504-N($E504)))</f>
        <v/>
      </c>
      <c r="J504" s="42">
        <f>IF($H504="","",MAX(0,$H504-N($G504)))</f>
        <v/>
      </c>
    </row>
    <row r="505" ht="19.5" customHeight="1" s="72">
      <c r="A505" s="38" t="inlineStr">
        <is>
          <t>CF-32-P12-SIR</t>
        </is>
      </c>
      <c r="B505" s="38" t="inlineStr">
        <is>
          <t>Fase 32</t>
        </is>
      </c>
      <c r="C505" s="38" t="inlineStr">
        <is>
          <t>Siriuna</t>
        </is>
      </c>
      <c r="D505" s="39" t="inlineStr">
        <is>
          <t>A_C_F_32_P12</t>
        </is>
      </c>
      <c r="E505" s="40" t="n"/>
      <c r="F505" s="39" t="inlineStr">
        <is>
          <t>B_C_F_32_P12</t>
        </is>
      </c>
      <c r="G505" s="40" t="n"/>
      <c r="H505" s="41" t="n"/>
      <c r="I505" s="42">
        <f>IF($H505="","",MAX(0,$H505-N($E505)))</f>
        <v/>
      </c>
      <c r="J505" s="42">
        <f>IF($H505="","",MAX(0,$H505-N($G505)))</f>
        <v/>
      </c>
    </row>
    <row r="506" ht="19.5" customHeight="1" s="72">
      <c r="A506" s="38" t="inlineStr">
        <is>
          <t>CF-32-P13-BEN</t>
        </is>
      </c>
      <c r="B506" s="38" t="inlineStr">
        <is>
          <t>Fase 32</t>
        </is>
      </c>
      <c r="C506" s="38" t="inlineStr">
        <is>
          <t>Benguela</t>
        </is>
      </c>
      <c r="D506" s="39" t="inlineStr">
        <is>
          <t>A_C_F_32_P13</t>
        </is>
      </c>
      <c r="E506" s="40" t="n"/>
      <c r="F506" s="39" t="inlineStr">
        <is>
          <t>B_C_F_32_P13</t>
        </is>
      </c>
      <c r="G506" s="40" t="n"/>
      <c r="H506" s="41" t="n"/>
      <c r="I506" s="42">
        <f>IF($H506="","",MAX(0,$H506-N($E506)))</f>
        <v/>
      </c>
      <c r="J506" s="42">
        <f>IF($H506="","",MAX(0,$H506-N($G506)))</f>
        <v/>
      </c>
    </row>
    <row r="507" ht="19.5" customHeight="1" s="72">
      <c r="A507" s="38" t="inlineStr">
        <is>
          <t>CF-32-P13-SBA</t>
        </is>
      </c>
      <c r="B507" s="38" t="inlineStr">
        <is>
          <t>Fase 32</t>
        </is>
      </c>
      <c r="C507" s="38" t="inlineStr">
        <is>
          <t>São Bento da Abadá</t>
        </is>
      </c>
      <c r="D507" s="39" t="inlineStr">
        <is>
          <t>A_C_F_32_P13</t>
        </is>
      </c>
      <c r="E507" s="40" t="n"/>
      <c r="F507" s="39" t="inlineStr">
        <is>
          <t>B_C_F_32_P13</t>
        </is>
      </c>
      <c r="G507" s="40" t="n"/>
      <c r="H507" s="41" t="n"/>
      <c r="I507" s="42">
        <f>IF($H507="","",MAX(0,$H507-N($E507)))</f>
        <v/>
      </c>
      <c r="J507" s="42">
        <f>IF($H507="","",MAX(0,$H507-N($G507)))</f>
        <v/>
      </c>
    </row>
    <row r="508" ht="19.5" customHeight="1" s="72">
      <c r="A508" s="38" t="inlineStr">
        <is>
          <t>CF-32-P13-SIR</t>
        </is>
      </c>
      <c r="B508" s="38" t="inlineStr">
        <is>
          <t>Fase 32</t>
        </is>
      </c>
      <c r="C508" s="38" t="inlineStr">
        <is>
          <t>Siriuna</t>
        </is>
      </c>
      <c r="D508" s="39" t="inlineStr">
        <is>
          <t>A_C_F_32_P13</t>
        </is>
      </c>
      <c r="E508" s="40" t="n"/>
      <c r="F508" s="39" t="inlineStr">
        <is>
          <t>B_C_F_32_P13</t>
        </is>
      </c>
      <c r="G508" s="40" t="n"/>
      <c r="H508" s="41" t="n"/>
      <c r="I508" s="42">
        <f>IF($H508="","",MAX(0,$H508-N($E508)))</f>
        <v/>
      </c>
      <c r="J508" s="42">
        <f>IF($H508="","",MAX(0,$H508-N($G508)))</f>
        <v/>
      </c>
    </row>
    <row r="509" ht="19.5" customHeight="1" s="72">
      <c r="A509" s="38" t="inlineStr">
        <is>
          <t>CF-32-P14-BEN</t>
        </is>
      </c>
      <c r="B509" s="38" t="inlineStr">
        <is>
          <t>Fase 32</t>
        </is>
      </c>
      <c r="C509" s="38" t="inlineStr">
        <is>
          <t>Benguela</t>
        </is>
      </c>
      <c r="D509" s="39" t="inlineStr">
        <is>
          <t>A_C_F_32_P14</t>
        </is>
      </c>
      <c r="E509" s="40" t="n"/>
      <c r="F509" s="39" t="inlineStr">
        <is>
          <t>B_C_F_32_P14</t>
        </is>
      </c>
      <c r="G509" s="40" t="n"/>
      <c r="H509" s="41" t="n"/>
      <c r="I509" s="42">
        <f>IF($H509="","",MAX(0,$H509-N($E509)))</f>
        <v/>
      </c>
      <c r="J509" s="42">
        <f>IF($H509="","",MAX(0,$H509-N($G509)))</f>
        <v/>
      </c>
    </row>
    <row r="510" ht="19.5" customHeight="1" s="72">
      <c r="A510" s="38" t="inlineStr">
        <is>
          <t>CF-32-P14-SBA</t>
        </is>
      </c>
      <c r="B510" s="38" t="inlineStr">
        <is>
          <t>Fase 32</t>
        </is>
      </c>
      <c r="C510" s="38" t="inlineStr">
        <is>
          <t>São Bento da Abadá</t>
        </is>
      </c>
      <c r="D510" s="39" t="inlineStr">
        <is>
          <t>A_C_F_32_P14</t>
        </is>
      </c>
      <c r="E510" s="40" t="n"/>
      <c r="F510" s="39" t="inlineStr">
        <is>
          <t>B_C_F_32_P14</t>
        </is>
      </c>
      <c r="G510" s="40" t="n"/>
      <c r="H510" s="41" t="n"/>
      <c r="I510" s="42">
        <f>IF($H510="","",MAX(0,$H510-N($E510)))</f>
        <v/>
      </c>
      <c r="J510" s="42">
        <f>IF($H510="","",MAX(0,$H510-N($G510)))</f>
        <v/>
      </c>
    </row>
    <row r="511" ht="19.5" customHeight="1" s="72">
      <c r="A511" s="38" t="inlineStr">
        <is>
          <t>CF-32-P14-SIR</t>
        </is>
      </c>
      <c r="B511" s="38" t="inlineStr">
        <is>
          <t>Fase 32</t>
        </is>
      </c>
      <c r="C511" s="38" t="inlineStr">
        <is>
          <t>Siriuna</t>
        </is>
      </c>
      <c r="D511" s="39" t="inlineStr">
        <is>
          <t>A_C_F_32_P14</t>
        </is>
      </c>
      <c r="E511" s="40" t="n"/>
      <c r="F511" s="39" t="inlineStr">
        <is>
          <t>B_C_F_32_P14</t>
        </is>
      </c>
      <c r="G511" s="40" t="n"/>
      <c r="H511" s="41" t="n"/>
      <c r="I511" s="42">
        <f>IF($H511="","",MAX(0,$H511-N($E511)))</f>
        <v/>
      </c>
      <c r="J511" s="42">
        <f>IF($H511="","",MAX(0,$H511-N($G511)))</f>
        <v/>
      </c>
    </row>
    <row r="512" ht="19.5" customHeight="1" s="72">
      <c r="A512" s="38" t="inlineStr">
        <is>
          <t>CF-32-P15-BEN</t>
        </is>
      </c>
      <c r="B512" s="38" t="inlineStr">
        <is>
          <t>Fase 32</t>
        </is>
      </c>
      <c r="C512" s="38" t="inlineStr">
        <is>
          <t>Benguela</t>
        </is>
      </c>
      <c r="D512" s="39" t="inlineStr">
        <is>
          <t>A_C_F_32_P15</t>
        </is>
      </c>
      <c r="E512" s="40" t="n"/>
      <c r="F512" s="39" t="inlineStr">
        <is>
          <t>B_C_F_32_P15</t>
        </is>
      </c>
      <c r="G512" s="40" t="n"/>
      <c r="H512" s="41" t="n"/>
      <c r="I512" s="42">
        <f>IF($H512="","",MAX(0,$H512-N($E512)))</f>
        <v/>
      </c>
      <c r="J512" s="42">
        <f>IF($H512="","",MAX(0,$H512-N($G512)))</f>
        <v/>
      </c>
    </row>
    <row r="513" ht="19.5" customHeight="1" s="72">
      <c r="A513" s="38" t="inlineStr">
        <is>
          <t>CF-32-P15-SBA</t>
        </is>
      </c>
      <c r="B513" s="38" t="inlineStr">
        <is>
          <t>Fase 32</t>
        </is>
      </c>
      <c r="C513" s="38" t="inlineStr">
        <is>
          <t>São Bento da Abadá</t>
        </is>
      </c>
      <c r="D513" s="39" t="inlineStr">
        <is>
          <t>A_C_F_32_P15</t>
        </is>
      </c>
      <c r="E513" s="40" t="n"/>
      <c r="F513" s="39" t="inlineStr">
        <is>
          <t>B_C_F_32_P15</t>
        </is>
      </c>
      <c r="G513" s="40" t="n"/>
      <c r="H513" s="41" t="n"/>
      <c r="I513" s="42">
        <f>IF($H513="","",MAX(0,$H513-N($E513)))</f>
        <v/>
      </c>
      <c r="J513" s="42">
        <f>IF($H513="","",MAX(0,$H513-N($G513)))</f>
        <v/>
      </c>
    </row>
    <row r="514" ht="19.5" customHeight="1" s="72">
      <c r="A514" s="38" t="inlineStr">
        <is>
          <t>CF-32-P15-SIR</t>
        </is>
      </c>
      <c r="B514" s="38" t="inlineStr">
        <is>
          <t>Fase 32</t>
        </is>
      </c>
      <c r="C514" s="38" t="inlineStr">
        <is>
          <t>Siriuna</t>
        </is>
      </c>
      <c r="D514" s="39" t="inlineStr">
        <is>
          <t>A_C_F_32_P15</t>
        </is>
      </c>
      <c r="E514" s="40" t="n"/>
      <c r="F514" s="39" t="inlineStr">
        <is>
          <t>B_C_F_32_P15</t>
        </is>
      </c>
      <c r="G514" s="40" t="n"/>
      <c r="H514" s="41" t="n"/>
      <c r="I514" s="42">
        <f>IF($H514="","",MAX(0,$H514-N($E514)))</f>
        <v/>
      </c>
      <c r="J514" s="42">
        <f>IF($H514="","",MAX(0,$H514-N($G514)))</f>
        <v/>
      </c>
    </row>
    <row r="515" ht="19.5" customHeight="1" s="72">
      <c r="A515" s="38" t="inlineStr">
        <is>
          <t>CF-32-P16-BEN</t>
        </is>
      </c>
      <c r="B515" s="38" t="inlineStr">
        <is>
          <t>Fase 32</t>
        </is>
      </c>
      <c r="C515" s="38" t="inlineStr">
        <is>
          <t>Benguela</t>
        </is>
      </c>
      <c r="D515" s="39" t="inlineStr">
        <is>
          <t>A_C_F_32_P16</t>
        </is>
      </c>
      <c r="E515" s="40" t="n"/>
      <c r="F515" s="39" t="inlineStr">
        <is>
          <t>B_C_F_32_P16</t>
        </is>
      </c>
      <c r="G515" s="40" t="n"/>
      <c r="H515" s="41" t="n"/>
      <c r="I515" s="42">
        <f>IF($H515="","",MAX(0,$H515-N($E515)))</f>
        <v/>
      </c>
      <c r="J515" s="42">
        <f>IF($H515="","",MAX(0,$H515-N($G515)))</f>
        <v/>
      </c>
    </row>
    <row r="516" ht="19.5" customHeight="1" s="72">
      <c r="A516" s="38" t="inlineStr">
        <is>
          <t>CF-32-P16-SBA</t>
        </is>
      </c>
      <c r="B516" s="38" t="inlineStr">
        <is>
          <t>Fase 32</t>
        </is>
      </c>
      <c r="C516" s="38" t="inlineStr">
        <is>
          <t>São Bento da Abadá</t>
        </is>
      </c>
      <c r="D516" s="39" t="inlineStr">
        <is>
          <t>A_C_F_32_P16</t>
        </is>
      </c>
      <c r="E516" s="40" t="n"/>
      <c r="F516" s="39" t="inlineStr">
        <is>
          <t>B_C_F_32_P16</t>
        </is>
      </c>
      <c r="G516" s="40" t="n"/>
      <c r="H516" s="41" t="n"/>
      <c r="I516" s="42">
        <f>IF($H516="","",MAX(0,$H516-N($E516)))</f>
        <v/>
      </c>
      <c r="J516" s="42">
        <f>IF($H516="","",MAX(0,$H516-N($G516)))</f>
        <v/>
      </c>
    </row>
    <row r="517" ht="19.5" customHeight="1" s="72">
      <c r="A517" s="38" t="inlineStr">
        <is>
          <t>CF-32-P16-SIR</t>
        </is>
      </c>
      <c r="B517" s="38" t="inlineStr">
        <is>
          <t>Fase 32</t>
        </is>
      </c>
      <c r="C517" s="38" t="inlineStr">
        <is>
          <t>Siriuna</t>
        </is>
      </c>
      <c r="D517" s="39" t="inlineStr">
        <is>
          <t>A_C_F_32_P16</t>
        </is>
      </c>
      <c r="E517" s="40" t="n"/>
      <c r="F517" s="39" t="inlineStr">
        <is>
          <t>B_C_F_32_P16</t>
        </is>
      </c>
      <c r="G517" s="40" t="n"/>
      <c r="H517" s="41" t="n"/>
      <c r="I517" s="42">
        <f>IF($H517="","",MAX(0,$H517-N($E517)))</f>
        <v/>
      </c>
      <c r="J517" s="42">
        <f>IF($H517="","",MAX(0,$H517-N($G517)))</f>
        <v/>
      </c>
    </row>
    <row r="518" ht="19.5" customHeight="1" s="72">
      <c r="A518" s="38" t="inlineStr">
        <is>
          <t>CF-OCT-P01-BEN</t>
        </is>
      </c>
      <c r="B518" s="38" t="inlineStr">
        <is>
          <t>Octavas</t>
        </is>
      </c>
      <c r="C518" s="38" t="inlineStr">
        <is>
          <t>Benguela</t>
        </is>
      </c>
      <c r="D518" s="39">
        <f>IFERROR(CLASIF_C_F!$F$5,"")</f>
        <v/>
      </c>
      <c r="E518" s="40" t="n"/>
      <c r="F518" s="39">
        <f>IFERROR(CLASIF_C_F!$F$20,"")</f>
        <v/>
      </c>
      <c r="G518" s="40" t="n"/>
      <c r="H518" s="41" t="n"/>
      <c r="I518" s="42">
        <f>IF($H518="","",MAX(0,$H518-N($E518)))</f>
        <v/>
      </c>
      <c r="J518" s="42">
        <f>IF($H518="","",MAX(0,$H518-N($G518)))</f>
        <v/>
      </c>
    </row>
    <row r="519" ht="19.5" customHeight="1" s="72">
      <c r="A519" s="38" t="inlineStr">
        <is>
          <t>CF-OCT-P01-SBA</t>
        </is>
      </c>
      <c r="B519" s="38" t="inlineStr">
        <is>
          <t>Octavas</t>
        </is>
      </c>
      <c r="C519" s="38" t="inlineStr">
        <is>
          <t>São Bento da Abadá</t>
        </is>
      </c>
      <c r="D519" s="39">
        <f>IFERROR(CLASIF_C_F!$F$5,"")</f>
        <v/>
      </c>
      <c r="E519" s="40" t="n"/>
      <c r="F519" s="39">
        <f>IFERROR(CLASIF_C_F!$F$20,"")</f>
        <v/>
      </c>
      <c r="G519" s="40" t="n"/>
      <c r="H519" s="41" t="n"/>
      <c r="I519" s="42">
        <f>IF($H519="","",MAX(0,$H519-N($E519)))</f>
        <v/>
      </c>
      <c r="J519" s="42">
        <f>IF($H519="","",MAX(0,$H519-N($G519)))</f>
        <v/>
      </c>
    </row>
    <row r="520" ht="19.5" customHeight="1" s="72">
      <c r="A520" s="38" t="inlineStr">
        <is>
          <t>CF-OCT-P01-SIR</t>
        </is>
      </c>
      <c r="B520" s="38" t="inlineStr">
        <is>
          <t>Octavas</t>
        </is>
      </c>
      <c r="C520" s="38" t="inlineStr">
        <is>
          <t>Siriuna</t>
        </is>
      </c>
      <c r="D520" s="39">
        <f>IFERROR(CLASIF_C_F!$F$5,"")</f>
        <v/>
      </c>
      <c r="E520" s="40" t="n"/>
      <c r="F520" s="39">
        <f>IFERROR(CLASIF_C_F!$F$20,"")</f>
        <v/>
      </c>
      <c r="G520" s="40" t="n"/>
      <c r="H520" s="41" t="n"/>
      <c r="I520" s="42">
        <f>IF($H520="","",MAX(0,$H520-N($E520)))</f>
        <v/>
      </c>
      <c r="J520" s="42">
        <f>IF($H520="","",MAX(0,$H520-N($G520)))</f>
        <v/>
      </c>
    </row>
    <row r="521" ht="19.5" customHeight="1" s="72">
      <c r="A521" s="38" t="inlineStr">
        <is>
          <t>CF-OCT-P02-BEN</t>
        </is>
      </c>
      <c r="B521" s="38" t="inlineStr">
        <is>
          <t>Octavas</t>
        </is>
      </c>
      <c r="C521" s="38" t="inlineStr">
        <is>
          <t>Benguela</t>
        </is>
      </c>
      <c r="D521" s="39">
        <f>IFERROR(CLASIF_C_F!$F$6,"")</f>
        <v/>
      </c>
      <c r="E521" s="40" t="n"/>
      <c r="F521" s="39">
        <f>IFERROR(CLASIF_C_F!$F$19,"")</f>
        <v/>
      </c>
      <c r="G521" s="40" t="n"/>
      <c r="H521" s="41" t="n"/>
      <c r="I521" s="42">
        <f>IF($H521="","",MAX(0,$H521-N($E521)))</f>
        <v/>
      </c>
      <c r="J521" s="42">
        <f>IF($H521="","",MAX(0,$H521-N($G521)))</f>
        <v/>
      </c>
    </row>
    <row r="522" ht="19.5" customHeight="1" s="72">
      <c r="A522" s="38" t="inlineStr">
        <is>
          <t>CF-OCT-P02-SBA</t>
        </is>
      </c>
      <c r="B522" s="38" t="inlineStr">
        <is>
          <t>Octavas</t>
        </is>
      </c>
      <c r="C522" s="38" t="inlineStr">
        <is>
          <t>São Bento da Abadá</t>
        </is>
      </c>
      <c r="D522" s="39">
        <f>IFERROR(CLASIF_C_F!$F$6,"")</f>
        <v/>
      </c>
      <c r="E522" s="40" t="n"/>
      <c r="F522" s="39">
        <f>IFERROR(CLASIF_C_F!$F$19,"")</f>
        <v/>
      </c>
      <c r="G522" s="40" t="n"/>
      <c r="H522" s="41" t="n"/>
      <c r="I522" s="42">
        <f>IF($H522="","",MAX(0,$H522-N($E522)))</f>
        <v/>
      </c>
      <c r="J522" s="42">
        <f>IF($H522="","",MAX(0,$H522-N($G522)))</f>
        <v/>
      </c>
    </row>
    <row r="523" ht="19.5" customHeight="1" s="72">
      <c r="A523" s="38" t="inlineStr">
        <is>
          <t>CF-OCT-P02-SIR</t>
        </is>
      </c>
      <c r="B523" s="38" t="inlineStr">
        <is>
          <t>Octavas</t>
        </is>
      </c>
      <c r="C523" s="38" t="inlineStr">
        <is>
          <t>Siriuna</t>
        </is>
      </c>
      <c r="D523" s="39">
        <f>IFERROR(CLASIF_C_F!$F$6,"")</f>
        <v/>
      </c>
      <c r="E523" s="40" t="n"/>
      <c r="F523" s="39">
        <f>IFERROR(CLASIF_C_F!$F$19,"")</f>
        <v/>
      </c>
      <c r="G523" s="40" t="n"/>
      <c r="H523" s="41" t="n"/>
      <c r="I523" s="42">
        <f>IF($H523="","",MAX(0,$H523-N($E523)))</f>
        <v/>
      </c>
      <c r="J523" s="42">
        <f>IF($H523="","",MAX(0,$H523-N($G523)))</f>
        <v/>
      </c>
    </row>
    <row r="524" ht="19.5" customHeight="1" s="72">
      <c r="A524" s="38" t="inlineStr">
        <is>
          <t>CF-OCT-P03-BEN</t>
        </is>
      </c>
      <c r="B524" s="38" t="inlineStr">
        <is>
          <t>Octavas</t>
        </is>
      </c>
      <c r="C524" s="38" t="inlineStr">
        <is>
          <t>Benguela</t>
        </is>
      </c>
      <c r="D524" s="39">
        <f>IFERROR(CLASIF_C_F!$F$7,"")</f>
        <v/>
      </c>
      <c r="E524" s="40" t="n"/>
      <c r="F524" s="39">
        <f>IFERROR(CLASIF_C_F!$F$18,"")</f>
        <v/>
      </c>
      <c r="G524" s="40" t="n"/>
      <c r="H524" s="41" t="n"/>
      <c r="I524" s="42">
        <f>IF($H524="","",MAX(0,$H524-N($E524)))</f>
        <v/>
      </c>
      <c r="J524" s="42">
        <f>IF($H524="","",MAX(0,$H524-N($G524)))</f>
        <v/>
      </c>
    </row>
    <row r="525" ht="19.5" customHeight="1" s="72">
      <c r="A525" s="38" t="inlineStr">
        <is>
          <t>CF-OCT-P03-SBA</t>
        </is>
      </c>
      <c r="B525" s="38" t="inlineStr">
        <is>
          <t>Octavas</t>
        </is>
      </c>
      <c r="C525" s="38" t="inlineStr">
        <is>
          <t>São Bento da Abadá</t>
        </is>
      </c>
      <c r="D525" s="39">
        <f>IFERROR(CLASIF_C_F!$F$7,"")</f>
        <v/>
      </c>
      <c r="E525" s="40" t="n"/>
      <c r="F525" s="39">
        <f>IFERROR(CLASIF_C_F!$F$18,"")</f>
        <v/>
      </c>
      <c r="G525" s="40" t="n"/>
      <c r="H525" s="41" t="n"/>
      <c r="I525" s="42">
        <f>IF($H525="","",MAX(0,$H525-N($E525)))</f>
        <v/>
      </c>
      <c r="J525" s="42">
        <f>IF($H525="","",MAX(0,$H525-N($G525)))</f>
        <v/>
      </c>
    </row>
    <row r="526" ht="19.5" customHeight="1" s="72">
      <c r="A526" s="38" t="inlineStr">
        <is>
          <t>CF-OCT-P03-SIR</t>
        </is>
      </c>
      <c r="B526" s="38" t="inlineStr">
        <is>
          <t>Octavas</t>
        </is>
      </c>
      <c r="C526" s="38" t="inlineStr">
        <is>
          <t>Siriuna</t>
        </is>
      </c>
      <c r="D526" s="39">
        <f>IFERROR(CLASIF_C_F!$F$7,"")</f>
        <v/>
      </c>
      <c r="E526" s="40" t="n"/>
      <c r="F526" s="39">
        <f>IFERROR(CLASIF_C_F!$F$18,"")</f>
        <v/>
      </c>
      <c r="G526" s="40" t="n"/>
      <c r="H526" s="41" t="n"/>
      <c r="I526" s="42">
        <f>IF($H526="","",MAX(0,$H526-N($E526)))</f>
        <v/>
      </c>
      <c r="J526" s="42">
        <f>IF($H526="","",MAX(0,$H526-N($G526)))</f>
        <v/>
      </c>
    </row>
    <row r="527" ht="19.5" customHeight="1" s="72">
      <c r="A527" s="38" t="inlineStr">
        <is>
          <t>CF-OCT-P04-BEN</t>
        </is>
      </c>
      <c r="B527" s="38" t="inlineStr">
        <is>
          <t>Octavas</t>
        </is>
      </c>
      <c r="C527" s="38" t="inlineStr">
        <is>
          <t>Benguela</t>
        </is>
      </c>
      <c r="D527" s="39">
        <f>IFERROR(CLASIF_C_F!$F$8,"")</f>
        <v/>
      </c>
      <c r="E527" s="40" t="n"/>
      <c r="F527" s="39">
        <f>IFERROR(CLASIF_C_F!$F$17,"")</f>
        <v/>
      </c>
      <c r="G527" s="40" t="n"/>
      <c r="H527" s="41" t="n"/>
      <c r="I527" s="42">
        <f>IF($H527="","",MAX(0,$H527-N($E527)))</f>
        <v/>
      </c>
      <c r="J527" s="42">
        <f>IF($H527="","",MAX(0,$H527-N($G527)))</f>
        <v/>
      </c>
    </row>
    <row r="528" ht="19.5" customHeight="1" s="72">
      <c r="A528" s="38" t="inlineStr">
        <is>
          <t>CF-OCT-P04-SBA</t>
        </is>
      </c>
      <c r="B528" s="38" t="inlineStr">
        <is>
          <t>Octavas</t>
        </is>
      </c>
      <c r="C528" s="38" t="inlineStr">
        <is>
          <t>São Bento da Abadá</t>
        </is>
      </c>
      <c r="D528" s="39">
        <f>IFERROR(CLASIF_C_F!$F$8,"")</f>
        <v/>
      </c>
      <c r="E528" s="40" t="n"/>
      <c r="F528" s="39">
        <f>IFERROR(CLASIF_C_F!$F$17,"")</f>
        <v/>
      </c>
      <c r="G528" s="40" t="n"/>
      <c r="H528" s="41" t="n"/>
      <c r="I528" s="42">
        <f>IF($H528="","",MAX(0,$H528-N($E528)))</f>
        <v/>
      </c>
      <c r="J528" s="42">
        <f>IF($H528="","",MAX(0,$H528-N($G528)))</f>
        <v/>
      </c>
    </row>
    <row r="529" ht="19.5" customHeight="1" s="72">
      <c r="A529" s="38" t="inlineStr">
        <is>
          <t>CF-OCT-P04-SIR</t>
        </is>
      </c>
      <c r="B529" s="38" t="inlineStr">
        <is>
          <t>Octavas</t>
        </is>
      </c>
      <c r="C529" s="38" t="inlineStr">
        <is>
          <t>Siriuna</t>
        </is>
      </c>
      <c r="D529" s="39">
        <f>IFERROR(CLASIF_C_F!$F$8,"")</f>
        <v/>
      </c>
      <c r="E529" s="40" t="n"/>
      <c r="F529" s="39">
        <f>IFERROR(CLASIF_C_F!$F$17,"")</f>
        <v/>
      </c>
      <c r="G529" s="40" t="n"/>
      <c r="H529" s="41" t="n"/>
      <c r="I529" s="42">
        <f>IF($H529="","",MAX(0,$H529-N($E529)))</f>
        <v/>
      </c>
      <c r="J529" s="42">
        <f>IF($H529="","",MAX(0,$H529-N($G529)))</f>
        <v/>
      </c>
    </row>
    <row r="530" ht="19.5" customHeight="1" s="72">
      <c r="A530" s="38" t="inlineStr">
        <is>
          <t>CF-OCT-P05-BEN</t>
        </is>
      </c>
      <c r="B530" s="38" t="inlineStr">
        <is>
          <t>Octavas</t>
        </is>
      </c>
      <c r="C530" s="38" t="inlineStr">
        <is>
          <t>Benguela</t>
        </is>
      </c>
      <c r="D530" s="39">
        <f>IFERROR(CLASIF_C_F!$F$9,"")</f>
        <v/>
      </c>
      <c r="E530" s="40" t="n"/>
      <c r="F530" s="39">
        <f>IFERROR(CLASIF_C_F!$F$16,"")</f>
        <v/>
      </c>
      <c r="G530" s="40" t="n"/>
      <c r="H530" s="41" t="n"/>
      <c r="I530" s="42">
        <f>IF($H530="","",MAX(0,$H530-N($E530)))</f>
        <v/>
      </c>
      <c r="J530" s="42">
        <f>IF($H530="","",MAX(0,$H530-N($G530)))</f>
        <v/>
      </c>
    </row>
    <row r="531" ht="19.5" customHeight="1" s="72">
      <c r="A531" s="38" t="inlineStr">
        <is>
          <t>CF-OCT-P05-SBA</t>
        </is>
      </c>
      <c r="B531" s="38" t="inlineStr">
        <is>
          <t>Octavas</t>
        </is>
      </c>
      <c r="C531" s="38" t="inlineStr">
        <is>
          <t>São Bento da Abadá</t>
        </is>
      </c>
      <c r="D531" s="39">
        <f>IFERROR(CLASIF_C_F!$F$9,"")</f>
        <v/>
      </c>
      <c r="E531" s="40" t="n"/>
      <c r="F531" s="39">
        <f>IFERROR(CLASIF_C_F!$F$16,"")</f>
        <v/>
      </c>
      <c r="G531" s="40" t="n"/>
      <c r="H531" s="41" t="n"/>
      <c r="I531" s="42">
        <f>IF($H531="","",MAX(0,$H531-N($E531)))</f>
        <v/>
      </c>
      <c r="J531" s="42">
        <f>IF($H531="","",MAX(0,$H531-N($G531)))</f>
        <v/>
      </c>
    </row>
    <row r="532" ht="19.5" customHeight="1" s="72">
      <c r="A532" s="38" t="inlineStr">
        <is>
          <t>CF-OCT-P05-SIR</t>
        </is>
      </c>
      <c r="B532" s="38" t="inlineStr">
        <is>
          <t>Octavas</t>
        </is>
      </c>
      <c r="C532" s="38" t="inlineStr">
        <is>
          <t>Siriuna</t>
        </is>
      </c>
      <c r="D532" s="39">
        <f>IFERROR(CLASIF_C_F!$F$9,"")</f>
        <v/>
      </c>
      <c r="E532" s="40" t="n"/>
      <c r="F532" s="39">
        <f>IFERROR(CLASIF_C_F!$F$16,"")</f>
        <v/>
      </c>
      <c r="G532" s="40" t="n"/>
      <c r="H532" s="41" t="n"/>
      <c r="I532" s="42">
        <f>IF($H532="","",MAX(0,$H532-N($E532)))</f>
        <v/>
      </c>
      <c r="J532" s="42">
        <f>IF($H532="","",MAX(0,$H532-N($G532)))</f>
        <v/>
      </c>
    </row>
    <row r="533" ht="19.5" customHeight="1" s="72">
      <c r="A533" s="38" t="inlineStr">
        <is>
          <t>CF-OCT-P06-BEN</t>
        </is>
      </c>
      <c r="B533" s="38" t="inlineStr">
        <is>
          <t>Octavas</t>
        </is>
      </c>
      <c r="C533" s="38" t="inlineStr">
        <is>
          <t>Benguela</t>
        </is>
      </c>
      <c r="D533" s="39">
        <f>IFERROR(CLASIF_C_F!$F$10,"")</f>
        <v/>
      </c>
      <c r="E533" s="40" t="n"/>
      <c r="F533" s="39">
        <f>IFERROR(CLASIF_C_F!$F$15,"")</f>
        <v/>
      </c>
      <c r="G533" s="40" t="n"/>
      <c r="H533" s="41" t="n"/>
      <c r="I533" s="42">
        <f>IF($H533="","",MAX(0,$H533-N($E533)))</f>
        <v/>
      </c>
      <c r="J533" s="42">
        <f>IF($H533="","",MAX(0,$H533-N($G533)))</f>
        <v/>
      </c>
    </row>
    <row r="534" ht="19.5" customHeight="1" s="72">
      <c r="A534" s="38" t="inlineStr">
        <is>
          <t>CF-OCT-P06-SBA</t>
        </is>
      </c>
      <c r="B534" s="38" t="inlineStr">
        <is>
          <t>Octavas</t>
        </is>
      </c>
      <c r="C534" s="38" t="inlineStr">
        <is>
          <t>São Bento da Abadá</t>
        </is>
      </c>
      <c r="D534" s="39">
        <f>IFERROR(CLASIF_C_F!$F$10,"")</f>
        <v/>
      </c>
      <c r="E534" s="40" t="n"/>
      <c r="F534" s="39">
        <f>IFERROR(CLASIF_C_F!$F$15,"")</f>
        <v/>
      </c>
      <c r="G534" s="40" t="n"/>
      <c r="H534" s="41" t="n"/>
      <c r="I534" s="42">
        <f>IF($H534="","",MAX(0,$H534-N($E534)))</f>
        <v/>
      </c>
      <c r="J534" s="42">
        <f>IF($H534="","",MAX(0,$H534-N($G534)))</f>
        <v/>
      </c>
    </row>
    <row r="535" ht="19.5" customHeight="1" s="72">
      <c r="A535" s="38" t="inlineStr">
        <is>
          <t>CF-OCT-P06-SIR</t>
        </is>
      </c>
      <c r="B535" s="38" t="inlineStr">
        <is>
          <t>Octavas</t>
        </is>
      </c>
      <c r="C535" s="38" t="inlineStr">
        <is>
          <t>Siriuna</t>
        </is>
      </c>
      <c r="D535" s="39">
        <f>IFERROR(CLASIF_C_F!$F$10,"")</f>
        <v/>
      </c>
      <c r="E535" s="40" t="n"/>
      <c r="F535" s="39">
        <f>IFERROR(CLASIF_C_F!$F$15,"")</f>
        <v/>
      </c>
      <c r="G535" s="40" t="n"/>
      <c r="H535" s="41" t="n"/>
      <c r="I535" s="42">
        <f>IF($H535="","",MAX(0,$H535-N($E535)))</f>
        <v/>
      </c>
      <c r="J535" s="42">
        <f>IF($H535="","",MAX(0,$H535-N($G535)))</f>
        <v/>
      </c>
    </row>
    <row r="536" ht="19.5" customHeight="1" s="72">
      <c r="A536" s="38" t="inlineStr">
        <is>
          <t>CF-OCT-P07-BEN</t>
        </is>
      </c>
      <c r="B536" s="38" t="inlineStr">
        <is>
          <t>Octavas</t>
        </is>
      </c>
      <c r="C536" s="38" t="inlineStr">
        <is>
          <t>Benguela</t>
        </is>
      </c>
      <c r="D536" s="39">
        <f>IFERROR(CLASIF_C_F!$F$11,"")</f>
        <v/>
      </c>
      <c r="E536" s="40" t="n"/>
      <c r="F536" s="39">
        <f>IFERROR(CLASIF_C_F!$F$14,"")</f>
        <v/>
      </c>
      <c r="G536" s="40" t="n"/>
      <c r="H536" s="41" t="n"/>
      <c r="I536" s="42">
        <f>IF($H536="","",MAX(0,$H536-N($E536)))</f>
        <v/>
      </c>
      <c r="J536" s="42">
        <f>IF($H536="","",MAX(0,$H536-N($G536)))</f>
        <v/>
      </c>
    </row>
    <row r="537" ht="19.5" customHeight="1" s="72">
      <c r="A537" s="38" t="inlineStr">
        <is>
          <t>CF-OCT-P07-SBA</t>
        </is>
      </c>
      <c r="B537" s="38" t="inlineStr">
        <is>
          <t>Octavas</t>
        </is>
      </c>
      <c r="C537" s="38" t="inlineStr">
        <is>
          <t>São Bento da Abadá</t>
        </is>
      </c>
      <c r="D537" s="39">
        <f>IFERROR(CLASIF_C_F!$F$11,"")</f>
        <v/>
      </c>
      <c r="E537" s="40" t="n"/>
      <c r="F537" s="39">
        <f>IFERROR(CLASIF_C_F!$F$14,"")</f>
        <v/>
      </c>
      <c r="G537" s="40" t="n"/>
      <c r="H537" s="41" t="n"/>
      <c r="I537" s="42">
        <f>IF($H537="","",MAX(0,$H537-N($E537)))</f>
        <v/>
      </c>
      <c r="J537" s="42">
        <f>IF($H537="","",MAX(0,$H537-N($G537)))</f>
        <v/>
      </c>
    </row>
    <row r="538" ht="19.5" customHeight="1" s="72">
      <c r="A538" s="38" t="inlineStr">
        <is>
          <t>CF-OCT-P07-SIR</t>
        </is>
      </c>
      <c r="B538" s="38" t="inlineStr">
        <is>
          <t>Octavas</t>
        </is>
      </c>
      <c r="C538" s="38" t="inlineStr">
        <is>
          <t>Siriuna</t>
        </is>
      </c>
      <c r="D538" s="39">
        <f>IFERROR(CLASIF_C_F!$F$11,"")</f>
        <v/>
      </c>
      <c r="E538" s="40" t="n"/>
      <c r="F538" s="39">
        <f>IFERROR(CLASIF_C_F!$F$14,"")</f>
        <v/>
      </c>
      <c r="G538" s="40" t="n"/>
      <c r="H538" s="41" t="n"/>
      <c r="I538" s="42">
        <f>IF($H538="","",MAX(0,$H538-N($E538)))</f>
        <v/>
      </c>
      <c r="J538" s="42">
        <f>IF($H538="","",MAX(0,$H538-N($G538)))</f>
        <v/>
      </c>
    </row>
    <row r="539" ht="19.5" customHeight="1" s="72">
      <c r="A539" s="38" t="inlineStr">
        <is>
          <t>CF-OCT-P08-BEN</t>
        </is>
      </c>
      <c r="B539" s="38" t="inlineStr">
        <is>
          <t>Octavas</t>
        </is>
      </c>
      <c r="C539" s="38" t="inlineStr">
        <is>
          <t>Benguela</t>
        </is>
      </c>
      <c r="D539" s="39">
        <f>IFERROR(CLASIF_C_F!$F$12,"")</f>
        <v/>
      </c>
      <c r="E539" s="40" t="n"/>
      <c r="F539" s="39">
        <f>IFERROR(CLASIF_C_F!$F$13,"")</f>
        <v/>
      </c>
      <c r="G539" s="40" t="n"/>
      <c r="H539" s="41" t="n"/>
      <c r="I539" s="42">
        <f>IF($H539="","",MAX(0,$H539-N($E539)))</f>
        <v/>
      </c>
      <c r="J539" s="42">
        <f>IF($H539="","",MAX(0,$H539-N($G539)))</f>
        <v/>
      </c>
    </row>
    <row r="540" ht="19.5" customHeight="1" s="72">
      <c r="A540" s="38" t="inlineStr">
        <is>
          <t>CF-OCT-P08-SBA</t>
        </is>
      </c>
      <c r="B540" s="38" t="inlineStr">
        <is>
          <t>Octavas</t>
        </is>
      </c>
      <c r="C540" s="38" t="inlineStr">
        <is>
          <t>São Bento da Abadá</t>
        </is>
      </c>
      <c r="D540" s="39">
        <f>IFERROR(CLASIF_C_F!$F$12,"")</f>
        <v/>
      </c>
      <c r="E540" s="40" t="n"/>
      <c r="F540" s="39">
        <f>IFERROR(CLASIF_C_F!$F$13,"")</f>
        <v/>
      </c>
      <c r="G540" s="40" t="n"/>
      <c r="H540" s="41" t="n"/>
      <c r="I540" s="42">
        <f>IF($H540="","",MAX(0,$H540-N($E540)))</f>
        <v/>
      </c>
      <c r="J540" s="42">
        <f>IF($H540="","",MAX(0,$H540-N($G540)))</f>
        <v/>
      </c>
    </row>
    <row r="541" ht="19.5" customHeight="1" s="72">
      <c r="A541" s="38" t="inlineStr">
        <is>
          <t>CF-OCT-P08-SIR</t>
        </is>
      </c>
      <c r="B541" s="38" t="inlineStr">
        <is>
          <t>Octavas</t>
        </is>
      </c>
      <c r="C541" s="38" t="inlineStr">
        <is>
          <t>Siriuna</t>
        </is>
      </c>
      <c r="D541" s="39">
        <f>IFERROR(CLASIF_C_F!$F$12,"")</f>
        <v/>
      </c>
      <c r="E541" s="40" t="n"/>
      <c r="F541" s="39">
        <f>IFERROR(CLASIF_C_F!$F$13,"")</f>
        <v/>
      </c>
      <c r="G541" s="40" t="n"/>
      <c r="H541" s="41" t="n"/>
      <c r="I541" s="42">
        <f>IF($H541="","",MAX(0,$H541-N($E541)))</f>
        <v/>
      </c>
      <c r="J541" s="42">
        <f>IF($H541="","",MAX(0,$H541-N($G541)))</f>
        <v/>
      </c>
    </row>
    <row r="542" ht="19.5" customHeight="1" s="72">
      <c r="A542" s="38" t="inlineStr">
        <is>
          <t>CF-SEM-P01-BEN</t>
        </is>
      </c>
      <c r="B542" s="38" t="inlineStr">
        <is>
          <t>Semifinal</t>
        </is>
      </c>
      <c r="C542" s="38" t="inlineStr">
        <is>
          <t>Benguela</t>
        </is>
      </c>
      <c r="D542" s="39">
        <f>IFERROR(CLASIF_C_F!$O$5,"")</f>
        <v/>
      </c>
      <c r="E542" s="40" t="n"/>
      <c r="F542" s="39">
        <f>IFERROR(CLASIF_C_F!$O$12,"")</f>
        <v/>
      </c>
      <c r="G542" s="40" t="n"/>
      <c r="H542" s="41" t="n"/>
      <c r="I542" s="42">
        <f>IF($H542="","",MAX(0,$H542-N($E542)))</f>
        <v/>
      </c>
      <c r="J542" s="42">
        <f>IF($H542="","",MAX(0,$H542-N($G542)))</f>
        <v/>
      </c>
    </row>
    <row r="543" ht="19.5" customHeight="1" s="72">
      <c r="A543" s="38" t="inlineStr">
        <is>
          <t>CF-SEM-P01-SBA</t>
        </is>
      </c>
      <c r="B543" s="38" t="inlineStr">
        <is>
          <t>Semifinal</t>
        </is>
      </c>
      <c r="C543" s="38" t="inlineStr">
        <is>
          <t>São Bento da Abadá</t>
        </is>
      </c>
      <c r="D543" s="39">
        <f>IFERROR(CLASIF_C_F!$O$5,"")</f>
        <v/>
      </c>
      <c r="E543" s="40" t="n"/>
      <c r="F543" s="39">
        <f>IFERROR(CLASIF_C_F!$O$12,"")</f>
        <v/>
      </c>
      <c r="G543" s="40" t="n"/>
      <c r="H543" s="41" t="n"/>
      <c r="I543" s="42">
        <f>IF($H543="","",MAX(0,$H543-N($E543)))</f>
        <v/>
      </c>
      <c r="J543" s="42">
        <f>IF($H543="","",MAX(0,$H543-N($G543)))</f>
        <v/>
      </c>
    </row>
    <row r="544" ht="19.5" customHeight="1" s="72">
      <c r="A544" s="38" t="inlineStr">
        <is>
          <t>CF-SEM-P01-SIR</t>
        </is>
      </c>
      <c r="B544" s="38" t="inlineStr">
        <is>
          <t>Semifinal</t>
        </is>
      </c>
      <c r="C544" s="38" t="inlineStr">
        <is>
          <t>Siriuna</t>
        </is>
      </c>
      <c r="D544" s="39">
        <f>IFERROR(CLASIF_C_F!$O$5,"")</f>
        <v/>
      </c>
      <c r="E544" s="40" t="n"/>
      <c r="F544" s="39">
        <f>IFERROR(CLASIF_C_F!$O$12,"")</f>
        <v/>
      </c>
      <c r="G544" s="40" t="n"/>
      <c r="H544" s="41" t="n"/>
      <c r="I544" s="42">
        <f>IF($H544="","",MAX(0,$H544-N($E544)))</f>
        <v/>
      </c>
      <c r="J544" s="42">
        <f>IF($H544="","",MAX(0,$H544-N($G544)))</f>
        <v/>
      </c>
    </row>
    <row r="545" ht="19.5" customHeight="1" s="72">
      <c r="A545" s="38" t="inlineStr">
        <is>
          <t>CF-SEM-P02-BEN</t>
        </is>
      </c>
      <c r="B545" s="38" t="inlineStr">
        <is>
          <t>Semifinal</t>
        </is>
      </c>
      <c r="C545" s="38" t="inlineStr">
        <is>
          <t>Benguela</t>
        </is>
      </c>
      <c r="D545" s="39">
        <f>IFERROR(CLASIF_C_F!$O$6,"")</f>
        <v/>
      </c>
      <c r="E545" s="40" t="n"/>
      <c r="F545" s="39">
        <f>IFERROR(CLASIF_C_F!$O$11,"")</f>
        <v/>
      </c>
      <c r="G545" s="40" t="n"/>
      <c r="H545" s="41" t="n"/>
      <c r="I545" s="42">
        <f>IF($H545="","",MAX(0,$H545-N($E545)))</f>
        <v/>
      </c>
      <c r="J545" s="42">
        <f>IF($H545="","",MAX(0,$H545-N($G545)))</f>
        <v/>
      </c>
    </row>
    <row r="546" ht="19.5" customHeight="1" s="72">
      <c r="A546" s="38" t="inlineStr">
        <is>
          <t>CF-SEM-P02-SBA</t>
        </is>
      </c>
      <c r="B546" s="38" t="inlineStr">
        <is>
          <t>Semifinal</t>
        </is>
      </c>
      <c r="C546" s="38" t="inlineStr">
        <is>
          <t>São Bento da Abadá</t>
        </is>
      </c>
      <c r="D546" s="39">
        <f>IFERROR(CLASIF_C_F!$O$6,"")</f>
        <v/>
      </c>
      <c r="E546" s="40" t="n"/>
      <c r="F546" s="39">
        <f>IFERROR(CLASIF_C_F!$O$11,"")</f>
        <v/>
      </c>
      <c r="G546" s="40" t="n"/>
      <c r="H546" s="41" t="n"/>
      <c r="I546" s="42">
        <f>IF($H546="","",MAX(0,$H546-N($E546)))</f>
        <v/>
      </c>
      <c r="J546" s="42">
        <f>IF($H546="","",MAX(0,$H546-N($G546)))</f>
        <v/>
      </c>
    </row>
    <row r="547" ht="19.5" customHeight="1" s="72">
      <c r="A547" s="38" t="inlineStr">
        <is>
          <t>CF-SEM-P02-SIR</t>
        </is>
      </c>
      <c r="B547" s="38" t="inlineStr">
        <is>
          <t>Semifinal</t>
        </is>
      </c>
      <c r="C547" s="38" t="inlineStr">
        <is>
          <t>Siriuna</t>
        </is>
      </c>
      <c r="D547" s="39">
        <f>IFERROR(CLASIF_C_F!$O$6,"")</f>
        <v/>
      </c>
      <c r="E547" s="40" t="n"/>
      <c r="F547" s="39">
        <f>IFERROR(CLASIF_C_F!$O$11,"")</f>
        <v/>
      </c>
      <c r="G547" s="40" t="n"/>
      <c r="H547" s="41" t="n"/>
      <c r="I547" s="42">
        <f>IF($H547="","",MAX(0,$H547-N($E547)))</f>
        <v/>
      </c>
      <c r="J547" s="42">
        <f>IF($H547="","",MAX(0,$H547-N($G547)))</f>
        <v/>
      </c>
    </row>
    <row r="548" ht="19.5" customHeight="1" s="72">
      <c r="A548" s="38" t="inlineStr">
        <is>
          <t>CF-SEM-P03-BEN</t>
        </is>
      </c>
      <c r="B548" s="38" t="inlineStr">
        <is>
          <t>Semifinal</t>
        </is>
      </c>
      <c r="C548" s="38" t="inlineStr">
        <is>
          <t>Benguela</t>
        </is>
      </c>
      <c r="D548" s="39">
        <f>IFERROR(CLASIF_C_F!$O$7,"")</f>
        <v/>
      </c>
      <c r="E548" s="40" t="n"/>
      <c r="F548" s="39">
        <f>IFERROR(CLASIF_C_F!$O$10,"")</f>
        <v/>
      </c>
      <c r="G548" s="40" t="n"/>
      <c r="H548" s="41" t="n"/>
      <c r="I548" s="42">
        <f>IF($H548="","",MAX(0,$H548-N($E548)))</f>
        <v/>
      </c>
      <c r="J548" s="42">
        <f>IF($H548="","",MAX(0,$H548-N($G548)))</f>
        <v/>
      </c>
    </row>
    <row r="549" ht="19.5" customHeight="1" s="72">
      <c r="A549" s="38" t="inlineStr">
        <is>
          <t>CF-SEM-P03-SBA</t>
        </is>
      </c>
      <c r="B549" s="38" t="inlineStr">
        <is>
          <t>Semifinal</t>
        </is>
      </c>
      <c r="C549" s="38" t="inlineStr">
        <is>
          <t>São Bento da Abadá</t>
        </is>
      </c>
      <c r="D549" s="39">
        <f>IFERROR(CLASIF_C_F!$O$7,"")</f>
        <v/>
      </c>
      <c r="E549" s="40" t="n"/>
      <c r="F549" s="39">
        <f>IFERROR(CLASIF_C_F!$O$10,"")</f>
        <v/>
      </c>
      <c r="G549" s="40" t="n"/>
      <c r="H549" s="41" t="n"/>
      <c r="I549" s="42">
        <f>IF($H549="","",MAX(0,$H549-N($E549)))</f>
        <v/>
      </c>
      <c r="J549" s="42">
        <f>IF($H549="","",MAX(0,$H549-N($G549)))</f>
        <v/>
      </c>
    </row>
    <row r="550" ht="19.5" customHeight="1" s="72">
      <c r="A550" s="38" t="inlineStr">
        <is>
          <t>CF-SEM-P03-SIR</t>
        </is>
      </c>
      <c r="B550" s="38" t="inlineStr">
        <is>
          <t>Semifinal</t>
        </is>
      </c>
      <c r="C550" s="38" t="inlineStr">
        <is>
          <t>Siriuna</t>
        </is>
      </c>
      <c r="D550" s="39">
        <f>IFERROR(CLASIF_C_F!$O$7,"")</f>
        <v/>
      </c>
      <c r="E550" s="40" t="n"/>
      <c r="F550" s="39">
        <f>IFERROR(CLASIF_C_F!$O$10,"")</f>
        <v/>
      </c>
      <c r="G550" s="40" t="n"/>
      <c r="H550" s="41" t="n"/>
      <c r="I550" s="42">
        <f>IF($H550="","",MAX(0,$H550-N($E550)))</f>
        <v/>
      </c>
      <c r="J550" s="42">
        <f>IF($H550="","",MAX(0,$H550-N($G550)))</f>
        <v/>
      </c>
    </row>
    <row r="551" ht="19.5" customHeight="1" s="72">
      <c r="A551" s="38" t="inlineStr">
        <is>
          <t>CF-SEM-P04-BEN</t>
        </is>
      </c>
      <c r="B551" s="38" t="inlineStr">
        <is>
          <t>Semifinal</t>
        </is>
      </c>
      <c r="C551" s="38" t="inlineStr">
        <is>
          <t>Benguela</t>
        </is>
      </c>
      <c r="D551" s="39">
        <f>IFERROR(CLASIF_C_F!$O$8,"")</f>
        <v/>
      </c>
      <c r="E551" s="40" t="n"/>
      <c r="F551" s="39">
        <f>IFERROR(CLASIF_C_F!$O$9,"")</f>
        <v/>
      </c>
      <c r="G551" s="40" t="n"/>
      <c r="H551" s="41" t="n"/>
      <c r="I551" s="42">
        <f>IF($H551="","",MAX(0,$H551-N($E551)))</f>
        <v/>
      </c>
      <c r="J551" s="42">
        <f>IF($H551="","",MAX(0,$H551-N($G551)))</f>
        <v/>
      </c>
    </row>
    <row r="552" ht="19.5" customHeight="1" s="72">
      <c r="A552" s="38" t="inlineStr">
        <is>
          <t>CF-SEM-P04-SBA</t>
        </is>
      </c>
      <c r="B552" s="38" t="inlineStr">
        <is>
          <t>Semifinal</t>
        </is>
      </c>
      <c r="C552" s="38" t="inlineStr">
        <is>
          <t>São Bento da Abadá</t>
        </is>
      </c>
      <c r="D552" s="39">
        <f>IFERROR(CLASIF_C_F!$O$8,"")</f>
        <v/>
      </c>
      <c r="E552" s="40" t="n"/>
      <c r="F552" s="39">
        <f>IFERROR(CLASIF_C_F!$O$9,"")</f>
        <v/>
      </c>
      <c r="G552" s="40" t="n"/>
      <c r="H552" s="41" t="n"/>
      <c r="I552" s="42">
        <f>IF($H552="","",MAX(0,$H552-N($E552)))</f>
        <v/>
      </c>
      <c r="J552" s="42">
        <f>IF($H552="","",MAX(0,$H552-N($G552)))</f>
        <v/>
      </c>
    </row>
    <row r="553" ht="19.5" customHeight="1" s="72">
      <c r="A553" s="38" t="inlineStr">
        <is>
          <t>CF-SEM-P04-SIR</t>
        </is>
      </c>
      <c r="B553" s="38" t="inlineStr">
        <is>
          <t>Semifinal</t>
        </is>
      </c>
      <c r="C553" s="38" t="inlineStr">
        <is>
          <t>Siriuna</t>
        </is>
      </c>
      <c r="D553" s="39">
        <f>IFERROR(CLASIF_C_F!$O$8,"")</f>
        <v/>
      </c>
      <c r="E553" s="40" t="n"/>
      <c r="F553" s="39">
        <f>IFERROR(CLASIF_C_F!$O$9,"")</f>
        <v/>
      </c>
      <c r="G553" s="40" t="n"/>
      <c r="H553" s="41" t="n"/>
      <c r="I553" s="42">
        <f>IF($H553="","",MAX(0,$H553-N($E553)))</f>
        <v/>
      </c>
      <c r="J553" s="42">
        <f>IF($H553="","",MAX(0,$H553-N($G553)))</f>
        <v/>
      </c>
    </row>
    <row r="554" ht="19.5" customHeight="1" s="72">
      <c r="A554" s="38" t="inlineStr">
        <is>
          <t>CF-FIN-P01-BEN</t>
        </is>
      </c>
      <c r="B554" s="38" t="inlineStr">
        <is>
          <t>Final</t>
        </is>
      </c>
      <c r="C554" s="38" t="inlineStr">
        <is>
          <t>Benguela</t>
        </is>
      </c>
      <c r="D554" s="39">
        <f>IFERROR(CLASIF_C_F!$X$5,"")</f>
        <v/>
      </c>
      <c r="E554" s="40" t="n"/>
      <c r="F554" s="39">
        <f>IFERROR(CLASIF_C_F!$X$8,"")</f>
        <v/>
      </c>
      <c r="G554" s="40" t="n"/>
      <c r="H554" s="41" t="n"/>
      <c r="I554" s="42">
        <f>IF($H554="","",MAX(0,$H554-N($E554)))</f>
        <v/>
      </c>
      <c r="J554" s="42">
        <f>IF($H554="","",MAX(0,$H554-N($G554)))</f>
        <v/>
      </c>
    </row>
    <row r="555" ht="19.5" customHeight="1" s="72">
      <c r="A555" s="38" t="inlineStr">
        <is>
          <t>CF-FIN-P01-SBA</t>
        </is>
      </c>
      <c r="B555" s="38" t="inlineStr">
        <is>
          <t>Final</t>
        </is>
      </c>
      <c r="C555" s="38" t="inlineStr">
        <is>
          <t>São Bento da Abadá</t>
        </is>
      </c>
      <c r="D555" s="39">
        <f>IFERROR(CLASIF_C_F!$X$5,"")</f>
        <v/>
      </c>
      <c r="E555" s="40" t="n"/>
      <c r="F555" s="39">
        <f>IFERROR(CLASIF_C_F!$X$8,"")</f>
        <v/>
      </c>
      <c r="G555" s="40" t="n"/>
      <c r="H555" s="41" t="n"/>
      <c r="I555" s="42">
        <f>IF($H555="","",MAX(0,$H555-N($E555)))</f>
        <v/>
      </c>
      <c r="J555" s="42">
        <f>IF($H555="","",MAX(0,$H555-N($G555)))</f>
        <v/>
      </c>
    </row>
    <row r="556" ht="19.5" customHeight="1" s="72">
      <c r="A556" s="38" t="inlineStr">
        <is>
          <t>CF-FIN-P01-SIR</t>
        </is>
      </c>
      <c r="B556" s="38" t="inlineStr">
        <is>
          <t>Final</t>
        </is>
      </c>
      <c r="C556" s="38" t="inlineStr">
        <is>
          <t>Siriuna</t>
        </is>
      </c>
      <c r="D556" s="39">
        <f>IFERROR(CLASIF_C_F!$X$5,"")</f>
        <v/>
      </c>
      <c r="E556" s="40" t="n"/>
      <c r="F556" s="39">
        <f>IFERROR(CLASIF_C_F!$X$8,"")</f>
        <v/>
      </c>
      <c r="G556" s="40" t="n"/>
      <c r="H556" s="41" t="n"/>
      <c r="I556" s="42">
        <f>IF($H556="","",MAX(0,$H556-N($E556)))</f>
        <v/>
      </c>
      <c r="J556" s="42">
        <f>IF($H556="","",MAX(0,$H556-N($G556)))</f>
        <v/>
      </c>
    </row>
    <row r="557" ht="19.5" customHeight="1" s="72">
      <c r="A557" s="38" t="inlineStr">
        <is>
          <t>CF-FIN-P02-BEN</t>
        </is>
      </c>
      <c r="B557" s="38" t="inlineStr">
        <is>
          <t>Final</t>
        </is>
      </c>
      <c r="C557" s="38" t="inlineStr">
        <is>
          <t>Benguela</t>
        </is>
      </c>
      <c r="D557" s="39">
        <f>IFERROR(CLASIF_C_F!$X$6,"")</f>
        <v/>
      </c>
      <c r="E557" s="40" t="n"/>
      <c r="F557" s="39">
        <f>IFERROR(CLASIF_C_F!$X$7,"")</f>
        <v/>
      </c>
      <c r="G557" s="40" t="n"/>
      <c r="H557" s="41" t="n"/>
      <c r="I557" s="42">
        <f>IF($H557="","",MAX(0,$H557-N($E557)))</f>
        <v/>
      </c>
      <c r="J557" s="42">
        <f>IF($H557="","",MAX(0,$H557-N($G557)))</f>
        <v/>
      </c>
    </row>
    <row r="558" ht="19.5" customHeight="1" s="72">
      <c r="A558" s="38" t="inlineStr">
        <is>
          <t>CF-FIN-P02-SBA</t>
        </is>
      </c>
      <c r="B558" s="38" t="inlineStr">
        <is>
          <t>Final</t>
        </is>
      </c>
      <c r="C558" s="38" t="inlineStr">
        <is>
          <t>São Bento da Abadá</t>
        </is>
      </c>
      <c r="D558" s="39">
        <f>IFERROR(CLASIF_C_F!$X$6,"")</f>
        <v/>
      </c>
      <c r="E558" s="40" t="n"/>
      <c r="F558" s="39">
        <f>IFERROR(CLASIF_C_F!$X$7,"")</f>
        <v/>
      </c>
      <c r="G558" s="40" t="n"/>
      <c r="H558" s="41" t="n"/>
      <c r="I558" s="42">
        <f>IF($H558="","",MAX(0,$H558-N($E558)))</f>
        <v/>
      </c>
      <c r="J558" s="42">
        <f>IF($H558="","",MAX(0,$H558-N($G558)))</f>
        <v/>
      </c>
    </row>
    <row r="559" ht="19.5" customHeight="1" s="72">
      <c r="A559" s="38" t="inlineStr">
        <is>
          <t>CF-FIN-P02-SIR</t>
        </is>
      </c>
      <c r="B559" s="38" t="inlineStr">
        <is>
          <t>Final</t>
        </is>
      </c>
      <c r="C559" s="38" t="inlineStr">
        <is>
          <t>Siriuna</t>
        </is>
      </c>
      <c r="D559" s="39">
        <f>IFERROR(CLASIF_C_F!$X$6,"")</f>
        <v/>
      </c>
      <c r="E559" s="40" t="n"/>
      <c r="F559" s="39">
        <f>IFERROR(CLASIF_C_F!$X$7,"")</f>
        <v/>
      </c>
      <c r="G559" s="40" t="n"/>
      <c r="H559" s="41" t="n"/>
      <c r="I559" s="42">
        <f>IF($H559="","",MAX(0,$H559-N($E559)))</f>
        <v/>
      </c>
      <c r="J559" s="42">
        <f>IF($H559="","",MAX(0,$H559-N($G559)))</f>
        <v/>
      </c>
    </row>
    <row r="560" ht="19.5" customHeight="1" s="72">
      <c r="A560" s="43" t="n"/>
      <c r="B560" s="43" t="n"/>
      <c r="C560" s="43" t="n"/>
      <c r="D560" s="43" t="n"/>
      <c r="E560" s="43" t="n"/>
      <c r="F560" s="43" t="n"/>
      <c r="G560" s="43" t="n"/>
      <c r="H560" s="44" t="n"/>
      <c r="I560" s="43">
        <f>IF($H560="","",MAX(0,$H560-N($E560)))</f>
        <v/>
      </c>
      <c r="J560" s="43">
        <f>IF($H560="","",MAX(0,$H560-N($G560)))</f>
        <v/>
      </c>
    </row>
    <row r="561" ht="19.5" customHeight="1" s="72">
      <c r="A561" s="83" t="inlineStr">
        <is>
          <t>═══ CATEGORÍA D · Masculino · Azul (Graduados) · Toques: Benguela, São Bento da Abadá, Siriuna ═══</t>
        </is>
      </c>
    </row>
    <row r="562" ht="19.5" customHeight="1" s="72">
      <c r="A562" s="8" t="inlineStr">
        <is>
          <t>Jogo</t>
        </is>
      </c>
      <c r="B562" s="8" t="inlineStr">
        <is>
          <t>Fase</t>
        </is>
      </c>
      <c r="C562" s="8" t="inlineStr">
        <is>
          <t>Toque</t>
        </is>
      </c>
      <c r="D562" s="8" t="inlineStr">
        <is>
          <t>Jugador A</t>
        </is>
      </c>
      <c r="E562" s="8" t="inlineStr">
        <is>
          <t>Quita A</t>
        </is>
      </c>
      <c r="F562" s="8" t="inlineStr">
        <is>
          <t>Jugador B</t>
        </is>
      </c>
      <c r="G562" s="8" t="inlineStr">
        <is>
          <t>Quita B</t>
        </is>
      </c>
      <c r="H562" s="8" t="inlineStr">
        <is>
          <t>NOTA (0-5)</t>
        </is>
      </c>
      <c r="I562" s="8">
        <f>IF($H562="","",MAX(0,$H562-N($E562)))</f>
        <v/>
      </c>
      <c r="J562" s="8">
        <f>IF($H562="","",MAX(0,$H562-N($G562)))</f>
        <v/>
      </c>
    </row>
    <row r="563" ht="19.5" customHeight="1" s="72">
      <c r="A563" s="38" t="inlineStr">
        <is>
          <t>DM-32-P01-BEN</t>
        </is>
      </c>
      <c r="B563" s="38" t="inlineStr">
        <is>
          <t>Fase 32</t>
        </is>
      </c>
      <c r="C563" s="38" t="inlineStr">
        <is>
          <t>Benguela</t>
        </is>
      </c>
      <c r="D563" s="39" t="inlineStr">
        <is>
          <t>A_D_M_32_P1</t>
        </is>
      </c>
      <c r="E563" s="40" t="n"/>
      <c r="F563" s="39" t="inlineStr">
        <is>
          <t>B_D_M_32_P1</t>
        </is>
      </c>
      <c r="G563" s="40" t="n"/>
      <c r="H563" s="41" t="n"/>
      <c r="I563" s="42">
        <f>IF($H563="","",MAX(0,$H563-N($E563)))</f>
        <v/>
      </c>
      <c r="J563" s="42">
        <f>IF($H563="","",MAX(0,$H563-N($G563)))</f>
        <v/>
      </c>
    </row>
    <row r="564" ht="19.5" customHeight="1" s="72">
      <c r="A564" s="38" t="inlineStr">
        <is>
          <t>DM-32-P01-SBA</t>
        </is>
      </c>
      <c r="B564" s="38" t="inlineStr">
        <is>
          <t>Fase 32</t>
        </is>
      </c>
      <c r="C564" s="38" t="inlineStr">
        <is>
          <t>São Bento da Abadá</t>
        </is>
      </c>
      <c r="D564" s="39" t="inlineStr">
        <is>
          <t>A_D_M_32_P1</t>
        </is>
      </c>
      <c r="E564" s="40" t="n"/>
      <c r="F564" s="39" t="inlineStr">
        <is>
          <t>B_D_M_32_P1</t>
        </is>
      </c>
      <c r="G564" s="40" t="n"/>
      <c r="H564" s="41" t="n"/>
      <c r="I564" s="42">
        <f>IF($H564="","",MAX(0,$H564-N($E564)))</f>
        <v/>
      </c>
      <c r="J564" s="42">
        <f>IF($H564="","",MAX(0,$H564-N($G564)))</f>
        <v/>
      </c>
    </row>
    <row r="565" ht="19.5" customHeight="1" s="72">
      <c r="A565" s="38" t="inlineStr">
        <is>
          <t>DM-32-P01-SIR</t>
        </is>
      </c>
      <c r="B565" s="38" t="inlineStr">
        <is>
          <t>Fase 32</t>
        </is>
      </c>
      <c r="C565" s="38" t="inlineStr">
        <is>
          <t>Siriuna</t>
        </is>
      </c>
      <c r="D565" s="39" t="inlineStr">
        <is>
          <t>A_D_M_32_P1</t>
        </is>
      </c>
      <c r="E565" s="40" t="n"/>
      <c r="F565" s="39" t="inlineStr">
        <is>
          <t>B_D_M_32_P1</t>
        </is>
      </c>
      <c r="G565" s="40" t="n"/>
      <c r="H565" s="41" t="n"/>
      <c r="I565" s="42">
        <f>IF($H565="","",MAX(0,$H565-N($E565)))</f>
        <v/>
      </c>
      <c r="J565" s="42">
        <f>IF($H565="","",MAX(0,$H565-N($G565)))</f>
        <v/>
      </c>
    </row>
    <row r="566" ht="19.5" customHeight="1" s="72">
      <c r="A566" s="38" t="inlineStr">
        <is>
          <t>DM-32-P02-BEN</t>
        </is>
      </c>
      <c r="B566" s="38" t="inlineStr">
        <is>
          <t>Fase 32</t>
        </is>
      </c>
      <c r="C566" s="38" t="inlineStr">
        <is>
          <t>Benguela</t>
        </is>
      </c>
      <c r="D566" s="39" t="inlineStr">
        <is>
          <t>A_D_M_32_P2</t>
        </is>
      </c>
      <c r="E566" s="40" t="n"/>
      <c r="F566" s="39" t="inlineStr">
        <is>
          <t>B_D_M_32_P2</t>
        </is>
      </c>
      <c r="G566" s="40" t="n"/>
      <c r="H566" s="41" t="n"/>
      <c r="I566" s="42">
        <f>IF($H566="","",MAX(0,$H566-N($E566)))</f>
        <v/>
      </c>
      <c r="J566" s="42">
        <f>IF($H566="","",MAX(0,$H566-N($G566)))</f>
        <v/>
      </c>
    </row>
    <row r="567" ht="19.5" customHeight="1" s="72">
      <c r="A567" s="38" t="inlineStr">
        <is>
          <t>DM-32-P02-SBA</t>
        </is>
      </c>
      <c r="B567" s="38" t="inlineStr">
        <is>
          <t>Fase 32</t>
        </is>
      </c>
      <c r="C567" s="38" t="inlineStr">
        <is>
          <t>São Bento da Abadá</t>
        </is>
      </c>
      <c r="D567" s="39" t="inlineStr">
        <is>
          <t>A_D_M_32_P2</t>
        </is>
      </c>
      <c r="E567" s="40" t="n"/>
      <c r="F567" s="39" t="inlineStr">
        <is>
          <t>B_D_M_32_P2</t>
        </is>
      </c>
      <c r="G567" s="40" t="n"/>
      <c r="H567" s="41" t="n"/>
      <c r="I567" s="42">
        <f>IF($H567="","",MAX(0,$H567-N($E567)))</f>
        <v/>
      </c>
      <c r="J567" s="42">
        <f>IF($H567="","",MAX(0,$H567-N($G567)))</f>
        <v/>
      </c>
    </row>
    <row r="568" ht="19.5" customHeight="1" s="72">
      <c r="A568" s="38" t="inlineStr">
        <is>
          <t>DM-32-P02-SIR</t>
        </is>
      </c>
      <c r="B568" s="38" t="inlineStr">
        <is>
          <t>Fase 32</t>
        </is>
      </c>
      <c r="C568" s="38" t="inlineStr">
        <is>
          <t>Siriuna</t>
        </is>
      </c>
      <c r="D568" s="39" t="inlineStr">
        <is>
          <t>A_D_M_32_P2</t>
        </is>
      </c>
      <c r="E568" s="40" t="n"/>
      <c r="F568" s="39" t="inlineStr">
        <is>
          <t>B_D_M_32_P2</t>
        </is>
      </c>
      <c r="G568" s="40" t="n"/>
      <c r="H568" s="41" t="n"/>
      <c r="I568" s="42">
        <f>IF($H568="","",MAX(0,$H568-N($E568)))</f>
        <v/>
      </c>
      <c r="J568" s="42">
        <f>IF($H568="","",MAX(0,$H568-N($G568)))</f>
        <v/>
      </c>
    </row>
    <row r="569" ht="19.5" customHeight="1" s="72">
      <c r="A569" s="38" t="inlineStr">
        <is>
          <t>DM-32-P03-BEN</t>
        </is>
      </c>
      <c r="B569" s="38" t="inlineStr">
        <is>
          <t>Fase 32</t>
        </is>
      </c>
      <c r="C569" s="38" t="inlineStr">
        <is>
          <t>Benguela</t>
        </is>
      </c>
      <c r="D569" s="39" t="inlineStr">
        <is>
          <t>A_D_M_32_P3</t>
        </is>
      </c>
      <c r="E569" s="40" t="n"/>
      <c r="F569" s="39" t="inlineStr">
        <is>
          <t>B_D_M_32_P3</t>
        </is>
      </c>
      <c r="G569" s="40" t="n"/>
      <c r="H569" s="41" t="n"/>
      <c r="I569" s="42">
        <f>IF($H569="","",MAX(0,$H569-N($E569)))</f>
        <v/>
      </c>
      <c r="J569" s="42">
        <f>IF($H569="","",MAX(0,$H569-N($G569)))</f>
        <v/>
      </c>
    </row>
    <row r="570" ht="19.5" customHeight="1" s="72">
      <c r="A570" s="38" t="inlineStr">
        <is>
          <t>DM-32-P03-SBA</t>
        </is>
      </c>
      <c r="B570" s="38" t="inlineStr">
        <is>
          <t>Fase 32</t>
        </is>
      </c>
      <c r="C570" s="38" t="inlineStr">
        <is>
          <t>São Bento da Abadá</t>
        </is>
      </c>
      <c r="D570" s="39" t="inlineStr">
        <is>
          <t>A_D_M_32_P3</t>
        </is>
      </c>
      <c r="E570" s="40" t="n"/>
      <c r="F570" s="39" t="inlineStr">
        <is>
          <t>B_D_M_32_P3</t>
        </is>
      </c>
      <c r="G570" s="40" t="n"/>
      <c r="H570" s="41" t="n"/>
      <c r="I570" s="42">
        <f>IF($H570="","",MAX(0,$H570-N($E570)))</f>
        <v/>
      </c>
      <c r="J570" s="42">
        <f>IF($H570="","",MAX(0,$H570-N($G570)))</f>
        <v/>
      </c>
    </row>
    <row r="571" ht="19.5" customHeight="1" s="72">
      <c r="A571" s="38" t="inlineStr">
        <is>
          <t>DM-32-P03-SIR</t>
        </is>
      </c>
      <c r="B571" s="38" t="inlineStr">
        <is>
          <t>Fase 32</t>
        </is>
      </c>
      <c r="C571" s="38" t="inlineStr">
        <is>
          <t>Siriuna</t>
        </is>
      </c>
      <c r="D571" s="39" t="inlineStr">
        <is>
          <t>A_D_M_32_P3</t>
        </is>
      </c>
      <c r="E571" s="40" t="n"/>
      <c r="F571" s="39" t="inlineStr">
        <is>
          <t>B_D_M_32_P3</t>
        </is>
      </c>
      <c r="G571" s="40" t="n"/>
      <c r="H571" s="41" t="n"/>
      <c r="I571" s="42">
        <f>IF($H571="","",MAX(0,$H571-N($E571)))</f>
        <v/>
      </c>
      <c r="J571" s="42">
        <f>IF($H571="","",MAX(0,$H571-N($G571)))</f>
        <v/>
      </c>
    </row>
    <row r="572" ht="19.5" customHeight="1" s="72">
      <c r="A572" s="38" t="inlineStr">
        <is>
          <t>DM-32-P04-BEN</t>
        </is>
      </c>
      <c r="B572" s="38" t="inlineStr">
        <is>
          <t>Fase 32</t>
        </is>
      </c>
      <c r="C572" s="38" t="inlineStr">
        <is>
          <t>Benguela</t>
        </is>
      </c>
      <c r="D572" s="39" t="inlineStr">
        <is>
          <t>A_D_M_32_P4</t>
        </is>
      </c>
      <c r="E572" s="40" t="n"/>
      <c r="F572" s="39" t="inlineStr">
        <is>
          <t>B_D_M_32_P4</t>
        </is>
      </c>
      <c r="G572" s="40" t="n"/>
      <c r="H572" s="41" t="n"/>
      <c r="I572" s="42">
        <f>IF($H572="","",MAX(0,$H572-N($E572)))</f>
        <v/>
      </c>
      <c r="J572" s="42">
        <f>IF($H572="","",MAX(0,$H572-N($G572)))</f>
        <v/>
      </c>
    </row>
    <row r="573" ht="19.5" customHeight="1" s="72">
      <c r="A573" s="38" t="inlineStr">
        <is>
          <t>DM-32-P04-SBA</t>
        </is>
      </c>
      <c r="B573" s="38" t="inlineStr">
        <is>
          <t>Fase 32</t>
        </is>
      </c>
      <c r="C573" s="38" t="inlineStr">
        <is>
          <t>São Bento da Abadá</t>
        </is>
      </c>
      <c r="D573" s="39" t="inlineStr">
        <is>
          <t>A_D_M_32_P4</t>
        </is>
      </c>
      <c r="E573" s="40" t="n"/>
      <c r="F573" s="39" t="inlineStr">
        <is>
          <t>B_D_M_32_P4</t>
        </is>
      </c>
      <c r="G573" s="40" t="n"/>
      <c r="H573" s="41" t="n"/>
      <c r="I573" s="42">
        <f>IF($H573="","",MAX(0,$H573-N($E573)))</f>
        <v/>
      </c>
      <c r="J573" s="42">
        <f>IF($H573="","",MAX(0,$H573-N($G573)))</f>
        <v/>
      </c>
    </row>
    <row r="574" ht="19.5" customHeight="1" s="72">
      <c r="A574" s="38" t="inlineStr">
        <is>
          <t>DM-32-P04-SIR</t>
        </is>
      </c>
      <c r="B574" s="38" t="inlineStr">
        <is>
          <t>Fase 32</t>
        </is>
      </c>
      <c r="C574" s="38" t="inlineStr">
        <is>
          <t>Siriuna</t>
        </is>
      </c>
      <c r="D574" s="39" t="inlineStr">
        <is>
          <t>A_D_M_32_P4</t>
        </is>
      </c>
      <c r="E574" s="40" t="n"/>
      <c r="F574" s="39" t="inlineStr">
        <is>
          <t>B_D_M_32_P4</t>
        </is>
      </c>
      <c r="G574" s="40" t="n"/>
      <c r="H574" s="41" t="n"/>
      <c r="I574" s="42">
        <f>IF($H574="","",MAX(0,$H574-N($E574)))</f>
        <v/>
      </c>
      <c r="J574" s="42">
        <f>IF($H574="","",MAX(0,$H574-N($G574)))</f>
        <v/>
      </c>
    </row>
    <row r="575" ht="19.5" customHeight="1" s="72">
      <c r="A575" s="38" t="inlineStr">
        <is>
          <t>DM-32-P05-BEN</t>
        </is>
      </c>
      <c r="B575" s="38" t="inlineStr">
        <is>
          <t>Fase 32</t>
        </is>
      </c>
      <c r="C575" s="38" t="inlineStr">
        <is>
          <t>Benguela</t>
        </is>
      </c>
      <c r="D575" s="39" t="inlineStr">
        <is>
          <t>A_D_M_32_P5</t>
        </is>
      </c>
      <c r="E575" s="40" t="n"/>
      <c r="F575" s="39" t="inlineStr">
        <is>
          <t>B_D_M_32_P5</t>
        </is>
      </c>
      <c r="G575" s="40" t="n"/>
      <c r="H575" s="41" t="n"/>
      <c r="I575" s="42">
        <f>IF($H575="","",MAX(0,$H575-N($E575)))</f>
        <v/>
      </c>
      <c r="J575" s="42">
        <f>IF($H575="","",MAX(0,$H575-N($G575)))</f>
        <v/>
      </c>
    </row>
    <row r="576" ht="19.5" customHeight="1" s="72">
      <c r="A576" s="38" t="inlineStr">
        <is>
          <t>DM-32-P05-SBA</t>
        </is>
      </c>
      <c r="B576" s="38" t="inlineStr">
        <is>
          <t>Fase 32</t>
        </is>
      </c>
      <c r="C576" s="38" t="inlineStr">
        <is>
          <t>São Bento da Abadá</t>
        </is>
      </c>
      <c r="D576" s="39" t="inlineStr">
        <is>
          <t>A_D_M_32_P5</t>
        </is>
      </c>
      <c r="E576" s="40" t="n"/>
      <c r="F576" s="39" t="inlineStr">
        <is>
          <t>B_D_M_32_P5</t>
        </is>
      </c>
      <c r="G576" s="40" t="n"/>
      <c r="H576" s="41" t="n"/>
      <c r="I576" s="42">
        <f>IF($H576="","",MAX(0,$H576-N($E576)))</f>
        <v/>
      </c>
      <c r="J576" s="42">
        <f>IF($H576="","",MAX(0,$H576-N($G576)))</f>
        <v/>
      </c>
    </row>
    <row r="577" ht="19.5" customHeight="1" s="72">
      <c r="A577" s="38" t="inlineStr">
        <is>
          <t>DM-32-P05-SIR</t>
        </is>
      </c>
      <c r="B577" s="38" t="inlineStr">
        <is>
          <t>Fase 32</t>
        </is>
      </c>
      <c r="C577" s="38" t="inlineStr">
        <is>
          <t>Siriuna</t>
        </is>
      </c>
      <c r="D577" s="39" t="inlineStr">
        <is>
          <t>A_D_M_32_P5</t>
        </is>
      </c>
      <c r="E577" s="40" t="n"/>
      <c r="F577" s="39" t="inlineStr">
        <is>
          <t>B_D_M_32_P5</t>
        </is>
      </c>
      <c r="G577" s="40" t="n"/>
      <c r="H577" s="41" t="n"/>
      <c r="I577" s="42">
        <f>IF($H577="","",MAX(0,$H577-N($E577)))</f>
        <v/>
      </c>
      <c r="J577" s="42">
        <f>IF($H577="","",MAX(0,$H577-N($G577)))</f>
        <v/>
      </c>
    </row>
    <row r="578" ht="19.5" customHeight="1" s="72">
      <c r="A578" s="38" t="inlineStr">
        <is>
          <t>DM-32-P06-BEN</t>
        </is>
      </c>
      <c r="B578" s="38" t="inlineStr">
        <is>
          <t>Fase 32</t>
        </is>
      </c>
      <c r="C578" s="38" t="inlineStr">
        <is>
          <t>Benguela</t>
        </is>
      </c>
      <c r="D578" s="39" t="inlineStr">
        <is>
          <t>A_D_M_32_P6</t>
        </is>
      </c>
      <c r="E578" s="40" t="n"/>
      <c r="F578" s="39" t="inlineStr">
        <is>
          <t>B_D_M_32_P6</t>
        </is>
      </c>
      <c r="G578" s="40" t="n"/>
      <c r="H578" s="41" t="n"/>
      <c r="I578" s="42">
        <f>IF($H578="","",MAX(0,$H578-N($E578)))</f>
        <v/>
      </c>
      <c r="J578" s="42">
        <f>IF($H578="","",MAX(0,$H578-N($G578)))</f>
        <v/>
      </c>
    </row>
    <row r="579" ht="19.5" customHeight="1" s="72">
      <c r="A579" s="38" t="inlineStr">
        <is>
          <t>DM-32-P06-SBA</t>
        </is>
      </c>
      <c r="B579" s="38" t="inlineStr">
        <is>
          <t>Fase 32</t>
        </is>
      </c>
      <c r="C579" s="38" t="inlineStr">
        <is>
          <t>São Bento da Abadá</t>
        </is>
      </c>
      <c r="D579" s="39" t="inlineStr">
        <is>
          <t>A_D_M_32_P6</t>
        </is>
      </c>
      <c r="E579" s="40" t="n"/>
      <c r="F579" s="39" t="inlineStr">
        <is>
          <t>B_D_M_32_P6</t>
        </is>
      </c>
      <c r="G579" s="40" t="n"/>
      <c r="H579" s="41" t="n"/>
      <c r="I579" s="42">
        <f>IF($H579="","",MAX(0,$H579-N($E579)))</f>
        <v/>
      </c>
      <c r="J579" s="42">
        <f>IF($H579="","",MAX(0,$H579-N($G579)))</f>
        <v/>
      </c>
    </row>
    <row r="580" ht="19.5" customHeight="1" s="72">
      <c r="A580" s="38" t="inlineStr">
        <is>
          <t>DM-32-P06-SIR</t>
        </is>
      </c>
      <c r="B580" s="38" t="inlineStr">
        <is>
          <t>Fase 32</t>
        </is>
      </c>
      <c r="C580" s="38" t="inlineStr">
        <is>
          <t>Siriuna</t>
        </is>
      </c>
      <c r="D580" s="39" t="inlineStr">
        <is>
          <t>A_D_M_32_P6</t>
        </is>
      </c>
      <c r="E580" s="40" t="n"/>
      <c r="F580" s="39" t="inlineStr">
        <is>
          <t>B_D_M_32_P6</t>
        </is>
      </c>
      <c r="G580" s="40" t="n"/>
      <c r="H580" s="41" t="n"/>
      <c r="I580" s="42">
        <f>IF($H580="","",MAX(0,$H580-N($E580)))</f>
        <v/>
      </c>
      <c r="J580" s="42">
        <f>IF($H580="","",MAX(0,$H580-N($G580)))</f>
        <v/>
      </c>
    </row>
    <row r="581" ht="19.5" customHeight="1" s="72">
      <c r="A581" s="38" t="inlineStr">
        <is>
          <t>DM-32-P07-BEN</t>
        </is>
      </c>
      <c r="B581" s="38" t="inlineStr">
        <is>
          <t>Fase 32</t>
        </is>
      </c>
      <c r="C581" s="38" t="inlineStr">
        <is>
          <t>Benguela</t>
        </is>
      </c>
      <c r="D581" s="39" t="inlineStr">
        <is>
          <t>A_D_M_32_P7</t>
        </is>
      </c>
      <c r="E581" s="40" t="n"/>
      <c r="F581" s="39" t="inlineStr">
        <is>
          <t>B_D_M_32_P7</t>
        </is>
      </c>
      <c r="G581" s="40" t="n"/>
      <c r="H581" s="41" t="n"/>
      <c r="I581" s="42">
        <f>IF($H581="","",MAX(0,$H581-N($E581)))</f>
        <v/>
      </c>
      <c r="J581" s="42">
        <f>IF($H581="","",MAX(0,$H581-N($G581)))</f>
        <v/>
      </c>
    </row>
    <row r="582" ht="19.5" customHeight="1" s="72">
      <c r="A582" s="38" t="inlineStr">
        <is>
          <t>DM-32-P07-SBA</t>
        </is>
      </c>
      <c r="B582" s="38" t="inlineStr">
        <is>
          <t>Fase 32</t>
        </is>
      </c>
      <c r="C582" s="38" t="inlineStr">
        <is>
          <t>São Bento da Abadá</t>
        </is>
      </c>
      <c r="D582" s="39" t="inlineStr">
        <is>
          <t>A_D_M_32_P7</t>
        </is>
      </c>
      <c r="E582" s="40" t="n"/>
      <c r="F582" s="39" t="inlineStr">
        <is>
          <t>B_D_M_32_P7</t>
        </is>
      </c>
      <c r="G582" s="40" t="n"/>
      <c r="H582" s="41" t="n"/>
      <c r="I582" s="42">
        <f>IF($H582="","",MAX(0,$H582-N($E582)))</f>
        <v/>
      </c>
      <c r="J582" s="42">
        <f>IF($H582="","",MAX(0,$H582-N($G582)))</f>
        <v/>
      </c>
    </row>
    <row r="583" ht="19.5" customHeight="1" s="72">
      <c r="A583" s="38" t="inlineStr">
        <is>
          <t>DM-32-P07-SIR</t>
        </is>
      </c>
      <c r="B583" s="38" t="inlineStr">
        <is>
          <t>Fase 32</t>
        </is>
      </c>
      <c r="C583" s="38" t="inlineStr">
        <is>
          <t>Siriuna</t>
        </is>
      </c>
      <c r="D583" s="39" t="inlineStr">
        <is>
          <t>A_D_M_32_P7</t>
        </is>
      </c>
      <c r="E583" s="40" t="n"/>
      <c r="F583" s="39" t="inlineStr">
        <is>
          <t>B_D_M_32_P7</t>
        </is>
      </c>
      <c r="G583" s="40" t="n"/>
      <c r="H583" s="41" t="n"/>
      <c r="I583" s="42">
        <f>IF($H583="","",MAX(0,$H583-N($E583)))</f>
        <v/>
      </c>
      <c r="J583" s="42">
        <f>IF($H583="","",MAX(0,$H583-N($G583)))</f>
        <v/>
      </c>
    </row>
    <row r="584" ht="19.5" customHeight="1" s="72">
      <c r="A584" s="38" t="inlineStr">
        <is>
          <t>DM-32-P08-BEN</t>
        </is>
      </c>
      <c r="B584" s="38" t="inlineStr">
        <is>
          <t>Fase 32</t>
        </is>
      </c>
      <c r="C584" s="38" t="inlineStr">
        <is>
          <t>Benguela</t>
        </is>
      </c>
      <c r="D584" s="39" t="inlineStr">
        <is>
          <t>A_D_M_32_P8</t>
        </is>
      </c>
      <c r="E584" s="40" t="n"/>
      <c r="F584" s="39" t="inlineStr">
        <is>
          <t>B_D_M_32_P8</t>
        </is>
      </c>
      <c r="G584" s="40" t="n"/>
      <c r="H584" s="41" t="n"/>
      <c r="I584" s="42">
        <f>IF($H584="","",MAX(0,$H584-N($E584)))</f>
        <v/>
      </c>
      <c r="J584" s="42">
        <f>IF($H584="","",MAX(0,$H584-N($G584)))</f>
        <v/>
      </c>
    </row>
    <row r="585" ht="19.5" customHeight="1" s="72">
      <c r="A585" s="38" t="inlineStr">
        <is>
          <t>DM-32-P08-SBA</t>
        </is>
      </c>
      <c r="B585" s="38" t="inlineStr">
        <is>
          <t>Fase 32</t>
        </is>
      </c>
      <c r="C585" s="38" t="inlineStr">
        <is>
          <t>São Bento da Abadá</t>
        </is>
      </c>
      <c r="D585" s="39" t="inlineStr">
        <is>
          <t>A_D_M_32_P8</t>
        </is>
      </c>
      <c r="E585" s="40" t="n"/>
      <c r="F585" s="39" t="inlineStr">
        <is>
          <t>B_D_M_32_P8</t>
        </is>
      </c>
      <c r="G585" s="40" t="n"/>
      <c r="H585" s="41" t="n"/>
      <c r="I585" s="42">
        <f>IF($H585="","",MAX(0,$H585-N($E585)))</f>
        <v/>
      </c>
      <c r="J585" s="42">
        <f>IF($H585="","",MAX(0,$H585-N($G585)))</f>
        <v/>
      </c>
    </row>
    <row r="586" ht="19.5" customHeight="1" s="72">
      <c r="A586" s="38" t="inlineStr">
        <is>
          <t>DM-32-P08-SIR</t>
        </is>
      </c>
      <c r="B586" s="38" t="inlineStr">
        <is>
          <t>Fase 32</t>
        </is>
      </c>
      <c r="C586" s="38" t="inlineStr">
        <is>
          <t>Siriuna</t>
        </is>
      </c>
      <c r="D586" s="39" t="inlineStr">
        <is>
          <t>A_D_M_32_P8</t>
        </is>
      </c>
      <c r="E586" s="40" t="n"/>
      <c r="F586" s="39" t="inlineStr">
        <is>
          <t>B_D_M_32_P8</t>
        </is>
      </c>
      <c r="G586" s="40" t="n"/>
      <c r="H586" s="41" t="n"/>
      <c r="I586" s="42">
        <f>IF($H586="","",MAX(0,$H586-N($E586)))</f>
        <v/>
      </c>
      <c r="J586" s="42">
        <f>IF($H586="","",MAX(0,$H586-N($G586)))</f>
        <v/>
      </c>
    </row>
    <row r="587" ht="19.5" customHeight="1" s="72">
      <c r="A587" s="38" t="inlineStr">
        <is>
          <t>DM-32-P09-BEN</t>
        </is>
      </c>
      <c r="B587" s="38" t="inlineStr">
        <is>
          <t>Fase 32</t>
        </is>
      </c>
      <c r="C587" s="38" t="inlineStr">
        <is>
          <t>Benguela</t>
        </is>
      </c>
      <c r="D587" s="39" t="inlineStr">
        <is>
          <t>A_D_M_32_P9</t>
        </is>
      </c>
      <c r="E587" s="40" t="n"/>
      <c r="F587" s="39" t="inlineStr">
        <is>
          <t>B_D_M_32_P9</t>
        </is>
      </c>
      <c r="G587" s="40" t="n"/>
      <c r="H587" s="41" t="n"/>
      <c r="I587" s="42">
        <f>IF($H587="","",MAX(0,$H587-N($E587)))</f>
        <v/>
      </c>
      <c r="J587" s="42">
        <f>IF($H587="","",MAX(0,$H587-N($G587)))</f>
        <v/>
      </c>
    </row>
    <row r="588" ht="19.5" customHeight="1" s="72">
      <c r="A588" s="38" t="inlineStr">
        <is>
          <t>DM-32-P09-SBA</t>
        </is>
      </c>
      <c r="B588" s="38" t="inlineStr">
        <is>
          <t>Fase 32</t>
        </is>
      </c>
      <c r="C588" s="38" t="inlineStr">
        <is>
          <t>São Bento da Abadá</t>
        </is>
      </c>
      <c r="D588" s="39" t="inlineStr">
        <is>
          <t>A_D_M_32_P9</t>
        </is>
      </c>
      <c r="E588" s="40" t="n"/>
      <c r="F588" s="39" t="inlineStr">
        <is>
          <t>B_D_M_32_P9</t>
        </is>
      </c>
      <c r="G588" s="40" t="n"/>
      <c r="H588" s="41" t="n"/>
      <c r="I588" s="42">
        <f>IF($H588="","",MAX(0,$H588-N($E588)))</f>
        <v/>
      </c>
      <c r="J588" s="42">
        <f>IF($H588="","",MAX(0,$H588-N($G588)))</f>
        <v/>
      </c>
    </row>
    <row r="589" ht="19.5" customHeight="1" s="72">
      <c r="A589" s="38" t="inlineStr">
        <is>
          <t>DM-32-P09-SIR</t>
        </is>
      </c>
      <c r="B589" s="38" t="inlineStr">
        <is>
          <t>Fase 32</t>
        </is>
      </c>
      <c r="C589" s="38" t="inlineStr">
        <is>
          <t>Siriuna</t>
        </is>
      </c>
      <c r="D589" s="39" t="inlineStr">
        <is>
          <t>A_D_M_32_P9</t>
        </is>
      </c>
      <c r="E589" s="40" t="n"/>
      <c r="F589" s="39" t="inlineStr">
        <is>
          <t>B_D_M_32_P9</t>
        </is>
      </c>
      <c r="G589" s="40" t="n"/>
      <c r="H589" s="41" t="n"/>
      <c r="I589" s="42">
        <f>IF($H589="","",MAX(0,$H589-N($E589)))</f>
        <v/>
      </c>
      <c r="J589" s="42">
        <f>IF($H589="","",MAX(0,$H589-N($G589)))</f>
        <v/>
      </c>
    </row>
    <row r="590" ht="19.5" customHeight="1" s="72">
      <c r="A590" s="38" t="inlineStr">
        <is>
          <t>DM-32-P10-BEN</t>
        </is>
      </c>
      <c r="B590" s="38" t="inlineStr">
        <is>
          <t>Fase 32</t>
        </is>
      </c>
      <c r="C590" s="38" t="inlineStr">
        <is>
          <t>Benguela</t>
        </is>
      </c>
      <c r="D590" s="39" t="inlineStr">
        <is>
          <t>A_D_M_32_P10</t>
        </is>
      </c>
      <c r="E590" s="40" t="n"/>
      <c r="F590" s="39" t="inlineStr">
        <is>
          <t>B_D_M_32_P10</t>
        </is>
      </c>
      <c r="G590" s="40" t="n"/>
      <c r="H590" s="41" t="n"/>
      <c r="I590" s="42">
        <f>IF($H590="","",MAX(0,$H590-N($E590)))</f>
        <v/>
      </c>
      <c r="J590" s="42">
        <f>IF($H590="","",MAX(0,$H590-N($G590)))</f>
        <v/>
      </c>
    </row>
    <row r="591" ht="19.5" customHeight="1" s="72">
      <c r="A591" s="38" t="inlineStr">
        <is>
          <t>DM-32-P10-SBA</t>
        </is>
      </c>
      <c r="B591" s="38" t="inlineStr">
        <is>
          <t>Fase 32</t>
        </is>
      </c>
      <c r="C591" s="38" t="inlineStr">
        <is>
          <t>São Bento da Abadá</t>
        </is>
      </c>
      <c r="D591" s="39" t="inlineStr">
        <is>
          <t>A_D_M_32_P10</t>
        </is>
      </c>
      <c r="E591" s="40" t="n"/>
      <c r="F591" s="39" t="inlineStr">
        <is>
          <t>B_D_M_32_P10</t>
        </is>
      </c>
      <c r="G591" s="40" t="n"/>
      <c r="H591" s="41" t="n"/>
      <c r="I591" s="42">
        <f>IF($H591="","",MAX(0,$H591-N($E591)))</f>
        <v/>
      </c>
      <c r="J591" s="42">
        <f>IF($H591="","",MAX(0,$H591-N($G591)))</f>
        <v/>
      </c>
    </row>
    <row r="592" ht="19.5" customHeight="1" s="72">
      <c r="A592" s="38" t="inlineStr">
        <is>
          <t>DM-32-P10-SIR</t>
        </is>
      </c>
      <c r="B592" s="38" t="inlineStr">
        <is>
          <t>Fase 32</t>
        </is>
      </c>
      <c r="C592" s="38" t="inlineStr">
        <is>
          <t>Siriuna</t>
        </is>
      </c>
      <c r="D592" s="39" t="inlineStr">
        <is>
          <t>A_D_M_32_P10</t>
        </is>
      </c>
      <c r="E592" s="40" t="n"/>
      <c r="F592" s="39" t="inlineStr">
        <is>
          <t>B_D_M_32_P10</t>
        </is>
      </c>
      <c r="G592" s="40" t="n"/>
      <c r="H592" s="41" t="n"/>
      <c r="I592" s="42">
        <f>IF($H592="","",MAX(0,$H592-N($E592)))</f>
        <v/>
      </c>
      <c r="J592" s="42">
        <f>IF($H592="","",MAX(0,$H592-N($G592)))</f>
        <v/>
      </c>
    </row>
    <row r="593" ht="19.5" customHeight="1" s="72">
      <c r="A593" s="38" t="inlineStr">
        <is>
          <t>DM-32-P11-BEN</t>
        </is>
      </c>
      <c r="B593" s="38" t="inlineStr">
        <is>
          <t>Fase 32</t>
        </is>
      </c>
      <c r="C593" s="38" t="inlineStr">
        <is>
          <t>Benguela</t>
        </is>
      </c>
      <c r="D593" s="39" t="inlineStr">
        <is>
          <t>A_D_M_32_P11</t>
        </is>
      </c>
      <c r="E593" s="40" t="n"/>
      <c r="F593" s="39" t="inlineStr">
        <is>
          <t>B_D_M_32_P11</t>
        </is>
      </c>
      <c r="G593" s="40" t="n"/>
      <c r="H593" s="41" t="n"/>
      <c r="I593" s="42">
        <f>IF($H593="","",MAX(0,$H593-N($E593)))</f>
        <v/>
      </c>
      <c r="J593" s="42">
        <f>IF($H593="","",MAX(0,$H593-N($G593)))</f>
        <v/>
      </c>
    </row>
    <row r="594" ht="19.5" customHeight="1" s="72">
      <c r="A594" s="38" t="inlineStr">
        <is>
          <t>DM-32-P11-SBA</t>
        </is>
      </c>
      <c r="B594" s="38" t="inlineStr">
        <is>
          <t>Fase 32</t>
        </is>
      </c>
      <c r="C594" s="38" t="inlineStr">
        <is>
          <t>São Bento da Abadá</t>
        </is>
      </c>
      <c r="D594" s="39" t="inlineStr">
        <is>
          <t>A_D_M_32_P11</t>
        </is>
      </c>
      <c r="E594" s="40" t="n"/>
      <c r="F594" s="39" t="inlineStr">
        <is>
          <t>B_D_M_32_P11</t>
        </is>
      </c>
      <c r="G594" s="40" t="n"/>
      <c r="H594" s="41" t="n"/>
      <c r="I594" s="42">
        <f>IF($H594="","",MAX(0,$H594-N($E594)))</f>
        <v/>
      </c>
      <c r="J594" s="42">
        <f>IF($H594="","",MAX(0,$H594-N($G594)))</f>
        <v/>
      </c>
    </row>
    <row r="595" ht="19.5" customHeight="1" s="72">
      <c r="A595" s="38" t="inlineStr">
        <is>
          <t>DM-32-P11-SIR</t>
        </is>
      </c>
      <c r="B595" s="38" t="inlineStr">
        <is>
          <t>Fase 32</t>
        </is>
      </c>
      <c r="C595" s="38" t="inlineStr">
        <is>
          <t>Siriuna</t>
        </is>
      </c>
      <c r="D595" s="39" t="inlineStr">
        <is>
          <t>A_D_M_32_P11</t>
        </is>
      </c>
      <c r="E595" s="40" t="n"/>
      <c r="F595" s="39" t="inlineStr">
        <is>
          <t>B_D_M_32_P11</t>
        </is>
      </c>
      <c r="G595" s="40" t="n"/>
      <c r="H595" s="41" t="n"/>
      <c r="I595" s="42">
        <f>IF($H595="","",MAX(0,$H595-N($E595)))</f>
        <v/>
      </c>
      <c r="J595" s="42">
        <f>IF($H595="","",MAX(0,$H595-N($G595)))</f>
        <v/>
      </c>
    </row>
    <row r="596" ht="19.5" customHeight="1" s="72">
      <c r="A596" s="38" t="inlineStr">
        <is>
          <t>DM-32-P12-BEN</t>
        </is>
      </c>
      <c r="B596" s="38" t="inlineStr">
        <is>
          <t>Fase 32</t>
        </is>
      </c>
      <c r="C596" s="38" t="inlineStr">
        <is>
          <t>Benguela</t>
        </is>
      </c>
      <c r="D596" s="39" t="inlineStr">
        <is>
          <t>A_D_M_32_P12</t>
        </is>
      </c>
      <c r="E596" s="40" t="n"/>
      <c r="F596" s="39" t="inlineStr">
        <is>
          <t>B_D_M_32_P12</t>
        </is>
      </c>
      <c r="G596" s="40" t="n"/>
      <c r="H596" s="41" t="n"/>
      <c r="I596" s="42">
        <f>IF($H596="","",MAX(0,$H596-N($E596)))</f>
        <v/>
      </c>
      <c r="J596" s="42">
        <f>IF($H596="","",MAX(0,$H596-N($G596)))</f>
        <v/>
      </c>
    </row>
    <row r="597" ht="19.5" customHeight="1" s="72">
      <c r="A597" s="38" t="inlineStr">
        <is>
          <t>DM-32-P12-SBA</t>
        </is>
      </c>
      <c r="B597" s="38" t="inlineStr">
        <is>
          <t>Fase 32</t>
        </is>
      </c>
      <c r="C597" s="38" t="inlineStr">
        <is>
          <t>São Bento da Abadá</t>
        </is>
      </c>
      <c r="D597" s="39" t="inlineStr">
        <is>
          <t>A_D_M_32_P12</t>
        </is>
      </c>
      <c r="E597" s="40" t="n"/>
      <c r="F597" s="39" t="inlineStr">
        <is>
          <t>B_D_M_32_P12</t>
        </is>
      </c>
      <c r="G597" s="40" t="n"/>
      <c r="H597" s="41" t="n"/>
      <c r="I597" s="42">
        <f>IF($H597="","",MAX(0,$H597-N($E597)))</f>
        <v/>
      </c>
      <c r="J597" s="42">
        <f>IF($H597="","",MAX(0,$H597-N($G597)))</f>
        <v/>
      </c>
    </row>
    <row r="598" ht="19.5" customHeight="1" s="72">
      <c r="A598" s="38" t="inlineStr">
        <is>
          <t>DM-32-P12-SIR</t>
        </is>
      </c>
      <c r="B598" s="38" t="inlineStr">
        <is>
          <t>Fase 32</t>
        </is>
      </c>
      <c r="C598" s="38" t="inlineStr">
        <is>
          <t>Siriuna</t>
        </is>
      </c>
      <c r="D598" s="39" t="inlineStr">
        <is>
          <t>A_D_M_32_P12</t>
        </is>
      </c>
      <c r="E598" s="40" t="n"/>
      <c r="F598" s="39" t="inlineStr">
        <is>
          <t>B_D_M_32_P12</t>
        </is>
      </c>
      <c r="G598" s="40" t="n"/>
      <c r="H598" s="41" t="n"/>
      <c r="I598" s="42">
        <f>IF($H598="","",MAX(0,$H598-N($E598)))</f>
        <v/>
      </c>
      <c r="J598" s="42">
        <f>IF($H598="","",MAX(0,$H598-N($G598)))</f>
        <v/>
      </c>
    </row>
    <row r="599" ht="19.5" customHeight="1" s="72">
      <c r="A599" s="38" t="inlineStr">
        <is>
          <t>DM-32-P13-BEN</t>
        </is>
      </c>
      <c r="B599" s="38" t="inlineStr">
        <is>
          <t>Fase 32</t>
        </is>
      </c>
      <c r="C599" s="38" t="inlineStr">
        <is>
          <t>Benguela</t>
        </is>
      </c>
      <c r="D599" s="39" t="inlineStr">
        <is>
          <t>A_D_M_32_P13</t>
        </is>
      </c>
      <c r="E599" s="40" t="n"/>
      <c r="F599" s="39" t="inlineStr">
        <is>
          <t>B_D_M_32_P13</t>
        </is>
      </c>
      <c r="G599" s="40" t="n"/>
      <c r="H599" s="41" t="n"/>
      <c r="I599" s="42">
        <f>IF($H599="","",MAX(0,$H599-N($E599)))</f>
        <v/>
      </c>
      <c r="J599" s="42">
        <f>IF($H599="","",MAX(0,$H599-N($G599)))</f>
        <v/>
      </c>
    </row>
    <row r="600" ht="19.5" customHeight="1" s="72">
      <c r="A600" s="38" t="inlineStr">
        <is>
          <t>DM-32-P13-SBA</t>
        </is>
      </c>
      <c r="B600" s="38" t="inlineStr">
        <is>
          <t>Fase 32</t>
        </is>
      </c>
      <c r="C600" s="38" t="inlineStr">
        <is>
          <t>São Bento da Abadá</t>
        </is>
      </c>
      <c r="D600" s="39" t="inlineStr">
        <is>
          <t>A_D_M_32_P13</t>
        </is>
      </c>
      <c r="E600" s="40" t="n"/>
      <c r="F600" s="39" t="inlineStr">
        <is>
          <t>B_D_M_32_P13</t>
        </is>
      </c>
      <c r="G600" s="40" t="n"/>
      <c r="H600" s="41" t="n"/>
      <c r="I600" s="42">
        <f>IF($H600="","",MAX(0,$H600-N($E600)))</f>
        <v/>
      </c>
      <c r="J600" s="42">
        <f>IF($H600="","",MAX(0,$H600-N($G600)))</f>
        <v/>
      </c>
    </row>
    <row r="601" ht="19.5" customHeight="1" s="72">
      <c r="A601" s="38" t="inlineStr">
        <is>
          <t>DM-32-P13-SIR</t>
        </is>
      </c>
      <c r="B601" s="38" t="inlineStr">
        <is>
          <t>Fase 32</t>
        </is>
      </c>
      <c r="C601" s="38" t="inlineStr">
        <is>
          <t>Siriuna</t>
        </is>
      </c>
      <c r="D601" s="39" t="inlineStr">
        <is>
          <t>A_D_M_32_P13</t>
        </is>
      </c>
      <c r="E601" s="40" t="n"/>
      <c r="F601" s="39" t="inlineStr">
        <is>
          <t>B_D_M_32_P13</t>
        </is>
      </c>
      <c r="G601" s="40" t="n"/>
      <c r="H601" s="41" t="n"/>
      <c r="I601" s="42">
        <f>IF($H601="","",MAX(0,$H601-N($E601)))</f>
        <v/>
      </c>
      <c r="J601" s="42">
        <f>IF($H601="","",MAX(0,$H601-N($G601)))</f>
        <v/>
      </c>
    </row>
    <row r="602" ht="19.5" customHeight="1" s="72">
      <c r="A602" s="38" t="inlineStr">
        <is>
          <t>DM-32-P14-BEN</t>
        </is>
      </c>
      <c r="B602" s="38" t="inlineStr">
        <is>
          <t>Fase 32</t>
        </is>
      </c>
      <c r="C602" s="38" t="inlineStr">
        <is>
          <t>Benguela</t>
        </is>
      </c>
      <c r="D602" s="39" t="inlineStr">
        <is>
          <t>A_D_M_32_P14</t>
        </is>
      </c>
      <c r="E602" s="40" t="n"/>
      <c r="F602" s="39" t="inlineStr">
        <is>
          <t>B_D_M_32_P14</t>
        </is>
      </c>
      <c r="G602" s="40" t="n"/>
      <c r="H602" s="41" t="n"/>
      <c r="I602" s="42">
        <f>IF($H602="","",MAX(0,$H602-N($E602)))</f>
        <v/>
      </c>
      <c r="J602" s="42">
        <f>IF($H602="","",MAX(0,$H602-N($G602)))</f>
        <v/>
      </c>
    </row>
    <row r="603" ht="19.5" customHeight="1" s="72">
      <c r="A603" s="38" t="inlineStr">
        <is>
          <t>DM-32-P14-SBA</t>
        </is>
      </c>
      <c r="B603" s="38" t="inlineStr">
        <is>
          <t>Fase 32</t>
        </is>
      </c>
      <c r="C603" s="38" t="inlineStr">
        <is>
          <t>São Bento da Abadá</t>
        </is>
      </c>
      <c r="D603" s="39" t="inlineStr">
        <is>
          <t>A_D_M_32_P14</t>
        </is>
      </c>
      <c r="E603" s="40" t="n"/>
      <c r="F603" s="39" t="inlineStr">
        <is>
          <t>B_D_M_32_P14</t>
        </is>
      </c>
      <c r="G603" s="40" t="n"/>
      <c r="H603" s="41" t="n"/>
      <c r="I603" s="42">
        <f>IF($H603="","",MAX(0,$H603-N($E603)))</f>
        <v/>
      </c>
      <c r="J603" s="42">
        <f>IF($H603="","",MAX(0,$H603-N($G603)))</f>
        <v/>
      </c>
    </row>
    <row r="604" ht="19.5" customHeight="1" s="72">
      <c r="A604" s="38" t="inlineStr">
        <is>
          <t>DM-32-P14-SIR</t>
        </is>
      </c>
      <c r="B604" s="38" t="inlineStr">
        <is>
          <t>Fase 32</t>
        </is>
      </c>
      <c r="C604" s="38" t="inlineStr">
        <is>
          <t>Siriuna</t>
        </is>
      </c>
      <c r="D604" s="39" t="inlineStr">
        <is>
          <t>A_D_M_32_P14</t>
        </is>
      </c>
      <c r="E604" s="40" t="n"/>
      <c r="F604" s="39" t="inlineStr">
        <is>
          <t>B_D_M_32_P14</t>
        </is>
      </c>
      <c r="G604" s="40" t="n"/>
      <c r="H604" s="41" t="n"/>
      <c r="I604" s="42">
        <f>IF($H604="","",MAX(0,$H604-N($E604)))</f>
        <v/>
      </c>
      <c r="J604" s="42">
        <f>IF($H604="","",MAX(0,$H604-N($G604)))</f>
        <v/>
      </c>
    </row>
    <row r="605" ht="19.5" customHeight="1" s="72">
      <c r="A605" s="38" t="inlineStr">
        <is>
          <t>DM-32-P15-BEN</t>
        </is>
      </c>
      <c r="B605" s="38" t="inlineStr">
        <is>
          <t>Fase 32</t>
        </is>
      </c>
      <c r="C605" s="38" t="inlineStr">
        <is>
          <t>Benguela</t>
        </is>
      </c>
      <c r="D605" s="39" t="inlineStr">
        <is>
          <t>A_D_M_32_P15</t>
        </is>
      </c>
      <c r="E605" s="40" t="n"/>
      <c r="F605" s="39" t="inlineStr">
        <is>
          <t>B_D_M_32_P15</t>
        </is>
      </c>
      <c r="G605" s="40" t="n"/>
      <c r="H605" s="41" t="n"/>
      <c r="I605" s="42">
        <f>IF($H605="","",MAX(0,$H605-N($E605)))</f>
        <v/>
      </c>
      <c r="J605" s="42">
        <f>IF($H605="","",MAX(0,$H605-N($G605)))</f>
        <v/>
      </c>
    </row>
    <row r="606" ht="19.5" customHeight="1" s="72">
      <c r="A606" s="38" t="inlineStr">
        <is>
          <t>DM-32-P15-SBA</t>
        </is>
      </c>
      <c r="B606" s="38" t="inlineStr">
        <is>
          <t>Fase 32</t>
        </is>
      </c>
      <c r="C606" s="38" t="inlineStr">
        <is>
          <t>São Bento da Abadá</t>
        </is>
      </c>
      <c r="D606" s="39" t="inlineStr">
        <is>
          <t>A_D_M_32_P15</t>
        </is>
      </c>
      <c r="E606" s="40" t="n"/>
      <c r="F606" s="39" t="inlineStr">
        <is>
          <t>B_D_M_32_P15</t>
        </is>
      </c>
      <c r="G606" s="40" t="n"/>
      <c r="H606" s="41" t="n"/>
      <c r="I606" s="42">
        <f>IF($H606="","",MAX(0,$H606-N($E606)))</f>
        <v/>
      </c>
      <c r="J606" s="42">
        <f>IF($H606="","",MAX(0,$H606-N($G606)))</f>
        <v/>
      </c>
    </row>
    <row r="607" ht="19.5" customHeight="1" s="72">
      <c r="A607" s="38" t="inlineStr">
        <is>
          <t>DM-32-P15-SIR</t>
        </is>
      </c>
      <c r="B607" s="38" t="inlineStr">
        <is>
          <t>Fase 32</t>
        </is>
      </c>
      <c r="C607" s="38" t="inlineStr">
        <is>
          <t>Siriuna</t>
        </is>
      </c>
      <c r="D607" s="39" t="inlineStr">
        <is>
          <t>A_D_M_32_P15</t>
        </is>
      </c>
      <c r="E607" s="40" t="n"/>
      <c r="F607" s="39" t="inlineStr">
        <is>
          <t>B_D_M_32_P15</t>
        </is>
      </c>
      <c r="G607" s="40" t="n"/>
      <c r="H607" s="41" t="n"/>
      <c r="I607" s="42">
        <f>IF($H607="","",MAX(0,$H607-N($E607)))</f>
        <v/>
      </c>
      <c r="J607" s="42">
        <f>IF($H607="","",MAX(0,$H607-N($G607)))</f>
        <v/>
      </c>
    </row>
    <row r="608" ht="19.5" customHeight="1" s="72">
      <c r="A608" s="38" t="inlineStr">
        <is>
          <t>DM-32-P16-BEN</t>
        </is>
      </c>
      <c r="B608" s="38" t="inlineStr">
        <is>
          <t>Fase 32</t>
        </is>
      </c>
      <c r="C608" s="38" t="inlineStr">
        <is>
          <t>Benguela</t>
        </is>
      </c>
      <c r="D608" s="39" t="inlineStr">
        <is>
          <t>A_D_M_32_P16</t>
        </is>
      </c>
      <c r="E608" s="40" t="n"/>
      <c r="F608" s="39" t="inlineStr">
        <is>
          <t>B_D_M_32_P16</t>
        </is>
      </c>
      <c r="G608" s="40" t="n"/>
      <c r="H608" s="41" t="n"/>
      <c r="I608" s="42">
        <f>IF($H608="","",MAX(0,$H608-N($E608)))</f>
        <v/>
      </c>
      <c r="J608" s="42">
        <f>IF($H608="","",MAX(0,$H608-N($G608)))</f>
        <v/>
      </c>
    </row>
    <row r="609" ht="19.5" customHeight="1" s="72">
      <c r="A609" s="38" t="inlineStr">
        <is>
          <t>DM-32-P16-SBA</t>
        </is>
      </c>
      <c r="B609" s="38" t="inlineStr">
        <is>
          <t>Fase 32</t>
        </is>
      </c>
      <c r="C609" s="38" t="inlineStr">
        <is>
          <t>São Bento da Abadá</t>
        </is>
      </c>
      <c r="D609" s="39" t="inlineStr">
        <is>
          <t>A_D_M_32_P16</t>
        </is>
      </c>
      <c r="E609" s="40" t="n"/>
      <c r="F609" s="39" t="inlineStr">
        <is>
          <t>B_D_M_32_P16</t>
        </is>
      </c>
      <c r="G609" s="40" t="n"/>
      <c r="H609" s="41" t="n"/>
      <c r="I609" s="42">
        <f>IF($H609="","",MAX(0,$H609-N($E609)))</f>
        <v/>
      </c>
      <c r="J609" s="42">
        <f>IF($H609="","",MAX(0,$H609-N($G609)))</f>
        <v/>
      </c>
    </row>
    <row r="610" ht="19.5" customHeight="1" s="72">
      <c r="A610" s="38" t="inlineStr">
        <is>
          <t>DM-32-P16-SIR</t>
        </is>
      </c>
      <c r="B610" s="38" t="inlineStr">
        <is>
          <t>Fase 32</t>
        </is>
      </c>
      <c r="C610" s="38" t="inlineStr">
        <is>
          <t>Siriuna</t>
        </is>
      </c>
      <c r="D610" s="39" t="inlineStr">
        <is>
          <t>A_D_M_32_P16</t>
        </is>
      </c>
      <c r="E610" s="40" t="n"/>
      <c r="F610" s="39" t="inlineStr">
        <is>
          <t>B_D_M_32_P16</t>
        </is>
      </c>
      <c r="G610" s="40" t="n"/>
      <c r="H610" s="41" t="n"/>
      <c r="I610" s="42">
        <f>IF($H610="","",MAX(0,$H610-N($E610)))</f>
        <v/>
      </c>
      <c r="J610" s="42">
        <f>IF($H610="","",MAX(0,$H610-N($G610)))</f>
        <v/>
      </c>
    </row>
    <row r="611" ht="19.5" customHeight="1" s="72">
      <c r="A611" s="38" t="inlineStr">
        <is>
          <t>DM-OCT-P01-BEN</t>
        </is>
      </c>
      <c r="B611" s="38" t="inlineStr">
        <is>
          <t>Octavas</t>
        </is>
      </c>
      <c r="C611" s="38" t="inlineStr">
        <is>
          <t>Benguela</t>
        </is>
      </c>
      <c r="D611" s="39">
        <f>IFERROR(CLASIF_D_M!$F$5,"")</f>
        <v/>
      </c>
      <c r="E611" s="40" t="n"/>
      <c r="F611" s="39">
        <f>IFERROR(CLASIF_D_M!$F$20,"")</f>
        <v/>
      </c>
      <c r="G611" s="40" t="n"/>
      <c r="H611" s="41" t="n"/>
      <c r="I611" s="42">
        <f>IF($H611="","",MAX(0,$H611-N($E611)))</f>
        <v/>
      </c>
      <c r="J611" s="42">
        <f>IF($H611="","",MAX(0,$H611-N($G611)))</f>
        <v/>
      </c>
    </row>
    <row r="612" ht="19.5" customHeight="1" s="72">
      <c r="A612" s="38" t="inlineStr">
        <is>
          <t>DM-OCT-P01-SBA</t>
        </is>
      </c>
      <c r="B612" s="38" t="inlineStr">
        <is>
          <t>Octavas</t>
        </is>
      </c>
      <c r="C612" s="38" t="inlineStr">
        <is>
          <t>São Bento da Abadá</t>
        </is>
      </c>
      <c r="D612" s="39">
        <f>IFERROR(CLASIF_D_M!$F$5,"")</f>
        <v/>
      </c>
      <c r="E612" s="40" t="n"/>
      <c r="F612" s="39">
        <f>IFERROR(CLASIF_D_M!$F$20,"")</f>
        <v/>
      </c>
      <c r="G612" s="40" t="n"/>
      <c r="H612" s="41" t="n"/>
      <c r="I612" s="42">
        <f>IF($H612="","",MAX(0,$H612-N($E612)))</f>
        <v/>
      </c>
      <c r="J612" s="42">
        <f>IF($H612="","",MAX(0,$H612-N($G612)))</f>
        <v/>
      </c>
    </row>
    <row r="613" ht="19.5" customHeight="1" s="72">
      <c r="A613" s="38" t="inlineStr">
        <is>
          <t>DM-OCT-P01-SIR</t>
        </is>
      </c>
      <c r="B613" s="38" t="inlineStr">
        <is>
          <t>Octavas</t>
        </is>
      </c>
      <c r="C613" s="38" t="inlineStr">
        <is>
          <t>Siriuna</t>
        </is>
      </c>
      <c r="D613" s="39">
        <f>IFERROR(CLASIF_D_M!$F$5,"")</f>
        <v/>
      </c>
      <c r="E613" s="40" t="n"/>
      <c r="F613" s="39">
        <f>IFERROR(CLASIF_D_M!$F$20,"")</f>
        <v/>
      </c>
      <c r="G613" s="40" t="n"/>
      <c r="H613" s="41" t="n"/>
      <c r="I613" s="42">
        <f>IF($H613="","",MAX(0,$H613-N($E613)))</f>
        <v/>
      </c>
      <c r="J613" s="42">
        <f>IF($H613="","",MAX(0,$H613-N($G613)))</f>
        <v/>
      </c>
    </row>
    <row r="614" ht="19.5" customHeight="1" s="72">
      <c r="A614" s="38" t="inlineStr">
        <is>
          <t>DM-OCT-P02-BEN</t>
        </is>
      </c>
      <c r="B614" s="38" t="inlineStr">
        <is>
          <t>Octavas</t>
        </is>
      </c>
      <c r="C614" s="38" t="inlineStr">
        <is>
          <t>Benguela</t>
        </is>
      </c>
      <c r="D614" s="39">
        <f>IFERROR(CLASIF_D_M!$F$6,"")</f>
        <v/>
      </c>
      <c r="E614" s="40" t="n"/>
      <c r="F614" s="39">
        <f>IFERROR(CLASIF_D_M!$F$19,"")</f>
        <v/>
      </c>
      <c r="G614" s="40" t="n"/>
      <c r="H614" s="41" t="n"/>
      <c r="I614" s="42">
        <f>IF($H614="","",MAX(0,$H614-N($E614)))</f>
        <v/>
      </c>
      <c r="J614" s="42">
        <f>IF($H614="","",MAX(0,$H614-N($G614)))</f>
        <v/>
      </c>
    </row>
    <row r="615" ht="19.5" customHeight="1" s="72">
      <c r="A615" s="38" t="inlineStr">
        <is>
          <t>DM-OCT-P02-SBA</t>
        </is>
      </c>
      <c r="B615" s="38" t="inlineStr">
        <is>
          <t>Octavas</t>
        </is>
      </c>
      <c r="C615" s="38" t="inlineStr">
        <is>
          <t>São Bento da Abadá</t>
        </is>
      </c>
      <c r="D615" s="39">
        <f>IFERROR(CLASIF_D_M!$F$6,"")</f>
        <v/>
      </c>
      <c r="E615" s="40" t="n"/>
      <c r="F615" s="39">
        <f>IFERROR(CLASIF_D_M!$F$19,"")</f>
        <v/>
      </c>
      <c r="G615" s="40" t="n"/>
      <c r="H615" s="41" t="n"/>
      <c r="I615" s="42">
        <f>IF($H615="","",MAX(0,$H615-N($E615)))</f>
        <v/>
      </c>
      <c r="J615" s="42">
        <f>IF($H615="","",MAX(0,$H615-N($G615)))</f>
        <v/>
      </c>
    </row>
    <row r="616" ht="19.5" customHeight="1" s="72">
      <c r="A616" s="38" t="inlineStr">
        <is>
          <t>DM-OCT-P02-SIR</t>
        </is>
      </c>
      <c r="B616" s="38" t="inlineStr">
        <is>
          <t>Octavas</t>
        </is>
      </c>
      <c r="C616" s="38" t="inlineStr">
        <is>
          <t>Siriuna</t>
        </is>
      </c>
      <c r="D616" s="39">
        <f>IFERROR(CLASIF_D_M!$F$6,"")</f>
        <v/>
      </c>
      <c r="E616" s="40" t="n"/>
      <c r="F616" s="39">
        <f>IFERROR(CLASIF_D_M!$F$19,"")</f>
        <v/>
      </c>
      <c r="G616" s="40" t="n"/>
      <c r="H616" s="41" t="n"/>
      <c r="I616" s="42">
        <f>IF($H616="","",MAX(0,$H616-N($E616)))</f>
        <v/>
      </c>
      <c r="J616" s="42">
        <f>IF($H616="","",MAX(0,$H616-N($G616)))</f>
        <v/>
      </c>
    </row>
    <row r="617" ht="19.5" customHeight="1" s="72">
      <c r="A617" s="38" t="inlineStr">
        <is>
          <t>DM-OCT-P03-BEN</t>
        </is>
      </c>
      <c r="B617" s="38" t="inlineStr">
        <is>
          <t>Octavas</t>
        </is>
      </c>
      <c r="C617" s="38" t="inlineStr">
        <is>
          <t>Benguela</t>
        </is>
      </c>
      <c r="D617" s="39">
        <f>IFERROR(CLASIF_D_M!$F$7,"")</f>
        <v/>
      </c>
      <c r="E617" s="40" t="n"/>
      <c r="F617" s="39">
        <f>IFERROR(CLASIF_D_M!$F$18,"")</f>
        <v/>
      </c>
      <c r="G617" s="40" t="n"/>
      <c r="H617" s="41" t="n"/>
      <c r="I617" s="42">
        <f>IF($H617="","",MAX(0,$H617-N($E617)))</f>
        <v/>
      </c>
      <c r="J617" s="42">
        <f>IF($H617="","",MAX(0,$H617-N($G617)))</f>
        <v/>
      </c>
    </row>
    <row r="618" ht="19.5" customHeight="1" s="72">
      <c r="A618" s="38" t="inlineStr">
        <is>
          <t>DM-OCT-P03-SBA</t>
        </is>
      </c>
      <c r="B618" s="38" t="inlineStr">
        <is>
          <t>Octavas</t>
        </is>
      </c>
      <c r="C618" s="38" t="inlineStr">
        <is>
          <t>São Bento da Abadá</t>
        </is>
      </c>
      <c r="D618" s="39">
        <f>IFERROR(CLASIF_D_M!$F$7,"")</f>
        <v/>
      </c>
      <c r="E618" s="40" t="n"/>
      <c r="F618" s="39">
        <f>IFERROR(CLASIF_D_M!$F$18,"")</f>
        <v/>
      </c>
      <c r="G618" s="40" t="n"/>
      <c r="H618" s="41" t="n"/>
      <c r="I618" s="42">
        <f>IF($H618="","",MAX(0,$H618-N($E618)))</f>
        <v/>
      </c>
      <c r="J618" s="42">
        <f>IF($H618="","",MAX(0,$H618-N($G618)))</f>
        <v/>
      </c>
    </row>
    <row r="619" ht="19.5" customHeight="1" s="72">
      <c r="A619" s="38" t="inlineStr">
        <is>
          <t>DM-OCT-P03-SIR</t>
        </is>
      </c>
      <c r="B619" s="38" t="inlineStr">
        <is>
          <t>Octavas</t>
        </is>
      </c>
      <c r="C619" s="38" t="inlineStr">
        <is>
          <t>Siriuna</t>
        </is>
      </c>
      <c r="D619" s="39">
        <f>IFERROR(CLASIF_D_M!$F$7,"")</f>
        <v/>
      </c>
      <c r="E619" s="40" t="n"/>
      <c r="F619" s="39">
        <f>IFERROR(CLASIF_D_M!$F$18,"")</f>
        <v/>
      </c>
      <c r="G619" s="40" t="n"/>
      <c r="H619" s="41" t="n"/>
      <c r="I619" s="42">
        <f>IF($H619="","",MAX(0,$H619-N($E619)))</f>
        <v/>
      </c>
      <c r="J619" s="42">
        <f>IF($H619="","",MAX(0,$H619-N($G619)))</f>
        <v/>
      </c>
    </row>
    <row r="620" ht="19.5" customHeight="1" s="72">
      <c r="A620" s="38" t="inlineStr">
        <is>
          <t>DM-OCT-P04-BEN</t>
        </is>
      </c>
      <c r="B620" s="38" t="inlineStr">
        <is>
          <t>Octavas</t>
        </is>
      </c>
      <c r="C620" s="38" t="inlineStr">
        <is>
          <t>Benguela</t>
        </is>
      </c>
      <c r="D620" s="39">
        <f>IFERROR(CLASIF_D_M!$F$8,"")</f>
        <v/>
      </c>
      <c r="E620" s="40" t="n"/>
      <c r="F620" s="39">
        <f>IFERROR(CLASIF_D_M!$F$17,"")</f>
        <v/>
      </c>
      <c r="G620" s="40" t="n"/>
      <c r="H620" s="41" t="n"/>
      <c r="I620" s="42">
        <f>IF($H620="","",MAX(0,$H620-N($E620)))</f>
        <v/>
      </c>
      <c r="J620" s="42">
        <f>IF($H620="","",MAX(0,$H620-N($G620)))</f>
        <v/>
      </c>
    </row>
    <row r="621" ht="19.5" customHeight="1" s="72">
      <c r="A621" s="38" t="inlineStr">
        <is>
          <t>DM-OCT-P04-SBA</t>
        </is>
      </c>
      <c r="B621" s="38" t="inlineStr">
        <is>
          <t>Octavas</t>
        </is>
      </c>
      <c r="C621" s="38" t="inlineStr">
        <is>
          <t>São Bento da Abadá</t>
        </is>
      </c>
      <c r="D621" s="39">
        <f>IFERROR(CLASIF_D_M!$F$8,"")</f>
        <v/>
      </c>
      <c r="E621" s="40" t="n"/>
      <c r="F621" s="39">
        <f>IFERROR(CLASIF_D_M!$F$17,"")</f>
        <v/>
      </c>
      <c r="G621" s="40" t="n"/>
      <c r="H621" s="41" t="n"/>
      <c r="I621" s="42">
        <f>IF($H621="","",MAX(0,$H621-N($E621)))</f>
        <v/>
      </c>
      <c r="J621" s="42">
        <f>IF($H621="","",MAX(0,$H621-N($G621)))</f>
        <v/>
      </c>
    </row>
    <row r="622" ht="19.5" customHeight="1" s="72">
      <c r="A622" s="38" t="inlineStr">
        <is>
          <t>DM-OCT-P04-SIR</t>
        </is>
      </c>
      <c r="B622" s="38" t="inlineStr">
        <is>
          <t>Octavas</t>
        </is>
      </c>
      <c r="C622" s="38" t="inlineStr">
        <is>
          <t>Siriuna</t>
        </is>
      </c>
      <c r="D622" s="39">
        <f>IFERROR(CLASIF_D_M!$F$8,"")</f>
        <v/>
      </c>
      <c r="E622" s="40" t="n"/>
      <c r="F622" s="39">
        <f>IFERROR(CLASIF_D_M!$F$17,"")</f>
        <v/>
      </c>
      <c r="G622" s="40" t="n"/>
      <c r="H622" s="41" t="n"/>
      <c r="I622" s="42">
        <f>IF($H622="","",MAX(0,$H622-N($E622)))</f>
        <v/>
      </c>
      <c r="J622" s="42">
        <f>IF($H622="","",MAX(0,$H622-N($G622)))</f>
        <v/>
      </c>
    </row>
    <row r="623" ht="19.5" customHeight="1" s="72">
      <c r="A623" s="38" t="inlineStr">
        <is>
          <t>DM-OCT-P05-BEN</t>
        </is>
      </c>
      <c r="B623" s="38" t="inlineStr">
        <is>
          <t>Octavas</t>
        </is>
      </c>
      <c r="C623" s="38" t="inlineStr">
        <is>
          <t>Benguela</t>
        </is>
      </c>
      <c r="D623" s="39">
        <f>IFERROR(CLASIF_D_M!$F$9,"")</f>
        <v/>
      </c>
      <c r="E623" s="40" t="n"/>
      <c r="F623" s="39">
        <f>IFERROR(CLASIF_D_M!$F$16,"")</f>
        <v/>
      </c>
      <c r="G623" s="40" t="n"/>
      <c r="H623" s="41" t="n"/>
      <c r="I623" s="42">
        <f>IF($H623="","",MAX(0,$H623-N($E623)))</f>
        <v/>
      </c>
      <c r="J623" s="42">
        <f>IF($H623="","",MAX(0,$H623-N($G623)))</f>
        <v/>
      </c>
    </row>
    <row r="624" ht="19.5" customHeight="1" s="72">
      <c r="A624" s="38" t="inlineStr">
        <is>
          <t>DM-OCT-P05-SBA</t>
        </is>
      </c>
      <c r="B624" s="38" t="inlineStr">
        <is>
          <t>Octavas</t>
        </is>
      </c>
      <c r="C624" s="38" t="inlineStr">
        <is>
          <t>São Bento da Abadá</t>
        </is>
      </c>
      <c r="D624" s="39">
        <f>IFERROR(CLASIF_D_M!$F$9,"")</f>
        <v/>
      </c>
      <c r="E624" s="40" t="n"/>
      <c r="F624" s="39">
        <f>IFERROR(CLASIF_D_M!$F$16,"")</f>
        <v/>
      </c>
      <c r="G624" s="40" t="n"/>
      <c r="H624" s="41" t="n"/>
      <c r="I624" s="42">
        <f>IF($H624="","",MAX(0,$H624-N($E624)))</f>
        <v/>
      </c>
      <c r="J624" s="42">
        <f>IF($H624="","",MAX(0,$H624-N($G624)))</f>
        <v/>
      </c>
    </row>
    <row r="625" ht="19.5" customHeight="1" s="72">
      <c r="A625" s="38" t="inlineStr">
        <is>
          <t>DM-OCT-P05-SIR</t>
        </is>
      </c>
      <c r="B625" s="38" t="inlineStr">
        <is>
          <t>Octavas</t>
        </is>
      </c>
      <c r="C625" s="38" t="inlineStr">
        <is>
          <t>Siriuna</t>
        </is>
      </c>
      <c r="D625" s="39">
        <f>IFERROR(CLASIF_D_M!$F$9,"")</f>
        <v/>
      </c>
      <c r="E625" s="40" t="n"/>
      <c r="F625" s="39">
        <f>IFERROR(CLASIF_D_M!$F$16,"")</f>
        <v/>
      </c>
      <c r="G625" s="40" t="n"/>
      <c r="H625" s="41" t="n"/>
      <c r="I625" s="42">
        <f>IF($H625="","",MAX(0,$H625-N($E625)))</f>
        <v/>
      </c>
      <c r="J625" s="42">
        <f>IF($H625="","",MAX(0,$H625-N($G625)))</f>
        <v/>
      </c>
    </row>
    <row r="626" ht="19.5" customHeight="1" s="72">
      <c r="A626" s="38" t="inlineStr">
        <is>
          <t>DM-OCT-P06-BEN</t>
        </is>
      </c>
      <c r="B626" s="38" t="inlineStr">
        <is>
          <t>Octavas</t>
        </is>
      </c>
      <c r="C626" s="38" t="inlineStr">
        <is>
          <t>Benguela</t>
        </is>
      </c>
      <c r="D626" s="39">
        <f>IFERROR(CLASIF_D_M!$F$10,"")</f>
        <v/>
      </c>
      <c r="E626" s="40" t="n"/>
      <c r="F626" s="39">
        <f>IFERROR(CLASIF_D_M!$F$15,"")</f>
        <v/>
      </c>
      <c r="G626" s="40" t="n"/>
      <c r="H626" s="41" t="n"/>
      <c r="I626" s="42">
        <f>IF($H626="","",MAX(0,$H626-N($E626)))</f>
        <v/>
      </c>
      <c r="J626" s="42">
        <f>IF($H626="","",MAX(0,$H626-N($G626)))</f>
        <v/>
      </c>
    </row>
    <row r="627" ht="19.5" customHeight="1" s="72">
      <c r="A627" s="38" t="inlineStr">
        <is>
          <t>DM-OCT-P06-SBA</t>
        </is>
      </c>
      <c r="B627" s="38" t="inlineStr">
        <is>
          <t>Octavas</t>
        </is>
      </c>
      <c r="C627" s="38" t="inlineStr">
        <is>
          <t>São Bento da Abadá</t>
        </is>
      </c>
      <c r="D627" s="39">
        <f>IFERROR(CLASIF_D_M!$F$10,"")</f>
        <v/>
      </c>
      <c r="E627" s="40" t="n"/>
      <c r="F627" s="39">
        <f>IFERROR(CLASIF_D_M!$F$15,"")</f>
        <v/>
      </c>
      <c r="G627" s="40" t="n"/>
      <c r="H627" s="41" t="n"/>
      <c r="I627" s="42">
        <f>IF($H627="","",MAX(0,$H627-N($E627)))</f>
        <v/>
      </c>
      <c r="J627" s="42">
        <f>IF($H627="","",MAX(0,$H627-N($G627)))</f>
        <v/>
      </c>
    </row>
    <row r="628" ht="19.5" customHeight="1" s="72">
      <c r="A628" s="38" t="inlineStr">
        <is>
          <t>DM-OCT-P06-SIR</t>
        </is>
      </c>
      <c r="B628" s="38" t="inlineStr">
        <is>
          <t>Octavas</t>
        </is>
      </c>
      <c r="C628" s="38" t="inlineStr">
        <is>
          <t>Siriuna</t>
        </is>
      </c>
      <c r="D628" s="39">
        <f>IFERROR(CLASIF_D_M!$F$10,"")</f>
        <v/>
      </c>
      <c r="E628" s="40" t="n"/>
      <c r="F628" s="39">
        <f>IFERROR(CLASIF_D_M!$F$15,"")</f>
        <v/>
      </c>
      <c r="G628" s="40" t="n"/>
      <c r="H628" s="41" t="n"/>
      <c r="I628" s="42">
        <f>IF($H628="","",MAX(0,$H628-N($E628)))</f>
        <v/>
      </c>
      <c r="J628" s="42">
        <f>IF($H628="","",MAX(0,$H628-N($G628)))</f>
        <v/>
      </c>
    </row>
    <row r="629" ht="19.5" customHeight="1" s="72">
      <c r="A629" s="38" t="inlineStr">
        <is>
          <t>DM-OCT-P07-BEN</t>
        </is>
      </c>
      <c r="B629" s="38" t="inlineStr">
        <is>
          <t>Octavas</t>
        </is>
      </c>
      <c r="C629" s="38" t="inlineStr">
        <is>
          <t>Benguela</t>
        </is>
      </c>
      <c r="D629" s="39">
        <f>IFERROR(CLASIF_D_M!$F$11,"")</f>
        <v/>
      </c>
      <c r="E629" s="40" t="n"/>
      <c r="F629" s="39">
        <f>IFERROR(CLASIF_D_M!$F$14,"")</f>
        <v/>
      </c>
      <c r="G629" s="40" t="n"/>
      <c r="H629" s="41" t="n"/>
      <c r="I629" s="42">
        <f>IF($H629="","",MAX(0,$H629-N($E629)))</f>
        <v/>
      </c>
      <c r="J629" s="42">
        <f>IF($H629="","",MAX(0,$H629-N($G629)))</f>
        <v/>
      </c>
    </row>
    <row r="630" ht="19.5" customHeight="1" s="72">
      <c r="A630" s="38" t="inlineStr">
        <is>
          <t>DM-OCT-P07-SBA</t>
        </is>
      </c>
      <c r="B630" s="38" t="inlineStr">
        <is>
          <t>Octavas</t>
        </is>
      </c>
      <c r="C630" s="38" t="inlineStr">
        <is>
          <t>São Bento da Abadá</t>
        </is>
      </c>
      <c r="D630" s="39">
        <f>IFERROR(CLASIF_D_M!$F$11,"")</f>
        <v/>
      </c>
      <c r="E630" s="40" t="n"/>
      <c r="F630" s="39">
        <f>IFERROR(CLASIF_D_M!$F$14,"")</f>
        <v/>
      </c>
      <c r="G630" s="40" t="n"/>
      <c r="H630" s="41" t="n"/>
      <c r="I630" s="42">
        <f>IF($H630="","",MAX(0,$H630-N($E630)))</f>
        <v/>
      </c>
      <c r="J630" s="42">
        <f>IF($H630="","",MAX(0,$H630-N($G630)))</f>
        <v/>
      </c>
    </row>
    <row r="631" ht="19.5" customHeight="1" s="72">
      <c r="A631" s="38" t="inlineStr">
        <is>
          <t>DM-OCT-P07-SIR</t>
        </is>
      </c>
      <c r="B631" s="38" t="inlineStr">
        <is>
          <t>Octavas</t>
        </is>
      </c>
      <c r="C631" s="38" t="inlineStr">
        <is>
          <t>Siriuna</t>
        </is>
      </c>
      <c r="D631" s="39">
        <f>IFERROR(CLASIF_D_M!$F$11,"")</f>
        <v/>
      </c>
      <c r="E631" s="40" t="n"/>
      <c r="F631" s="39">
        <f>IFERROR(CLASIF_D_M!$F$14,"")</f>
        <v/>
      </c>
      <c r="G631" s="40" t="n"/>
      <c r="H631" s="41" t="n"/>
      <c r="I631" s="42">
        <f>IF($H631="","",MAX(0,$H631-N($E631)))</f>
        <v/>
      </c>
      <c r="J631" s="42">
        <f>IF($H631="","",MAX(0,$H631-N($G631)))</f>
        <v/>
      </c>
    </row>
    <row r="632" ht="19.5" customHeight="1" s="72">
      <c r="A632" s="38" t="inlineStr">
        <is>
          <t>DM-OCT-P08-BEN</t>
        </is>
      </c>
      <c r="B632" s="38" t="inlineStr">
        <is>
          <t>Octavas</t>
        </is>
      </c>
      <c r="C632" s="38" t="inlineStr">
        <is>
          <t>Benguela</t>
        </is>
      </c>
      <c r="D632" s="39">
        <f>IFERROR(CLASIF_D_M!$F$12,"")</f>
        <v/>
      </c>
      <c r="E632" s="40" t="n"/>
      <c r="F632" s="39">
        <f>IFERROR(CLASIF_D_M!$F$13,"")</f>
        <v/>
      </c>
      <c r="G632" s="40" t="n"/>
      <c r="H632" s="41" t="n"/>
      <c r="I632" s="42">
        <f>IF($H632="","",MAX(0,$H632-N($E632)))</f>
        <v/>
      </c>
      <c r="J632" s="42">
        <f>IF($H632="","",MAX(0,$H632-N($G632)))</f>
        <v/>
      </c>
    </row>
    <row r="633" ht="19.5" customHeight="1" s="72">
      <c r="A633" s="38" t="inlineStr">
        <is>
          <t>DM-OCT-P08-SBA</t>
        </is>
      </c>
      <c r="B633" s="38" t="inlineStr">
        <is>
          <t>Octavas</t>
        </is>
      </c>
      <c r="C633" s="38" t="inlineStr">
        <is>
          <t>São Bento da Abadá</t>
        </is>
      </c>
      <c r="D633" s="39">
        <f>IFERROR(CLASIF_D_M!$F$12,"")</f>
        <v/>
      </c>
      <c r="E633" s="40" t="n"/>
      <c r="F633" s="39">
        <f>IFERROR(CLASIF_D_M!$F$13,"")</f>
        <v/>
      </c>
      <c r="G633" s="40" t="n"/>
      <c r="H633" s="41" t="n"/>
      <c r="I633" s="42">
        <f>IF($H633="","",MAX(0,$H633-N($E633)))</f>
        <v/>
      </c>
      <c r="J633" s="42">
        <f>IF($H633="","",MAX(0,$H633-N($G633)))</f>
        <v/>
      </c>
    </row>
    <row r="634" ht="19.5" customHeight="1" s="72">
      <c r="A634" s="38" t="inlineStr">
        <is>
          <t>DM-OCT-P08-SIR</t>
        </is>
      </c>
      <c r="B634" s="38" t="inlineStr">
        <is>
          <t>Octavas</t>
        </is>
      </c>
      <c r="C634" s="38" t="inlineStr">
        <is>
          <t>Siriuna</t>
        </is>
      </c>
      <c r="D634" s="39">
        <f>IFERROR(CLASIF_D_M!$F$12,"")</f>
        <v/>
      </c>
      <c r="E634" s="40" t="n"/>
      <c r="F634" s="39">
        <f>IFERROR(CLASIF_D_M!$F$13,"")</f>
        <v/>
      </c>
      <c r="G634" s="40" t="n"/>
      <c r="H634" s="41" t="n"/>
      <c r="I634" s="42">
        <f>IF($H634="","",MAX(0,$H634-N($E634)))</f>
        <v/>
      </c>
      <c r="J634" s="42">
        <f>IF($H634="","",MAX(0,$H634-N($G634)))</f>
        <v/>
      </c>
    </row>
    <row r="635" ht="19.5" customHeight="1" s="72">
      <c r="A635" s="38" t="inlineStr">
        <is>
          <t>DM-SEM-P01-BEN</t>
        </is>
      </c>
      <c r="B635" s="38" t="inlineStr">
        <is>
          <t>Semifinal</t>
        </is>
      </c>
      <c r="C635" s="38" t="inlineStr">
        <is>
          <t>Benguela</t>
        </is>
      </c>
      <c r="D635" s="39">
        <f>IFERROR(CLASIF_D_M!$O$5,"")</f>
        <v/>
      </c>
      <c r="E635" s="40" t="n"/>
      <c r="F635" s="39">
        <f>IFERROR(CLASIF_D_M!$O$12,"")</f>
        <v/>
      </c>
      <c r="G635" s="40" t="n"/>
      <c r="H635" s="41" t="n"/>
      <c r="I635" s="42">
        <f>IF($H635="","",MAX(0,$H635-N($E635)))</f>
        <v/>
      </c>
      <c r="J635" s="42">
        <f>IF($H635="","",MAX(0,$H635-N($G635)))</f>
        <v/>
      </c>
    </row>
    <row r="636" ht="19.5" customHeight="1" s="72">
      <c r="A636" s="38" t="inlineStr">
        <is>
          <t>DM-SEM-P01-SBA</t>
        </is>
      </c>
      <c r="B636" s="38" t="inlineStr">
        <is>
          <t>Semifinal</t>
        </is>
      </c>
      <c r="C636" s="38" t="inlineStr">
        <is>
          <t>São Bento da Abadá</t>
        </is>
      </c>
      <c r="D636" s="39">
        <f>IFERROR(CLASIF_D_M!$O$5,"")</f>
        <v/>
      </c>
      <c r="E636" s="40" t="n"/>
      <c r="F636" s="39">
        <f>IFERROR(CLASIF_D_M!$O$12,"")</f>
        <v/>
      </c>
      <c r="G636" s="40" t="n"/>
      <c r="H636" s="41" t="n"/>
      <c r="I636" s="42">
        <f>IF($H636="","",MAX(0,$H636-N($E636)))</f>
        <v/>
      </c>
      <c r="J636" s="42">
        <f>IF($H636="","",MAX(0,$H636-N($G636)))</f>
        <v/>
      </c>
    </row>
    <row r="637" ht="19.5" customHeight="1" s="72">
      <c r="A637" s="38" t="inlineStr">
        <is>
          <t>DM-SEM-P01-SIR</t>
        </is>
      </c>
      <c r="B637" s="38" t="inlineStr">
        <is>
          <t>Semifinal</t>
        </is>
      </c>
      <c r="C637" s="38" t="inlineStr">
        <is>
          <t>Siriuna</t>
        </is>
      </c>
      <c r="D637" s="39">
        <f>IFERROR(CLASIF_D_M!$O$5,"")</f>
        <v/>
      </c>
      <c r="E637" s="40" t="n"/>
      <c r="F637" s="39">
        <f>IFERROR(CLASIF_D_M!$O$12,"")</f>
        <v/>
      </c>
      <c r="G637" s="40" t="n"/>
      <c r="H637" s="41" t="n"/>
      <c r="I637" s="42">
        <f>IF($H637="","",MAX(0,$H637-N($E637)))</f>
        <v/>
      </c>
      <c r="J637" s="42">
        <f>IF($H637="","",MAX(0,$H637-N($G637)))</f>
        <v/>
      </c>
    </row>
    <row r="638" ht="19.5" customHeight="1" s="72">
      <c r="A638" s="38" t="inlineStr">
        <is>
          <t>DM-SEM-P02-BEN</t>
        </is>
      </c>
      <c r="B638" s="38" t="inlineStr">
        <is>
          <t>Semifinal</t>
        </is>
      </c>
      <c r="C638" s="38" t="inlineStr">
        <is>
          <t>Benguela</t>
        </is>
      </c>
      <c r="D638" s="39">
        <f>IFERROR(CLASIF_D_M!$O$6,"")</f>
        <v/>
      </c>
      <c r="E638" s="40" t="n"/>
      <c r="F638" s="39">
        <f>IFERROR(CLASIF_D_M!$O$11,"")</f>
        <v/>
      </c>
      <c r="G638" s="40" t="n"/>
      <c r="H638" s="41" t="n"/>
      <c r="I638" s="42">
        <f>IF($H638="","",MAX(0,$H638-N($E638)))</f>
        <v/>
      </c>
      <c r="J638" s="42">
        <f>IF($H638="","",MAX(0,$H638-N($G638)))</f>
        <v/>
      </c>
    </row>
    <row r="639" ht="19.5" customHeight="1" s="72">
      <c r="A639" s="38" t="inlineStr">
        <is>
          <t>DM-SEM-P02-SBA</t>
        </is>
      </c>
      <c r="B639" s="38" t="inlineStr">
        <is>
          <t>Semifinal</t>
        </is>
      </c>
      <c r="C639" s="38" t="inlineStr">
        <is>
          <t>São Bento da Abadá</t>
        </is>
      </c>
      <c r="D639" s="39">
        <f>IFERROR(CLASIF_D_M!$O$6,"")</f>
        <v/>
      </c>
      <c r="E639" s="40" t="n"/>
      <c r="F639" s="39">
        <f>IFERROR(CLASIF_D_M!$O$11,"")</f>
        <v/>
      </c>
      <c r="G639" s="40" t="n"/>
      <c r="H639" s="41" t="n"/>
      <c r="I639" s="42">
        <f>IF($H639="","",MAX(0,$H639-N($E639)))</f>
        <v/>
      </c>
      <c r="J639" s="42">
        <f>IF($H639="","",MAX(0,$H639-N($G639)))</f>
        <v/>
      </c>
    </row>
    <row r="640" ht="19.5" customHeight="1" s="72">
      <c r="A640" s="38" t="inlineStr">
        <is>
          <t>DM-SEM-P02-SIR</t>
        </is>
      </c>
      <c r="B640" s="38" t="inlineStr">
        <is>
          <t>Semifinal</t>
        </is>
      </c>
      <c r="C640" s="38" t="inlineStr">
        <is>
          <t>Siriuna</t>
        </is>
      </c>
      <c r="D640" s="39">
        <f>IFERROR(CLASIF_D_M!$O$6,"")</f>
        <v/>
      </c>
      <c r="E640" s="40" t="n"/>
      <c r="F640" s="39">
        <f>IFERROR(CLASIF_D_M!$O$11,"")</f>
        <v/>
      </c>
      <c r="G640" s="40" t="n"/>
      <c r="H640" s="41" t="n"/>
      <c r="I640" s="42">
        <f>IF($H640="","",MAX(0,$H640-N($E640)))</f>
        <v/>
      </c>
      <c r="J640" s="42">
        <f>IF($H640="","",MAX(0,$H640-N($G640)))</f>
        <v/>
      </c>
    </row>
    <row r="641" ht="19.5" customHeight="1" s="72">
      <c r="A641" s="38" t="inlineStr">
        <is>
          <t>DM-SEM-P03-BEN</t>
        </is>
      </c>
      <c r="B641" s="38" t="inlineStr">
        <is>
          <t>Semifinal</t>
        </is>
      </c>
      <c r="C641" s="38" t="inlineStr">
        <is>
          <t>Benguela</t>
        </is>
      </c>
      <c r="D641" s="39">
        <f>IFERROR(CLASIF_D_M!$O$7,"")</f>
        <v/>
      </c>
      <c r="E641" s="40" t="n"/>
      <c r="F641" s="39">
        <f>IFERROR(CLASIF_D_M!$O$10,"")</f>
        <v/>
      </c>
      <c r="G641" s="40" t="n"/>
      <c r="H641" s="41" t="n"/>
      <c r="I641" s="42">
        <f>IF($H641="","",MAX(0,$H641-N($E641)))</f>
        <v/>
      </c>
      <c r="J641" s="42">
        <f>IF($H641="","",MAX(0,$H641-N($G641)))</f>
        <v/>
      </c>
    </row>
    <row r="642" ht="19.5" customHeight="1" s="72">
      <c r="A642" s="38" t="inlineStr">
        <is>
          <t>DM-SEM-P03-SBA</t>
        </is>
      </c>
      <c r="B642" s="38" t="inlineStr">
        <is>
          <t>Semifinal</t>
        </is>
      </c>
      <c r="C642" s="38" t="inlineStr">
        <is>
          <t>São Bento da Abadá</t>
        </is>
      </c>
      <c r="D642" s="39">
        <f>IFERROR(CLASIF_D_M!$O$7,"")</f>
        <v/>
      </c>
      <c r="E642" s="40" t="n"/>
      <c r="F642" s="39">
        <f>IFERROR(CLASIF_D_M!$O$10,"")</f>
        <v/>
      </c>
      <c r="G642" s="40" t="n"/>
      <c r="H642" s="41" t="n"/>
      <c r="I642" s="42">
        <f>IF($H642="","",MAX(0,$H642-N($E642)))</f>
        <v/>
      </c>
      <c r="J642" s="42">
        <f>IF($H642="","",MAX(0,$H642-N($G642)))</f>
        <v/>
      </c>
    </row>
    <row r="643" ht="19.5" customHeight="1" s="72">
      <c r="A643" s="38" t="inlineStr">
        <is>
          <t>DM-SEM-P03-SIR</t>
        </is>
      </c>
      <c r="B643" s="38" t="inlineStr">
        <is>
          <t>Semifinal</t>
        </is>
      </c>
      <c r="C643" s="38" t="inlineStr">
        <is>
          <t>Siriuna</t>
        </is>
      </c>
      <c r="D643" s="39">
        <f>IFERROR(CLASIF_D_M!$O$7,"")</f>
        <v/>
      </c>
      <c r="E643" s="40" t="n"/>
      <c r="F643" s="39">
        <f>IFERROR(CLASIF_D_M!$O$10,"")</f>
        <v/>
      </c>
      <c r="G643" s="40" t="n"/>
      <c r="H643" s="41" t="n"/>
      <c r="I643" s="42">
        <f>IF($H643="","",MAX(0,$H643-N($E643)))</f>
        <v/>
      </c>
      <c r="J643" s="42">
        <f>IF($H643="","",MAX(0,$H643-N($G643)))</f>
        <v/>
      </c>
    </row>
    <row r="644" ht="19.5" customHeight="1" s="72">
      <c r="A644" s="38" t="inlineStr">
        <is>
          <t>DM-SEM-P04-BEN</t>
        </is>
      </c>
      <c r="B644" s="38" t="inlineStr">
        <is>
          <t>Semifinal</t>
        </is>
      </c>
      <c r="C644" s="38" t="inlineStr">
        <is>
          <t>Benguela</t>
        </is>
      </c>
      <c r="D644" s="39">
        <f>IFERROR(CLASIF_D_M!$O$8,"")</f>
        <v/>
      </c>
      <c r="E644" s="40" t="n"/>
      <c r="F644" s="39">
        <f>IFERROR(CLASIF_D_M!$O$9,"")</f>
        <v/>
      </c>
      <c r="G644" s="40" t="n"/>
      <c r="H644" s="41" t="n"/>
      <c r="I644" s="42">
        <f>IF($H644="","",MAX(0,$H644-N($E644)))</f>
        <v/>
      </c>
      <c r="J644" s="42">
        <f>IF($H644="","",MAX(0,$H644-N($G644)))</f>
        <v/>
      </c>
    </row>
    <row r="645" ht="19.5" customHeight="1" s="72">
      <c r="A645" s="38" t="inlineStr">
        <is>
          <t>DM-SEM-P04-SBA</t>
        </is>
      </c>
      <c r="B645" s="38" t="inlineStr">
        <is>
          <t>Semifinal</t>
        </is>
      </c>
      <c r="C645" s="38" t="inlineStr">
        <is>
          <t>São Bento da Abadá</t>
        </is>
      </c>
      <c r="D645" s="39">
        <f>IFERROR(CLASIF_D_M!$O$8,"")</f>
        <v/>
      </c>
      <c r="E645" s="40" t="n"/>
      <c r="F645" s="39">
        <f>IFERROR(CLASIF_D_M!$O$9,"")</f>
        <v/>
      </c>
      <c r="G645" s="40" t="n"/>
      <c r="H645" s="41" t="n"/>
      <c r="I645" s="42">
        <f>IF($H645="","",MAX(0,$H645-N($E645)))</f>
        <v/>
      </c>
      <c r="J645" s="42">
        <f>IF($H645="","",MAX(0,$H645-N($G645)))</f>
        <v/>
      </c>
    </row>
    <row r="646" ht="19.5" customHeight="1" s="72">
      <c r="A646" s="38" t="inlineStr">
        <is>
          <t>DM-SEM-P04-SIR</t>
        </is>
      </c>
      <c r="B646" s="38" t="inlineStr">
        <is>
          <t>Semifinal</t>
        </is>
      </c>
      <c r="C646" s="38" t="inlineStr">
        <is>
          <t>Siriuna</t>
        </is>
      </c>
      <c r="D646" s="39">
        <f>IFERROR(CLASIF_D_M!$O$8,"")</f>
        <v/>
      </c>
      <c r="E646" s="40" t="n"/>
      <c r="F646" s="39">
        <f>IFERROR(CLASIF_D_M!$O$9,"")</f>
        <v/>
      </c>
      <c r="G646" s="40" t="n"/>
      <c r="H646" s="41" t="n"/>
      <c r="I646" s="42">
        <f>IF($H646="","",MAX(0,$H646-N($E646)))</f>
        <v/>
      </c>
      <c r="J646" s="42">
        <f>IF($H646="","",MAX(0,$H646-N($G646)))</f>
        <v/>
      </c>
    </row>
    <row r="647" ht="19.5" customHeight="1" s="72">
      <c r="A647" s="38" t="inlineStr">
        <is>
          <t>DM-FIN-P01-BEN</t>
        </is>
      </c>
      <c r="B647" s="38" t="inlineStr">
        <is>
          <t>Final</t>
        </is>
      </c>
      <c r="C647" s="38" t="inlineStr">
        <is>
          <t>Benguela</t>
        </is>
      </c>
      <c r="D647" s="39">
        <f>IFERROR(CLASIF_D_M!$X$5,"")</f>
        <v/>
      </c>
      <c r="E647" s="40" t="n"/>
      <c r="F647" s="39">
        <f>IFERROR(CLASIF_D_M!$X$8,"")</f>
        <v/>
      </c>
      <c r="G647" s="40" t="n"/>
      <c r="H647" s="41" t="n"/>
      <c r="I647" s="42">
        <f>IF($H647="","",MAX(0,$H647-N($E647)))</f>
        <v/>
      </c>
      <c r="J647" s="42">
        <f>IF($H647="","",MAX(0,$H647-N($G647)))</f>
        <v/>
      </c>
    </row>
    <row r="648" ht="19.5" customHeight="1" s="72">
      <c r="A648" s="38" t="inlineStr">
        <is>
          <t>DM-FIN-P01-SBA</t>
        </is>
      </c>
      <c r="B648" s="38" t="inlineStr">
        <is>
          <t>Final</t>
        </is>
      </c>
      <c r="C648" s="38" t="inlineStr">
        <is>
          <t>São Bento da Abadá</t>
        </is>
      </c>
      <c r="D648" s="39">
        <f>IFERROR(CLASIF_D_M!$X$5,"")</f>
        <v/>
      </c>
      <c r="E648" s="40" t="n"/>
      <c r="F648" s="39">
        <f>IFERROR(CLASIF_D_M!$X$8,"")</f>
        <v/>
      </c>
      <c r="G648" s="40" t="n"/>
      <c r="H648" s="41" t="n"/>
      <c r="I648" s="42">
        <f>IF($H648="","",MAX(0,$H648-N($E648)))</f>
        <v/>
      </c>
      <c r="J648" s="42">
        <f>IF($H648="","",MAX(0,$H648-N($G648)))</f>
        <v/>
      </c>
    </row>
    <row r="649" ht="19.5" customHeight="1" s="72">
      <c r="A649" s="38" t="inlineStr">
        <is>
          <t>DM-FIN-P01-SIR</t>
        </is>
      </c>
      <c r="B649" s="38" t="inlineStr">
        <is>
          <t>Final</t>
        </is>
      </c>
      <c r="C649" s="38" t="inlineStr">
        <is>
          <t>Siriuna</t>
        </is>
      </c>
      <c r="D649" s="39">
        <f>IFERROR(CLASIF_D_M!$X$5,"")</f>
        <v/>
      </c>
      <c r="E649" s="40" t="n"/>
      <c r="F649" s="39">
        <f>IFERROR(CLASIF_D_M!$X$8,"")</f>
        <v/>
      </c>
      <c r="G649" s="40" t="n"/>
      <c r="H649" s="41" t="n"/>
      <c r="I649" s="42">
        <f>IF($H649="","",MAX(0,$H649-N($E649)))</f>
        <v/>
      </c>
      <c r="J649" s="42">
        <f>IF($H649="","",MAX(0,$H649-N($G649)))</f>
        <v/>
      </c>
    </row>
    <row r="650" ht="19.5" customHeight="1" s="72">
      <c r="A650" s="38" t="inlineStr">
        <is>
          <t>DM-FIN-P02-BEN</t>
        </is>
      </c>
      <c r="B650" s="38" t="inlineStr">
        <is>
          <t>Final</t>
        </is>
      </c>
      <c r="C650" s="38" t="inlineStr">
        <is>
          <t>Benguela</t>
        </is>
      </c>
      <c r="D650" s="39">
        <f>IFERROR(CLASIF_D_M!$X$6,"")</f>
        <v/>
      </c>
      <c r="E650" s="40" t="n"/>
      <c r="F650" s="39">
        <f>IFERROR(CLASIF_D_M!$X$7,"")</f>
        <v/>
      </c>
      <c r="G650" s="40" t="n"/>
      <c r="H650" s="41" t="n"/>
      <c r="I650" s="42">
        <f>IF($H650="","",MAX(0,$H650-N($E650)))</f>
        <v/>
      </c>
      <c r="J650" s="42">
        <f>IF($H650="","",MAX(0,$H650-N($G650)))</f>
        <v/>
      </c>
    </row>
    <row r="651" ht="19.5" customHeight="1" s="72">
      <c r="A651" s="38" t="inlineStr">
        <is>
          <t>DM-FIN-P02-SBA</t>
        </is>
      </c>
      <c r="B651" s="38" t="inlineStr">
        <is>
          <t>Final</t>
        </is>
      </c>
      <c r="C651" s="38" t="inlineStr">
        <is>
          <t>São Bento da Abadá</t>
        </is>
      </c>
      <c r="D651" s="39">
        <f>IFERROR(CLASIF_D_M!$X$6,"")</f>
        <v/>
      </c>
      <c r="E651" s="40" t="n"/>
      <c r="F651" s="39">
        <f>IFERROR(CLASIF_D_M!$X$7,"")</f>
        <v/>
      </c>
      <c r="G651" s="40" t="n"/>
      <c r="H651" s="41" t="n"/>
      <c r="I651" s="42">
        <f>IF($H651="","",MAX(0,$H651-N($E651)))</f>
        <v/>
      </c>
      <c r="J651" s="42">
        <f>IF($H651="","",MAX(0,$H651-N($G651)))</f>
        <v/>
      </c>
    </row>
    <row r="652" ht="19.5" customHeight="1" s="72">
      <c r="A652" s="38" t="inlineStr">
        <is>
          <t>DM-FIN-P02-SIR</t>
        </is>
      </c>
      <c r="B652" s="38" t="inlineStr">
        <is>
          <t>Final</t>
        </is>
      </c>
      <c r="C652" s="38" t="inlineStr">
        <is>
          <t>Siriuna</t>
        </is>
      </c>
      <c r="D652" s="39">
        <f>IFERROR(CLASIF_D_M!$X$6,"")</f>
        <v/>
      </c>
      <c r="E652" s="40" t="n"/>
      <c r="F652" s="39">
        <f>IFERROR(CLASIF_D_M!$X$7,"")</f>
        <v/>
      </c>
      <c r="G652" s="40" t="n"/>
      <c r="H652" s="41" t="n"/>
      <c r="I652" s="42">
        <f>IF($H652="","",MAX(0,$H652-N($E652)))</f>
        <v/>
      </c>
      <c r="J652" s="42">
        <f>IF($H652="","",MAX(0,$H652-N($G652)))</f>
        <v/>
      </c>
    </row>
    <row r="653" ht="19.5" customHeight="1" s="72">
      <c r="A653" s="43" t="n"/>
      <c r="B653" s="43" t="n"/>
      <c r="C653" s="43" t="n"/>
      <c r="D653" s="43" t="n"/>
      <c r="E653" s="43" t="n"/>
      <c r="F653" s="43" t="n"/>
      <c r="G653" s="43" t="n"/>
      <c r="H653" s="44" t="n"/>
      <c r="I653" s="43">
        <f>IF($H653="","",MAX(0,$H653-N($E653)))</f>
        <v/>
      </c>
      <c r="J653" s="43">
        <f>IF($H653="","",MAX(0,$H653-N($G653)))</f>
        <v/>
      </c>
    </row>
    <row r="654" ht="19.5" customHeight="1" s="72">
      <c r="A654" s="83" t="inlineStr">
        <is>
          <t>═══ CATEGORÍA D · Femenino · Azul (Graduados) · Toques: Benguela, São Bento da Abadá, Siriuna ═══</t>
        </is>
      </c>
    </row>
    <row r="655" ht="19.5" customHeight="1" s="72">
      <c r="A655" s="45" t="inlineStr">
        <is>
          <t>Jogo</t>
        </is>
      </c>
      <c r="B655" s="45" t="inlineStr">
        <is>
          <t>Fase</t>
        </is>
      </c>
      <c r="C655" s="45" t="inlineStr">
        <is>
          <t>Toque</t>
        </is>
      </c>
      <c r="D655" s="45" t="inlineStr">
        <is>
          <t>Jugador A</t>
        </is>
      </c>
      <c r="E655" s="45" t="inlineStr">
        <is>
          <t>Quita A</t>
        </is>
      </c>
      <c r="F655" s="45" t="inlineStr">
        <is>
          <t>Jugador B</t>
        </is>
      </c>
      <c r="G655" s="45" t="inlineStr">
        <is>
          <t>Quita B</t>
        </is>
      </c>
      <c r="H655" s="45" t="inlineStr">
        <is>
          <t>NOTA (0-5)</t>
        </is>
      </c>
      <c r="I655" s="45">
        <f>IF($H655="","",MAX(0,$H655-N($E655)))</f>
        <v/>
      </c>
      <c r="J655" s="45">
        <f>IF($H655="","",MAX(0,$H655-N($G655)))</f>
        <v/>
      </c>
    </row>
    <row r="656" ht="19.5" customHeight="1" s="72">
      <c r="A656" s="38" t="inlineStr">
        <is>
          <t>DF-32-P01-BEN</t>
        </is>
      </c>
      <c r="B656" s="38" t="inlineStr">
        <is>
          <t>Fase 32</t>
        </is>
      </c>
      <c r="C656" s="38" t="inlineStr">
        <is>
          <t>Benguela</t>
        </is>
      </c>
      <c r="D656" s="39" t="inlineStr">
        <is>
          <t>A_D_F_32_P1</t>
        </is>
      </c>
      <c r="E656" s="40" t="n"/>
      <c r="F656" s="39" t="inlineStr">
        <is>
          <t>B_D_F_32_P1</t>
        </is>
      </c>
      <c r="G656" s="40" t="n"/>
      <c r="H656" s="41" t="n"/>
      <c r="I656" s="42">
        <f>IF($H656="","",MAX(0,$H656-N($E656)))</f>
        <v/>
      </c>
      <c r="J656" s="42">
        <f>IF($H656="","",MAX(0,$H656-N($G656)))</f>
        <v/>
      </c>
    </row>
    <row r="657" ht="19.5" customHeight="1" s="72">
      <c r="A657" s="38" t="inlineStr">
        <is>
          <t>DF-32-P01-SBA</t>
        </is>
      </c>
      <c r="B657" s="38" t="inlineStr">
        <is>
          <t>Fase 32</t>
        </is>
      </c>
      <c r="C657" s="38" t="inlineStr">
        <is>
          <t>São Bento da Abadá</t>
        </is>
      </c>
      <c r="D657" s="39" t="inlineStr">
        <is>
          <t>A_D_F_32_P1</t>
        </is>
      </c>
      <c r="E657" s="40" t="n"/>
      <c r="F657" s="39" t="inlineStr">
        <is>
          <t>B_D_F_32_P1</t>
        </is>
      </c>
      <c r="G657" s="40" t="n"/>
      <c r="H657" s="41" t="n"/>
      <c r="I657" s="42">
        <f>IF($H657="","",MAX(0,$H657-N($E657)))</f>
        <v/>
      </c>
      <c r="J657" s="42">
        <f>IF($H657="","",MAX(0,$H657-N($G657)))</f>
        <v/>
      </c>
    </row>
    <row r="658" ht="19.5" customHeight="1" s="72">
      <c r="A658" s="38" t="inlineStr">
        <is>
          <t>DF-32-P01-SIR</t>
        </is>
      </c>
      <c r="B658" s="38" t="inlineStr">
        <is>
          <t>Fase 32</t>
        </is>
      </c>
      <c r="C658" s="38" t="inlineStr">
        <is>
          <t>Siriuna</t>
        </is>
      </c>
      <c r="D658" s="39" t="inlineStr">
        <is>
          <t>A_D_F_32_P1</t>
        </is>
      </c>
      <c r="E658" s="40" t="n"/>
      <c r="F658" s="39" t="inlineStr">
        <is>
          <t>B_D_F_32_P1</t>
        </is>
      </c>
      <c r="G658" s="40" t="n"/>
      <c r="H658" s="41" t="n"/>
      <c r="I658" s="42">
        <f>IF($H658="","",MAX(0,$H658-N($E658)))</f>
        <v/>
      </c>
      <c r="J658" s="42">
        <f>IF($H658="","",MAX(0,$H658-N($G658)))</f>
        <v/>
      </c>
    </row>
    <row r="659" ht="19.5" customHeight="1" s="72">
      <c r="A659" s="38" t="inlineStr">
        <is>
          <t>DF-32-P02-BEN</t>
        </is>
      </c>
      <c r="B659" s="38" t="inlineStr">
        <is>
          <t>Fase 32</t>
        </is>
      </c>
      <c r="C659" s="38" t="inlineStr">
        <is>
          <t>Benguela</t>
        </is>
      </c>
      <c r="D659" s="39" t="inlineStr">
        <is>
          <t>A_D_F_32_P2</t>
        </is>
      </c>
      <c r="E659" s="40" t="n"/>
      <c r="F659" s="39" t="inlineStr">
        <is>
          <t>B_D_F_32_P2</t>
        </is>
      </c>
      <c r="G659" s="40" t="n"/>
      <c r="H659" s="41" t="n"/>
      <c r="I659" s="42">
        <f>IF($H659="","",MAX(0,$H659-N($E659)))</f>
        <v/>
      </c>
      <c r="J659" s="42">
        <f>IF($H659="","",MAX(0,$H659-N($G659)))</f>
        <v/>
      </c>
    </row>
    <row r="660" ht="19.5" customHeight="1" s="72">
      <c r="A660" s="38" t="inlineStr">
        <is>
          <t>DF-32-P02-SBA</t>
        </is>
      </c>
      <c r="B660" s="38" t="inlineStr">
        <is>
          <t>Fase 32</t>
        </is>
      </c>
      <c r="C660" s="38" t="inlineStr">
        <is>
          <t>São Bento da Abadá</t>
        </is>
      </c>
      <c r="D660" s="39" t="inlineStr">
        <is>
          <t>A_D_F_32_P2</t>
        </is>
      </c>
      <c r="E660" s="40" t="n"/>
      <c r="F660" s="39" t="inlineStr">
        <is>
          <t>B_D_F_32_P2</t>
        </is>
      </c>
      <c r="G660" s="40" t="n"/>
      <c r="H660" s="41" t="n"/>
      <c r="I660" s="42">
        <f>IF($H660="","",MAX(0,$H660-N($E660)))</f>
        <v/>
      </c>
      <c r="J660" s="42">
        <f>IF($H660="","",MAX(0,$H660-N($G660)))</f>
        <v/>
      </c>
    </row>
    <row r="661" ht="19.5" customHeight="1" s="72">
      <c r="A661" s="38" t="inlineStr">
        <is>
          <t>DF-32-P02-SIR</t>
        </is>
      </c>
      <c r="B661" s="38" t="inlineStr">
        <is>
          <t>Fase 32</t>
        </is>
      </c>
      <c r="C661" s="38" t="inlineStr">
        <is>
          <t>Siriuna</t>
        </is>
      </c>
      <c r="D661" s="39" t="inlineStr">
        <is>
          <t>A_D_F_32_P2</t>
        </is>
      </c>
      <c r="E661" s="40" t="n"/>
      <c r="F661" s="39" t="inlineStr">
        <is>
          <t>B_D_F_32_P2</t>
        </is>
      </c>
      <c r="G661" s="40" t="n"/>
      <c r="H661" s="41" t="n"/>
      <c r="I661" s="42">
        <f>IF($H661="","",MAX(0,$H661-N($E661)))</f>
        <v/>
      </c>
      <c r="J661" s="42">
        <f>IF($H661="","",MAX(0,$H661-N($G661)))</f>
        <v/>
      </c>
    </row>
    <row r="662" ht="19.5" customHeight="1" s="72">
      <c r="A662" s="38" t="inlineStr">
        <is>
          <t>DF-32-P03-BEN</t>
        </is>
      </c>
      <c r="B662" s="38" t="inlineStr">
        <is>
          <t>Fase 32</t>
        </is>
      </c>
      <c r="C662" s="38" t="inlineStr">
        <is>
          <t>Benguela</t>
        </is>
      </c>
      <c r="D662" s="39" t="inlineStr">
        <is>
          <t>A_D_F_32_P3</t>
        </is>
      </c>
      <c r="E662" s="40" t="n"/>
      <c r="F662" s="39" t="inlineStr">
        <is>
          <t>B_D_F_32_P3</t>
        </is>
      </c>
      <c r="G662" s="40" t="n"/>
      <c r="H662" s="41" t="n"/>
      <c r="I662" s="42">
        <f>IF($H662="","",MAX(0,$H662-N($E662)))</f>
        <v/>
      </c>
      <c r="J662" s="42">
        <f>IF($H662="","",MAX(0,$H662-N($G662)))</f>
        <v/>
      </c>
    </row>
    <row r="663" ht="19.5" customHeight="1" s="72">
      <c r="A663" s="38" t="inlineStr">
        <is>
          <t>DF-32-P03-SBA</t>
        </is>
      </c>
      <c r="B663" s="38" t="inlineStr">
        <is>
          <t>Fase 32</t>
        </is>
      </c>
      <c r="C663" s="38" t="inlineStr">
        <is>
          <t>São Bento da Abadá</t>
        </is>
      </c>
      <c r="D663" s="39" t="inlineStr">
        <is>
          <t>A_D_F_32_P3</t>
        </is>
      </c>
      <c r="E663" s="40" t="n"/>
      <c r="F663" s="39" t="inlineStr">
        <is>
          <t>B_D_F_32_P3</t>
        </is>
      </c>
      <c r="G663" s="40" t="n"/>
      <c r="H663" s="41" t="n"/>
      <c r="I663" s="42">
        <f>IF($H663="","",MAX(0,$H663-N($E663)))</f>
        <v/>
      </c>
      <c r="J663" s="42">
        <f>IF($H663="","",MAX(0,$H663-N($G663)))</f>
        <v/>
      </c>
    </row>
    <row r="664" ht="19.5" customHeight="1" s="72">
      <c r="A664" s="38" t="inlineStr">
        <is>
          <t>DF-32-P03-SIR</t>
        </is>
      </c>
      <c r="B664" s="38" t="inlineStr">
        <is>
          <t>Fase 32</t>
        </is>
      </c>
      <c r="C664" s="38" t="inlineStr">
        <is>
          <t>Siriuna</t>
        </is>
      </c>
      <c r="D664" s="39" t="inlineStr">
        <is>
          <t>A_D_F_32_P3</t>
        </is>
      </c>
      <c r="E664" s="40" t="n"/>
      <c r="F664" s="39" t="inlineStr">
        <is>
          <t>B_D_F_32_P3</t>
        </is>
      </c>
      <c r="G664" s="40" t="n"/>
      <c r="H664" s="41" t="n"/>
      <c r="I664" s="42">
        <f>IF($H664="","",MAX(0,$H664-N($E664)))</f>
        <v/>
      </c>
      <c r="J664" s="42">
        <f>IF($H664="","",MAX(0,$H664-N($G664)))</f>
        <v/>
      </c>
    </row>
    <row r="665" ht="19.5" customHeight="1" s="72">
      <c r="A665" s="38" t="inlineStr">
        <is>
          <t>DF-32-P04-BEN</t>
        </is>
      </c>
      <c r="B665" s="38" t="inlineStr">
        <is>
          <t>Fase 32</t>
        </is>
      </c>
      <c r="C665" s="38" t="inlineStr">
        <is>
          <t>Benguela</t>
        </is>
      </c>
      <c r="D665" s="39" t="inlineStr">
        <is>
          <t>A_D_F_32_P4</t>
        </is>
      </c>
      <c r="E665" s="40" t="n"/>
      <c r="F665" s="39" t="inlineStr">
        <is>
          <t>B_D_F_32_P4</t>
        </is>
      </c>
      <c r="G665" s="40" t="n"/>
      <c r="H665" s="41" t="n"/>
      <c r="I665" s="42">
        <f>IF($H665="","",MAX(0,$H665-N($E665)))</f>
        <v/>
      </c>
      <c r="J665" s="42">
        <f>IF($H665="","",MAX(0,$H665-N($G665)))</f>
        <v/>
      </c>
    </row>
    <row r="666" ht="19.5" customHeight="1" s="72">
      <c r="A666" s="38" t="inlineStr">
        <is>
          <t>DF-32-P04-SBA</t>
        </is>
      </c>
      <c r="B666" s="38" t="inlineStr">
        <is>
          <t>Fase 32</t>
        </is>
      </c>
      <c r="C666" s="38" t="inlineStr">
        <is>
          <t>São Bento da Abadá</t>
        </is>
      </c>
      <c r="D666" s="39" t="inlineStr">
        <is>
          <t>A_D_F_32_P4</t>
        </is>
      </c>
      <c r="E666" s="40" t="n"/>
      <c r="F666" s="39" t="inlineStr">
        <is>
          <t>B_D_F_32_P4</t>
        </is>
      </c>
      <c r="G666" s="40" t="n"/>
      <c r="H666" s="41" t="n"/>
      <c r="I666" s="42">
        <f>IF($H666="","",MAX(0,$H666-N($E666)))</f>
        <v/>
      </c>
      <c r="J666" s="42">
        <f>IF($H666="","",MAX(0,$H666-N($G666)))</f>
        <v/>
      </c>
    </row>
    <row r="667" ht="19.5" customHeight="1" s="72">
      <c r="A667" s="38" t="inlineStr">
        <is>
          <t>DF-32-P04-SIR</t>
        </is>
      </c>
      <c r="B667" s="38" t="inlineStr">
        <is>
          <t>Fase 32</t>
        </is>
      </c>
      <c r="C667" s="38" t="inlineStr">
        <is>
          <t>Siriuna</t>
        </is>
      </c>
      <c r="D667" s="39" t="inlineStr">
        <is>
          <t>A_D_F_32_P4</t>
        </is>
      </c>
      <c r="E667" s="40" t="n"/>
      <c r="F667" s="39" t="inlineStr">
        <is>
          <t>B_D_F_32_P4</t>
        </is>
      </c>
      <c r="G667" s="40" t="n"/>
      <c r="H667" s="41" t="n"/>
      <c r="I667" s="42">
        <f>IF($H667="","",MAX(0,$H667-N($E667)))</f>
        <v/>
      </c>
      <c r="J667" s="42">
        <f>IF($H667="","",MAX(0,$H667-N($G667)))</f>
        <v/>
      </c>
    </row>
    <row r="668" ht="19.5" customHeight="1" s="72">
      <c r="A668" s="38" t="inlineStr">
        <is>
          <t>DF-32-P05-BEN</t>
        </is>
      </c>
      <c r="B668" s="38" t="inlineStr">
        <is>
          <t>Fase 32</t>
        </is>
      </c>
      <c r="C668" s="38" t="inlineStr">
        <is>
          <t>Benguela</t>
        </is>
      </c>
      <c r="D668" s="39" t="inlineStr">
        <is>
          <t>A_D_F_32_P5</t>
        </is>
      </c>
      <c r="E668" s="40" t="n"/>
      <c r="F668" s="39" t="inlineStr">
        <is>
          <t>B_D_F_32_P5</t>
        </is>
      </c>
      <c r="G668" s="40" t="n"/>
      <c r="H668" s="41" t="n"/>
      <c r="I668" s="42">
        <f>IF($H668="","",MAX(0,$H668-N($E668)))</f>
        <v/>
      </c>
      <c r="J668" s="42">
        <f>IF($H668="","",MAX(0,$H668-N($G668)))</f>
        <v/>
      </c>
    </row>
    <row r="669" ht="19.5" customHeight="1" s="72">
      <c r="A669" s="38" t="inlineStr">
        <is>
          <t>DF-32-P05-SBA</t>
        </is>
      </c>
      <c r="B669" s="38" t="inlineStr">
        <is>
          <t>Fase 32</t>
        </is>
      </c>
      <c r="C669" s="38" t="inlineStr">
        <is>
          <t>São Bento da Abadá</t>
        </is>
      </c>
      <c r="D669" s="39" t="inlineStr">
        <is>
          <t>A_D_F_32_P5</t>
        </is>
      </c>
      <c r="E669" s="40" t="n"/>
      <c r="F669" s="39" t="inlineStr">
        <is>
          <t>B_D_F_32_P5</t>
        </is>
      </c>
      <c r="G669" s="40" t="n"/>
      <c r="H669" s="41" t="n"/>
      <c r="I669" s="42">
        <f>IF($H669="","",MAX(0,$H669-N($E669)))</f>
        <v/>
      </c>
      <c r="J669" s="42">
        <f>IF($H669="","",MAX(0,$H669-N($G669)))</f>
        <v/>
      </c>
    </row>
    <row r="670" ht="19.5" customHeight="1" s="72">
      <c r="A670" s="38" t="inlineStr">
        <is>
          <t>DF-32-P05-SIR</t>
        </is>
      </c>
      <c r="B670" s="38" t="inlineStr">
        <is>
          <t>Fase 32</t>
        </is>
      </c>
      <c r="C670" s="38" t="inlineStr">
        <is>
          <t>Siriuna</t>
        </is>
      </c>
      <c r="D670" s="39" t="inlineStr">
        <is>
          <t>A_D_F_32_P5</t>
        </is>
      </c>
      <c r="E670" s="40" t="n"/>
      <c r="F670" s="39" t="inlineStr">
        <is>
          <t>B_D_F_32_P5</t>
        </is>
      </c>
      <c r="G670" s="40" t="n"/>
      <c r="H670" s="41" t="n"/>
      <c r="I670" s="42">
        <f>IF($H670="","",MAX(0,$H670-N($E670)))</f>
        <v/>
      </c>
      <c r="J670" s="42">
        <f>IF($H670="","",MAX(0,$H670-N($G670)))</f>
        <v/>
      </c>
    </row>
    <row r="671" ht="19.5" customHeight="1" s="72">
      <c r="A671" s="38" t="inlineStr">
        <is>
          <t>DF-32-P06-BEN</t>
        </is>
      </c>
      <c r="B671" s="38" t="inlineStr">
        <is>
          <t>Fase 32</t>
        </is>
      </c>
      <c r="C671" s="38" t="inlineStr">
        <is>
          <t>Benguela</t>
        </is>
      </c>
      <c r="D671" s="39" t="inlineStr">
        <is>
          <t>A_D_F_32_P6</t>
        </is>
      </c>
      <c r="E671" s="40" t="n"/>
      <c r="F671" s="39" t="inlineStr">
        <is>
          <t>B_D_F_32_P6</t>
        </is>
      </c>
      <c r="G671" s="40" t="n"/>
      <c r="H671" s="41" t="n"/>
      <c r="I671" s="42">
        <f>IF($H671="","",MAX(0,$H671-N($E671)))</f>
        <v/>
      </c>
      <c r="J671" s="42">
        <f>IF($H671="","",MAX(0,$H671-N($G671)))</f>
        <v/>
      </c>
    </row>
    <row r="672" ht="19.5" customHeight="1" s="72">
      <c r="A672" s="38" t="inlineStr">
        <is>
          <t>DF-32-P06-SBA</t>
        </is>
      </c>
      <c r="B672" s="38" t="inlineStr">
        <is>
          <t>Fase 32</t>
        </is>
      </c>
      <c r="C672" s="38" t="inlineStr">
        <is>
          <t>São Bento da Abadá</t>
        </is>
      </c>
      <c r="D672" s="39" t="inlineStr">
        <is>
          <t>A_D_F_32_P6</t>
        </is>
      </c>
      <c r="E672" s="40" t="n"/>
      <c r="F672" s="39" t="inlineStr">
        <is>
          <t>B_D_F_32_P6</t>
        </is>
      </c>
      <c r="G672" s="40" t="n"/>
      <c r="H672" s="41" t="n"/>
      <c r="I672" s="42">
        <f>IF($H672="","",MAX(0,$H672-N($E672)))</f>
        <v/>
      </c>
      <c r="J672" s="42">
        <f>IF($H672="","",MAX(0,$H672-N($G672)))</f>
        <v/>
      </c>
    </row>
    <row r="673" ht="19.5" customHeight="1" s="72">
      <c r="A673" s="38" t="inlineStr">
        <is>
          <t>DF-32-P06-SIR</t>
        </is>
      </c>
      <c r="B673" s="38" t="inlineStr">
        <is>
          <t>Fase 32</t>
        </is>
      </c>
      <c r="C673" s="38" t="inlineStr">
        <is>
          <t>Siriuna</t>
        </is>
      </c>
      <c r="D673" s="39" t="inlineStr">
        <is>
          <t>A_D_F_32_P6</t>
        </is>
      </c>
      <c r="E673" s="40" t="n"/>
      <c r="F673" s="39" t="inlineStr">
        <is>
          <t>B_D_F_32_P6</t>
        </is>
      </c>
      <c r="G673" s="40" t="n"/>
      <c r="H673" s="41" t="n"/>
      <c r="I673" s="42">
        <f>IF($H673="","",MAX(0,$H673-N($E673)))</f>
        <v/>
      </c>
      <c r="J673" s="42">
        <f>IF($H673="","",MAX(0,$H673-N($G673)))</f>
        <v/>
      </c>
    </row>
    <row r="674" ht="19.5" customHeight="1" s="72">
      <c r="A674" s="38" t="inlineStr">
        <is>
          <t>DF-32-P07-BEN</t>
        </is>
      </c>
      <c r="B674" s="38" t="inlineStr">
        <is>
          <t>Fase 32</t>
        </is>
      </c>
      <c r="C674" s="38" t="inlineStr">
        <is>
          <t>Benguela</t>
        </is>
      </c>
      <c r="D674" s="39" t="inlineStr">
        <is>
          <t>A_D_F_32_P7</t>
        </is>
      </c>
      <c r="E674" s="40" t="n"/>
      <c r="F674" s="39" t="inlineStr">
        <is>
          <t>B_D_F_32_P7</t>
        </is>
      </c>
      <c r="G674" s="40" t="n"/>
      <c r="H674" s="41" t="n"/>
      <c r="I674" s="42">
        <f>IF($H674="","",MAX(0,$H674-N($E674)))</f>
        <v/>
      </c>
      <c r="J674" s="42">
        <f>IF($H674="","",MAX(0,$H674-N($G674)))</f>
        <v/>
      </c>
    </row>
    <row r="675" ht="19.5" customHeight="1" s="72">
      <c r="A675" s="38" t="inlineStr">
        <is>
          <t>DF-32-P07-SBA</t>
        </is>
      </c>
      <c r="B675" s="38" t="inlineStr">
        <is>
          <t>Fase 32</t>
        </is>
      </c>
      <c r="C675" s="38" t="inlineStr">
        <is>
          <t>São Bento da Abadá</t>
        </is>
      </c>
      <c r="D675" s="39" t="inlineStr">
        <is>
          <t>A_D_F_32_P7</t>
        </is>
      </c>
      <c r="E675" s="40" t="n"/>
      <c r="F675" s="39" t="inlineStr">
        <is>
          <t>B_D_F_32_P7</t>
        </is>
      </c>
      <c r="G675" s="40" t="n"/>
      <c r="H675" s="41" t="n"/>
      <c r="I675" s="42">
        <f>IF($H675="","",MAX(0,$H675-N($E675)))</f>
        <v/>
      </c>
      <c r="J675" s="42">
        <f>IF($H675="","",MAX(0,$H675-N($G675)))</f>
        <v/>
      </c>
    </row>
    <row r="676" ht="19.5" customHeight="1" s="72">
      <c r="A676" s="38" t="inlineStr">
        <is>
          <t>DF-32-P07-SIR</t>
        </is>
      </c>
      <c r="B676" s="38" t="inlineStr">
        <is>
          <t>Fase 32</t>
        </is>
      </c>
      <c r="C676" s="38" t="inlineStr">
        <is>
          <t>Siriuna</t>
        </is>
      </c>
      <c r="D676" s="39" t="inlineStr">
        <is>
          <t>A_D_F_32_P7</t>
        </is>
      </c>
      <c r="E676" s="40" t="n"/>
      <c r="F676" s="39" t="inlineStr">
        <is>
          <t>B_D_F_32_P7</t>
        </is>
      </c>
      <c r="G676" s="40" t="n"/>
      <c r="H676" s="41" t="n"/>
      <c r="I676" s="42">
        <f>IF($H676="","",MAX(0,$H676-N($E676)))</f>
        <v/>
      </c>
      <c r="J676" s="42">
        <f>IF($H676="","",MAX(0,$H676-N($G676)))</f>
        <v/>
      </c>
    </row>
    <row r="677" ht="19.5" customHeight="1" s="72">
      <c r="A677" s="38" t="inlineStr">
        <is>
          <t>DF-32-P08-BEN</t>
        </is>
      </c>
      <c r="B677" s="38" t="inlineStr">
        <is>
          <t>Fase 32</t>
        </is>
      </c>
      <c r="C677" s="38" t="inlineStr">
        <is>
          <t>Benguela</t>
        </is>
      </c>
      <c r="D677" s="39" t="inlineStr">
        <is>
          <t>A_D_F_32_P8</t>
        </is>
      </c>
      <c r="E677" s="40" t="n"/>
      <c r="F677" s="39" t="inlineStr">
        <is>
          <t>B_D_F_32_P8</t>
        </is>
      </c>
      <c r="G677" s="40" t="n"/>
      <c r="H677" s="41" t="n"/>
      <c r="I677" s="42">
        <f>IF($H677="","",MAX(0,$H677-N($E677)))</f>
        <v/>
      </c>
      <c r="J677" s="42">
        <f>IF($H677="","",MAX(0,$H677-N($G677)))</f>
        <v/>
      </c>
    </row>
    <row r="678" ht="19.5" customHeight="1" s="72">
      <c r="A678" s="38" t="inlineStr">
        <is>
          <t>DF-32-P08-SBA</t>
        </is>
      </c>
      <c r="B678" s="38" t="inlineStr">
        <is>
          <t>Fase 32</t>
        </is>
      </c>
      <c r="C678" s="38" t="inlineStr">
        <is>
          <t>São Bento da Abadá</t>
        </is>
      </c>
      <c r="D678" s="39" t="inlineStr">
        <is>
          <t>A_D_F_32_P8</t>
        </is>
      </c>
      <c r="E678" s="40" t="n"/>
      <c r="F678" s="39" t="inlineStr">
        <is>
          <t>B_D_F_32_P8</t>
        </is>
      </c>
      <c r="G678" s="40" t="n"/>
      <c r="H678" s="41" t="n"/>
      <c r="I678" s="42">
        <f>IF($H678="","",MAX(0,$H678-N($E678)))</f>
        <v/>
      </c>
      <c r="J678" s="42">
        <f>IF($H678="","",MAX(0,$H678-N($G678)))</f>
        <v/>
      </c>
    </row>
    <row r="679" ht="19.5" customHeight="1" s="72">
      <c r="A679" s="38" t="inlineStr">
        <is>
          <t>DF-32-P08-SIR</t>
        </is>
      </c>
      <c r="B679" s="38" t="inlineStr">
        <is>
          <t>Fase 32</t>
        </is>
      </c>
      <c r="C679" s="38" t="inlineStr">
        <is>
          <t>Siriuna</t>
        </is>
      </c>
      <c r="D679" s="39" t="inlineStr">
        <is>
          <t>A_D_F_32_P8</t>
        </is>
      </c>
      <c r="E679" s="40" t="n"/>
      <c r="F679" s="39" t="inlineStr">
        <is>
          <t>B_D_F_32_P8</t>
        </is>
      </c>
      <c r="G679" s="40" t="n"/>
      <c r="H679" s="41" t="n"/>
      <c r="I679" s="42">
        <f>IF($H679="","",MAX(0,$H679-N($E679)))</f>
        <v/>
      </c>
      <c r="J679" s="42">
        <f>IF($H679="","",MAX(0,$H679-N($G679)))</f>
        <v/>
      </c>
    </row>
    <row r="680" ht="19.5" customHeight="1" s="72">
      <c r="A680" s="38" t="inlineStr">
        <is>
          <t>DF-32-P09-BEN</t>
        </is>
      </c>
      <c r="B680" s="38" t="inlineStr">
        <is>
          <t>Fase 32</t>
        </is>
      </c>
      <c r="C680" s="38" t="inlineStr">
        <is>
          <t>Benguela</t>
        </is>
      </c>
      <c r="D680" s="39" t="inlineStr">
        <is>
          <t>A_D_F_32_P9</t>
        </is>
      </c>
      <c r="E680" s="40" t="n"/>
      <c r="F680" s="39" t="inlineStr">
        <is>
          <t>B_D_F_32_P9</t>
        </is>
      </c>
      <c r="G680" s="40" t="n"/>
      <c r="H680" s="41" t="n"/>
      <c r="I680" s="42">
        <f>IF($H680="","",MAX(0,$H680-N($E680)))</f>
        <v/>
      </c>
      <c r="J680" s="42">
        <f>IF($H680="","",MAX(0,$H680-N($G680)))</f>
        <v/>
      </c>
    </row>
    <row r="681" ht="19.5" customHeight="1" s="72">
      <c r="A681" s="38" t="inlineStr">
        <is>
          <t>DF-32-P09-SBA</t>
        </is>
      </c>
      <c r="B681" s="38" t="inlineStr">
        <is>
          <t>Fase 32</t>
        </is>
      </c>
      <c r="C681" s="38" t="inlineStr">
        <is>
          <t>São Bento da Abadá</t>
        </is>
      </c>
      <c r="D681" s="39" t="inlineStr">
        <is>
          <t>A_D_F_32_P9</t>
        </is>
      </c>
      <c r="E681" s="40" t="n"/>
      <c r="F681" s="39" t="inlineStr">
        <is>
          <t>B_D_F_32_P9</t>
        </is>
      </c>
      <c r="G681" s="40" t="n"/>
      <c r="H681" s="41" t="n"/>
      <c r="I681" s="42">
        <f>IF($H681="","",MAX(0,$H681-N($E681)))</f>
        <v/>
      </c>
      <c r="J681" s="42">
        <f>IF($H681="","",MAX(0,$H681-N($G681)))</f>
        <v/>
      </c>
    </row>
    <row r="682" ht="19.5" customHeight="1" s="72">
      <c r="A682" s="38" t="inlineStr">
        <is>
          <t>DF-32-P09-SIR</t>
        </is>
      </c>
      <c r="B682" s="38" t="inlineStr">
        <is>
          <t>Fase 32</t>
        </is>
      </c>
      <c r="C682" s="38" t="inlineStr">
        <is>
          <t>Siriuna</t>
        </is>
      </c>
      <c r="D682" s="39" t="inlineStr">
        <is>
          <t>A_D_F_32_P9</t>
        </is>
      </c>
      <c r="E682" s="40" t="n"/>
      <c r="F682" s="39" t="inlineStr">
        <is>
          <t>B_D_F_32_P9</t>
        </is>
      </c>
      <c r="G682" s="40" t="n"/>
      <c r="H682" s="41" t="n"/>
      <c r="I682" s="42">
        <f>IF($H682="","",MAX(0,$H682-N($E682)))</f>
        <v/>
      </c>
      <c r="J682" s="42">
        <f>IF($H682="","",MAX(0,$H682-N($G682)))</f>
        <v/>
      </c>
    </row>
    <row r="683" ht="19.5" customHeight="1" s="72">
      <c r="A683" s="38" t="inlineStr">
        <is>
          <t>DF-32-P10-BEN</t>
        </is>
      </c>
      <c r="B683" s="38" t="inlineStr">
        <is>
          <t>Fase 32</t>
        </is>
      </c>
      <c r="C683" s="38" t="inlineStr">
        <is>
          <t>Benguela</t>
        </is>
      </c>
      <c r="D683" s="39" t="inlineStr">
        <is>
          <t>A_D_F_32_P10</t>
        </is>
      </c>
      <c r="E683" s="40" t="n"/>
      <c r="F683" s="39" t="inlineStr">
        <is>
          <t>B_D_F_32_P10</t>
        </is>
      </c>
      <c r="G683" s="40" t="n"/>
      <c r="H683" s="41" t="n"/>
      <c r="I683" s="42">
        <f>IF($H683="","",MAX(0,$H683-N($E683)))</f>
        <v/>
      </c>
      <c r="J683" s="42">
        <f>IF($H683="","",MAX(0,$H683-N($G683)))</f>
        <v/>
      </c>
    </row>
    <row r="684" ht="19.5" customHeight="1" s="72">
      <c r="A684" s="38" t="inlineStr">
        <is>
          <t>DF-32-P10-SBA</t>
        </is>
      </c>
      <c r="B684" s="38" t="inlineStr">
        <is>
          <t>Fase 32</t>
        </is>
      </c>
      <c r="C684" s="38" t="inlineStr">
        <is>
          <t>São Bento da Abadá</t>
        </is>
      </c>
      <c r="D684" s="39" t="inlineStr">
        <is>
          <t>A_D_F_32_P10</t>
        </is>
      </c>
      <c r="E684" s="40" t="n"/>
      <c r="F684" s="39" t="inlineStr">
        <is>
          <t>B_D_F_32_P10</t>
        </is>
      </c>
      <c r="G684" s="40" t="n"/>
      <c r="H684" s="41" t="n"/>
      <c r="I684" s="42">
        <f>IF($H684="","",MAX(0,$H684-N($E684)))</f>
        <v/>
      </c>
      <c r="J684" s="42">
        <f>IF($H684="","",MAX(0,$H684-N($G684)))</f>
        <v/>
      </c>
    </row>
    <row r="685" ht="19.5" customHeight="1" s="72">
      <c r="A685" s="38" t="inlineStr">
        <is>
          <t>DF-32-P10-SIR</t>
        </is>
      </c>
      <c r="B685" s="38" t="inlineStr">
        <is>
          <t>Fase 32</t>
        </is>
      </c>
      <c r="C685" s="38" t="inlineStr">
        <is>
          <t>Siriuna</t>
        </is>
      </c>
      <c r="D685" s="39" t="inlineStr">
        <is>
          <t>A_D_F_32_P10</t>
        </is>
      </c>
      <c r="E685" s="40" t="n"/>
      <c r="F685" s="39" t="inlineStr">
        <is>
          <t>B_D_F_32_P10</t>
        </is>
      </c>
      <c r="G685" s="40" t="n"/>
      <c r="H685" s="41" t="n"/>
      <c r="I685" s="42">
        <f>IF($H685="","",MAX(0,$H685-N($E685)))</f>
        <v/>
      </c>
      <c r="J685" s="42">
        <f>IF($H685="","",MAX(0,$H685-N($G685)))</f>
        <v/>
      </c>
    </row>
    <row r="686" ht="19.5" customHeight="1" s="72">
      <c r="A686" s="38" t="inlineStr">
        <is>
          <t>DF-32-P11-BEN</t>
        </is>
      </c>
      <c r="B686" s="38" t="inlineStr">
        <is>
          <t>Fase 32</t>
        </is>
      </c>
      <c r="C686" s="38" t="inlineStr">
        <is>
          <t>Benguela</t>
        </is>
      </c>
      <c r="D686" s="39" t="inlineStr">
        <is>
          <t>A_D_F_32_P11</t>
        </is>
      </c>
      <c r="E686" s="40" t="n"/>
      <c r="F686" s="39" t="inlineStr">
        <is>
          <t>B_D_F_32_P11</t>
        </is>
      </c>
      <c r="G686" s="40" t="n"/>
      <c r="H686" s="41" t="n"/>
      <c r="I686" s="42">
        <f>IF($H686="","",MAX(0,$H686-N($E686)))</f>
        <v/>
      </c>
      <c r="J686" s="42">
        <f>IF($H686="","",MAX(0,$H686-N($G686)))</f>
        <v/>
      </c>
    </row>
    <row r="687" ht="19.5" customHeight="1" s="72">
      <c r="A687" s="38" t="inlineStr">
        <is>
          <t>DF-32-P11-SBA</t>
        </is>
      </c>
      <c r="B687" s="38" t="inlineStr">
        <is>
          <t>Fase 32</t>
        </is>
      </c>
      <c r="C687" s="38" t="inlineStr">
        <is>
          <t>São Bento da Abadá</t>
        </is>
      </c>
      <c r="D687" s="39" t="inlineStr">
        <is>
          <t>A_D_F_32_P11</t>
        </is>
      </c>
      <c r="E687" s="40" t="n"/>
      <c r="F687" s="39" t="inlineStr">
        <is>
          <t>B_D_F_32_P11</t>
        </is>
      </c>
      <c r="G687" s="40" t="n"/>
      <c r="H687" s="41" t="n"/>
      <c r="I687" s="42">
        <f>IF($H687="","",MAX(0,$H687-N($E687)))</f>
        <v/>
      </c>
      <c r="J687" s="42">
        <f>IF($H687="","",MAX(0,$H687-N($G687)))</f>
        <v/>
      </c>
    </row>
    <row r="688" ht="19.5" customHeight="1" s="72">
      <c r="A688" s="38" t="inlineStr">
        <is>
          <t>DF-32-P11-SIR</t>
        </is>
      </c>
      <c r="B688" s="38" t="inlineStr">
        <is>
          <t>Fase 32</t>
        </is>
      </c>
      <c r="C688" s="38" t="inlineStr">
        <is>
          <t>Siriuna</t>
        </is>
      </c>
      <c r="D688" s="39" t="inlineStr">
        <is>
          <t>A_D_F_32_P11</t>
        </is>
      </c>
      <c r="E688" s="40" t="n"/>
      <c r="F688" s="39" t="inlineStr">
        <is>
          <t>B_D_F_32_P11</t>
        </is>
      </c>
      <c r="G688" s="40" t="n"/>
      <c r="H688" s="41" t="n"/>
      <c r="I688" s="42">
        <f>IF($H688="","",MAX(0,$H688-N($E688)))</f>
        <v/>
      </c>
      <c r="J688" s="42">
        <f>IF($H688="","",MAX(0,$H688-N($G688)))</f>
        <v/>
      </c>
    </row>
    <row r="689" ht="19.5" customHeight="1" s="72">
      <c r="A689" s="38" t="inlineStr">
        <is>
          <t>DF-32-P12-BEN</t>
        </is>
      </c>
      <c r="B689" s="38" t="inlineStr">
        <is>
          <t>Fase 32</t>
        </is>
      </c>
      <c r="C689" s="38" t="inlineStr">
        <is>
          <t>Benguela</t>
        </is>
      </c>
      <c r="D689" s="39" t="inlineStr">
        <is>
          <t>A_D_F_32_P12</t>
        </is>
      </c>
      <c r="E689" s="40" t="n"/>
      <c r="F689" s="39" t="inlineStr">
        <is>
          <t>B_D_F_32_P12</t>
        </is>
      </c>
      <c r="G689" s="40" t="n"/>
      <c r="H689" s="41" t="n"/>
      <c r="I689" s="42">
        <f>IF($H689="","",MAX(0,$H689-N($E689)))</f>
        <v/>
      </c>
      <c r="J689" s="42">
        <f>IF($H689="","",MAX(0,$H689-N($G689)))</f>
        <v/>
      </c>
    </row>
    <row r="690" ht="19.5" customHeight="1" s="72">
      <c r="A690" s="38" t="inlineStr">
        <is>
          <t>DF-32-P12-SBA</t>
        </is>
      </c>
      <c r="B690" s="38" t="inlineStr">
        <is>
          <t>Fase 32</t>
        </is>
      </c>
      <c r="C690" s="38" t="inlineStr">
        <is>
          <t>São Bento da Abadá</t>
        </is>
      </c>
      <c r="D690" s="39" t="inlineStr">
        <is>
          <t>A_D_F_32_P12</t>
        </is>
      </c>
      <c r="E690" s="40" t="n"/>
      <c r="F690" s="39" t="inlineStr">
        <is>
          <t>B_D_F_32_P12</t>
        </is>
      </c>
      <c r="G690" s="40" t="n"/>
      <c r="H690" s="41" t="n"/>
      <c r="I690" s="42">
        <f>IF($H690="","",MAX(0,$H690-N($E690)))</f>
        <v/>
      </c>
      <c r="J690" s="42">
        <f>IF($H690="","",MAX(0,$H690-N($G690)))</f>
        <v/>
      </c>
    </row>
    <row r="691" ht="19.5" customHeight="1" s="72">
      <c r="A691" s="38" t="inlineStr">
        <is>
          <t>DF-32-P12-SIR</t>
        </is>
      </c>
      <c r="B691" s="38" t="inlineStr">
        <is>
          <t>Fase 32</t>
        </is>
      </c>
      <c r="C691" s="38" t="inlineStr">
        <is>
          <t>Siriuna</t>
        </is>
      </c>
      <c r="D691" s="39" t="inlineStr">
        <is>
          <t>A_D_F_32_P12</t>
        </is>
      </c>
      <c r="E691" s="40" t="n"/>
      <c r="F691" s="39" t="inlineStr">
        <is>
          <t>B_D_F_32_P12</t>
        </is>
      </c>
      <c r="G691" s="40" t="n"/>
      <c r="H691" s="41" t="n"/>
      <c r="I691" s="42">
        <f>IF($H691="","",MAX(0,$H691-N($E691)))</f>
        <v/>
      </c>
      <c r="J691" s="42">
        <f>IF($H691="","",MAX(0,$H691-N($G691)))</f>
        <v/>
      </c>
    </row>
    <row r="692" ht="19.5" customHeight="1" s="72">
      <c r="A692" s="38" t="inlineStr">
        <is>
          <t>DF-32-P13-BEN</t>
        </is>
      </c>
      <c r="B692" s="38" t="inlineStr">
        <is>
          <t>Fase 32</t>
        </is>
      </c>
      <c r="C692" s="38" t="inlineStr">
        <is>
          <t>Benguela</t>
        </is>
      </c>
      <c r="D692" s="39" t="inlineStr">
        <is>
          <t>A_D_F_32_P13</t>
        </is>
      </c>
      <c r="E692" s="40" t="n"/>
      <c r="F692" s="39" t="inlineStr">
        <is>
          <t>B_D_F_32_P13</t>
        </is>
      </c>
      <c r="G692" s="40" t="n"/>
      <c r="H692" s="41" t="n"/>
      <c r="I692" s="42">
        <f>IF($H692="","",MAX(0,$H692-N($E692)))</f>
        <v/>
      </c>
      <c r="J692" s="42">
        <f>IF($H692="","",MAX(0,$H692-N($G692)))</f>
        <v/>
      </c>
    </row>
    <row r="693" ht="19.5" customHeight="1" s="72">
      <c r="A693" s="38" t="inlineStr">
        <is>
          <t>DF-32-P13-SBA</t>
        </is>
      </c>
      <c r="B693" s="38" t="inlineStr">
        <is>
          <t>Fase 32</t>
        </is>
      </c>
      <c r="C693" s="38" t="inlineStr">
        <is>
          <t>São Bento da Abadá</t>
        </is>
      </c>
      <c r="D693" s="39" t="inlineStr">
        <is>
          <t>A_D_F_32_P13</t>
        </is>
      </c>
      <c r="E693" s="40" t="n"/>
      <c r="F693" s="39" t="inlineStr">
        <is>
          <t>B_D_F_32_P13</t>
        </is>
      </c>
      <c r="G693" s="40" t="n"/>
      <c r="H693" s="41" t="n"/>
      <c r="I693" s="42">
        <f>IF($H693="","",MAX(0,$H693-N($E693)))</f>
        <v/>
      </c>
      <c r="J693" s="42">
        <f>IF($H693="","",MAX(0,$H693-N($G693)))</f>
        <v/>
      </c>
    </row>
    <row r="694" ht="19.5" customHeight="1" s="72">
      <c r="A694" s="38" t="inlineStr">
        <is>
          <t>DF-32-P13-SIR</t>
        </is>
      </c>
      <c r="B694" s="38" t="inlineStr">
        <is>
          <t>Fase 32</t>
        </is>
      </c>
      <c r="C694" s="38" t="inlineStr">
        <is>
          <t>Siriuna</t>
        </is>
      </c>
      <c r="D694" s="39" t="inlineStr">
        <is>
          <t>A_D_F_32_P13</t>
        </is>
      </c>
      <c r="E694" s="40" t="n"/>
      <c r="F694" s="39" t="inlineStr">
        <is>
          <t>B_D_F_32_P13</t>
        </is>
      </c>
      <c r="G694" s="40" t="n"/>
      <c r="H694" s="41" t="n"/>
      <c r="I694" s="42">
        <f>IF($H694="","",MAX(0,$H694-N($E694)))</f>
        <v/>
      </c>
      <c r="J694" s="42">
        <f>IF($H694="","",MAX(0,$H694-N($G694)))</f>
        <v/>
      </c>
    </row>
    <row r="695" ht="19.5" customHeight="1" s="72">
      <c r="A695" s="38" t="inlineStr">
        <is>
          <t>DF-32-P14-BEN</t>
        </is>
      </c>
      <c r="B695" s="38" t="inlineStr">
        <is>
          <t>Fase 32</t>
        </is>
      </c>
      <c r="C695" s="38" t="inlineStr">
        <is>
          <t>Benguela</t>
        </is>
      </c>
      <c r="D695" s="39" t="inlineStr">
        <is>
          <t>A_D_F_32_P14</t>
        </is>
      </c>
      <c r="E695" s="40" t="n"/>
      <c r="F695" s="39" t="inlineStr">
        <is>
          <t>B_D_F_32_P14</t>
        </is>
      </c>
      <c r="G695" s="40" t="n"/>
      <c r="H695" s="41" t="n"/>
      <c r="I695" s="42">
        <f>IF($H695="","",MAX(0,$H695-N($E695)))</f>
        <v/>
      </c>
      <c r="J695" s="42">
        <f>IF($H695="","",MAX(0,$H695-N($G695)))</f>
        <v/>
      </c>
    </row>
    <row r="696" ht="19.5" customHeight="1" s="72">
      <c r="A696" s="38" t="inlineStr">
        <is>
          <t>DF-32-P14-SBA</t>
        </is>
      </c>
      <c r="B696" s="38" t="inlineStr">
        <is>
          <t>Fase 32</t>
        </is>
      </c>
      <c r="C696" s="38" t="inlineStr">
        <is>
          <t>São Bento da Abadá</t>
        </is>
      </c>
      <c r="D696" s="39" t="inlineStr">
        <is>
          <t>A_D_F_32_P14</t>
        </is>
      </c>
      <c r="E696" s="40" t="n"/>
      <c r="F696" s="39" t="inlineStr">
        <is>
          <t>B_D_F_32_P14</t>
        </is>
      </c>
      <c r="G696" s="40" t="n"/>
      <c r="H696" s="41" t="n"/>
      <c r="I696" s="42">
        <f>IF($H696="","",MAX(0,$H696-N($E696)))</f>
        <v/>
      </c>
      <c r="J696" s="42">
        <f>IF($H696="","",MAX(0,$H696-N($G696)))</f>
        <v/>
      </c>
    </row>
    <row r="697" ht="19.5" customHeight="1" s="72">
      <c r="A697" s="38" t="inlineStr">
        <is>
          <t>DF-32-P14-SIR</t>
        </is>
      </c>
      <c r="B697" s="38" t="inlineStr">
        <is>
          <t>Fase 32</t>
        </is>
      </c>
      <c r="C697" s="38" t="inlineStr">
        <is>
          <t>Siriuna</t>
        </is>
      </c>
      <c r="D697" s="39" t="inlineStr">
        <is>
          <t>A_D_F_32_P14</t>
        </is>
      </c>
      <c r="E697" s="40" t="n"/>
      <c r="F697" s="39" t="inlineStr">
        <is>
          <t>B_D_F_32_P14</t>
        </is>
      </c>
      <c r="G697" s="40" t="n"/>
      <c r="H697" s="41" t="n"/>
      <c r="I697" s="42">
        <f>IF($H697="","",MAX(0,$H697-N($E697)))</f>
        <v/>
      </c>
      <c r="J697" s="42">
        <f>IF($H697="","",MAX(0,$H697-N($G697)))</f>
        <v/>
      </c>
    </row>
    <row r="698" ht="19.5" customHeight="1" s="72">
      <c r="A698" s="38" t="inlineStr">
        <is>
          <t>DF-32-P15-BEN</t>
        </is>
      </c>
      <c r="B698" s="38" t="inlineStr">
        <is>
          <t>Fase 32</t>
        </is>
      </c>
      <c r="C698" s="38" t="inlineStr">
        <is>
          <t>Benguela</t>
        </is>
      </c>
      <c r="D698" s="39" t="inlineStr">
        <is>
          <t>A_D_F_32_P15</t>
        </is>
      </c>
      <c r="E698" s="40" t="n"/>
      <c r="F698" s="39" t="inlineStr">
        <is>
          <t>B_D_F_32_P15</t>
        </is>
      </c>
      <c r="G698" s="40" t="n"/>
      <c r="H698" s="41" t="n"/>
      <c r="I698" s="42">
        <f>IF($H698="","",MAX(0,$H698-N($E698)))</f>
        <v/>
      </c>
      <c r="J698" s="42">
        <f>IF($H698="","",MAX(0,$H698-N($G698)))</f>
        <v/>
      </c>
    </row>
    <row r="699" ht="19.5" customHeight="1" s="72">
      <c r="A699" s="38" t="inlineStr">
        <is>
          <t>DF-32-P15-SBA</t>
        </is>
      </c>
      <c r="B699" s="38" t="inlineStr">
        <is>
          <t>Fase 32</t>
        </is>
      </c>
      <c r="C699" s="38" t="inlineStr">
        <is>
          <t>São Bento da Abadá</t>
        </is>
      </c>
      <c r="D699" s="39" t="inlineStr">
        <is>
          <t>A_D_F_32_P15</t>
        </is>
      </c>
      <c r="E699" s="40" t="n"/>
      <c r="F699" s="39" t="inlineStr">
        <is>
          <t>B_D_F_32_P15</t>
        </is>
      </c>
      <c r="G699" s="40" t="n"/>
      <c r="H699" s="41" t="n"/>
      <c r="I699" s="42">
        <f>IF($H699="","",MAX(0,$H699-N($E699)))</f>
        <v/>
      </c>
      <c r="J699" s="42">
        <f>IF($H699="","",MAX(0,$H699-N($G699)))</f>
        <v/>
      </c>
    </row>
    <row r="700" ht="19.5" customHeight="1" s="72">
      <c r="A700" s="38" t="inlineStr">
        <is>
          <t>DF-32-P15-SIR</t>
        </is>
      </c>
      <c r="B700" s="38" t="inlineStr">
        <is>
          <t>Fase 32</t>
        </is>
      </c>
      <c r="C700" s="38" t="inlineStr">
        <is>
          <t>Siriuna</t>
        </is>
      </c>
      <c r="D700" s="39" t="inlineStr">
        <is>
          <t>A_D_F_32_P15</t>
        </is>
      </c>
      <c r="E700" s="40" t="n"/>
      <c r="F700" s="39" t="inlineStr">
        <is>
          <t>B_D_F_32_P15</t>
        </is>
      </c>
      <c r="G700" s="40" t="n"/>
      <c r="H700" s="41" t="n"/>
      <c r="I700" s="42">
        <f>IF($H700="","",MAX(0,$H700-N($E700)))</f>
        <v/>
      </c>
      <c r="J700" s="42">
        <f>IF($H700="","",MAX(0,$H700-N($G700)))</f>
        <v/>
      </c>
    </row>
    <row r="701" ht="19.5" customHeight="1" s="72">
      <c r="A701" s="38" t="inlineStr">
        <is>
          <t>DF-32-P16-BEN</t>
        </is>
      </c>
      <c r="B701" s="38" t="inlineStr">
        <is>
          <t>Fase 32</t>
        </is>
      </c>
      <c r="C701" s="38" t="inlineStr">
        <is>
          <t>Benguela</t>
        </is>
      </c>
      <c r="D701" s="39" t="inlineStr">
        <is>
          <t>A_D_F_32_P16</t>
        </is>
      </c>
      <c r="E701" s="40" t="n"/>
      <c r="F701" s="39" t="inlineStr">
        <is>
          <t>B_D_F_32_P16</t>
        </is>
      </c>
      <c r="G701" s="40" t="n"/>
      <c r="H701" s="41" t="n"/>
      <c r="I701" s="42">
        <f>IF($H701="","",MAX(0,$H701-N($E701)))</f>
        <v/>
      </c>
      <c r="J701" s="42">
        <f>IF($H701="","",MAX(0,$H701-N($G701)))</f>
        <v/>
      </c>
    </row>
    <row r="702" ht="19.5" customHeight="1" s="72">
      <c r="A702" s="38" t="inlineStr">
        <is>
          <t>DF-32-P16-SBA</t>
        </is>
      </c>
      <c r="B702" s="38" t="inlineStr">
        <is>
          <t>Fase 32</t>
        </is>
      </c>
      <c r="C702" s="38" t="inlineStr">
        <is>
          <t>São Bento da Abadá</t>
        </is>
      </c>
      <c r="D702" s="39" t="inlineStr">
        <is>
          <t>A_D_F_32_P16</t>
        </is>
      </c>
      <c r="E702" s="40" t="n"/>
      <c r="F702" s="39" t="inlineStr">
        <is>
          <t>B_D_F_32_P16</t>
        </is>
      </c>
      <c r="G702" s="40" t="n"/>
      <c r="H702" s="41" t="n"/>
      <c r="I702" s="42">
        <f>IF($H702="","",MAX(0,$H702-N($E702)))</f>
        <v/>
      </c>
      <c r="J702" s="42">
        <f>IF($H702="","",MAX(0,$H702-N($G702)))</f>
        <v/>
      </c>
    </row>
    <row r="703" ht="19.5" customHeight="1" s="72">
      <c r="A703" s="38" t="inlineStr">
        <is>
          <t>DF-32-P16-SIR</t>
        </is>
      </c>
      <c r="B703" s="38" t="inlineStr">
        <is>
          <t>Fase 32</t>
        </is>
      </c>
      <c r="C703" s="38" t="inlineStr">
        <is>
          <t>Siriuna</t>
        </is>
      </c>
      <c r="D703" s="39" t="inlineStr">
        <is>
          <t>A_D_F_32_P16</t>
        </is>
      </c>
      <c r="E703" s="40" t="n"/>
      <c r="F703" s="39" t="inlineStr">
        <is>
          <t>B_D_F_32_P16</t>
        </is>
      </c>
      <c r="G703" s="40" t="n"/>
      <c r="H703" s="41" t="n"/>
      <c r="I703" s="42">
        <f>IF($H703="","",MAX(0,$H703-N($E703)))</f>
        <v/>
      </c>
      <c r="J703" s="42">
        <f>IF($H703="","",MAX(0,$H703-N($G703)))</f>
        <v/>
      </c>
    </row>
    <row r="704" ht="19.5" customHeight="1" s="72">
      <c r="A704" s="38" t="inlineStr">
        <is>
          <t>DF-OCT-P01-BEN</t>
        </is>
      </c>
      <c r="B704" s="38" t="inlineStr">
        <is>
          <t>Octavas</t>
        </is>
      </c>
      <c r="C704" s="38" t="inlineStr">
        <is>
          <t>Benguela</t>
        </is>
      </c>
      <c r="D704" s="39">
        <f>IFERROR(CLASIF_D_F!$F$5,"")</f>
        <v/>
      </c>
      <c r="E704" s="40" t="n"/>
      <c r="F704" s="39">
        <f>IFERROR(CLASIF_D_F!$F$20,"")</f>
        <v/>
      </c>
      <c r="G704" s="40" t="n"/>
      <c r="H704" s="41" t="n"/>
      <c r="I704" s="42">
        <f>IF($H704="","",MAX(0,$H704-N($E704)))</f>
        <v/>
      </c>
      <c r="J704" s="42">
        <f>IF($H704="","",MAX(0,$H704-N($G704)))</f>
        <v/>
      </c>
    </row>
    <row r="705" ht="19.5" customHeight="1" s="72">
      <c r="A705" s="38" t="inlineStr">
        <is>
          <t>DF-OCT-P01-SBA</t>
        </is>
      </c>
      <c r="B705" s="38" t="inlineStr">
        <is>
          <t>Octavas</t>
        </is>
      </c>
      <c r="C705" s="38" t="inlineStr">
        <is>
          <t>São Bento da Abadá</t>
        </is>
      </c>
      <c r="D705" s="39">
        <f>IFERROR(CLASIF_D_F!$F$5,"")</f>
        <v/>
      </c>
      <c r="E705" s="40" t="n"/>
      <c r="F705" s="39">
        <f>IFERROR(CLASIF_D_F!$F$20,"")</f>
        <v/>
      </c>
      <c r="G705" s="40" t="n"/>
      <c r="H705" s="41" t="n"/>
      <c r="I705" s="42">
        <f>IF($H705="","",MAX(0,$H705-N($E705)))</f>
        <v/>
      </c>
      <c r="J705" s="42">
        <f>IF($H705="","",MAX(0,$H705-N($G705)))</f>
        <v/>
      </c>
    </row>
    <row r="706" ht="19.5" customHeight="1" s="72">
      <c r="A706" s="38" t="inlineStr">
        <is>
          <t>DF-OCT-P01-SIR</t>
        </is>
      </c>
      <c r="B706" s="38" t="inlineStr">
        <is>
          <t>Octavas</t>
        </is>
      </c>
      <c r="C706" s="38" t="inlineStr">
        <is>
          <t>Siriuna</t>
        </is>
      </c>
      <c r="D706" s="39">
        <f>IFERROR(CLASIF_D_F!$F$5,"")</f>
        <v/>
      </c>
      <c r="E706" s="40" t="n"/>
      <c r="F706" s="39">
        <f>IFERROR(CLASIF_D_F!$F$20,"")</f>
        <v/>
      </c>
      <c r="G706" s="40" t="n"/>
      <c r="H706" s="41" t="n"/>
      <c r="I706" s="42">
        <f>IF($H706="","",MAX(0,$H706-N($E706)))</f>
        <v/>
      </c>
      <c r="J706" s="42">
        <f>IF($H706="","",MAX(0,$H706-N($G706)))</f>
        <v/>
      </c>
    </row>
    <row r="707" ht="19.5" customHeight="1" s="72">
      <c r="A707" s="38" t="inlineStr">
        <is>
          <t>DF-OCT-P02-BEN</t>
        </is>
      </c>
      <c r="B707" s="38" t="inlineStr">
        <is>
          <t>Octavas</t>
        </is>
      </c>
      <c r="C707" s="38" t="inlineStr">
        <is>
          <t>Benguela</t>
        </is>
      </c>
      <c r="D707" s="39">
        <f>IFERROR(CLASIF_D_F!$F$6,"")</f>
        <v/>
      </c>
      <c r="E707" s="40" t="n"/>
      <c r="F707" s="39">
        <f>IFERROR(CLASIF_D_F!$F$19,"")</f>
        <v/>
      </c>
      <c r="G707" s="40" t="n"/>
      <c r="H707" s="41" t="n"/>
      <c r="I707" s="42">
        <f>IF($H707="","",MAX(0,$H707-N($E707)))</f>
        <v/>
      </c>
      <c r="J707" s="42">
        <f>IF($H707="","",MAX(0,$H707-N($G707)))</f>
        <v/>
      </c>
    </row>
    <row r="708" ht="19.5" customHeight="1" s="72">
      <c r="A708" s="38" t="inlineStr">
        <is>
          <t>DF-OCT-P02-SBA</t>
        </is>
      </c>
      <c r="B708" s="38" t="inlineStr">
        <is>
          <t>Octavas</t>
        </is>
      </c>
      <c r="C708" s="38" t="inlineStr">
        <is>
          <t>São Bento da Abadá</t>
        </is>
      </c>
      <c r="D708" s="39">
        <f>IFERROR(CLASIF_D_F!$F$6,"")</f>
        <v/>
      </c>
      <c r="E708" s="40" t="n"/>
      <c r="F708" s="39">
        <f>IFERROR(CLASIF_D_F!$F$19,"")</f>
        <v/>
      </c>
      <c r="G708" s="40" t="n"/>
      <c r="H708" s="41" t="n"/>
      <c r="I708" s="42">
        <f>IF($H708="","",MAX(0,$H708-N($E708)))</f>
        <v/>
      </c>
      <c r="J708" s="42">
        <f>IF($H708="","",MAX(0,$H708-N($G708)))</f>
        <v/>
      </c>
    </row>
    <row r="709" ht="19.5" customHeight="1" s="72">
      <c r="A709" s="38" t="inlineStr">
        <is>
          <t>DF-OCT-P02-SIR</t>
        </is>
      </c>
      <c r="B709" s="38" t="inlineStr">
        <is>
          <t>Octavas</t>
        </is>
      </c>
      <c r="C709" s="38" t="inlineStr">
        <is>
          <t>Siriuna</t>
        </is>
      </c>
      <c r="D709" s="39">
        <f>IFERROR(CLASIF_D_F!$F$6,"")</f>
        <v/>
      </c>
      <c r="E709" s="40" t="n"/>
      <c r="F709" s="39">
        <f>IFERROR(CLASIF_D_F!$F$19,"")</f>
        <v/>
      </c>
      <c r="G709" s="40" t="n"/>
      <c r="H709" s="41" t="n"/>
      <c r="I709" s="42">
        <f>IF($H709="","",MAX(0,$H709-N($E709)))</f>
        <v/>
      </c>
      <c r="J709" s="42">
        <f>IF($H709="","",MAX(0,$H709-N($G709)))</f>
        <v/>
      </c>
    </row>
    <row r="710" ht="19.5" customHeight="1" s="72">
      <c r="A710" s="38" t="inlineStr">
        <is>
          <t>DF-OCT-P03-BEN</t>
        </is>
      </c>
      <c r="B710" s="38" t="inlineStr">
        <is>
          <t>Octavas</t>
        </is>
      </c>
      <c r="C710" s="38" t="inlineStr">
        <is>
          <t>Benguela</t>
        </is>
      </c>
      <c r="D710" s="39">
        <f>IFERROR(CLASIF_D_F!$F$7,"")</f>
        <v/>
      </c>
      <c r="E710" s="40" t="n"/>
      <c r="F710" s="39">
        <f>IFERROR(CLASIF_D_F!$F$18,"")</f>
        <v/>
      </c>
      <c r="G710" s="40" t="n"/>
      <c r="H710" s="41" t="n"/>
      <c r="I710" s="42">
        <f>IF($H710="","",MAX(0,$H710-N($E710)))</f>
        <v/>
      </c>
      <c r="J710" s="42">
        <f>IF($H710="","",MAX(0,$H710-N($G710)))</f>
        <v/>
      </c>
    </row>
    <row r="711" ht="19.5" customHeight="1" s="72">
      <c r="A711" s="38" t="inlineStr">
        <is>
          <t>DF-OCT-P03-SBA</t>
        </is>
      </c>
      <c r="B711" s="38" t="inlineStr">
        <is>
          <t>Octavas</t>
        </is>
      </c>
      <c r="C711" s="38" t="inlineStr">
        <is>
          <t>São Bento da Abadá</t>
        </is>
      </c>
      <c r="D711" s="39">
        <f>IFERROR(CLASIF_D_F!$F$7,"")</f>
        <v/>
      </c>
      <c r="E711" s="40" t="n"/>
      <c r="F711" s="39">
        <f>IFERROR(CLASIF_D_F!$F$18,"")</f>
        <v/>
      </c>
      <c r="G711" s="40" t="n"/>
      <c r="H711" s="41" t="n"/>
      <c r="I711" s="42">
        <f>IF($H711="","",MAX(0,$H711-N($E711)))</f>
        <v/>
      </c>
      <c r="J711" s="42">
        <f>IF($H711="","",MAX(0,$H711-N($G711)))</f>
        <v/>
      </c>
    </row>
    <row r="712" ht="19.5" customHeight="1" s="72">
      <c r="A712" s="38" t="inlineStr">
        <is>
          <t>DF-OCT-P03-SIR</t>
        </is>
      </c>
      <c r="B712" s="38" t="inlineStr">
        <is>
          <t>Octavas</t>
        </is>
      </c>
      <c r="C712" s="38" t="inlineStr">
        <is>
          <t>Siriuna</t>
        </is>
      </c>
      <c r="D712" s="39">
        <f>IFERROR(CLASIF_D_F!$F$7,"")</f>
        <v/>
      </c>
      <c r="E712" s="40" t="n"/>
      <c r="F712" s="39">
        <f>IFERROR(CLASIF_D_F!$F$18,"")</f>
        <v/>
      </c>
      <c r="G712" s="40" t="n"/>
      <c r="H712" s="41" t="n"/>
      <c r="I712" s="42">
        <f>IF($H712="","",MAX(0,$H712-N($E712)))</f>
        <v/>
      </c>
      <c r="J712" s="42">
        <f>IF($H712="","",MAX(0,$H712-N($G712)))</f>
        <v/>
      </c>
    </row>
    <row r="713" ht="19.5" customHeight="1" s="72">
      <c r="A713" s="38" t="inlineStr">
        <is>
          <t>DF-OCT-P04-BEN</t>
        </is>
      </c>
      <c r="B713" s="38" t="inlineStr">
        <is>
          <t>Octavas</t>
        </is>
      </c>
      <c r="C713" s="38" t="inlineStr">
        <is>
          <t>Benguela</t>
        </is>
      </c>
      <c r="D713" s="39">
        <f>IFERROR(CLASIF_D_F!$F$8,"")</f>
        <v/>
      </c>
      <c r="E713" s="40" t="n"/>
      <c r="F713" s="39">
        <f>IFERROR(CLASIF_D_F!$F$17,"")</f>
        <v/>
      </c>
      <c r="G713" s="40" t="n"/>
      <c r="H713" s="41" t="n"/>
      <c r="I713" s="42">
        <f>IF($H713="","",MAX(0,$H713-N($E713)))</f>
        <v/>
      </c>
      <c r="J713" s="42">
        <f>IF($H713="","",MAX(0,$H713-N($G713)))</f>
        <v/>
      </c>
    </row>
    <row r="714" ht="19.5" customHeight="1" s="72">
      <c r="A714" s="38" t="inlineStr">
        <is>
          <t>DF-OCT-P04-SBA</t>
        </is>
      </c>
      <c r="B714" s="38" t="inlineStr">
        <is>
          <t>Octavas</t>
        </is>
      </c>
      <c r="C714" s="38" t="inlineStr">
        <is>
          <t>São Bento da Abadá</t>
        </is>
      </c>
      <c r="D714" s="39">
        <f>IFERROR(CLASIF_D_F!$F$8,"")</f>
        <v/>
      </c>
      <c r="E714" s="40" t="n"/>
      <c r="F714" s="39">
        <f>IFERROR(CLASIF_D_F!$F$17,"")</f>
        <v/>
      </c>
      <c r="G714" s="40" t="n"/>
      <c r="H714" s="41" t="n"/>
      <c r="I714" s="42">
        <f>IF($H714="","",MAX(0,$H714-N($E714)))</f>
        <v/>
      </c>
      <c r="J714" s="42">
        <f>IF($H714="","",MAX(0,$H714-N($G714)))</f>
        <v/>
      </c>
    </row>
    <row r="715" ht="19.5" customHeight="1" s="72">
      <c r="A715" s="38" t="inlineStr">
        <is>
          <t>DF-OCT-P04-SIR</t>
        </is>
      </c>
      <c r="B715" s="38" t="inlineStr">
        <is>
          <t>Octavas</t>
        </is>
      </c>
      <c r="C715" s="38" t="inlineStr">
        <is>
          <t>Siriuna</t>
        </is>
      </c>
      <c r="D715" s="39">
        <f>IFERROR(CLASIF_D_F!$F$8,"")</f>
        <v/>
      </c>
      <c r="E715" s="40" t="n"/>
      <c r="F715" s="39">
        <f>IFERROR(CLASIF_D_F!$F$17,"")</f>
        <v/>
      </c>
      <c r="G715" s="40" t="n"/>
      <c r="H715" s="41" t="n"/>
      <c r="I715" s="42">
        <f>IF($H715="","",MAX(0,$H715-N($E715)))</f>
        <v/>
      </c>
      <c r="J715" s="42">
        <f>IF($H715="","",MAX(0,$H715-N($G715)))</f>
        <v/>
      </c>
    </row>
    <row r="716" ht="19.5" customHeight="1" s="72">
      <c r="A716" s="38" t="inlineStr">
        <is>
          <t>DF-OCT-P05-BEN</t>
        </is>
      </c>
      <c r="B716" s="38" t="inlineStr">
        <is>
          <t>Octavas</t>
        </is>
      </c>
      <c r="C716" s="38" t="inlineStr">
        <is>
          <t>Benguela</t>
        </is>
      </c>
      <c r="D716" s="39">
        <f>IFERROR(CLASIF_D_F!$F$9,"")</f>
        <v/>
      </c>
      <c r="E716" s="40" t="n"/>
      <c r="F716" s="39">
        <f>IFERROR(CLASIF_D_F!$F$16,"")</f>
        <v/>
      </c>
      <c r="G716" s="40" t="n"/>
      <c r="H716" s="41" t="n"/>
      <c r="I716" s="42">
        <f>IF($H716="","",MAX(0,$H716-N($E716)))</f>
        <v/>
      </c>
      <c r="J716" s="42">
        <f>IF($H716="","",MAX(0,$H716-N($G716)))</f>
        <v/>
      </c>
    </row>
    <row r="717" ht="19.5" customHeight="1" s="72">
      <c r="A717" s="38" t="inlineStr">
        <is>
          <t>DF-OCT-P05-SBA</t>
        </is>
      </c>
      <c r="B717" s="38" t="inlineStr">
        <is>
          <t>Octavas</t>
        </is>
      </c>
      <c r="C717" s="38" t="inlineStr">
        <is>
          <t>São Bento da Abadá</t>
        </is>
      </c>
      <c r="D717" s="39">
        <f>IFERROR(CLASIF_D_F!$F$9,"")</f>
        <v/>
      </c>
      <c r="E717" s="40" t="n"/>
      <c r="F717" s="39">
        <f>IFERROR(CLASIF_D_F!$F$16,"")</f>
        <v/>
      </c>
      <c r="G717" s="40" t="n"/>
      <c r="H717" s="41" t="n"/>
      <c r="I717" s="42">
        <f>IF($H717="","",MAX(0,$H717-N($E717)))</f>
        <v/>
      </c>
      <c r="J717" s="42">
        <f>IF($H717="","",MAX(0,$H717-N($G717)))</f>
        <v/>
      </c>
    </row>
    <row r="718" ht="19.5" customHeight="1" s="72">
      <c r="A718" s="38" t="inlineStr">
        <is>
          <t>DF-OCT-P05-SIR</t>
        </is>
      </c>
      <c r="B718" s="38" t="inlineStr">
        <is>
          <t>Octavas</t>
        </is>
      </c>
      <c r="C718" s="38" t="inlineStr">
        <is>
          <t>Siriuna</t>
        </is>
      </c>
      <c r="D718" s="39">
        <f>IFERROR(CLASIF_D_F!$F$9,"")</f>
        <v/>
      </c>
      <c r="E718" s="40" t="n"/>
      <c r="F718" s="39">
        <f>IFERROR(CLASIF_D_F!$F$16,"")</f>
        <v/>
      </c>
      <c r="G718" s="40" t="n"/>
      <c r="H718" s="41" t="n"/>
      <c r="I718" s="42">
        <f>IF($H718="","",MAX(0,$H718-N($E718)))</f>
        <v/>
      </c>
      <c r="J718" s="42">
        <f>IF($H718="","",MAX(0,$H718-N($G718)))</f>
        <v/>
      </c>
    </row>
    <row r="719" ht="19.5" customHeight="1" s="72">
      <c r="A719" s="38" t="inlineStr">
        <is>
          <t>DF-OCT-P06-BEN</t>
        </is>
      </c>
      <c r="B719" s="38" t="inlineStr">
        <is>
          <t>Octavas</t>
        </is>
      </c>
      <c r="C719" s="38" t="inlineStr">
        <is>
          <t>Benguela</t>
        </is>
      </c>
      <c r="D719" s="39">
        <f>IFERROR(CLASIF_D_F!$F$10,"")</f>
        <v/>
      </c>
      <c r="E719" s="40" t="n"/>
      <c r="F719" s="39">
        <f>IFERROR(CLASIF_D_F!$F$15,"")</f>
        <v/>
      </c>
      <c r="G719" s="40" t="n"/>
      <c r="H719" s="41" t="n"/>
      <c r="I719" s="42">
        <f>IF($H719="","",MAX(0,$H719-N($E719)))</f>
        <v/>
      </c>
      <c r="J719" s="42">
        <f>IF($H719="","",MAX(0,$H719-N($G719)))</f>
        <v/>
      </c>
    </row>
    <row r="720" ht="19.5" customHeight="1" s="72">
      <c r="A720" s="38" t="inlineStr">
        <is>
          <t>DF-OCT-P06-SBA</t>
        </is>
      </c>
      <c r="B720" s="38" t="inlineStr">
        <is>
          <t>Octavas</t>
        </is>
      </c>
      <c r="C720" s="38" t="inlineStr">
        <is>
          <t>São Bento da Abadá</t>
        </is>
      </c>
      <c r="D720" s="39">
        <f>IFERROR(CLASIF_D_F!$F$10,"")</f>
        <v/>
      </c>
      <c r="E720" s="40" t="n"/>
      <c r="F720" s="39">
        <f>IFERROR(CLASIF_D_F!$F$15,"")</f>
        <v/>
      </c>
      <c r="G720" s="40" t="n"/>
      <c r="H720" s="41" t="n"/>
      <c r="I720" s="42">
        <f>IF($H720="","",MAX(0,$H720-N($E720)))</f>
        <v/>
      </c>
      <c r="J720" s="42">
        <f>IF($H720="","",MAX(0,$H720-N($G720)))</f>
        <v/>
      </c>
    </row>
    <row r="721" ht="19.5" customHeight="1" s="72">
      <c r="A721" s="38" t="inlineStr">
        <is>
          <t>DF-OCT-P06-SIR</t>
        </is>
      </c>
      <c r="B721" s="38" t="inlineStr">
        <is>
          <t>Octavas</t>
        </is>
      </c>
      <c r="C721" s="38" t="inlineStr">
        <is>
          <t>Siriuna</t>
        </is>
      </c>
      <c r="D721" s="39">
        <f>IFERROR(CLASIF_D_F!$F$10,"")</f>
        <v/>
      </c>
      <c r="E721" s="40" t="n"/>
      <c r="F721" s="39">
        <f>IFERROR(CLASIF_D_F!$F$15,"")</f>
        <v/>
      </c>
      <c r="G721" s="40" t="n"/>
      <c r="H721" s="41" t="n"/>
      <c r="I721" s="42">
        <f>IF($H721="","",MAX(0,$H721-N($E721)))</f>
        <v/>
      </c>
      <c r="J721" s="42">
        <f>IF($H721="","",MAX(0,$H721-N($G721)))</f>
        <v/>
      </c>
    </row>
    <row r="722" ht="19.5" customHeight="1" s="72">
      <c r="A722" s="38" t="inlineStr">
        <is>
          <t>DF-OCT-P07-BEN</t>
        </is>
      </c>
      <c r="B722" s="38" t="inlineStr">
        <is>
          <t>Octavas</t>
        </is>
      </c>
      <c r="C722" s="38" t="inlineStr">
        <is>
          <t>Benguela</t>
        </is>
      </c>
      <c r="D722" s="39">
        <f>IFERROR(CLASIF_D_F!$F$11,"")</f>
        <v/>
      </c>
      <c r="E722" s="40" t="n"/>
      <c r="F722" s="39">
        <f>IFERROR(CLASIF_D_F!$F$14,"")</f>
        <v/>
      </c>
      <c r="G722" s="40" t="n"/>
      <c r="H722" s="41" t="n"/>
      <c r="I722" s="42">
        <f>IF($H722="","",MAX(0,$H722-N($E722)))</f>
        <v/>
      </c>
      <c r="J722" s="42">
        <f>IF($H722="","",MAX(0,$H722-N($G722)))</f>
        <v/>
      </c>
    </row>
    <row r="723" ht="19.5" customHeight="1" s="72">
      <c r="A723" s="38" t="inlineStr">
        <is>
          <t>DF-OCT-P07-SBA</t>
        </is>
      </c>
      <c r="B723" s="38" t="inlineStr">
        <is>
          <t>Octavas</t>
        </is>
      </c>
      <c r="C723" s="38" t="inlineStr">
        <is>
          <t>São Bento da Abadá</t>
        </is>
      </c>
      <c r="D723" s="39">
        <f>IFERROR(CLASIF_D_F!$F$11,"")</f>
        <v/>
      </c>
      <c r="E723" s="40" t="n"/>
      <c r="F723" s="39">
        <f>IFERROR(CLASIF_D_F!$F$14,"")</f>
        <v/>
      </c>
      <c r="G723" s="40" t="n"/>
      <c r="H723" s="41" t="n"/>
      <c r="I723" s="42">
        <f>IF($H723="","",MAX(0,$H723-N($E723)))</f>
        <v/>
      </c>
      <c r="J723" s="42">
        <f>IF($H723="","",MAX(0,$H723-N($G723)))</f>
        <v/>
      </c>
    </row>
    <row r="724" ht="19.5" customHeight="1" s="72">
      <c r="A724" s="38" t="inlineStr">
        <is>
          <t>DF-OCT-P07-SIR</t>
        </is>
      </c>
      <c r="B724" s="38" t="inlineStr">
        <is>
          <t>Octavas</t>
        </is>
      </c>
      <c r="C724" s="38" t="inlineStr">
        <is>
          <t>Siriuna</t>
        </is>
      </c>
      <c r="D724" s="39">
        <f>IFERROR(CLASIF_D_F!$F$11,"")</f>
        <v/>
      </c>
      <c r="E724" s="40" t="n"/>
      <c r="F724" s="39">
        <f>IFERROR(CLASIF_D_F!$F$14,"")</f>
        <v/>
      </c>
      <c r="G724" s="40" t="n"/>
      <c r="H724" s="41" t="n"/>
      <c r="I724" s="42">
        <f>IF($H724="","",MAX(0,$H724-N($E724)))</f>
        <v/>
      </c>
      <c r="J724" s="42">
        <f>IF($H724="","",MAX(0,$H724-N($G724)))</f>
        <v/>
      </c>
    </row>
    <row r="725" ht="19.5" customHeight="1" s="72">
      <c r="A725" s="38" t="inlineStr">
        <is>
          <t>DF-OCT-P08-BEN</t>
        </is>
      </c>
      <c r="B725" s="38" t="inlineStr">
        <is>
          <t>Octavas</t>
        </is>
      </c>
      <c r="C725" s="38" t="inlineStr">
        <is>
          <t>Benguela</t>
        </is>
      </c>
      <c r="D725" s="39">
        <f>IFERROR(CLASIF_D_F!$F$12,"")</f>
        <v/>
      </c>
      <c r="E725" s="40" t="n"/>
      <c r="F725" s="39">
        <f>IFERROR(CLASIF_D_F!$F$13,"")</f>
        <v/>
      </c>
      <c r="G725" s="40" t="n"/>
      <c r="H725" s="41" t="n"/>
      <c r="I725" s="42">
        <f>IF($H725="","",MAX(0,$H725-N($E725)))</f>
        <v/>
      </c>
      <c r="J725" s="42">
        <f>IF($H725="","",MAX(0,$H725-N($G725)))</f>
        <v/>
      </c>
    </row>
    <row r="726" ht="19.5" customHeight="1" s="72">
      <c r="A726" s="38" t="inlineStr">
        <is>
          <t>DF-OCT-P08-SBA</t>
        </is>
      </c>
      <c r="B726" s="38" t="inlineStr">
        <is>
          <t>Octavas</t>
        </is>
      </c>
      <c r="C726" s="38" t="inlineStr">
        <is>
          <t>São Bento da Abadá</t>
        </is>
      </c>
      <c r="D726" s="39">
        <f>IFERROR(CLASIF_D_F!$F$12,"")</f>
        <v/>
      </c>
      <c r="E726" s="40" t="n"/>
      <c r="F726" s="39">
        <f>IFERROR(CLASIF_D_F!$F$13,"")</f>
        <v/>
      </c>
      <c r="G726" s="40" t="n"/>
      <c r="H726" s="41" t="n"/>
      <c r="I726" s="42">
        <f>IF($H726="","",MAX(0,$H726-N($E726)))</f>
        <v/>
      </c>
      <c r="J726" s="42">
        <f>IF($H726="","",MAX(0,$H726-N($G726)))</f>
        <v/>
      </c>
    </row>
    <row r="727" ht="19.5" customHeight="1" s="72">
      <c r="A727" s="38" t="inlineStr">
        <is>
          <t>DF-OCT-P08-SIR</t>
        </is>
      </c>
      <c r="B727" s="38" t="inlineStr">
        <is>
          <t>Octavas</t>
        </is>
      </c>
      <c r="C727" s="38" t="inlineStr">
        <is>
          <t>Siriuna</t>
        </is>
      </c>
      <c r="D727" s="39">
        <f>IFERROR(CLASIF_D_F!$F$12,"")</f>
        <v/>
      </c>
      <c r="E727" s="40" t="n"/>
      <c r="F727" s="39">
        <f>IFERROR(CLASIF_D_F!$F$13,"")</f>
        <v/>
      </c>
      <c r="G727" s="40" t="n"/>
      <c r="H727" s="41" t="n"/>
      <c r="I727" s="42">
        <f>IF($H727="","",MAX(0,$H727-N($E727)))</f>
        <v/>
      </c>
      <c r="J727" s="42">
        <f>IF($H727="","",MAX(0,$H727-N($G727)))</f>
        <v/>
      </c>
    </row>
    <row r="728" ht="19.5" customHeight="1" s="72">
      <c r="A728" s="38" t="inlineStr">
        <is>
          <t>DF-SEM-P01-BEN</t>
        </is>
      </c>
      <c r="B728" s="38" t="inlineStr">
        <is>
          <t>Semifinal</t>
        </is>
      </c>
      <c r="C728" s="38" t="inlineStr">
        <is>
          <t>Benguela</t>
        </is>
      </c>
      <c r="D728" s="39">
        <f>IFERROR(CLASIF_D_F!$O$5,"")</f>
        <v/>
      </c>
      <c r="E728" s="40" t="n"/>
      <c r="F728" s="39">
        <f>IFERROR(CLASIF_D_F!$O$12,"")</f>
        <v/>
      </c>
      <c r="G728" s="40" t="n"/>
      <c r="H728" s="41" t="n"/>
      <c r="I728" s="42">
        <f>IF($H728="","",MAX(0,$H728-N($E728)))</f>
        <v/>
      </c>
      <c r="J728" s="42">
        <f>IF($H728="","",MAX(0,$H728-N($G728)))</f>
        <v/>
      </c>
    </row>
    <row r="729" ht="19.5" customHeight="1" s="72">
      <c r="A729" s="38" t="inlineStr">
        <is>
          <t>DF-SEM-P01-SBA</t>
        </is>
      </c>
      <c r="B729" s="38" t="inlineStr">
        <is>
          <t>Semifinal</t>
        </is>
      </c>
      <c r="C729" s="38" t="inlineStr">
        <is>
          <t>São Bento da Abadá</t>
        </is>
      </c>
      <c r="D729" s="39">
        <f>IFERROR(CLASIF_D_F!$O$5,"")</f>
        <v/>
      </c>
      <c r="E729" s="40" t="n"/>
      <c r="F729" s="39">
        <f>IFERROR(CLASIF_D_F!$O$12,"")</f>
        <v/>
      </c>
      <c r="G729" s="40" t="n"/>
      <c r="H729" s="41" t="n"/>
      <c r="I729" s="42">
        <f>IF($H729="","",MAX(0,$H729-N($E729)))</f>
        <v/>
      </c>
      <c r="J729" s="42">
        <f>IF($H729="","",MAX(0,$H729-N($G729)))</f>
        <v/>
      </c>
    </row>
    <row r="730" ht="19.5" customHeight="1" s="72">
      <c r="A730" s="38" t="inlineStr">
        <is>
          <t>DF-SEM-P01-SIR</t>
        </is>
      </c>
      <c r="B730" s="38" t="inlineStr">
        <is>
          <t>Semifinal</t>
        </is>
      </c>
      <c r="C730" s="38" t="inlineStr">
        <is>
          <t>Siriuna</t>
        </is>
      </c>
      <c r="D730" s="39">
        <f>IFERROR(CLASIF_D_F!$O$5,"")</f>
        <v/>
      </c>
      <c r="E730" s="40" t="n"/>
      <c r="F730" s="39">
        <f>IFERROR(CLASIF_D_F!$O$12,"")</f>
        <v/>
      </c>
      <c r="G730" s="40" t="n"/>
      <c r="H730" s="41" t="n"/>
      <c r="I730" s="42">
        <f>IF($H730="","",MAX(0,$H730-N($E730)))</f>
        <v/>
      </c>
      <c r="J730" s="42">
        <f>IF($H730="","",MAX(0,$H730-N($G730)))</f>
        <v/>
      </c>
    </row>
    <row r="731" ht="19.5" customHeight="1" s="72">
      <c r="A731" s="38" t="inlineStr">
        <is>
          <t>DF-SEM-P02-BEN</t>
        </is>
      </c>
      <c r="B731" s="38" t="inlineStr">
        <is>
          <t>Semifinal</t>
        </is>
      </c>
      <c r="C731" s="38" t="inlineStr">
        <is>
          <t>Benguela</t>
        </is>
      </c>
      <c r="D731" s="39">
        <f>IFERROR(CLASIF_D_F!$O$6,"")</f>
        <v/>
      </c>
      <c r="E731" s="40" t="n"/>
      <c r="F731" s="39">
        <f>IFERROR(CLASIF_D_F!$O$11,"")</f>
        <v/>
      </c>
      <c r="G731" s="40" t="n"/>
      <c r="H731" s="41" t="n"/>
      <c r="I731" s="42">
        <f>IF($H731="","",MAX(0,$H731-N($E731)))</f>
        <v/>
      </c>
      <c r="J731" s="42">
        <f>IF($H731="","",MAX(0,$H731-N($G731)))</f>
        <v/>
      </c>
    </row>
    <row r="732" ht="19.5" customHeight="1" s="72">
      <c r="A732" s="38" t="inlineStr">
        <is>
          <t>DF-SEM-P02-SBA</t>
        </is>
      </c>
      <c r="B732" s="38" t="inlineStr">
        <is>
          <t>Semifinal</t>
        </is>
      </c>
      <c r="C732" s="38" t="inlineStr">
        <is>
          <t>São Bento da Abadá</t>
        </is>
      </c>
      <c r="D732" s="39">
        <f>IFERROR(CLASIF_D_F!$O$6,"")</f>
        <v/>
      </c>
      <c r="E732" s="40" t="n"/>
      <c r="F732" s="39">
        <f>IFERROR(CLASIF_D_F!$O$11,"")</f>
        <v/>
      </c>
      <c r="G732" s="40" t="n"/>
      <c r="H732" s="41" t="n"/>
      <c r="I732" s="42">
        <f>IF($H732="","",MAX(0,$H732-N($E732)))</f>
        <v/>
      </c>
      <c r="J732" s="42">
        <f>IF($H732="","",MAX(0,$H732-N($G732)))</f>
        <v/>
      </c>
    </row>
    <row r="733" ht="19.5" customHeight="1" s="72">
      <c r="A733" s="38" t="inlineStr">
        <is>
          <t>DF-SEM-P02-SIR</t>
        </is>
      </c>
      <c r="B733" s="38" t="inlineStr">
        <is>
          <t>Semifinal</t>
        </is>
      </c>
      <c r="C733" s="38" t="inlineStr">
        <is>
          <t>Siriuna</t>
        </is>
      </c>
      <c r="D733" s="39">
        <f>IFERROR(CLASIF_D_F!$O$6,"")</f>
        <v/>
      </c>
      <c r="E733" s="40" t="n"/>
      <c r="F733" s="39">
        <f>IFERROR(CLASIF_D_F!$O$11,"")</f>
        <v/>
      </c>
      <c r="G733" s="40" t="n"/>
      <c r="H733" s="41" t="n"/>
      <c r="I733" s="42">
        <f>IF($H733="","",MAX(0,$H733-N($E733)))</f>
        <v/>
      </c>
      <c r="J733" s="42">
        <f>IF($H733="","",MAX(0,$H733-N($G733)))</f>
        <v/>
      </c>
    </row>
    <row r="734" ht="19.5" customHeight="1" s="72">
      <c r="A734" s="38" t="inlineStr">
        <is>
          <t>DF-SEM-P03-BEN</t>
        </is>
      </c>
      <c r="B734" s="38" t="inlineStr">
        <is>
          <t>Semifinal</t>
        </is>
      </c>
      <c r="C734" s="38" t="inlineStr">
        <is>
          <t>Benguela</t>
        </is>
      </c>
      <c r="D734" s="39">
        <f>IFERROR(CLASIF_D_F!$O$7,"")</f>
        <v/>
      </c>
      <c r="E734" s="40" t="n"/>
      <c r="F734" s="39">
        <f>IFERROR(CLASIF_D_F!$O$10,"")</f>
        <v/>
      </c>
      <c r="G734" s="40" t="n"/>
      <c r="H734" s="41" t="n"/>
      <c r="I734" s="42">
        <f>IF($H734="","",MAX(0,$H734-N($E734)))</f>
        <v/>
      </c>
      <c r="J734" s="42">
        <f>IF($H734="","",MAX(0,$H734-N($G734)))</f>
        <v/>
      </c>
    </row>
    <row r="735" ht="19.5" customHeight="1" s="72">
      <c r="A735" s="38" t="inlineStr">
        <is>
          <t>DF-SEM-P03-SBA</t>
        </is>
      </c>
      <c r="B735" s="38" t="inlineStr">
        <is>
          <t>Semifinal</t>
        </is>
      </c>
      <c r="C735" s="38" t="inlineStr">
        <is>
          <t>São Bento da Abadá</t>
        </is>
      </c>
      <c r="D735" s="39">
        <f>IFERROR(CLASIF_D_F!$O$7,"")</f>
        <v/>
      </c>
      <c r="E735" s="40" t="n"/>
      <c r="F735" s="39">
        <f>IFERROR(CLASIF_D_F!$O$10,"")</f>
        <v/>
      </c>
      <c r="G735" s="40" t="n"/>
      <c r="H735" s="41" t="n"/>
      <c r="I735" s="42">
        <f>IF($H735="","",MAX(0,$H735-N($E735)))</f>
        <v/>
      </c>
      <c r="J735" s="42">
        <f>IF($H735="","",MAX(0,$H735-N($G735)))</f>
        <v/>
      </c>
    </row>
    <row r="736" ht="19.5" customHeight="1" s="72">
      <c r="A736" s="38" t="inlineStr">
        <is>
          <t>DF-SEM-P03-SIR</t>
        </is>
      </c>
      <c r="B736" s="38" t="inlineStr">
        <is>
          <t>Semifinal</t>
        </is>
      </c>
      <c r="C736" s="38" t="inlineStr">
        <is>
          <t>Siriuna</t>
        </is>
      </c>
      <c r="D736" s="39">
        <f>IFERROR(CLASIF_D_F!$O$7,"")</f>
        <v/>
      </c>
      <c r="E736" s="40" t="n"/>
      <c r="F736" s="39">
        <f>IFERROR(CLASIF_D_F!$O$10,"")</f>
        <v/>
      </c>
      <c r="G736" s="40" t="n"/>
      <c r="H736" s="41" t="n"/>
      <c r="I736" s="42">
        <f>IF($H736="","",MAX(0,$H736-N($E736)))</f>
        <v/>
      </c>
      <c r="J736" s="42">
        <f>IF($H736="","",MAX(0,$H736-N($G736)))</f>
        <v/>
      </c>
    </row>
    <row r="737" ht="19.5" customHeight="1" s="72">
      <c r="A737" s="38" t="inlineStr">
        <is>
          <t>DF-SEM-P04-BEN</t>
        </is>
      </c>
      <c r="B737" s="38" t="inlineStr">
        <is>
          <t>Semifinal</t>
        </is>
      </c>
      <c r="C737" s="38" t="inlineStr">
        <is>
          <t>Benguela</t>
        </is>
      </c>
      <c r="D737" s="39">
        <f>IFERROR(CLASIF_D_F!$O$8,"")</f>
        <v/>
      </c>
      <c r="E737" s="40" t="n"/>
      <c r="F737" s="39">
        <f>IFERROR(CLASIF_D_F!$O$9,"")</f>
        <v/>
      </c>
      <c r="G737" s="40" t="n"/>
      <c r="H737" s="41" t="n"/>
      <c r="I737" s="42">
        <f>IF($H737="","",MAX(0,$H737-N($E737)))</f>
        <v/>
      </c>
      <c r="J737" s="42">
        <f>IF($H737="","",MAX(0,$H737-N($G737)))</f>
        <v/>
      </c>
    </row>
    <row r="738" ht="19.5" customHeight="1" s="72">
      <c r="A738" s="38" t="inlineStr">
        <is>
          <t>DF-SEM-P04-SBA</t>
        </is>
      </c>
      <c r="B738" s="38" t="inlineStr">
        <is>
          <t>Semifinal</t>
        </is>
      </c>
      <c r="C738" s="38" t="inlineStr">
        <is>
          <t>São Bento da Abadá</t>
        </is>
      </c>
      <c r="D738" s="39">
        <f>IFERROR(CLASIF_D_F!$O$8,"")</f>
        <v/>
      </c>
      <c r="E738" s="40" t="n"/>
      <c r="F738" s="39">
        <f>IFERROR(CLASIF_D_F!$O$9,"")</f>
        <v/>
      </c>
      <c r="G738" s="40" t="n"/>
      <c r="H738" s="41" t="n"/>
      <c r="I738" s="42">
        <f>IF($H738="","",MAX(0,$H738-N($E738)))</f>
        <v/>
      </c>
      <c r="J738" s="42">
        <f>IF($H738="","",MAX(0,$H738-N($G738)))</f>
        <v/>
      </c>
    </row>
    <row r="739" ht="19.5" customHeight="1" s="72">
      <c r="A739" s="38" t="inlineStr">
        <is>
          <t>DF-SEM-P04-SIR</t>
        </is>
      </c>
      <c r="B739" s="38" t="inlineStr">
        <is>
          <t>Semifinal</t>
        </is>
      </c>
      <c r="C739" s="38" t="inlineStr">
        <is>
          <t>Siriuna</t>
        </is>
      </c>
      <c r="D739" s="39">
        <f>IFERROR(CLASIF_D_F!$O$8,"")</f>
        <v/>
      </c>
      <c r="E739" s="40" t="n"/>
      <c r="F739" s="39">
        <f>IFERROR(CLASIF_D_F!$O$9,"")</f>
        <v/>
      </c>
      <c r="G739" s="40" t="n"/>
      <c r="H739" s="41" t="n"/>
      <c r="I739" s="42">
        <f>IF($H739="","",MAX(0,$H739-N($E739)))</f>
        <v/>
      </c>
      <c r="J739" s="42">
        <f>IF($H739="","",MAX(0,$H739-N($G739)))</f>
        <v/>
      </c>
    </row>
    <row r="740" ht="19.5" customHeight="1" s="72">
      <c r="A740" s="38" t="inlineStr">
        <is>
          <t>DF-FIN-P01-BEN</t>
        </is>
      </c>
      <c r="B740" s="38" t="inlineStr">
        <is>
          <t>Final</t>
        </is>
      </c>
      <c r="C740" s="38" t="inlineStr">
        <is>
          <t>Benguela</t>
        </is>
      </c>
      <c r="D740" s="39">
        <f>IFERROR(CLASIF_D_F!$X$5,"")</f>
        <v/>
      </c>
      <c r="E740" s="40" t="n"/>
      <c r="F740" s="39">
        <f>IFERROR(CLASIF_D_F!$X$8,"")</f>
        <v/>
      </c>
      <c r="G740" s="40" t="n"/>
      <c r="H740" s="41" t="n"/>
      <c r="I740" s="42">
        <f>IF($H740="","",MAX(0,$H740-N($E740)))</f>
        <v/>
      </c>
      <c r="J740" s="42">
        <f>IF($H740="","",MAX(0,$H740-N($G740)))</f>
        <v/>
      </c>
    </row>
    <row r="741" ht="19.5" customHeight="1" s="72">
      <c r="A741" s="38" t="inlineStr">
        <is>
          <t>DF-FIN-P01-SBA</t>
        </is>
      </c>
      <c r="B741" s="38" t="inlineStr">
        <is>
          <t>Final</t>
        </is>
      </c>
      <c r="C741" s="38" t="inlineStr">
        <is>
          <t>São Bento da Abadá</t>
        </is>
      </c>
      <c r="D741" s="39">
        <f>IFERROR(CLASIF_D_F!$X$5,"")</f>
        <v/>
      </c>
      <c r="E741" s="40" t="n"/>
      <c r="F741" s="39">
        <f>IFERROR(CLASIF_D_F!$X$8,"")</f>
        <v/>
      </c>
      <c r="G741" s="40" t="n"/>
      <c r="H741" s="41" t="n"/>
      <c r="I741" s="42">
        <f>IF($H741="","",MAX(0,$H741-N($E741)))</f>
        <v/>
      </c>
      <c r="J741" s="42">
        <f>IF($H741="","",MAX(0,$H741-N($G741)))</f>
        <v/>
      </c>
    </row>
    <row r="742" ht="19.5" customHeight="1" s="72">
      <c r="A742" s="38" t="inlineStr">
        <is>
          <t>DF-FIN-P01-SIR</t>
        </is>
      </c>
      <c r="B742" s="38" t="inlineStr">
        <is>
          <t>Final</t>
        </is>
      </c>
      <c r="C742" s="38" t="inlineStr">
        <is>
          <t>Siriuna</t>
        </is>
      </c>
      <c r="D742" s="39">
        <f>IFERROR(CLASIF_D_F!$X$5,"")</f>
        <v/>
      </c>
      <c r="E742" s="40" t="n"/>
      <c r="F742" s="39">
        <f>IFERROR(CLASIF_D_F!$X$8,"")</f>
        <v/>
      </c>
      <c r="G742" s="40" t="n"/>
      <c r="H742" s="41" t="n"/>
      <c r="I742" s="42">
        <f>IF($H742="","",MAX(0,$H742-N($E742)))</f>
        <v/>
      </c>
      <c r="J742" s="42">
        <f>IF($H742="","",MAX(0,$H742-N($G742)))</f>
        <v/>
      </c>
    </row>
    <row r="743" ht="19.5" customHeight="1" s="72">
      <c r="A743" s="38" t="inlineStr">
        <is>
          <t>DF-FIN-P02-BEN</t>
        </is>
      </c>
      <c r="B743" s="38" t="inlineStr">
        <is>
          <t>Final</t>
        </is>
      </c>
      <c r="C743" s="38" t="inlineStr">
        <is>
          <t>Benguela</t>
        </is>
      </c>
      <c r="D743" s="39">
        <f>IFERROR(CLASIF_D_F!$X$6,"")</f>
        <v/>
      </c>
      <c r="E743" s="40" t="n"/>
      <c r="F743" s="39">
        <f>IFERROR(CLASIF_D_F!$X$7,"")</f>
        <v/>
      </c>
      <c r="G743" s="40" t="n"/>
      <c r="H743" s="41" t="n"/>
      <c r="I743" s="42">
        <f>IF($H743="","",MAX(0,$H743-N($E743)))</f>
        <v/>
      </c>
      <c r="J743" s="42">
        <f>IF($H743="","",MAX(0,$H743-N($G743)))</f>
        <v/>
      </c>
    </row>
    <row r="744" ht="19.5" customHeight="1" s="72">
      <c r="A744" s="38" t="inlineStr">
        <is>
          <t>DF-FIN-P02-SBA</t>
        </is>
      </c>
      <c r="B744" s="38" t="inlineStr">
        <is>
          <t>Final</t>
        </is>
      </c>
      <c r="C744" s="38" t="inlineStr">
        <is>
          <t>São Bento da Abadá</t>
        </is>
      </c>
      <c r="D744" s="39">
        <f>IFERROR(CLASIF_D_F!$X$6,"")</f>
        <v/>
      </c>
      <c r="E744" s="40" t="n"/>
      <c r="F744" s="39">
        <f>IFERROR(CLASIF_D_F!$X$7,"")</f>
        <v/>
      </c>
      <c r="G744" s="40" t="n"/>
      <c r="H744" s="41" t="n"/>
      <c r="I744" s="42">
        <f>IF($H744="","",MAX(0,$H744-N($E744)))</f>
        <v/>
      </c>
      <c r="J744" s="42">
        <f>IF($H744="","",MAX(0,$H744-N($G744)))</f>
        <v/>
      </c>
    </row>
    <row r="745" ht="19.5" customHeight="1" s="72">
      <c r="A745" s="38" t="inlineStr">
        <is>
          <t>DF-FIN-P02-SIR</t>
        </is>
      </c>
      <c r="B745" s="38" t="inlineStr">
        <is>
          <t>Final</t>
        </is>
      </c>
      <c r="C745" s="38" t="inlineStr">
        <is>
          <t>Siriuna</t>
        </is>
      </c>
      <c r="D745" s="39">
        <f>IFERROR(CLASIF_D_F!$X$6,"")</f>
        <v/>
      </c>
      <c r="E745" s="40" t="n"/>
      <c r="F745" s="39">
        <f>IFERROR(CLASIF_D_F!$X$7,"")</f>
        <v/>
      </c>
      <c r="G745" s="40" t="n"/>
      <c r="H745" s="41" t="n"/>
      <c r="I745" s="42">
        <f>IF($H745="","",MAX(0,$H745-N($E745)))</f>
        <v/>
      </c>
      <c r="J745" s="42">
        <f>IF($H745="","",MAX(0,$H745-N($G745)))</f>
        <v/>
      </c>
    </row>
    <row r="746" ht="19.5" customHeight="1" s="72">
      <c r="A746" s="43" t="n"/>
      <c r="B746" s="43" t="n"/>
      <c r="C746" s="43" t="n"/>
      <c r="D746" s="43" t="n"/>
      <c r="E746" s="43" t="n"/>
      <c r="F746" s="43" t="n"/>
      <c r="G746" s="43" t="n"/>
      <c r="H746" s="44" t="n"/>
      <c r="I746" s="43">
        <f>IF($H746="","",MAX(0,$H746-N($E746)))</f>
        <v/>
      </c>
      <c r="J746" s="43">
        <f>IF($H746="","",MAX(0,$H746-N($G746)))</f>
        <v/>
      </c>
    </row>
    <row r="747" ht="19.5" customHeight="1" s="72">
      <c r="A747" s="84" t="inlineStr">
        <is>
          <t>═══ CATEGORÍA E · Masculino · Naranja (Alumnos) · Toques: São Bento da Abadá, Benguela ═══</t>
        </is>
      </c>
    </row>
    <row r="748" ht="19.5" customHeight="1" s="72">
      <c r="A748" s="8" t="inlineStr">
        <is>
          <t>Jogo</t>
        </is>
      </c>
      <c r="B748" s="8" t="inlineStr">
        <is>
          <t>Fase</t>
        </is>
      </c>
      <c r="C748" s="8" t="inlineStr">
        <is>
          <t>Toque</t>
        </is>
      </c>
      <c r="D748" s="8" t="inlineStr">
        <is>
          <t>Jugador A</t>
        </is>
      </c>
      <c r="E748" s="8" t="inlineStr">
        <is>
          <t>Quita A</t>
        </is>
      </c>
      <c r="F748" s="8" t="inlineStr">
        <is>
          <t>Jugador B</t>
        </is>
      </c>
      <c r="G748" s="8" t="inlineStr">
        <is>
          <t>Quita B</t>
        </is>
      </c>
      <c r="H748" s="8" t="inlineStr">
        <is>
          <t>NOTA (0-5)</t>
        </is>
      </c>
      <c r="I748" s="8">
        <f>IF($H748="","",MAX(0,$H748-N($E748)))</f>
        <v/>
      </c>
      <c r="J748" s="8">
        <f>IF($H748="","",MAX(0,$H748-N($G748)))</f>
        <v/>
      </c>
    </row>
    <row r="749" ht="19.5" customHeight="1" s="72">
      <c r="A749" s="38" t="inlineStr">
        <is>
          <t>EM-32-P01-SBA</t>
        </is>
      </c>
      <c r="B749" s="38" t="inlineStr">
        <is>
          <t>Fase 32</t>
        </is>
      </c>
      <c r="C749" s="38" t="inlineStr">
        <is>
          <t>São Bento da Abadá</t>
        </is>
      </c>
      <c r="D749" s="39" t="inlineStr">
        <is>
          <t>A_E_M_32_P1</t>
        </is>
      </c>
      <c r="E749" s="40" t="n"/>
      <c r="F749" s="39" t="inlineStr">
        <is>
          <t>B_E_M_32_P1</t>
        </is>
      </c>
      <c r="G749" s="40" t="n"/>
      <c r="H749" s="41" t="n"/>
      <c r="I749" s="42">
        <f>IF($H749="","",MAX(0,$H749-N($E749)))</f>
        <v/>
      </c>
      <c r="J749" s="42">
        <f>IF($H749="","",MAX(0,$H749-N($G749)))</f>
        <v/>
      </c>
    </row>
    <row r="750" ht="19.5" customHeight="1" s="72">
      <c r="A750" s="38" t="inlineStr">
        <is>
          <t>EM-32-P01-BEN</t>
        </is>
      </c>
      <c r="B750" s="38" t="inlineStr">
        <is>
          <t>Fase 32</t>
        </is>
      </c>
      <c r="C750" s="38" t="inlineStr">
        <is>
          <t>Benguela</t>
        </is>
      </c>
      <c r="D750" s="39" t="inlineStr">
        <is>
          <t>A_E_M_32_P1</t>
        </is>
      </c>
      <c r="E750" s="40" t="n"/>
      <c r="F750" s="39" t="inlineStr">
        <is>
          <t>B_E_M_32_P1</t>
        </is>
      </c>
      <c r="G750" s="40" t="n"/>
      <c r="H750" s="41" t="n"/>
      <c r="I750" s="42">
        <f>IF($H750="","",MAX(0,$H750-N($E750)))</f>
        <v/>
      </c>
      <c r="J750" s="42">
        <f>IF($H750="","",MAX(0,$H750-N($G750)))</f>
        <v/>
      </c>
    </row>
    <row r="751" ht="19.5" customHeight="1" s="72">
      <c r="A751" s="38" t="inlineStr">
        <is>
          <t>EM-32-P02-SBA</t>
        </is>
      </c>
      <c r="B751" s="38" t="inlineStr">
        <is>
          <t>Fase 32</t>
        </is>
      </c>
      <c r="C751" s="38" t="inlineStr">
        <is>
          <t>São Bento da Abadá</t>
        </is>
      </c>
      <c r="D751" s="39" t="inlineStr">
        <is>
          <t>A_E_M_32_P2</t>
        </is>
      </c>
      <c r="E751" s="40" t="n"/>
      <c r="F751" s="39" t="inlineStr">
        <is>
          <t>B_E_M_32_P2</t>
        </is>
      </c>
      <c r="G751" s="40" t="n"/>
      <c r="H751" s="41" t="n"/>
      <c r="I751" s="42">
        <f>IF($H751="","",MAX(0,$H751-N($E751)))</f>
        <v/>
      </c>
      <c r="J751" s="42">
        <f>IF($H751="","",MAX(0,$H751-N($G751)))</f>
        <v/>
      </c>
    </row>
    <row r="752" ht="19.5" customHeight="1" s="72">
      <c r="A752" s="38" t="inlineStr">
        <is>
          <t>EM-32-P02-BEN</t>
        </is>
      </c>
      <c r="B752" s="38" t="inlineStr">
        <is>
          <t>Fase 32</t>
        </is>
      </c>
      <c r="C752" s="38" t="inlineStr">
        <is>
          <t>Benguela</t>
        </is>
      </c>
      <c r="D752" s="39" t="inlineStr">
        <is>
          <t>A_E_M_32_P2</t>
        </is>
      </c>
      <c r="E752" s="40" t="n"/>
      <c r="F752" s="39" t="inlineStr">
        <is>
          <t>B_E_M_32_P2</t>
        </is>
      </c>
      <c r="G752" s="40" t="n"/>
      <c r="H752" s="41" t="n"/>
      <c r="I752" s="42">
        <f>IF($H752="","",MAX(0,$H752-N($E752)))</f>
        <v/>
      </c>
      <c r="J752" s="42">
        <f>IF($H752="","",MAX(0,$H752-N($G752)))</f>
        <v/>
      </c>
    </row>
    <row r="753" ht="19.5" customHeight="1" s="72">
      <c r="A753" s="38" t="inlineStr">
        <is>
          <t>EM-32-P03-SBA</t>
        </is>
      </c>
      <c r="B753" s="38" t="inlineStr">
        <is>
          <t>Fase 32</t>
        </is>
      </c>
      <c r="C753" s="38" t="inlineStr">
        <is>
          <t>São Bento da Abadá</t>
        </is>
      </c>
      <c r="D753" s="39" t="inlineStr">
        <is>
          <t>A_E_M_32_P3</t>
        </is>
      </c>
      <c r="E753" s="40" t="n"/>
      <c r="F753" s="39" t="inlineStr">
        <is>
          <t>B_E_M_32_P3</t>
        </is>
      </c>
      <c r="G753" s="40" t="n"/>
      <c r="H753" s="41" t="n"/>
      <c r="I753" s="42">
        <f>IF($H753="","",MAX(0,$H753-N($E753)))</f>
        <v/>
      </c>
      <c r="J753" s="42">
        <f>IF($H753="","",MAX(0,$H753-N($G753)))</f>
        <v/>
      </c>
    </row>
    <row r="754" ht="19.5" customHeight="1" s="72">
      <c r="A754" s="38" t="inlineStr">
        <is>
          <t>EM-32-P03-BEN</t>
        </is>
      </c>
      <c r="B754" s="38" t="inlineStr">
        <is>
          <t>Fase 32</t>
        </is>
      </c>
      <c r="C754" s="38" t="inlineStr">
        <is>
          <t>Benguela</t>
        </is>
      </c>
      <c r="D754" s="39" t="inlineStr">
        <is>
          <t>A_E_M_32_P3</t>
        </is>
      </c>
      <c r="E754" s="40" t="n"/>
      <c r="F754" s="39" t="inlineStr">
        <is>
          <t>B_E_M_32_P3</t>
        </is>
      </c>
      <c r="G754" s="40" t="n"/>
      <c r="H754" s="41" t="n"/>
      <c r="I754" s="42">
        <f>IF($H754="","",MAX(0,$H754-N($E754)))</f>
        <v/>
      </c>
      <c r="J754" s="42">
        <f>IF($H754="","",MAX(0,$H754-N($G754)))</f>
        <v/>
      </c>
    </row>
    <row r="755" ht="19.5" customHeight="1" s="72">
      <c r="A755" s="38" t="inlineStr">
        <is>
          <t>EM-32-P04-SBA</t>
        </is>
      </c>
      <c r="B755" s="38" t="inlineStr">
        <is>
          <t>Fase 32</t>
        </is>
      </c>
      <c r="C755" s="38" t="inlineStr">
        <is>
          <t>São Bento da Abadá</t>
        </is>
      </c>
      <c r="D755" s="39" t="inlineStr">
        <is>
          <t>A_E_M_32_P4</t>
        </is>
      </c>
      <c r="E755" s="40" t="n"/>
      <c r="F755" s="39" t="inlineStr">
        <is>
          <t>B_E_M_32_P4</t>
        </is>
      </c>
      <c r="G755" s="40" t="n"/>
      <c r="H755" s="41" t="n"/>
      <c r="I755" s="42">
        <f>IF($H755="","",MAX(0,$H755-N($E755)))</f>
        <v/>
      </c>
      <c r="J755" s="42">
        <f>IF($H755="","",MAX(0,$H755-N($G755)))</f>
        <v/>
      </c>
    </row>
    <row r="756" ht="19.5" customHeight="1" s="72">
      <c r="A756" s="38" t="inlineStr">
        <is>
          <t>EM-32-P04-BEN</t>
        </is>
      </c>
      <c r="B756" s="38" t="inlineStr">
        <is>
          <t>Fase 32</t>
        </is>
      </c>
      <c r="C756" s="38" t="inlineStr">
        <is>
          <t>Benguela</t>
        </is>
      </c>
      <c r="D756" s="39" t="inlineStr">
        <is>
          <t>A_E_M_32_P4</t>
        </is>
      </c>
      <c r="E756" s="40" t="n"/>
      <c r="F756" s="39" t="inlineStr">
        <is>
          <t>B_E_M_32_P4</t>
        </is>
      </c>
      <c r="G756" s="40" t="n"/>
      <c r="H756" s="41" t="n"/>
      <c r="I756" s="42">
        <f>IF($H756="","",MAX(0,$H756-N($E756)))</f>
        <v/>
      </c>
      <c r="J756" s="42">
        <f>IF($H756="","",MAX(0,$H756-N($G756)))</f>
        <v/>
      </c>
    </row>
    <row r="757" ht="19.5" customHeight="1" s="72">
      <c r="A757" s="38" t="inlineStr">
        <is>
          <t>EM-32-P05-SBA</t>
        </is>
      </c>
      <c r="B757" s="38" t="inlineStr">
        <is>
          <t>Fase 32</t>
        </is>
      </c>
      <c r="C757" s="38" t="inlineStr">
        <is>
          <t>São Bento da Abadá</t>
        </is>
      </c>
      <c r="D757" s="39" t="inlineStr">
        <is>
          <t>A_E_M_32_P5</t>
        </is>
      </c>
      <c r="E757" s="40" t="n"/>
      <c r="F757" s="39" t="inlineStr">
        <is>
          <t>B_E_M_32_P5</t>
        </is>
      </c>
      <c r="G757" s="40" t="n"/>
      <c r="H757" s="41" t="n"/>
      <c r="I757" s="42">
        <f>IF($H757="","",MAX(0,$H757-N($E757)))</f>
        <v/>
      </c>
      <c r="J757" s="42">
        <f>IF($H757="","",MAX(0,$H757-N($G757)))</f>
        <v/>
      </c>
    </row>
    <row r="758" ht="19.5" customHeight="1" s="72">
      <c r="A758" s="38" t="inlineStr">
        <is>
          <t>EM-32-P05-BEN</t>
        </is>
      </c>
      <c r="B758" s="38" t="inlineStr">
        <is>
          <t>Fase 32</t>
        </is>
      </c>
      <c r="C758" s="38" t="inlineStr">
        <is>
          <t>Benguela</t>
        </is>
      </c>
      <c r="D758" s="39" t="inlineStr">
        <is>
          <t>A_E_M_32_P5</t>
        </is>
      </c>
      <c r="E758" s="40" t="n"/>
      <c r="F758" s="39" t="inlineStr">
        <is>
          <t>B_E_M_32_P5</t>
        </is>
      </c>
      <c r="G758" s="40" t="n"/>
      <c r="H758" s="41" t="n"/>
      <c r="I758" s="42">
        <f>IF($H758="","",MAX(0,$H758-N($E758)))</f>
        <v/>
      </c>
      <c r="J758" s="42">
        <f>IF($H758="","",MAX(0,$H758-N($G758)))</f>
        <v/>
      </c>
    </row>
    <row r="759" ht="19.5" customHeight="1" s="72">
      <c r="A759" s="38" t="inlineStr">
        <is>
          <t>EM-32-P06-SBA</t>
        </is>
      </c>
      <c r="B759" s="38" t="inlineStr">
        <is>
          <t>Fase 32</t>
        </is>
      </c>
      <c r="C759" s="38" t="inlineStr">
        <is>
          <t>São Bento da Abadá</t>
        </is>
      </c>
      <c r="D759" s="39" t="inlineStr">
        <is>
          <t>A_E_M_32_P6</t>
        </is>
      </c>
      <c r="E759" s="40" t="n"/>
      <c r="F759" s="39" t="inlineStr">
        <is>
          <t>B_E_M_32_P6</t>
        </is>
      </c>
      <c r="G759" s="40" t="n"/>
      <c r="H759" s="41" t="n"/>
      <c r="I759" s="42">
        <f>IF($H759="","",MAX(0,$H759-N($E759)))</f>
        <v/>
      </c>
      <c r="J759" s="42">
        <f>IF($H759="","",MAX(0,$H759-N($G759)))</f>
        <v/>
      </c>
    </row>
    <row r="760" ht="19.5" customHeight="1" s="72">
      <c r="A760" s="38" t="inlineStr">
        <is>
          <t>EM-32-P06-BEN</t>
        </is>
      </c>
      <c r="B760" s="38" t="inlineStr">
        <is>
          <t>Fase 32</t>
        </is>
      </c>
      <c r="C760" s="38" t="inlineStr">
        <is>
          <t>Benguela</t>
        </is>
      </c>
      <c r="D760" s="39" t="inlineStr">
        <is>
          <t>A_E_M_32_P6</t>
        </is>
      </c>
      <c r="E760" s="40" t="n"/>
      <c r="F760" s="39" t="inlineStr">
        <is>
          <t>B_E_M_32_P6</t>
        </is>
      </c>
      <c r="G760" s="40" t="n"/>
      <c r="H760" s="41" t="n"/>
      <c r="I760" s="42">
        <f>IF($H760="","",MAX(0,$H760-N($E760)))</f>
        <v/>
      </c>
      <c r="J760" s="42">
        <f>IF($H760="","",MAX(0,$H760-N($G760)))</f>
        <v/>
      </c>
    </row>
    <row r="761" ht="19.5" customHeight="1" s="72">
      <c r="A761" s="38" t="inlineStr">
        <is>
          <t>EM-32-P07-SBA</t>
        </is>
      </c>
      <c r="B761" s="38" t="inlineStr">
        <is>
          <t>Fase 32</t>
        </is>
      </c>
      <c r="C761" s="38" t="inlineStr">
        <is>
          <t>São Bento da Abadá</t>
        </is>
      </c>
      <c r="D761" s="39" t="inlineStr">
        <is>
          <t>A_E_M_32_P7</t>
        </is>
      </c>
      <c r="E761" s="40" t="n"/>
      <c r="F761" s="39" t="inlineStr">
        <is>
          <t>B_E_M_32_P7</t>
        </is>
      </c>
      <c r="G761" s="40" t="n"/>
      <c r="H761" s="41" t="n"/>
      <c r="I761" s="42">
        <f>IF($H761="","",MAX(0,$H761-N($E761)))</f>
        <v/>
      </c>
      <c r="J761" s="42">
        <f>IF($H761="","",MAX(0,$H761-N($G761)))</f>
        <v/>
      </c>
    </row>
    <row r="762" ht="19.5" customHeight="1" s="72">
      <c r="A762" s="38" t="inlineStr">
        <is>
          <t>EM-32-P07-BEN</t>
        </is>
      </c>
      <c r="B762" s="38" t="inlineStr">
        <is>
          <t>Fase 32</t>
        </is>
      </c>
      <c r="C762" s="38" t="inlineStr">
        <is>
          <t>Benguela</t>
        </is>
      </c>
      <c r="D762" s="39" t="inlineStr">
        <is>
          <t>A_E_M_32_P7</t>
        </is>
      </c>
      <c r="E762" s="40" t="n"/>
      <c r="F762" s="39" t="inlineStr">
        <is>
          <t>B_E_M_32_P7</t>
        </is>
      </c>
      <c r="G762" s="40" t="n"/>
      <c r="H762" s="41" t="n"/>
      <c r="I762" s="42">
        <f>IF($H762="","",MAX(0,$H762-N($E762)))</f>
        <v/>
      </c>
      <c r="J762" s="42">
        <f>IF($H762="","",MAX(0,$H762-N($G762)))</f>
        <v/>
      </c>
    </row>
    <row r="763" ht="19.5" customHeight="1" s="72">
      <c r="A763" s="38" t="inlineStr">
        <is>
          <t>EM-32-P08-SBA</t>
        </is>
      </c>
      <c r="B763" s="38" t="inlineStr">
        <is>
          <t>Fase 32</t>
        </is>
      </c>
      <c r="C763" s="38" t="inlineStr">
        <is>
          <t>São Bento da Abadá</t>
        </is>
      </c>
      <c r="D763" s="39" t="inlineStr">
        <is>
          <t>A_E_M_32_P8</t>
        </is>
      </c>
      <c r="E763" s="40" t="n"/>
      <c r="F763" s="39" t="inlineStr">
        <is>
          <t>B_E_M_32_P8</t>
        </is>
      </c>
      <c r="G763" s="40" t="n"/>
      <c r="H763" s="41" t="n"/>
      <c r="I763" s="42">
        <f>IF($H763="","",MAX(0,$H763-N($E763)))</f>
        <v/>
      </c>
      <c r="J763" s="42">
        <f>IF($H763="","",MAX(0,$H763-N($G763)))</f>
        <v/>
      </c>
    </row>
    <row r="764" ht="19.5" customHeight="1" s="72">
      <c r="A764" s="38" t="inlineStr">
        <is>
          <t>EM-32-P08-BEN</t>
        </is>
      </c>
      <c r="B764" s="38" t="inlineStr">
        <is>
          <t>Fase 32</t>
        </is>
      </c>
      <c r="C764" s="38" t="inlineStr">
        <is>
          <t>Benguela</t>
        </is>
      </c>
      <c r="D764" s="39" t="inlineStr">
        <is>
          <t>A_E_M_32_P8</t>
        </is>
      </c>
      <c r="E764" s="40" t="n"/>
      <c r="F764" s="39" t="inlineStr">
        <is>
          <t>B_E_M_32_P8</t>
        </is>
      </c>
      <c r="G764" s="40" t="n"/>
      <c r="H764" s="41" t="n"/>
      <c r="I764" s="42">
        <f>IF($H764="","",MAX(0,$H764-N($E764)))</f>
        <v/>
      </c>
      <c r="J764" s="42">
        <f>IF($H764="","",MAX(0,$H764-N($G764)))</f>
        <v/>
      </c>
    </row>
    <row r="765" ht="19.5" customHeight="1" s="72">
      <c r="A765" s="38" t="inlineStr">
        <is>
          <t>EM-32-P09-SBA</t>
        </is>
      </c>
      <c r="B765" s="38" t="inlineStr">
        <is>
          <t>Fase 32</t>
        </is>
      </c>
      <c r="C765" s="38" t="inlineStr">
        <is>
          <t>São Bento da Abadá</t>
        </is>
      </c>
      <c r="D765" s="39" t="inlineStr">
        <is>
          <t>A_E_M_32_P9</t>
        </is>
      </c>
      <c r="E765" s="40" t="n"/>
      <c r="F765" s="39" t="inlineStr">
        <is>
          <t>B_E_M_32_P9</t>
        </is>
      </c>
      <c r="G765" s="40" t="n"/>
      <c r="H765" s="41" t="n"/>
      <c r="I765" s="42">
        <f>IF($H765="","",MAX(0,$H765-N($E765)))</f>
        <v/>
      </c>
      <c r="J765" s="42">
        <f>IF($H765="","",MAX(0,$H765-N($G765)))</f>
        <v/>
      </c>
    </row>
    <row r="766" ht="19.5" customHeight="1" s="72">
      <c r="A766" s="38" t="inlineStr">
        <is>
          <t>EM-32-P09-BEN</t>
        </is>
      </c>
      <c r="B766" s="38" t="inlineStr">
        <is>
          <t>Fase 32</t>
        </is>
      </c>
      <c r="C766" s="38" t="inlineStr">
        <is>
          <t>Benguela</t>
        </is>
      </c>
      <c r="D766" s="39" t="inlineStr">
        <is>
          <t>A_E_M_32_P9</t>
        </is>
      </c>
      <c r="E766" s="40" t="n"/>
      <c r="F766" s="39" t="inlineStr">
        <is>
          <t>B_E_M_32_P9</t>
        </is>
      </c>
      <c r="G766" s="40" t="n"/>
      <c r="H766" s="41" t="n"/>
      <c r="I766" s="42">
        <f>IF($H766="","",MAX(0,$H766-N($E766)))</f>
        <v/>
      </c>
      <c r="J766" s="42">
        <f>IF($H766="","",MAX(0,$H766-N($G766)))</f>
        <v/>
      </c>
    </row>
    <row r="767" ht="19.5" customHeight="1" s="72">
      <c r="A767" s="38" t="inlineStr">
        <is>
          <t>EM-32-P10-SBA</t>
        </is>
      </c>
      <c r="B767" s="38" t="inlineStr">
        <is>
          <t>Fase 32</t>
        </is>
      </c>
      <c r="C767" s="38" t="inlineStr">
        <is>
          <t>São Bento da Abadá</t>
        </is>
      </c>
      <c r="D767" s="39" t="inlineStr">
        <is>
          <t>A_E_M_32_P10</t>
        </is>
      </c>
      <c r="E767" s="40" t="n"/>
      <c r="F767" s="39" t="inlineStr">
        <is>
          <t>B_E_M_32_P10</t>
        </is>
      </c>
      <c r="G767" s="40" t="n"/>
      <c r="H767" s="41" t="n"/>
      <c r="I767" s="42">
        <f>IF($H767="","",MAX(0,$H767-N($E767)))</f>
        <v/>
      </c>
      <c r="J767" s="42">
        <f>IF($H767="","",MAX(0,$H767-N($G767)))</f>
        <v/>
      </c>
    </row>
    <row r="768" ht="19.5" customHeight="1" s="72">
      <c r="A768" s="38" t="inlineStr">
        <is>
          <t>EM-32-P10-BEN</t>
        </is>
      </c>
      <c r="B768" s="38" t="inlineStr">
        <is>
          <t>Fase 32</t>
        </is>
      </c>
      <c r="C768" s="38" t="inlineStr">
        <is>
          <t>Benguela</t>
        </is>
      </c>
      <c r="D768" s="39" t="inlineStr">
        <is>
          <t>A_E_M_32_P10</t>
        </is>
      </c>
      <c r="E768" s="40" t="n"/>
      <c r="F768" s="39" t="inlineStr">
        <is>
          <t>B_E_M_32_P10</t>
        </is>
      </c>
      <c r="G768" s="40" t="n"/>
      <c r="H768" s="41" t="n"/>
      <c r="I768" s="42">
        <f>IF($H768="","",MAX(0,$H768-N($E768)))</f>
        <v/>
      </c>
      <c r="J768" s="42">
        <f>IF($H768="","",MAX(0,$H768-N($G768)))</f>
        <v/>
      </c>
    </row>
    <row r="769" ht="19.5" customHeight="1" s="72">
      <c r="A769" s="38" t="inlineStr">
        <is>
          <t>EM-32-P11-SBA</t>
        </is>
      </c>
      <c r="B769" s="38" t="inlineStr">
        <is>
          <t>Fase 32</t>
        </is>
      </c>
      <c r="C769" s="38" t="inlineStr">
        <is>
          <t>São Bento da Abadá</t>
        </is>
      </c>
      <c r="D769" s="39" t="inlineStr">
        <is>
          <t>A_E_M_32_P11</t>
        </is>
      </c>
      <c r="E769" s="40" t="n"/>
      <c r="F769" s="39" t="inlineStr">
        <is>
          <t>B_E_M_32_P11</t>
        </is>
      </c>
      <c r="G769" s="40" t="n"/>
      <c r="H769" s="41" t="n"/>
      <c r="I769" s="42">
        <f>IF($H769="","",MAX(0,$H769-N($E769)))</f>
        <v/>
      </c>
      <c r="J769" s="42">
        <f>IF($H769="","",MAX(0,$H769-N($G769)))</f>
        <v/>
      </c>
    </row>
    <row r="770" ht="19.5" customHeight="1" s="72">
      <c r="A770" s="38" t="inlineStr">
        <is>
          <t>EM-32-P11-BEN</t>
        </is>
      </c>
      <c r="B770" s="38" t="inlineStr">
        <is>
          <t>Fase 32</t>
        </is>
      </c>
      <c r="C770" s="38" t="inlineStr">
        <is>
          <t>Benguela</t>
        </is>
      </c>
      <c r="D770" s="39" t="inlineStr">
        <is>
          <t>A_E_M_32_P11</t>
        </is>
      </c>
      <c r="E770" s="40" t="n"/>
      <c r="F770" s="39" t="inlineStr">
        <is>
          <t>B_E_M_32_P11</t>
        </is>
      </c>
      <c r="G770" s="40" t="n"/>
      <c r="H770" s="41" t="n"/>
      <c r="I770" s="42">
        <f>IF($H770="","",MAX(0,$H770-N($E770)))</f>
        <v/>
      </c>
      <c r="J770" s="42">
        <f>IF($H770="","",MAX(0,$H770-N($G770)))</f>
        <v/>
      </c>
    </row>
    <row r="771" ht="19.5" customHeight="1" s="72">
      <c r="A771" s="38" t="inlineStr">
        <is>
          <t>EM-32-P12-SBA</t>
        </is>
      </c>
      <c r="B771" s="38" t="inlineStr">
        <is>
          <t>Fase 32</t>
        </is>
      </c>
      <c r="C771" s="38" t="inlineStr">
        <is>
          <t>São Bento da Abadá</t>
        </is>
      </c>
      <c r="D771" s="39" t="inlineStr">
        <is>
          <t>A_E_M_32_P12</t>
        </is>
      </c>
      <c r="E771" s="40" t="n"/>
      <c r="F771" s="39" t="inlineStr">
        <is>
          <t>B_E_M_32_P12</t>
        </is>
      </c>
      <c r="G771" s="40" t="n"/>
      <c r="H771" s="41" t="n"/>
      <c r="I771" s="42">
        <f>IF($H771="","",MAX(0,$H771-N($E771)))</f>
        <v/>
      </c>
      <c r="J771" s="42">
        <f>IF($H771="","",MAX(0,$H771-N($G771)))</f>
        <v/>
      </c>
    </row>
    <row r="772" ht="19.5" customHeight="1" s="72">
      <c r="A772" s="38" t="inlineStr">
        <is>
          <t>EM-32-P12-BEN</t>
        </is>
      </c>
      <c r="B772" s="38" t="inlineStr">
        <is>
          <t>Fase 32</t>
        </is>
      </c>
      <c r="C772" s="38" t="inlineStr">
        <is>
          <t>Benguela</t>
        </is>
      </c>
      <c r="D772" s="39" t="inlineStr">
        <is>
          <t>A_E_M_32_P12</t>
        </is>
      </c>
      <c r="E772" s="40" t="n"/>
      <c r="F772" s="39" t="inlineStr">
        <is>
          <t>B_E_M_32_P12</t>
        </is>
      </c>
      <c r="G772" s="40" t="n"/>
      <c r="H772" s="41" t="n"/>
      <c r="I772" s="42">
        <f>IF($H772="","",MAX(0,$H772-N($E772)))</f>
        <v/>
      </c>
      <c r="J772" s="42">
        <f>IF($H772="","",MAX(0,$H772-N($G772)))</f>
        <v/>
      </c>
    </row>
    <row r="773" ht="19.5" customHeight="1" s="72">
      <c r="A773" s="38" t="inlineStr">
        <is>
          <t>EM-32-P13-SBA</t>
        </is>
      </c>
      <c r="B773" s="38" t="inlineStr">
        <is>
          <t>Fase 32</t>
        </is>
      </c>
      <c r="C773" s="38" t="inlineStr">
        <is>
          <t>São Bento da Abadá</t>
        </is>
      </c>
      <c r="D773" s="39" t="inlineStr">
        <is>
          <t>A_E_M_32_P13</t>
        </is>
      </c>
      <c r="E773" s="40" t="n"/>
      <c r="F773" s="39" t="inlineStr">
        <is>
          <t>B_E_M_32_P13</t>
        </is>
      </c>
      <c r="G773" s="40" t="n"/>
      <c r="H773" s="41" t="n"/>
      <c r="I773" s="42">
        <f>IF($H773="","",MAX(0,$H773-N($E773)))</f>
        <v/>
      </c>
      <c r="J773" s="42">
        <f>IF($H773="","",MAX(0,$H773-N($G773)))</f>
        <v/>
      </c>
    </row>
    <row r="774" ht="19.5" customHeight="1" s="72">
      <c r="A774" s="38" t="inlineStr">
        <is>
          <t>EM-32-P13-BEN</t>
        </is>
      </c>
      <c r="B774" s="38" t="inlineStr">
        <is>
          <t>Fase 32</t>
        </is>
      </c>
      <c r="C774" s="38" t="inlineStr">
        <is>
          <t>Benguela</t>
        </is>
      </c>
      <c r="D774" s="39" t="inlineStr">
        <is>
          <t>A_E_M_32_P13</t>
        </is>
      </c>
      <c r="E774" s="40" t="n"/>
      <c r="F774" s="39" t="inlineStr">
        <is>
          <t>B_E_M_32_P13</t>
        </is>
      </c>
      <c r="G774" s="40" t="n"/>
      <c r="H774" s="41" t="n"/>
      <c r="I774" s="42">
        <f>IF($H774="","",MAX(0,$H774-N($E774)))</f>
        <v/>
      </c>
      <c r="J774" s="42">
        <f>IF($H774="","",MAX(0,$H774-N($G774)))</f>
        <v/>
      </c>
    </row>
    <row r="775" ht="19.5" customHeight="1" s="72">
      <c r="A775" s="38" t="inlineStr">
        <is>
          <t>EM-32-P14-SBA</t>
        </is>
      </c>
      <c r="B775" s="38" t="inlineStr">
        <is>
          <t>Fase 32</t>
        </is>
      </c>
      <c r="C775" s="38" t="inlineStr">
        <is>
          <t>São Bento da Abadá</t>
        </is>
      </c>
      <c r="D775" s="39" t="inlineStr">
        <is>
          <t>A_E_M_32_P14</t>
        </is>
      </c>
      <c r="E775" s="40" t="n"/>
      <c r="F775" s="39" t="inlineStr">
        <is>
          <t>B_E_M_32_P14</t>
        </is>
      </c>
      <c r="G775" s="40" t="n"/>
      <c r="H775" s="41" t="n"/>
      <c r="I775" s="42">
        <f>IF($H775="","",MAX(0,$H775-N($E775)))</f>
        <v/>
      </c>
      <c r="J775" s="42">
        <f>IF($H775="","",MAX(0,$H775-N($G775)))</f>
        <v/>
      </c>
    </row>
    <row r="776" ht="19.5" customHeight="1" s="72">
      <c r="A776" s="38" t="inlineStr">
        <is>
          <t>EM-32-P14-BEN</t>
        </is>
      </c>
      <c r="B776" s="38" t="inlineStr">
        <is>
          <t>Fase 32</t>
        </is>
      </c>
      <c r="C776" s="38" t="inlineStr">
        <is>
          <t>Benguela</t>
        </is>
      </c>
      <c r="D776" s="39" t="inlineStr">
        <is>
          <t>A_E_M_32_P14</t>
        </is>
      </c>
      <c r="E776" s="40" t="n"/>
      <c r="F776" s="39" t="inlineStr">
        <is>
          <t>B_E_M_32_P14</t>
        </is>
      </c>
      <c r="G776" s="40" t="n"/>
      <c r="H776" s="41" t="n"/>
      <c r="I776" s="42">
        <f>IF($H776="","",MAX(0,$H776-N($E776)))</f>
        <v/>
      </c>
      <c r="J776" s="42">
        <f>IF($H776="","",MAX(0,$H776-N($G776)))</f>
        <v/>
      </c>
    </row>
    <row r="777" ht="19.5" customHeight="1" s="72">
      <c r="A777" s="38" t="inlineStr">
        <is>
          <t>EM-32-P15-SBA</t>
        </is>
      </c>
      <c r="B777" s="38" t="inlineStr">
        <is>
          <t>Fase 32</t>
        </is>
      </c>
      <c r="C777" s="38" t="inlineStr">
        <is>
          <t>São Bento da Abadá</t>
        </is>
      </c>
      <c r="D777" s="39" t="inlineStr">
        <is>
          <t>A_E_M_32_P15</t>
        </is>
      </c>
      <c r="E777" s="40" t="n"/>
      <c r="F777" s="39" t="inlineStr">
        <is>
          <t>B_E_M_32_P15</t>
        </is>
      </c>
      <c r="G777" s="40" t="n"/>
      <c r="H777" s="41" t="n"/>
      <c r="I777" s="42">
        <f>IF($H777="","",MAX(0,$H777-N($E777)))</f>
        <v/>
      </c>
      <c r="J777" s="42">
        <f>IF($H777="","",MAX(0,$H777-N($G777)))</f>
        <v/>
      </c>
    </row>
    <row r="778" ht="19.5" customHeight="1" s="72">
      <c r="A778" s="38" t="inlineStr">
        <is>
          <t>EM-32-P15-BEN</t>
        </is>
      </c>
      <c r="B778" s="38" t="inlineStr">
        <is>
          <t>Fase 32</t>
        </is>
      </c>
      <c r="C778" s="38" t="inlineStr">
        <is>
          <t>Benguela</t>
        </is>
      </c>
      <c r="D778" s="39" t="inlineStr">
        <is>
          <t>A_E_M_32_P15</t>
        </is>
      </c>
      <c r="E778" s="40" t="n"/>
      <c r="F778" s="39" t="inlineStr">
        <is>
          <t>B_E_M_32_P15</t>
        </is>
      </c>
      <c r="G778" s="40" t="n"/>
      <c r="H778" s="41" t="n"/>
      <c r="I778" s="42">
        <f>IF($H778="","",MAX(0,$H778-N($E778)))</f>
        <v/>
      </c>
      <c r="J778" s="42">
        <f>IF($H778="","",MAX(0,$H778-N($G778)))</f>
        <v/>
      </c>
    </row>
    <row r="779" ht="19.5" customHeight="1" s="72">
      <c r="A779" s="38" t="inlineStr">
        <is>
          <t>EM-32-P16-SBA</t>
        </is>
      </c>
      <c r="B779" s="38" t="inlineStr">
        <is>
          <t>Fase 32</t>
        </is>
      </c>
      <c r="C779" s="38" t="inlineStr">
        <is>
          <t>São Bento da Abadá</t>
        </is>
      </c>
      <c r="D779" s="39" t="inlineStr">
        <is>
          <t>A_E_M_32_P16</t>
        </is>
      </c>
      <c r="E779" s="40" t="n"/>
      <c r="F779" s="39" t="inlineStr">
        <is>
          <t>B_E_M_32_P16</t>
        </is>
      </c>
      <c r="G779" s="40" t="n"/>
      <c r="H779" s="41" t="n"/>
      <c r="I779" s="42">
        <f>IF($H779="","",MAX(0,$H779-N($E779)))</f>
        <v/>
      </c>
      <c r="J779" s="42">
        <f>IF($H779="","",MAX(0,$H779-N($G779)))</f>
        <v/>
      </c>
    </row>
    <row r="780" ht="19.5" customHeight="1" s="72">
      <c r="A780" s="38" t="inlineStr">
        <is>
          <t>EM-32-P16-BEN</t>
        </is>
      </c>
      <c r="B780" s="38" t="inlineStr">
        <is>
          <t>Fase 32</t>
        </is>
      </c>
      <c r="C780" s="38" t="inlineStr">
        <is>
          <t>Benguela</t>
        </is>
      </c>
      <c r="D780" s="39" t="inlineStr">
        <is>
          <t>A_E_M_32_P16</t>
        </is>
      </c>
      <c r="E780" s="40" t="n"/>
      <c r="F780" s="39" t="inlineStr">
        <is>
          <t>B_E_M_32_P16</t>
        </is>
      </c>
      <c r="G780" s="40" t="n"/>
      <c r="H780" s="41" t="n"/>
      <c r="I780" s="42">
        <f>IF($H780="","",MAX(0,$H780-N($E780)))</f>
        <v/>
      </c>
      <c r="J780" s="42">
        <f>IF($H780="","",MAX(0,$H780-N($G780)))</f>
        <v/>
      </c>
    </row>
    <row r="781" ht="19.5" customHeight="1" s="72">
      <c r="A781" s="38" t="inlineStr">
        <is>
          <t>EM-OCT-P01-SBA</t>
        </is>
      </c>
      <c r="B781" s="38" t="inlineStr">
        <is>
          <t>Octavas</t>
        </is>
      </c>
      <c r="C781" s="38" t="inlineStr">
        <is>
          <t>São Bento da Abadá</t>
        </is>
      </c>
      <c r="D781" s="39">
        <f>IFERROR(CLASIF_E_M!$F$5,"")</f>
        <v/>
      </c>
      <c r="E781" s="40" t="n"/>
      <c r="F781" s="39">
        <f>IFERROR(CLASIF_E_M!$F$20,"")</f>
        <v/>
      </c>
      <c r="G781" s="40" t="n"/>
      <c r="H781" s="41" t="n"/>
      <c r="I781" s="42">
        <f>IF($H781="","",MAX(0,$H781-N($E781)))</f>
        <v/>
      </c>
      <c r="J781" s="42">
        <f>IF($H781="","",MAX(0,$H781-N($G781)))</f>
        <v/>
      </c>
    </row>
    <row r="782" ht="19.5" customHeight="1" s="72">
      <c r="A782" s="38" t="inlineStr">
        <is>
          <t>EM-OCT-P01-BEN</t>
        </is>
      </c>
      <c r="B782" s="38" t="inlineStr">
        <is>
          <t>Octavas</t>
        </is>
      </c>
      <c r="C782" s="38" t="inlineStr">
        <is>
          <t>Benguela</t>
        </is>
      </c>
      <c r="D782" s="39">
        <f>IFERROR(CLASIF_E_M!$F$5,"")</f>
        <v/>
      </c>
      <c r="E782" s="40" t="n"/>
      <c r="F782" s="39">
        <f>IFERROR(CLASIF_E_M!$F$20,"")</f>
        <v/>
      </c>
      <c r="G782" s="40" t="n"/>
      <c r="H782" s="41" t="n"/>
      <c r="I782" s="42">
        <f>IF($H782="","",MAX(0,$H782-N($E782)))</f>
        <v/>
      </c>
      <c r="J782" s="42">
        <f>IF($H782="","",MAX(0,$H782-N($G782)))</f>
        <v/>
      </c>
    </row>
    <row r="783" ht="19.5" customHeight="1" s="72">
      <c r="A783" s="38" t="inlineStr">
        <is>
          <t>EM-OCT-P02-SBA</t>
        </is>
      </c>
      <c r="B783" s="38" t="inlineStr">
        <is>
          <t>Octavas</t>
        </is>
      </c>
      <c r="C783" s="38" t="inlineStr">
        <is>
          <t>São Bento da Abadá</t>
        </is>
      </c>
      <c r="D783" s="39">
        <f>IFERROR(CLASIF_E_M!$F$6,"")</f>
        <v/>
      </c>
      <c r="E783" s="40" t="n"/>
      <c r="F783" s="39">
        <f>IFERROR(CLASIF_E_M!$F$19,"")</f>
        <v/>
      </c>
      <c r="G783" s="40" t="n"/>
      <c r="H783" s="41" t="n"/>
      <c r="I783" s="42">
        <f>IF($H783="","",MAX(0,$H783-N($E783)))</f>
        <v/>
      </c>
      <c r="J783" s="42">
        <f>IF($H783="","",MAX(0,$H783-N($G783)))</f>
        <v/>
      </c>
    </row>
    <row r="784" ht="19.5" customHeight="1" s="72">
      <c r="A784" s="38" t="inlineStr">
        <is>
          <t>EM-OCT-P02-BEN</t>
        </is>
      </c>
      <c r="B784" s="38" t="inlineStr">
        <is>
          <t>Octavas</t>
        </is>
      </c>
      <c r="C784" s="38" t="inlineStr">
        <is>
          <t>Benguela</t>
        </is>
      </c>
      <c r="D784" s="39">
        <f>IFERROR(CLASIF_E_M!$F$6,"")</f>
        <v/>
      </c>
      <c r="E784" s="40" t="n"/>
      <c r="F784" s="39">
        <f>IFERROR(CLASIF_E_M!$F$19,"")</f>
        <v/>
      </c>
      <c r="G784" s="40" t="n"/>
      <c r="H784" s="41" t="n"/>
      <c r="I784" s="42">
        <f>IF($H784="","",MAX(0,$H784-N($E784)))</f>
        <v/>
      </c>
      <c r="J784" s="42">
        <f>IF($H784="","",MAX(0,$H784-N($G784)))</f>
        <v/>
      </c>
    </row>
    <row r="785" ht="19.5" customHeight="1" s="72">
      <c r="A785" s="38" t="inlineStr">
        <is>
          <t>EM-OCT-P03-SBA</t>
        </is>
      </c>
      <c r="B785" s="38" t="inlineStr">
        <is>
          <t>Octavas</t>
        </is>
      </c>
      <c r="C785" s="38" t="inlineStr">
        <is>
          <t>São Bento da Abadá</t>
        </is>
      </c>
      <c r="D785" s="39">
        <f>IFERROR(CLASIF_E_M!$F$7,"")</f>
        <v/>
      </c>
      <c r="E785" s="40" t="n"/>
      <c r="F785" s="39">
        <f>IFERROR(CLASIF_E_M!$F$18,"")</f>
        <v/>
      </c>
      <c r="G785" s="40" t="n"/>
      <c r="H785" s="41" t="n"/>
      <c r="I785" s="42">
        <f>IF($H785="","",MAX(0,$H785-N($E785)))</f>
        <v/>
      </c>
      <c r="J785" s="42">
        <f>IF($H785="","",MAX(0,$H785-N($G785)))</f>
        <v/>
      </c>
    </row>
    <row r="786" ht="19.5" customHeight="1" s="72">
      <c r="A786" s="38" t="inlineStr">
        <is>
          <t>EM-OCT-P03-BEN</t>
        </is>
      </c>
      <c r="B786" s="38" t="inlineStr">
        <is>
          <t>Octavas</t>
        </is>
      </c>
      <c r="C786" s="38" t="inlineStr">
        <is>
          <t>Benguela</t>
        </is>
      </c>
      <c r="D786" s="39">
        <f>IFERROR(CLASIF_E_M!$F$7,"")</f>
        <v/>
      </c>
      <c r="E786" s="40" t="n"/>
      <c r="F786" s="39">
        <f>IFERROR(CLASIF_E_M!$F$18,"")</f>
        <v/>
      </c>
      <c r="G786" s="40" t="n"/>
      <c r="H786" s="41" t="n"/>
      <c r="I786" s="42">
        <f>IF($H786="","",MAX(0,$H786-N($E786)))</f>
        <v/>
      </c>
      <c r="J786" s="42">
        <f>IF($H786="","",MAX(0,$H786-N($G786)))</f>
        <v/>
      </c>
    </row>
    <row r="787" ht="19.5" customHeight="1" s="72">
      <c r="A787" s="38" t="inlineStr">
        <is>
          <t>EM-OCT-P04-SBA</t>
        </is>
      </c>
      <c r="B787" s="38" t="inlineStr">
        <is>
          <t>Octavas</t>
        </is>
      </c>
      <c r="C787" s="38" t="inlineStr">
        <is>
          <t>São Bento da Abadá</t>
        </is>
      </c>
      <c r="D787" s="39">
        <f>IFERROR(CLASIF_E_M!$F$8,"")</f>
        <v/>
      </c>
      <c r="E787" s="40" t="n"/>
      <c r="F787" s="39">
        <f>IFERROR(CLASIF_E_M!$F$17,"")</f>
        <v/>
      </c>
      <c r="G787" s="40" t="n"/>
      <c r="H787" s="41" t="n"/>
      <c r="I787" s="42">
        <f>IF($H787="","",MAX(0,$H787-N($E787)))</f>
        <v/>
      </c>
      <c r="J787" s="42">
        <f>IF($H787="","",MAX(0,$H787-N($G787)))</f>
        <v/>
      </c>
    </row>
    <row r="788" ht="19.5" customHeight="1" s="72">
      <c r="A788" s="38" t="inlineStr">
        <is>
          <t>EM-OCT-P04-BEN</t>
        </is>
      </c>
      <c r="B788" s="38" t="inlineStr">
        <is>
          <t>Octavas</t>
        </is>
      </c>
      <c r="C788" s="38" t="inlineStr">
        <is>
          <t>Benguela</t>
        </is>
      </c>
      <c r="D788" s="39">
        <f>IFERROR(CLASIF_E_M!$F$8,"")</f>
        <v/>
      </c>
      <c r="E788" s="40" t="n"/>
      <c r="F788" s="39">
        <f>IFERROR(CLASIF_E_M!$F$17,"")</f>
        <v/>
      </c>
      <c r="G788" s="40" t="n"/>
      <c r="H788" s="41" t="n"/>
      <c r="I788" s="42">
        <f>IF($H788="","",MAX(0,$H788-N($E788)))</f>
        <v/>
      </c>
      <c r="J788" s="42">
        <f>IF($H788="","",MAX(0,$H788-N($G788)))</f>
        <v/>
      </c>
    </row>
    <row r="789" ht="19.5" customHeight="1" s="72">
      <c r="A789" s="38" t="inlineStr">
        <is>
          <t>EM-OCT-P05-SBA</t>
        </is>
      </c>
      <c r="B789" s="38" t="inlineStr">
        <is>
          <t>Octavas</t>
        </is>
      </c>
      <c r="C789" s="38" t="inlineStr">
        <is>
          <t>São Bento da Abadá</t>
        </is>
      </c>
      <c r="D789" s="39">
        <f>IFERROR(CLASIF_E_M!$F$9,"")</f>
        <v/>
      </c>
      <c r="E789" s="40" t="n"/>
      <c r="F789" s="39">
        <f>IFERROR(CLASIF_E_M!$F$16,"")</f>
        <v/>
      </c>
      <c r="G789" s="40" t="n"/>
      <c r="H789" s="41" t="n"/>
      <c r="I789" s="42">
        <f>IF($H789="","",MAX(0,$H789-N($E789)))</f>
        <v/>
      </c>
      <c r="J789" s="42">
        <f>IF($H789="","",MAX(0,$H789-N($G789)))</f>
        <v/>
      </c>
    </row>
    <row r="790" ht="19.5" customHeight="1" s="72">
      <c r="A790" s="38" t="inlineStr">
        <is>
          <t>EM-OCT-P05-BEN</t>
        </is>
      </c>
      <c r="B790" s="38" t="inlineStr">
        <is>
          <t>Octavas</t>
        </is>
      </c>
      <c r="C790" s="38" t="inlineStr">
        <is>
          <t>Benguela</t>
        </is>
      </c>
      <c r="D790" s="39">
        <f>IFERROR(CLASIF_E_M!$F$9,"")</f>
        <v/>
      </c>
      <c r="E790" s="40" t="n"/>
      <c r="F790" s="39">
        <f>IFERROR(CLASIF_E_M!$F$16,"")</f>
        <v/>
      </c>
      <c r="G790" s="40" t="n"/>
      <c r="H790" s="41" t="n"/>
      <c r="I790" s="42">
        <f>IF($H790="","",MAX(0,$H790-N($E790)))</f>
        <v/>
      </c>
      <c r="J790" s="42">
        <f>IF($H790="","",MAX(0,$H790-N($G790)))</f>
        <v/>
      </c>
    </row>
    <row r="791" ht="19.5" customHeight="1" s="72">
      <c r="A791" s="38" t="inlineStr">
        <is>
          <t>EM-OCT-P06-SBA</t>
        </is>
      </c>
      <c r="B791" s="38" t="inlineStr">
        <is>
          <t>Octavas</t>
        </is>
      </c>
      <c r="C791" s="38" t="inlineStr">
        <is>
          <t>São Bento da Abadá</t>
        </is>
      </c>
      <c r="D791" s="39">
        <f>IFERROR(CLASIF_E_M!$F$10,"")</f>
        <v/>
      </c>
      <c r="E791" s="40" t="n"/>
      <c r="F791" s="39">
        <f>IFERROR(CLASIF_E_M!$F$15,"")</f>
        <v/>
      </c>
      <c r="G791" s="40" t="n"/>
      <c r="H791" s="41" t="n"/>
      <c r="I791" s="42">
        <f>IF($H791="","",MAX(0,$H791-N($E791)))</f>
        <v/>
      </c>
      <c r="J791" s="42">
        <f>IF($H791="","",MAX(0,$H791-N($G791)))</f>
        <v/>
      </c>
    </row>
    <row r="792" ht="19.5" customHeight="1" s="72">
      <c r="A792" s="38" t="inlineStr">
        <is>
          <t>EM-OCT-P06-BEN</t>
        </is>
      </c>
      <c r="B792" s="38" t="inlineStr">
        <is>
          <t>Octavas</t>
        </is>
      </c>
      <c r="C792" s="38" t="inlineStr">
        <is>
          <t>Benguela</t>
        </is>
      </c>
      <c r="D792" s="39">
        <f>IFERROR(CLASIF_E_M!$F$10,"")</f>
        <v/>
      </c>
      <c r="E792" s="40" t="n"/>
      <c r="F792" s="39">
        <f>IFERROR(CLASIF_E_M!$F$15,"")</f>
        <v/>
      </c>
      <c r="G792" s="40" t="n"/>
      <c r="H792" s="41" t="n"/>
      <c r="I792" s="42">
        <f>IF($H792="","",MAX(0,$H792-N($E792)))</f>
        <v/>
      </c>
      <c r="J792" s="42">
        <f>IF($H792="","",MAX(0,$H792-N($G792)))</f>
        <v/>
      </c>
    </row>
    <row r="793" ht="19.5" customHeight="1" s="72">
      <c r="A793" s="38" t="inlineStr">
        <is>
          <t>EM-OCT-P07-SBA</t>
        </is>
      </c>
      <c r="B793" s="38" t="inlineStr">
        <is>
          <t>Octavas</t>
        </is>
      </c>
      <c r="C793" s="38" t="inlineStr">
        <is>
          <t>São Bento da Abadá</t>
        </is>
      </c>
      <c r="D793" s="39">
        <f>IFERROR(CLASIF_E_M!$F$11,"")</f>
        <v/>
      </c>
      <c r="E793" s="40" t="n"/>
      <c r="F793" s="39">
        <f>IFERROR(CLASIF_E_M!$F$14,"")</f>
        <v/>
      </c>
      <c r="G793" s="40" t="n"/>
      <c r="H793" s="41" t="n"/>
      <c r="I793" s="42">
        <f>IF($H793="","",MAX(0,$H793-N($E793)))</f>
        <v/>
      </c>
      <c r="J793" s="42">
        <f>IF($H793="","",MAX(0,$H793-N($G793)))</f>
        <v/>
      </c>
    </row>
    <row r="794" ht="19.5" customHeight="1" s="72">
      <c r="A794" s="38" t="inlineStr">
        <is>
          <t>EM-OCT-P07-BEN</t>
        </is>
      </c>
      <c r="B794" s="38" t="inlineStr">
        <is>
          <t>Octavas</t>
        </is>
      </c>
      <c r="C794" s="38" t="inlineStr">
        <is>
          <t>Benguela</t>
        </is>
      </c>
      <c r="D794" s="39">
        <f>IFERROR(CLASIF_E_M!$F$11,"")</f>
        <v/>
      </c>
      <c r="E794" s="40" t="n"/>
      <c r="F794" s="39">
        <f>IFERROR(CLASIF_E_M!$F$14,"")</f>
        <v/>
      </c>
      <c r="G794" s="40" t="n"/>
      <c r="H794" s="41" t="n"/>
      <c r="I794" s="42">
        <f>IF($H794="","",MAX(0,$H794-N($E794)))</f>
        <v/>
      </c>
      <c r="J794" s="42">
        <f>IF($H794="","",MAX(0,$H794-N($G794)))</f>
        <v/>
      </c>
    </row>
    <row r="795" ht="19.5" customHeight="1" s="72">
      <c r="A795" s="38" t="inlineStr">
        <is>
          <t>EM-OCT-P08-SBA</t>
        </is>
      </c>
      <c r="B795" s="38" t="inlineStr">
        <is>
          <t>Octavas</t>
        </is>
      </c>
      <c r="C795" s="38" t="inlineStr">
        <is>
          <t>São Bento da Abadá</t>
        </is>
      </c>
      <c r="D795" s="39">
        <f>IFERROR(CLASIF_E_M!$F$12,"")</f>
        <v/>
      </c>
      <c r="E795" s="40" t="n"/>
      <c r="F795" s="39">
        <f>IFERROR(CLASIF_E_M!$F$13,"")</f>
        <v/>
      </c>
      <c r="G795" s="40" t="n"/>
      <c r="H795" s="41" t="n"/>
      <c r="I795" s="42">
        <f>IF($H795="","",MAX(0,$H795-N($E795)))</f>
        <v/>
      </c>
      <c r="J795" s="42">
        <f>IF($H795="","",MAX(0,$H795-N($G795)))</f>
        <v/>
      </c>
    </row>
    <row r="796" ht="19.5" customHeight="1" s="72">
      <c r="A796" s="38" t="inlineStr">
        <is>
          <t>EM-OCT-P08-BEN</t>
        </is>
      </c>
      <c r="B796" s="38" t="inlineStr">
        <is>
          <t>Octavas</t>
        </is>
      </c>
      <c r="C796" s="38" t="inlineStr">
        <is>
          <t>Benguela</t>
        </is>
      </c>
      <c r="D796" s="39">
        <f>IFERROR(CLASIF_E_M!$F$12,"")</f>
        <v/>
      </c>
      <c r="E796" s="40" t="n"/>
      <c r="F796" s="39">
        <f>IFERROR(CLASIF_E_M!$F$13,"")</f>
        <v/>
      </c>
      <c r="G796" s="40" t="n"/>
      <c r="H796" s="41" t="n"/>
      <c r="I796" s="42">
        <f>IF($H796="","",MAX(0,$H796-N($E796)))</f>
        <v/>
      </c>
      <c r="J796" s="42">
        <f>IF($H796="","",MAX(0,$H796-N($G796)))</f>
        <v/>
      </c>
    </row>
    <row r="797" ht="19.5" customHeight="1" s="72">
      <c r="A797" s="38" t="inlineStr">
        <is>
          <t>EM-SEM-P01-SBA</t>
        </is>
      </c>
      <c r="B797" s="38" t="inlineStr">
        <is>
          <t>Semifinal</t>
        </is>
      </c>
      <c r="C797" s="38" t="inlineStr">
        <is>
          <t>São Bento da Abadá</t>
        </is>
      </c>
      <c r="D797" s="39">
        <f>IFERROR(CLASIF_E_M!$O$5,"")</f>
        <v/>
      </c>
      <c r="E797" s="40" t="n"/>
      <c r="F797" s="39">
        <f>IFERROR(CLASIF_E_M!$O$12,"")</f>
        <v/>
      </c>
      <c r="G797" s="40" t="n"/>
      <c r="H797" s="41" t="n"/>
      <c r="I797" s="42">
        <f>IF($H797="","",MAX(0,$H797-N($E797)))</f>
        <v/>
      </c>
      <c r="J797" s="42">
        <f>IF($H797="","",MAX(0,$H797-N($G797)))</f>
        <v/>
      </c>
    </row>
    <row r="798" ht="19.5" customHeight="1" s="72">
      <c r="A798" s="38" t="inlineStr">
        <is>
          <t>EM-SEM-P01-BEN</t>
        </is>
      </c>
      <c r="B798" s="38" t="inlineStr">
        <is>
          <t>Semifinal</t>
        </is>
      </c>
      <c r="C798" s="38" t="inlineStr">
        <is>
          <t>Benguela</t>
        </is>
      </c>
      <c r="D798" s="39">
        <f>IFERROR(CLASIF_E_M!$O$5,"")</f>
        <v/>
      </c>
      <c r="E798" s="40" t="n"/>
      <c r="F798" s="39">
        <f>IFERROR(CLASIF_E_M!$O$12,"")</f>
        <v/>
      </c>
      <c r="G798" s="40" t="n"/>
      <c r="H798" s="41" t="n"/>
      <c r="I798" s="42">
        <f>IF($H798="","",MAX(0,$H798-N($E798)))</f>
        <v/>
      </c>
      <c r="J798" s="42">
        <f>IF($H798="","",MAX(0,$H798-N($G798)))</f>
        <v/>
      </c>
    </row>
    <row r="799" ht="19.5" customHeight="1" s="72">
      <c r="A799" s="38" t="inlineStr">
        <is>
          <t>EM-SEM-P02-SBA</t>
        </is>
      </c>
      <c r="B799" s="38" t="inlineStr">
        <is>
          <t>Semifinal</t>
        </is>
      </c>
      <c r="C799" s="38" t="inlineStr">
        <is>
          <t>São Bento da Abadá</t>
        </is>
      </c>
      <c r="D799" s="39">
        <f>IFERROR(CLASIF_E_M!$O$6,"")</f>
        <v/>
      </c>
      <c r="E799" s="40" t="n"/>
      <c r="F799" s="39">
        <f>IFERROR(CLASIF_E_M!$O$11,"")</f>
        <v/>
      </c>
      <c r="G799" s="40" t="n"/>
      <c r="H799" s="41" t="n"/>
      <c r="I799" s="42">
        <f>IF($H799="","",MAX(0,$H799-N($E799)))</f>
        <v/>
      </c>
      <c r="J799" s="42">
        <f>IF($H799="","",MAX(0,$H799-N($G799)))</f>
        <v/>
      </c>
    </row>
    <row r="800" ht="19.5" customHeight="1" s="72">
      <c r="A800" s="38" t="inlineStr">
        <is>
          <t>EM-SEM-P02-BEN</t>
        </is>
      </c>
      <c r="B800" s="38" t="inlineStr">
        <is>
          <t>Semifinal</t>
        </is>
      </c>
      <c r="C800" s="38" t="inlineStr">
        <is>
          <t>Benguela</t>
        </is>
      </c>
      <c r="D800" s="39">
        <f>IFERROR(CLASIF_E_M!$O$6,"")</f>
        <v/>
      </c>
      <c r="E800" s="40" t="n"/>
      <c r="F800" s="39">
        <f>IFERROR(CLASIF_E_M!$O$11,"")</f>
        <v/>
      </c>
      <c r="G800" s="40" t="n"/>
      <c r="H800" s="41" t="n"/>
      <c r="I800" s="42">
        <f>IF($H800="","",MAX(0,$H800-N($E800)))</f>
        <v/>
      </c>
      <c r="J800" s="42">
        <f>IF($H800="","",MAX(0,$H800-N($G800)))</f>
        <v/>
      </c>
    </row>
    <row r="801" ht="19.5" customHeight="1" s="72">
      <c r="A801" s="38" t="inlineStr">
        <is>
          <t>EM-SEM-P03-SBA</t>
        </is>
      </c>
      <c r="B801" s="38" t="inlineStr">
        <is>
          <t>Semifinal</t>
        </is>
      </c>
      <c r="C801" s="38" t="inlineStr">
        <is>
          <t>São Bento da Abadá</t>
        </is>
      </c>
      <c r="D801" s="39">
        <f>IFERROR(CLASIF_E_M!$O$7,"")</f>
        <v/>
      </c>
      <c r="E801" s="40" t="n"/>
      <c r="F801" s="39">
        <f>IFERROR(CLASIF_E_M!$O$10,"")</f>
        <v/>
      </c>
      <c r="G801" s="40" t="n"/>
      <c r="H801" s="41" t="n"/>
      <c r="I801" s="42">
        <f>IF($H801="","",MAX(0,$H801-N($E801)))</f>
        <v/>
      </c>
      <c r="J801" s="42">
        <f>IF($H801="","",MAX(0,$H801-N($G801)))</f>
        <v/>
      </c>
    </row>
    <row r="802" ht="19.5" customHeight="1" s="72">
      <c r="A802" s="38" t="inlineStr">
        <is>
          <t>EM-SEM-P03-BEN</t>
        </is>
      </c>
      <c r="B802" s="38" t="inlineStr">
        <is>
          <t>Semifinal</t>
        </is>
      </c>
      <c r="C802" s="38" t="inlineStr">
        <is>
          <t>Benguela</t>
        </is>
      </c>
      <c r="D802" s="39">
        <f>IFERROR(CLASIF_E_M!$O$7,"")</f>
        <v/>
      </c>
      <c r="E802" s="40" t="n"/>
      <c r="F802" s="39">
        <f>IFERROR(CLASIF_E_M!$O$10,"")</f>
        <v/>
      </c>
      <c r="G802" s="40" t="n"/>
      <c r="H802" s="41" t="n"/>
      <c r="I802" s="42">
        <f>IF($H802="","",MAX(0,$H802-N($E802)))</f>
        <v/>
      </c>
      <c r="J802" s="42">
        <f>IF($H802="","",MAX(0,$H802-N($G802)))</f>
        <v/>
      </c>
    </row>
    <row r="803" ht="19.5" customHeight="1" s="72">
      <c r="A803" s="38" t="inlineStr">
        <is>
          <t>EM-SEM-P04-SBA</t>
        </is>
      </c>
      <c r="B803" s="38" t="inlineStr">
        <is>
          <t>Semifinal</t>
        </is>
      </c>
      <c r="C803" s="38" t="inlineStr">
        <is>
          <t>São Bento da Abadá</t>
        </is>
      </c>
      <c r="D803" s="39">
        <f>IFERROR(CLASIF_E_M!$O$8,"")</f>
        <v/>
      </c>
      <c r="E803" s="40" t="n"/>
      <c r="F803" s="39">
        <f>IFERROR(CLASIF_E_M!$O$9,"")</f>
        <v/>
      </c>
      <c r="G803" s="40" t="n"/>
      <c r="H803" s="41" t="n"/>
      <c r="I803" s="42">
        <f>IF($H803="","",MAX(0,$H803-N($E803)))</f>
        <v/>
      </c>
      <c r="J803" s="42">
        <f>IF($H803="","",MAX(0,$H803-N($G803)))</f>
        <v/>
      </c>
    </row>
    <row r="804" ht="19.5" customHeight="1" s="72">
      <c r="A804" s="38" t="inlineStr">
        <is>
          <t>EM-SEM-P04-BEN</t>
        </is>
      </c>
      <c r="B804" s="38" t="inlineStr">
        <is>
          <t>Semifinal</t>
        </is>
      </c>
      <c r="C804" s="38" t="inlineStr">
        <is>
          <t>Benguela</t>
        </is>
      </c>
      <c r="D804" s="39">
        <f>IFERROR(CLASIF_E_M!$O$8,"")</f>
        <v/>
      </c>
      <c r="E804" s="40" t="n"/>
      <c r="F804" s="39">
        <f>IFERROR(CLASIF_E_M!$O$9,"")</f>
        <v/>
      </c>
      <c r="G804" s="40" t="n"/>
      <c r="H804" s="41" t="n"/>
      <c r="I804" s="42">
        <f>IF($H804="","",MAX(0,$H804-N($E804)))</f>
        <v/>
      </c>
      <c r="J804" s="42">
        <f>IF($H804="","",MAX(0,$H804-N($G804)))</f>
        <v/>
      </c>
    </row>
    <row r="805" ht="19.5" customHeight="1" s="72">
      <c r="A805" s="38" t="inlineStr">
        <is>
          <t>EM-FIN-P01-SBA</t>
        </is>
      </c>
      <c r="B805" s="38" t="inlineStr">
        <is>
          <t>Final</t>
        </is>
      </c>
      <c r="C805" s="38" t="inlineStr">
        <is>
          <t>São Bento da Abadá</t>
        </is>
      </c>
      <c r="D805" s="39">
        <f>IFERROR(CLASIF_E_M!$X$5,"")</f>
        <v/>
      </c>
      <c r="E805" s="40" t="n"/>
      <c r="F805" s="39">
        <f>IFERROR(CLASIF_E_M!$X$8,"")</f>
        <v/>
      </c>
      <c r="G805" s="40" t="n"/>
      <c r="H805" s="41" t="n"/>
      <c r="I805" s="42">
        <f>IF($H805="","",MAX(0,$H805-N($E805)))</f>
        <v/>
      </c>
      <c r="J805" s="42">
        <f>IF($H805="","",MAX(0,$H805-N($G805)))</f>
        <v/>
      </c>
    </row>
    <row r="806" ht="19.5" customHeight="1" s="72">
      <c r="A806" s="38" t="inlineStr">
        <is>
          <t>EM-FIN-P01-BEN</t>
        </is>
      </c>
      <c r="B806" s="38" t="inlineStr">
        <is>
          <t>Final</t>
        </is>
      </c>
      <c r="C806" s="38" t="inlineStr">
        <is>
          <t>Benguela</t>
        </is>
      </c>
      <c r="D806" s="39">
        <f>IFERROR(CLASIF_E_M!$X$5,"")</f>
        <v/>
      </c>
      <c r="E806" s="40" t="n"/>
      <c r="F806" s="39">
        <f>IFERROR(CLASIF_E_M!$X$8,"")</f>
        <v/>
      </c>
      <c r="G806" s="40" t="n"/>
      <c r="H806" s="41" t="n"/>
      <c r="I806" s="42">
        <f>IF($H806="","",MAX(0,$H806-N($E806)))</f>
        <v/>
      </c>
      <c r="J806" s="42">
        <f>IF($H806="","",MAX(0,$H806-N($G806)))</f>
        <v/>
      </c>
    </row>
    <row r="807" ht="19.5" customHeight="1" s="72">
      <c r="A807" s="38" t="inlineStr">
        <is>
          <t>EM-FIN-P02-SBA</t>
        </is>
      </c>
      <c r="B807" s="38" t="inlineStr">
        <is>
          <t>Final</t>
        </is>
      </c>
      <c r="C807" s="38" t="inlineStr">
        <is>
          <t>São Bento da Abadá</t>
        </is>
      </c>
      <c r="D807" s="39">
        <f>IFERROR(CLASIF_E_M!$X$6,"")</f>
        <v/>
      </c>
      <c r="E807" s="40" t="n"/>
      <c r="F807" s="39">
        <f>IFERROR(CLASIF_E_M!$X$7,"")</f>
        <v/>
      </c>
      <c r="G807" s="40" t="n"/>
      <c r="H807" s="41" t="n"/>
      <c r="I807" s="42">
        <f>IF($H807="","",MAX(0,$H807-N($E807)))</f>
        <v/>
      </c>
      <c r="J807" s="42">
        <f>IF($H807="","",MAX(0,$H807-N($G807)))</f>
        <v/>
      </c>
    </row>
    <row r="808" ht="19.5" customHeight="1" s="72">
      <c r="A808" s="38" t="inlineStr">
        <is>
          <t>EM-FIN-P02-BEN</t>
        </is>
      </c>
      <c r="B808" s="38" t="inlineStr">
        <is>
          <t>Final</t>
        </is>
      </c>
      <c r="C808" s="38" t="inlineStr">
        <is>
          <t>Benguela</t>
        </is>
      </c>
      <c r="D808" s="39">
        <f>IFERROR(CLASIF_E_M!$X$6,"")</f>
        <v/>
      </c>
      <c r="E808" s="40" t="n"/>
      <c r="F808" s="39">
        <f>IFERROR(CLASIF_E_M!$X$7,"")</f>
        <v/>
      </c>
      <c r="G808" s="40" t="n"/>
      <c r="H808" s="41" t="n"/>
      <c r="I808" s="42">
        <f>IF($H808="","",MAX(0,$H808-N($E808)))</f>
        <v/>
      </c>
      <c r="J808" s="42">
        <f>IF($H808="","",MAX(0,$H808-N($G808)))</f>
        <v/>
      </c>
    </row>
    <row r="809" ht="19.5" customHeight="1" s="72">
      <c r="A809" s="43" t="n"/>
      <c r="B809" s="43" t="n"/>
      <c r="C809" s="43" t="n"/>
      <c r="D809" s="43" t="n"/>
      <c r="E809" s="43" t="n"/>
      <c r="F809" s="43" t="n"/>
      <c r="G809" s="43" t="n"/>
      <c r="H809" s="44" t="n"/>
      <c r="I809" s="43">
        <f>IF($H809="","",MAX(0,$H809-N($E809)))</f>
        <v/>
      </c>
      <c r="J809" s="43">
        <f>IF($H809="","",MAX(0,$H809-N($G809)))</f>
        <v/>
      </c>
    </row>
    <row r="810" ht="19.5" customHeight="1" s="72">
      <c r="A810" s="84" t="inlineStr">
        <is>
          <t>═══ CATEGORÍA E · Femenino · Naranja (Alumnos) · Toques: São Bento da Abadá, Benguela ═══</t>
        </is>
      </c>
    </row>
    <row r="811" ht="19.5" customHeight="1" s="72">
      <c r="A811" s="45" t="inlineStr">
        <is>
          <t>Jogo</t>
        </is>
      </c>
      <c r="B811" s="45" t="inlineStr">
        <is>
          <t>Fase</t>
        </is>
      </c>
      <c r="C811" s="45" t="inlineStr">
        <is>
          <t>Toque</t>
        </is>
      </c>
      <c r="D811" s="45" t="inlineStr">
        <is>
          <t>Jugador A</t>
        </is>
      </c>
      <c r="E811" s="45" t="inlineStr">
        <is>
          <t>Quita A</t>
        </is>
      </c>
      <c r="F811" s="45" t="inlineStr">
        <is>
          <t>Jugador B</t>
        </is>
      </c>
      <c r="G811" s="45" t="inlineStr">
        <is>
          <t>Quita B</t>
        </is>
      </c>
      <c r="H811" s="45" t="inlineStr">
        <is>
          <t>NOTA (0-5)</t>
        </is>
      </c>
      <c r="I811" s="45">
        <f>IF($H811="","",MAX(0,$H811-N($E811)))</f>
        <v/>
      </c>
      <c r="J811" s="45">
        <f>IF($H811="","",MAX(0,$H811-N($G811)))</f>
        <v/>
      </c>
    </row>
    <row r="812" ht="19.5" customHeight="1" s="72">
      <c r="A812" s="38" t="inlineStr">
        <is>
          <t>EF-32-P01-SBA</t>
        </is>
      </c>
      <c r="B812" s="38" t="inlineStr">
        <is>
          <t>Fase 32</t>
        </is>
      </c>
      <c r="C812" s="38" t="inlineStr">
        <is>
          <t>São Bento da Abadá</t>
        </is>
      </c>
      <c r="D812" s="39" t="inlineStr">
        <is>
          <t>A_E_F_32_P1</t>
        </is>
      </c>
      <c r="E812" s="40" t="n"/>
      <c r="F812" s="39" t="inlineStr">
        <is>
          <t>B_E_F_32_P1</t>
        </is>
      </c>
      <c r="G812" s="40" t="n"/>
      <c r="H812" s="41" t="n"/>
      <c r="I812" s="42">
        <f>IF($H812="","",MAX(0,$H812-N($E812)))</f>
        <v/>
      </c>
      <c r="J812" s="42">
        <f>IF($H812="","",MAX(0,$H812-N($G812)))</f>
        <v/>
      </c>
    </row>
    <row r="813" ht="19.5" customHeight="1" s="72">
      <c r="A813" s="38" t="inlineStr">
        <is>
          <t>EF-32-P01-BEN</t>
        </is>
      </c>
      <c r="B813" s="38" t="inlineStr">
        <is>
          <t>Fase 32</t>
        </is>
      </c>
      <c r="C813" s="38" t="inlineStr">
        <is>
          <t>Benguela</t>
        </is>
      </c>
      <c r="D813" s="39" t="inlineStr">
        <is>
          <t>A_E_F_32_P1</t>
        </is>
      </c>
      <c r="E813" s="40" t="n"/>
      <c r="F813" s="39" t="inlineStr">
        <is>
          <t>B_E_F_32_P1</t>
        </is>
      </c>
      <c r="G813" s="40" t="n"/>
      <c r="H813" s="41" t="n"/>
      <c r="I813" s="42">
        <f>IF($H813="","",MAX(0,$H813-N($E813)))</f>
        <v/>
      </c>
      <c r="J813" s="42">
        <f>IF($H813="","",MAX(0,$H813-N($G813)))</f>
        <v/>
      </c>
    </row>
    <row r="814" ht="19.5" customHeight="1" s="72">
      <c r="A814" s="38" t="inlineStr">
        <is>
          <t>EF-32-P02-SBA</t>
        </is>
      </c>
      <c r="B814" s="38" t="inlineStr">
        <is>
          <t>Fase 32</t>
        </is>
      </c>
      <c r="C814" s="38" t="inlineStr">
        <is>
          <t>São Bento da Abadá</t>
        </is>
      </c>
      <c r="D814" s="39" t="inlineStr">
        <is>
          <t>A_E_F_32_P2</t>
        </is>
      </c>
      <c r="E814" s="40" t="n"/>
      <c r="F814" s="39" t="inlineStr">
        <is>
          <t>B_E_F_32_P2</t>
        </is>
      </c>
      <c r="G814" s="40" t="n"/>
      <c r="H814" s="41" t="n"/>
      <c r="I814" s="42">
        <f>IF($H814="","",MAX(0,$H814-N($E814)))</f>
        <v/>
      </c>
      <c r="J814" s="42">
        <f>IF($H814="","",MAX(0,$H814-N($G814)))</f>
        <v/>
      </c>
    </row>
    <row r="815" ht="19.5" customHeight="1" s="72">
      <c r="A815" s="38" t="inlineStr">
        <is>
          <t>EF-32-P02-BEN</t>
        </is>
      </c>
      <c r="B815" s="38" t="inlineStr">
        <is>
          <t>Fase 32</t>
        </is>
      </c>
      <c r="C815" s="38" t="inlineStr">
        <is>
          <t>Benguela</t>
        </is>
      </c>
      <c r="D815" s="39" t="inlineStr">
        <is>
          <t>A_E_F_32_P2</t>
        </is>
      </c>
      <c r="E815" s="40" t="n"/>
      <c r="F815" s="39" t="inlineStr">
        <is>
          <t>B_E_F_32_P2</t>
        </is>
      </c>
      <c r="G815" s="40" t="n"/>
      <c r="H815" s="41" t="n"/>
      <c r="I815" s="42">
        <f>IF($H815="","",MAX(0,$H815-N($E815)))</f>
        <v/>
      </c>
      <c r="J815" s="42">
        <f>IF($H815="","",MAX(0,$H815-N($G815)))</f>
        <v/>
      </c>
    </row>
    <row r="816" ht="19.5" customHeight="1" s="72">
      <c r="A816" s="38" t="inlineStr">
        <is>
          <t>EF-32-P03-SBA</t>
        </is>
      </c>
      <c r="B816" s="38" t="inlineStr">
        <is>
          <t>Fase 32</t>
        </is>
      </c>
      <c r="C816" s="38" t="inlineStr">
        <is>
          <t>São Bento da Abadá</t>
        </is>
      </c>
      <c r="D816" s="39" t="inlineStr">
        <is>
          <t>A_E_F_32_P3</t>
        </is>
      </c>
      <c r="E816" s="40" t="n"/>
      <c r="F816" s="39" t="inlineStr">
        <is>
          <t>B_E_F_32_P3</t>
        </is>
      </c>
      <c r="G816" s="40" t="n"/>
      <c r="H816" s="41" t="n"/>
      <c r="I816" s="42">
        <f>IF($H816="","",MAX(0,$H816-N($E816)))</f>
        <v/>
      </c>
      <c r="J816" s="42">
        <f>IF($H816="","",MAX(0,$H816-N($G816)))</f>
        <v/>
      </c>
    </row>
    <row r="817" ht="19.5" customHeight="1" s="72">
      <c r="A817" s="38" t="inlineStr">
        <is>
          <t>EF-32-P03-BEN</t>
        </is>
      </c>
      <c r="B817" s="38" t="inlineStr">
        <is>
          <t>Fase 32</t>
        </is>
      </c>
      <c r="C817" s="38" t="inlineStr">
        <is>
          <t>Benguela</t>
        </is>
      </c>
      <c r="D817" s="39" t="inlineStr">
        <is>
          <t>A_E_F_32_P3</t>
        </is>
      </c>
      <c r="E817" s="40" t="n"/>
      <c r="F817" s="39" t="inlineStr">
        <is>
          <t>B_E_F_32_P3</t>
        </is>
      </c>
      <c r="G817" s="40" t="n"/>
      <c r="H817" s="41" t="n"/>
      <c r="I817" s="42">
        <f>IF($H817="","",MAX(0,$H817-N($E817)))</f>
        <v/>
      </c>
      <c r="J817" s="42">
        <f>IF($H817="","",MAX(0,$H817-N($G817)))</f>
        <v/>
      </c>
    </row>
    <row r="818" ht="19.5" customHeight="1" s="72">
      <c r="A818" s="38" t="inlineStr">
        <is>
          <t>EF-32-P04-SBA</t>
        </is>
      </c>
      <c r="B818" s="38" t="inlineStr">
        <is>
          <t>Fase 32</t>
        </is>
      </c>
      <c r="C818" s="38" t="inlineStr">
        <is>
          <t>São Bento da Abadá</t>
        </is>
      </c>
      <c r="D818" s="39" t="inlineStr">
        <is>
          <t>A_E_F_32_P4</t>
        </is>
      </c>
      <c r="E818" s="40" t="n"/>
      <c r="F818" s="39" t="inlineStr">
        <is>
          <t>B_E_F_32_P4</t>
        </is>
      </c>
      <c r="G818" s="40" t="n"/>
      <c r="H818" s="41" t="n"/>
      <c r="I818" s="42">
        <f>IF($H818="","",MAX(0,$H818-N($E818)))</f>
        <v/>
      </c>
      <c r="J818" s="42">
        <f>IF($H818="","",MAX(0,$H818-N($G818)))</f>
        <v/>
      </c>
    </row>
    <row r="819" ht="19.5" customHeight="1" s="72">
      <c r="A819" s="38" t="inlineStr">
        <is>
          <t>EF-32-P04-BEN</t>
        </is>
      </c>
      <c r="B819" s="38" t="inlineStr">
        <is>
          <t>Fase 32</t>
        </is>
      </c>
      <c r="C819" s="38" t="inlineStr">
        <is>
          <t>Benguela</t>
        </is>
      </c>
      <c r="D819" s="39" t="inlineStr">
        <is>
          <t>A_E_F_32_P4</t>
        </is>
      </c>
      <c r="E819" s="40" t="n"/>
      <c r="F819" s="39" t="inlineStr">
        <is>
          <t>B_E_F_32_P4</t>
        </is>
      </c>
      <c r="G819" s="40" t="n"/>
      <c r="H819" s="41" t="n"/>
      <c r="I819" s="42">
        <f>IF($H819="","",MAX(0,$H819-N($E819)))</f>
        <v/>
      </c>
      <c r="J819" s="42">
        <f>IF($H819="","",MAX(0,$H819-N($G819)))</f>
        <v/>
      </c>
    </row>
    <row r="820" ht="19.5" customHeight="1" s="72">
      <c r="A820" s="38" t="inlineStr">
        <is>
          <t>EF-32-P05-SBA</t>
        </is>
      </c>
      <c r="B820" s="38" t="inlineStr">
        <is>
          <t>Fase 32</t>
        </is>
      </c>
      <c r="C820" s="38" t="inlineStr">
        <is>
          <t>São Bento da Abadá</t>
        </is>
      </c>
      <c r="D820" s="39" t="inlineStr">
        <is>
          <t>A_E_F_32_P5</t>
        </is>
      </c>
      <c r="E820" s="40" t="n"/>
      <c r="F820" s="39" t="inlineStr">
        <is>
          <t>B_E_F_32_P5</t>
        </is>
      </c>
      <c r="G820" s="40" t="n"/>
      <c r="H820" s="41" t="n"/>
      <c r="I820" s="42">
        <f>IF($H820="","",MAX(0,$H820-N($E820)))</f>
        <v/>
      </c>
      <c r="J820" s="42">
        <f>IF($H820="","",MAX(0,$H820-N($G820)))</f>
        <v/>
      </c>
    </row>
    <row r="821" ht="19.5" customHeight="1" s="72">
      <c r="A821" s="38" t="inlineStr">
        <is>
          <t>EF-32-P05-BEN</t>
        </is>
      </c>
      <c r="B821" s="38" t="inlineStr">
        <is>
          <t>Fase 32</t>
        </is>
      </c>
      <c r="C821" s="38" t="inlineStr">
        <is>
          <t>Benguela</t>
        </is>
      </c>
      <c r="D821" s="39" t="inlineStr">
        <is>
          <t>A_E_F_32_P5</t>
        </is>
      </c>
      <c r="E821" s="40" t="n"/>
      <c r="F821" s="39" t="inlineStr">
        <is>
          <t>B_E_F_32_P5</t>
        </is>
      </c>
      <c r="G821" s="40" t="n"/>
      <c r="H821" s="41" t="n"/>
      <c r="I821" s="42">
        <f>IF($H821="","",MAX(0,$H821-N($E821)))</f>
        <v/>
      </c>
      <c r="J821" s="42">
        <f>IF($H821="","",MAX(0,$H821-N($G821)))</f>
        <v/>
      </c>
    </row>
    <row r="822" ht="19.5" customHeight="1" s="72">
      <c r="A822" s="38" t="inlineStr">
        <is>
          <t>EF-32-P06-SBA</t>
        </is>
      </c>
      <c r="B822" s="38" t="inlineStr">
        <is>
          <t>Fase 32</t>
        </is>
      </c>
      <c r="C822" s="38" t="inlineStr">
        <is>
          <t>São Bento da Abadá</t>
        </is>
      </c>
      <c r="D822" s="39" t="inlineStr">
        <is>
          <t>A_E_F_32_P6</t>
        </is>
      </c>
      <c r="E822" s="40" t="n"/>
      <c r="F822" s="39" t="inlineStr">
        <is>
          <t>B_E_F_32_P6</t>
        </is>
      </c>
      <c r="G822" s="40" t="n"/>
      <c r="H822" s="41" t="n"/>
      <c r="I822" s="42">
        <f>IF($H822="","",MAX(0,$H822-N($E822)))</f>
        <v/>
      </c>
      <c r="J822" s="42">
        <f>IF($H822="","",MAX(0,$H822-N($G822)))</f>
        <v/>
      </c>
    </row>
    <row r="823" ht="19.5" customHeight="1" s="72">
      <c r="A823" s="38" t="inlineStr">
        <is>
          <t>EF-32-P06-BEN</t>
        </is>
      </c>
      <c r="B823" s="38" t="inlineStr">
        <is>
          <t>Fase 32</t>
        </is>
      </c>
      <c r="C823" s="38" t="inlineStr">
        <is>
          <t>Benguela</t>
        </is>
      </c>
      <c r="D823" s="39" t="inlineStr">
        <is>
          <t>A_E_F_32_P6</t>
        </is>
      </c>
      <c r="E823" s="40" t="n"/>
      <c r="F823" s="39" t="inlineStr">
        <is>
          <t>B_E_F_32_P6</t>
        </is>
      </c>
      <c r="G823" s="40" t="n"/>
      <c r="H823" s="41" t="n"/>
      <c r="I823" s="42">
        <f>IF($H823="","",MAX(0,$H823-N($E823)))</f>
        <v/>
      </c>
      <c r="J823" s="42">
        <f>IF($H823="","",MAX(0,$H823-N($G823)))</f>
        <v/>
      </c>
    </row>
    <row r="824" ht="19.5" customHeight="1" s="72">
      <c r="A824" s="38" t="inlineStr">
        <is>
          <t>EF-32-P07-SBA</t>
        </is>
      </c>
      <c r="B824" s="38" t="inlineStr">
        <is>
          <t>Fase 32</t>
        </is>
      </c>
      <c r="C824" s="38" t="inlineStr">
        <is>
          <t>São Bento da Abadá</t>
        </is>
      </c>
      <c r="D824" s="39" t="inlineStr">
        <is>
          <t>A_E_F_32_P7</t>
        </is>
      </c>
      <c r="E824" s="40" t="n"/>
      <c r="F824" s="39" t="inlineStr">
        <is>
          <t>B_E_F_32_P7</t>
        </is>
      </c>
      <c r="G824" s="40" t="n"/>
      <c r="H824" s="41" t="n"/>
      <c r="I824" s="42">
        <f>IF($H824="","",MAX(0,$H824-N($E824)))</f>
        <v/>
      </c>
      <c r="J824" s="42">
        <f>IF($H824="","",MAX(0,$H824-N($G824)))</f>
        <v/>
      </c>
    </row>
    <row r="825" ht="19.5" customHeight="1" s="72">
      <c r="A825" s="38" t="inlineStr">
        <is>
          <t>EF-32-P07-BEN</t>
        </is>
      </c>
      <c r="B825" s="38" t="inlineStr">
        <is>
          <t>Fase 32</t>
        </is>
      </c>
      <c r="C825" s="38" t="inlineStr">
        <is>
          <t>Benguela</t>
        </is>
      </c>
      <c r="D825" s="39" t="inlineStr">
        <is>
          <t>A_E_F_32_P7</t>
        </is>
      </c>
      <c r="E825" s="40" t="n"/>
      <c r="F825" s="39" t="inlineStr">
        <is>
          <t>B_E_F_32_P7</t>
        </is>
      </c>
      <c r="G825" s="40" t="n"/>
      <c r="H825" s="41" t="n"/>
      <c r="I825" s="42">
        <f>IF($H825="","",MAX(0,$H825-N($E825)))</f>
        <v/>
      </c>
      <c r="J825" s="42">
        <f>IF($H825="","",MAX(0,$H825-N($G825)))</f>
        <v/>
      </c>
    </row>
    <row r="826" ht="19.5" customHeight="1" s="72">
      <c r="A826" s="38" t="inlineStr">
        <is>
          <t>EF-32-P08-SBA</t>
        </is>
      </c>
      <c r="B826" s="38" t="inlineStr">
        <is>
          <t>Fase 32</t>
        </is>
      </c>
      <c r="C826" s="38" t="inlineStr">
        <is>
          <t>São Bento da Abadá</t>
        </is>
      </c>
      <c r="D826" s="39" t="inlineStr">
        <is>
          <t>A_E_F_32_P8</t>
        </is>
      </c>
      <c r="E826" s="40" t="n"/>
      <c r="F826" s="39" t="inlineStr">
        <is>
          <t>B_E_F_32_P8</t>
        </is>
      </c>
      <c r="G826" s="40" t="n"/>
      <c r="H826" s="41" t="n"/>
      <c r="I826" s="42">
        <f>IF($H826="","",MAX(0,$H826-N($E826)))</f>
        <v/>
      </c>
      <c r="J826" s="42">
        <f>IF($H826="","",MAX(0,$H826-N($G826)))</f>
        <v/>
      </c>
    </row>
    <row r="827" ht="19.5" customHeight="1" s="72">
      <c r="A827" s="38" t="inlineStr">
        <is>
          <t>EF-32-P08-BEN</t>
        </is>
      </c>
      <c r="B827" s="38" t="inlineStr">
        <is>
          <t>Fase 32</t>
        </is>
      </c>
      <c r="C827" s="38" t="inlineStr">
        <is>
          <t>Benguela</t>
        </is>
      </c>
      <c r="D827" s="39" t="inlineStr">
        <is>
          <t>A_E_F_32_P8</t>
        </is>
      </c>
      <c r="E827" s="40" t="n"/>
      <c r="F827" s="39" t="inlineStr">
        <is>
          <t>B_E_F_32_P8</t>
        </is>
      </c>
      <c r="G827" s="40" t="n"/>
      <c r="H827" s="41" t="n"/>
      <c r="I827" s="42">
        <f>IF($H827="","",MAX(0,$H827-N($E827)))</f>
        <v/>
      </c>
      <c r="J827" s="42">
        <f>IF($H827="","",MAX(0,$H827-N($G827)))</f>
        <v/>
      </c>
    </row>
    <row r="828" ht="19.5" customHeight="1" s="72">
      <c r="A828" s="38" t="inlineStr">
        <is>
          <t>EF-32-P09-SBA</t>
        </is>
      </c>
      <c r="B828" s="38" t="inlineStr">
        <is>
          <t>Fase 32</t>
        </is>
      </c>
      <c r="C828" s="38" t="inlineStr">
        <is>
          <t>São Bento da Abadá</t>
        </is>
      </c>
      <c r="D828" s="39" t="inlineStr">
        <is>
          <t>A_E_F_32_P9</t>
        </is>
      </c>
      <c r="E828" s="40" t="n"/>
      <c r="F828" s="39" t="inlineStr">
        <is>
          <t>B_E_F_32_P9</t>
        </is>
      </c>
      <c r="G828" s="40" t="n"/>
      <c r="H828" s="41" t="n"/>
      <c r="I828" s="42">
        <f>IF($H828="","",MAX(0,$H828-N($E828)))</f>
        <v/>
      </c>
      <c r="J828" s="42">
        <f>IF($H828="","",MAX(0,$H828-N($G828)))</f>
        <v/>
      </c>
    </row>
    <row r="829" ht="19.5" customHeight="1" s="72">
      <c r="A829" s="38" t="inlineStr">
        <is>
          <t>EF-32-P09-BEN</t>
        </is>
      </c>
      <c r="B829" s="38" t="inlineStr">
        <is>
          <t>Fase 32</t>
        </is>
      </c>
      <c r="C829" s="38" t="inlineStr">
        <is>
          <t>Benguela</t>
        </is>
      </c>
      <c r="D829" s="39" t="inlineStr">
        <is>
          <t>A_E_F_32_P9</t>
        </is>
      </c>
      <c r="E829" s="40" t="n"/>
      <c r="F829" s="39" t="inlineStr">
        <is>
          <t>B_E_F_32_P9</t>
        </is>
      </c>
      <c r="G829" s="40" t="n"/>
      <c r="H829" s="41" t="n"/>
      <c r="I829" s="42">
        <f>IF($H829="","",MAX(0,$H829-N($E829)))</f>
        <v/>
      </c>
      <c r="J829" s="42">
        <f>IF($H829="","",MAX(0,$H829-N($G829)))</f>
        <v/>
      </c>
    </row>
    <row r="830" ht="19.5" customHeight="1" s="72">
      <c r="A830" s="38" t="inlineStr">
        <is>
          <t>EF-32-P10-SBA</t>
        </is>
      </c>
      <c r="B830" s="38" t="inlineStr">
        <is>
          <t>Fase 32</t>
        </is>
      </c>
      <c r="C830" s="38" t="inlineStr">
        <is>
          <t>São Bento da Abadá</t>
        </is>
      </c>
      <c r="D830" s="39" t="inlineStr">
        <is>
          <t>A_E_F_32_P10</t>
        </is>
      </c>
      <c r="E830" s="40" t="n"/>
      <c r="F830" s="39" t="inlineStr">
        <is>
          <t>B_E_F_32_P10</t>
        </is>
      </c>
      <c r="G830" s="40" t="n"/>
      <c r="H830" s="41" t="n"/>
      <c r="I830" s="42">
        <f>IF($H830="","",MAX(0,$H830-N($E830)))</f>
        <v/>
      </c>
      <c r="J830" s="42">
        <f>IF($H830="","",MAX(0,$H830-N($G830)))</f>
        <v/>
      </c>
    </row>
    <row r="831" ht="19.5" customHeight="1" s="72">
      <c r="A831" s="38" t="inlineStr">
        <is>
          <t>EF-32-P10-BEN</t>
        </is>
      </c>
      <c r="B831" s="38" t="inlineStr">
        <is>
          <t>Fase 32</t>
        </is>
      </c>
      <c r="C831" s="38" t="inlineStr">
        <is>
          <t>Benguela</t>
        </is>
      </c>
      <c r="D831" s="39" t="inlineStr">
        <is>
          <t>A_E_F_32_P10</t>
        </is>
      </c>
      <c r="E831" s="40" t="n"/>
      <c r="F831" s="39" t="inlineStr">
        <is>
          <t>B_E_F_32_P10</t>
        </is>
      </c>
      <c r="G831" s="40" t="n"/>
      <c r="H831" s="41" t="n"/>
      <c r="I831" s="42">
        <f>IF($H831="","",MAX(0,$H831-N($E831)))</f>
        <v/>
      </c>
      <c r="J831" s="42">
        <f>IF($H831="","",MAX(0,$H831-N($G831)))</f>
        <v/>
      </c>
    </row>
    <row r="832" ht="19.5" customHeight="1" s="72">
      <c r="A832" s="38" t="inlineStr">
        <is>
          <t>EF-32-P11-SBA</t>
        </is>
      </c>
      <c r="B832" s="38" t="inlineStr">
        <is>
          <t>Fase 32</t>
        </is>
      </c>
      <c r="C832" s="38" t="inlineStr">
        <is>
          <t>São Bento da Abadá</t>
        </is>
      </c>
      <c r="D832" s="39" t="inlineStr">
        <is>
          <t>A_E_F_32_P11</t>
        </is>
      </c>
      <c r="E832" s="40" t="n"/>
      <c r="F832" s="39" t="inlineStr">
        <is>
          <t>B_E_F_32_P11</t>
        </is>
      </c>
      <c r="G832" s="40" t="n"/>
      <c r="H832" s="41" t="n"/>
      <c r="I832" s="42">
        <f>IF($H832="","",MAX(0,$H832-N($E832)))</f>
        <v/>
      </c>
      <c r="J832" s="42">
        <f>IF($H832="","",MAX(0,$H832-N($G832)))</f>
        <v/>
      </c>
    </row>
    <row r="833" ht="19.5" customHeight="1" s="72">
      <c r="A833" s="38" t="inlineStr">
        <is>
          <t>EF-32-P11-BEN</t>
        </is>
      </c>
      <c r="B833" s="38" t="inlineStr">
        <is>
          <t>Fase 32</t>
        </is>
      </c>
      <c r="C833" s="38" t="inlineStr">
        <is>
          <t>Benguela</t>
        </is>
      </c>
      <c r="D833" s="39" t="inlineStr">
        <is>
          <t>A_E_F_32_P11</t>
        </is>
      </c>
      <c r="E833" s="40" t="n"/>
      <c r="F833" s="39" t="inlineStr">
        <is>
          <t>B_E_F_32_P11</t>
        </is>
      </c>
      <c r="G833" s="40" t="n"/>
      <c r="H833" s="41" t="n"/>
      <c r="I833" s="42">
        <f>IF($H833="","",MAX(0,$H833-N($E833)))</f>
        <v/>
      </c>
      <c r="J833" s="42">
        <f>IF($H833="","",MAX(0,$H833-N($G833)))</f>
        <v/>
      </c>
    </row>
    <row r="834" ht="19.5" customHeight="1" s="72">
      <c r="A834" s="38" t="inlineStr">
        <is>
          <t>EF-32-P12-SBA</t>
        </is>
      </c>
      <c r="B834" s="38" t="inlineStr">
        <is>
          <t>Fase 32</t>
        </is>
      </c>
      <c r="C834" s="38" t="inlineStr">
        <is>
          <t>São Bento da Abadá</t>
        </is>
      </c>
      <c r="D834" s="39" t="inlineStr">
        <is>
          <t>A_E_F_32_P12</t>
        </is>
      </c>
      <c r="E834" s="40" t="n"/>
      <c r="F834" s="39" t="inlineStr">
        <is>
          <t>B_E_F_32_P12</t>
        </is>
      </c>
      <c r="G834" s="40" t="n"/>
      <c r="H834" s="41" t="n"/>
      <c r="I834" s="42">
        <f>IF($H834="","",MAX(0,$H834-N($E834)))</f>
        <v/>
      </c>
      <c r="J834" s="42">
        <f>IF($H834="","",MAX(0,$H834-N($G834)))</f>
        <v/>
      </c>
    </row>
    <row r="835" ht="19.5" customHeight="1" s="72">
      <c r="A835" s="38" t="inlineStr">
        <is>
          <t>EF-32-P12-BEN</t>
        </is>
      </c>
      <c r="B835" s="38" t="inlineStr">
        <is>
          <t>Fase 32</t>
        </is>
      </c>
      <c r="C835" s="38" t="inlineStr">
        <is>
          <t>Benguela</t>
        </is>
      </c>
      <c r="D835" s="39" t="inlineStr">
        <is>
          <t>A_E_F_32_P12</t>
        </is>
      </c>
      <c r="E835" s="40" t="n"/>
      <c r="F835" s="39" t="inlineStr">
        <is>
          <t>B_E_F_32_P12</t>
        </is>
      </c>
      <c r="G835" s="40" t="n"/>
      <c r="H835" s="41" t="n"/>
      <c r="I835" s="42">
        <f>IF($H835="","",MAX(0,$H835-N($E835)))</f>
        <v/>
      </c>
      <c r="J835" s="42">
        <f>IF($H835="","",MAX(0,$H835-N($G835)))</f>
        <v/>
      </c>
    </row>
    <row r="836" ht="19.5" customHeight="1" s="72">
      <c r="A836" s="38" t="inlineStr">
        <is>
          <t>EF-32-P13-SBA</t>
        </is>
      </c>
      <c r="B836" s="38" t="inlineStr">
        <is>
          <t>Fase 32</t>
        </is>
      </c>
      <c r="C836" s="38" t="inlineStr">
        <is>
          <t>São Bento da Abadá</t>
        </is>
      </c>
      <c r="D836" s="39" t="inlineStr">
        <is>
          <t>A_E_F_32_P13</t>
        </is>
      </c>
      <c r="E836" s="40" t="n"/>
      <c r="F836" s="39" t="inlineStr">
        <is>
          <t>B_E_F_32_P13</t>
        </is>
      </c>
      <c r="G836" s="40" t="n"/>
      <c r="H836" s="41" t="n"/>
      <c r="I836" s="42">
        <f>IF($H836="","",MAX(0,$H836-N($E836)))</f>
        <v/>
      </c>
      <c r="J836" s="42">
        <f>IF($H836="","",MAX(0,$H836-N($G836)))</f>
        <v/>
      </c>
    </row>
    <row r="837" ht="19.5" customHeight="1" s="72">
      <c r="A837" s="38" t="inlineStr">
        <is>
          <t>EF-32-P13-BEN</t>
        </is>
      </c>
      <c r="B837" s="38" t="inlineStr">
        <is>
          <t>Fase 32</t>
        </is>
      </c>
      <c r="C837" s="38" t="inlineStr">
        <is>
          <t>Benguela</t>
        </is>
      </c>
      <c r="D837" s="39" t="inlineStr">
        <is>
          <t>A_E_F_32_P13</t>
        </is>
      </c>
      <c r="E837" s="40" t="n"/>
      <c r="F837" s="39" t="inlineStr">
        <is>
          <t>B_E_F_32_P13</t>
        </is>
      </c>
      <c r="G837" s="40" t="n"/>
      <c r="H837" s="41" t="n"/>
      <c r="I837" s="42">
        <f>IF($H837="","",MAX(0,$H837-N($E837)))</f>
        <v/>
      </c>
      <c r="J837" s="42">
        <f>IF($H837="","",MAX(0,$H837-N($G837)))</f>
        <v/>
      </c>
    </row>
    <row r="838" ht="19.5" customHeight="1" s="72">
      <c r="A838" s="38" t="inlineStr">
        <is>
          <t>EF-32-P14-SBA</t>
        </is>
      </c>
      <c r="B838" s="38" t="inlineStr">
        <is>
          <t>Fase 32</t>
        </is>
      </c>
      <c r="C838" s="38" t="inlineStr">
        <is>
          <t>São Bento da Abadá</t>
        </is>
      </c>
      <c r="D838" s="39" t="inlineStr">
        <is>
          <t>A_E_F_32_P14</t>
        </is>
      </c>
      <c r="E838" s="40" t="n"/>
      <c r="F838" s="39" t="inlineStr">
        <is>
          <t>B_E_F_32_P14</t>
        </is>
      </c>
      <c r="G838" s="40" t="n"/>
      <c r="H838" s="41" t="n"/>
      <c r="I838" s="42">
        <f>IF($H838="","",MAX(0,$H838-N($E838)))</f>
        <v/>
      </c>
      <c r="J838" s="42">
        <f>IF($H838="","",MAX(0,$H838-N($G838)))</f>
        <v/>
      </c>
    </row>
    <row r="839" ht="19.5" customHeight="1" s="72">
      <c r="A839" s="38" t="inlineStr">
        <is>
          <t>EF-32-P14-BEN</t>
        </is>
      </c>
      <c r="B839" s="38" t="inlineStr">
        <is>
          <t>Fase 32</t>
        </is>
      </c>
      <c r="C839" s="38" t="inlineStr">
        <is>
          <t>Benguela</t>
        </is>
      </c>
      <c r="D839" s="39" t="inlineStr">
        <is>
          <t>A_E_F_32_P14</t>
        </is>
      </c>
      <c r="E839" s="40" t="n"/>
      <c r="F839" s="39" t="inlineStr">
        <is>
          <t>B_E_F_32_P14</t>
        </is>
      </c>
      <c r="G839" s="40" t="n"/>
      <c r="H839" s="41" t="n"/>
      <c r="I839" s="42">
        <f>IF($H839="","",MAX(0,$H839-N($E839)))</f>
        <v/>
      </c>
      <c r="J839" s="42">
        <f>IF($H839="","",MAX(0,$H839-N($G839)))</f>
        <v/>
      </c>
    </row>
    <row r="840" ht="19.5" customHeight="1" s="72">
      <c r="A840" s="38" t="inlineStr">
        <is>
          <t>EF-32-P15-SBA</t>
        </is>
      </c>
      <c r="B840" s="38" t="inlineStr">
        <is>
          <t>Fase 32</t>
        </is>
      </c>
      <c r="C840" s="38" t="inlineStr">
        <is>
          <t>São Bento da Abadá</t>
        </is>
      </c>
      <c r="D840" s="39" t="inlineStr">
        <is>
          <t>A_E_F_32_P15</t>
        </is>
      </c>
      <c r="E840" s="40" t="n"/>
      <c r="F840" s="39" t="inlineStr">
        <is>
          <t>B_E_F_32_P15</t>
        </is>
      </c>
      <c r="G840" s="40" t="n"/>
      <c r="H840" s="41" t="n"/>
      <c r="I840" s="42">
        <f>IF($H840="","",MAX(0,$H840-N($E840)))</f>
        <v/>
      </c>
      <c r="J840" s="42">
        <f>IF($H840="","",MAX(0,$H840-N($G840)))</f>
        <v/>
      </c>
    </row>
    <row r="841" ht="19.5" customHeight="1" s="72">
      <c r="A841" s="38" t="inlineStr">
        <is>
          <t>EF-32-P15-BEN</t>
        </is>
      </c>
      <c r="B841" s="38" t="inlineStr">
        <is>
          <t>Fase 32</t>
        </is>
      </c>
      <c r="C841" s="38" t="inlineStr">
        <is>
          <t>Benguela</t>
        </is>
      </c>
      <c r="D841" s="39" t="inlineStr">
        <is>
          <t>A_E_F_32_P15</t>
        </is>
      </c>
      <c r="E841" s="40" t="n"/>
      <c r="F841" s="39" t="inlineStr">
        <is>
          <t>B_E_F_32_P15</t>
        </is>
      </c>
      <c r="G841" s="40" t="n"/>
      <c r="H841" s="41" t="n"/>
      <c r="I841" s="42">
        <f>IF($H841="","",MAX(0,$H841-N($E841)))</f>
        <v/>
      </c>
      <c r="J841" s="42">
        <f>IF($H841="","",MAX(0,$H841-N($G841)))</f>
        <v/>
      </c>
    </row>
    <row r="842" ht="19.5" customHeight="1" s="72">
      <c r="A842" s="38" t="inlineStr">
        <is>
          <t>EF-32-P16-SBA</t>
        </is>
      </c>
      <c r="B842" s="38" t="inlineStr">
        <is>
          <t>Fase 32</t>
        </is>
      </c>
      <c r="C842" s="38" t="inlineStr">
        <is>
          <t>São Bento da Abadá</t>
        </is>
      </c>
      <c r="D842" s="39" t="inlineStr">
        <is>
          <t>A_E_F_32_P16</t>
        </is>
      </c>
      <c r="E842" s="40" t="n"/>
      <c r="F842" s="39" t="inlineStr">
        <is>
          <t>B_E_F_32_P16</t>
        </is>
      </c>
      <c r="G842" s="40" t="n"/>
      <c r="H842" s="41" t="n"/>
      <c r="I842" s="42">
        <f>IF($H842="","",MAX(0,$H842-N($E842)))</f>
        <v/>
      </c>
      <c r="J842" s="42">
        <f>IF($H842="","",MAX(0,$H842-N($G842)))</f>
        <v/>
      </c>
    </row>
    <row r="843" ht="19.5" customHeight="1" s="72">
      <c r="A843" s="38" t="inlineStr">
        <is>
          <t>EF-32-P16-BEN</t>
        </is>
      </c>
      <c r="B843" s="38" t="inlineStr">
        <is>
          <t>Fase 32</t>
        </is>
      </c>
      <c r="C843" s="38" t="inlineStr">
        <is>
          <t>Benguela</t>
        </is>
      </c>
      <c r="D843" s="39" t="inlineStr">
        <is>
          <t>A_E_F_32_P16</t>
        </is>
      </c>
      <c r="E843" s="40" t="n"/>
      <c r="F843" s="39" t="inlineStr">
        <is>
          <t>B_E_F_32_P16</t>
        </is>
      </c>
      <c r="G843" s="40" t="n"/>
      <c r="H843" s="41" t="n"/>
      <c r="I843" s="42">
        <f>IF($H843="","",MAX(0,$H843-N($E843)))</f>
        <v/>
      </c>
      <c r="J843" s="42">
        <f>IF($H843="","",MAX(0,$H843-N($G843)))</f>
        <v/>
      </c>
    </row>
    <row r="844" ht="19.5" customHeight="1" s="72">
      <c r="A844" s="38" t="inlineStr">
        <is>
          <t>EF-OCT-P01-SBA</t>
        </is>
      </c>
      <c r="B844" s="38" t="inlineStr">
        <is>
          <t>Octavas</t>
        </is>
      </c>
      <c r="C844" s="38" t="inlineStr">
        <is>
          <t>São Bento da Abadá</t>
        </is>
      </c>
      <c r="D844" s="39">
        <f>IFERROR(CLASIF_E_F!$F$5,"")</f>
        <v/>
      </c>
      <c r="E844" s="40" t="n"/>
      <c r="F844" s="39">
        <f>IFERROR(CLASIF_E_F!$F$20,"")</f>
        <v/>
      </c>
      <c r="G844" s="40" t="n"/>
      <c r="H844" s="41" t="n"/>
      <c r="I844" s="42">
        <f>IF($H844="","",MAX(0,$H844-N($E844)))</f>
        <v/>
      </c>
      <c r="J844" s="42">
        <f>IF($H844="","",MAX(0,$H844-N($G844)))</f>
        <v/>
      </c>
    </row>
    <row r="845" ht="19.5" customHeight="1" s="72">
      <c r="A845" s="38" t="inlineStr">
        <is>
          <t>EF-OCT-P01-BEN</t>
        </is>
      </c>
      <c r="B845" s="38" t="inlineStr">
        <is>
          <t>Octavas</t>
        </is>
      </c>
      <c r="C845" s="38" t="inlineStr">
        <is>
          <t>Benguela</t>
        </is>
      </c>
      <c r="D845" s="39">
        <f>IFERROR(CLASIF_E_F!$F$5,"")</f>
        <v/>
      </c>
      <c r="E845" s="40" t="n"/>
      <c r="F845" s="39">
        <f>IFERROR(CLASIF_E_F!$F$20,"")</f>
        <v/>
      </c>
      <c r="G845" s="40" t="n"/>
      <c r="H845" s="41" t="n"/>
      <c r="I845" s="42">
        <f>IF($H845="","",MAX(0,$H845-N($E845)))</f>
        <v/>
      </c>
      <c r="J845" s="42">
        <f>IF($H845="","",MAX(0,$H845-N($G845)))</f>
        <v/>
      </c>
    </row>
    <row r="846" ht="19.5" customHeight="1" s="72">
      <c r="A846" s="38" t="inlineStr">
        <is>
          <t>EF-OCT-P02-SBA</t>
        </is>
      </c>
      <c r="B846" s="38" t="inlineStr">
        <is>
          <t>Octavas</t>
        </is>
      </c>
      <c r="C846" s="38" t="inlineStr">
        <is>
          <t>São Bento da Abadá</t>
        </is>
      </c>
      <c r="D846" s="39">
        <f>IFERROR(CLASIF_E_F!$F$6,"")</f>
        <v/>
      </c>
      <c r="E846" s="40" t="n"/>
      <c r="F846" s="39">
        <f>IFERROR(CLASIF_E_F!$F$19,"")</f>
        <v/>
      </c>
      <c r="G846" s="40" t="n"/>
      <c r="H846" s="41" t="n"/>
      <c r="I846" s="42">
        <f>IF($H846="","",MAX(0,$H846-N($E846)))</f>
        <v/>
      </c>
      <c r="J846" s="42">
        <f>IF($H846="","",MAX(0,$H846-N($G846)))</f>
        <v/>
      </c>
    </row>
    <row r="847" ht="19.5" customHeight="1" s="72">
      <c r="A847" s="38" t="inlineStr">
        <is>
          <t>EF-OCT-P02-BEN</t>
        </is>
      </c>
      <c r="B847" s="38" t="inlineStr">
        <is>
          <t>Octavas</t>
        </is>
      </c>
      <c r="C847" s="38" t="inlineStr">
        <is>
          <t>Benguela</t>
        </is>
      </c>
      <c r="D847" s="39">
        <f>IFERROR(CLASIF_E_F!$F$6,"")</f>
        <v/>
      </c>
      <c r="E847" s="40" t="n"/>
      <c r="F847" s="39">
        <f>IFERROR(CLASIF_E_F!$F$19,"")</f>
        <v/>
      </c>
      <c r="G847" s="40" t="n"/>
      <c r="H847" s="41" t="n"/>
      <c r="I847" s="42">
        <f>IF($H847="","",MAX(0,$H847-N($E847)))</f>
        <v/>
      </c>
      <c r="J847" s="42">
        <f>IF($H847="","",MAX(0,$H847-N($G847)))</f>
        <v/>
      </c>
    </row>
    <row r="848" ht="19.5" customHeight="1" s="72">
      <c r="A848" s="38" t="inlineStr">
        <is>
          <t>EF-OCT-P03-SBA</t>
        </is>
      </c>
      <c r="B848" s="38" t="inlineStr">
        <is>
          <t>Octavas</t>
        </is>
      </c>
      <c r="C848" s="38" t="inlineStr">
        <is>
          <t>São Bento da Abadá</t>
        </is>
      </c>
      <c r="D848" s="39">
        <f>IFERROR(CLASIF_E_F!$F$7,"")</f>
        <v/>
      </c>
      <c r="E848" s="40" t="n"/>
      <c r="F848" s="39">
        <f>IFERROR(CLASIF_E_F!$F$18,"")</f>
        <v/>
      </c>
      <c r="G848" s="40" t="n"/>
      <c r="H848" s="41" t="n"/>
      <c r="I848" s="42">
        <f>IF($H848="","",MAX(0,$H848-N($E848)))</f>
        <v/>
      </c>
      <c r="J848" s="42">
        <f>IF($H848="","",MAX(0,$H848-N($G848)))</f>
        <v/>
      </c>
    </row>
    <row r="849" ht="19.5" customHeight="1" s="72">
      <c r="A849" s="38" t="inlineStr">
        <is>
          <t>EF-OCT-P03-BEN</t>
        </is>
      </c>
      <c r="B849" s="38" t="inlineStr">
        <is>
          <t>Octavas</t>
        </is>
      </c>
      <c r="C849" s="38" t="inlineStr">
        <is>
          <t>Benguela</t>
        </is>
      </c>
      <c r="D849" s="39">
        <f>IFERROR(CLASIF_E_F!$F$7,"")</f>
        <v/>
      </c>
      <c r="E849" s="40" t="n"/>
      <c r="F849" s="39">
        <f>IFERROR(CLASIF_E_F!$F$18,"")</f>
        <v/>
      </c>
      <c r="G849" s="40" t="n"/>
      <c r="H849" s="41" t="n"/>
      <c r="I849" s="42">
        <f>IF($H849="","",MAX(0,$H849-N($E849)))</f>
        <v/>
      </c>
      <c r="J849" s="42">
        <f>IF($H849="","",MAX(0,$H849-N($G849)))</f>
        <v/>
      </c>
    </row>
    <row r="850" ht="19.5" customHeight="1" s="72">
      <c r="A850" s="38" t="inlineStr">
        <is>
          <t>EF-OCT-P04-SBA</t>
        </is>
      </c>
      <c r="B850" s="38" t="inlineStr">
        <is>
          <t>Octavas</t>
        </is>
      </c>
      <c r="C850" s="38" t="inlineStr">
        <is>
          <t>São Bento da Abadá</t>
        </is>
      </c>
      <c r="D850" s="39">
        <f>IFERROR(CLASIF_E_F!$F$8,"")</f>
        <v/>
      </c>
      <c r="E850" s="40" t="n"/>
      <c r="F850" s="39">
        <f>IFERROR(CLASIF_E_F!$F$17,"")</f>
        <v/>
      </c>
      <c r="G850" s="40" t="n"/>
      <c r="H850" s="41" t="n"/>
      <c r="I850" s="42">
        <f>IF($H850="","",MAX(0,$H850-N($E850)))</f>
        <v/>
      </c>
      <c r="J850" s="42">
        <f>IF($H850="","",MAX(0,$H850-N($G850)))</f>
        <v/>
      </c>
    </row>
    <row r="851" ht="19.5" customHeight="1" s="72">
      <c r="A851" s="38" t="inlineStr">
        <is>
          <t>EF-OCT-P04-BEN</t>
        </is>
      </c>
      <c r="B851" s="38" t="inlineStr">
        <is>
          <t>Octavas</t>
        </is>
      </c>
      <c r="C851" s="38" t="inlineStr">
        <is>
          <t>Benguela</t>
        </is>
      </c>
      <c r="D851" s="39">
        <f>IFERROR(CLASIF_E_F!$F$8,"")</f>
        <v/>
      </c>
      <c r="E851" s="40" t="n"/>
      <c r="F851" s="39">
        <f>IFERROR(CLASIF_E_F!$F$17,"")</f>
        <v/>
      </c>
      <c r="G851" s="40" t="n"/>
      <c r="H851" s="41" t="n"/>
      <c r="I851" s="42">
        <f>IF($H851="","",MAX(0,$H851-N($E851)))</f>
        <v/>
      </c>
      <c r="J851" s="42">
        <f>IF($H851="","",MAX(0,$H851-N($G851)))</f>
        <v/>
      </c>
    </row>
    <row r="852" ht="19.5" customHeight="1" s="72">
      <c r="A852" s="38" t="inlineStr">
        <is>
          <t>EF-OCT-P05-SBA</t>
        </is>
      </c>
      <c r="B852" s="38" t="inlineStr">
        <is>
          <t>Octavas</t>
        </is>
      </c>
      <c r="C852" s="38" t="inlineStr">
        <is>
          <t>São Bento da Abadá</t>
        </is>
      </c>
      <c r="D852" s="39">
        <f>IFERROR(CLASIF_E_F!$F$9,"")</f>
        <v/>
      </c>
      <c r="E852" s="40" t="n"/>
      <c r="F852" s="39">
        <f>IFERROR(CLASIF_E_F!$F$16,"")</f>
        <v/>
      </c>
      <c r="G852" s="40" t="n"/>
      <c r="H852" s="41" t="n"/>
      <c r="I852" s="42">
        <f>IF($H852="","",MAX(0,$H852-N($E852)))</f>
        <v/>
      </c>
      <c r="J852" s="42">
        <f>IF($H852="","",MAX(0,$H852-N($G852)))</f>
        <v/>
      </c>
    </row>
    <row r="853" ht="19.5" customHeight="1" s="72">
      <c r="A853" s="38" t="inlineStr">
        <is>
          <t>EF-OCT-P05-BEN</t>
        </is>
      </c>
      <c r="B853" s="38" t="inlineStr">
        <is>
          <t>Octavas</t>
        </is>
      </c>
      <c r="C853" s="38" t="inlineStr">
        <is>
          <t>Benguela</t>
        </is>
      </c>
      <c r="D853" s="39">
        <f>IFERROR(CLASIF_E_F!$F$9,"")</f>
        <v/>
      </c>
      <c r="E853" s="40" t="n"/>
      <c r="F853" s="39">
        <f>IFERROR(CLASIF_E_F!$F$16,"")</f>
        <v/>
      </c>
      <c r="G853" s="40" t="n"/>
      <c r="H853" s="41" t="n"/>
      <c r="I853" s="42">
        <f>IF($H853="","",MAX(0,$H853-N($E853)))</f>
        <v/>
      </c>
      <c r="J853" s="42">
        <f>IF($H853="","",MAX(0,$H853-N($G853)))</f>
        <v/>
      </c>
    </row>
    <row r="854" ht="19.5" customHeight="1" s="72">
      <c r="A854" s="38" t="inlineStr">
        <is>
          <t>EF-OCT-P06-SBA</t>
        </is>
      </c>
      <c r="B854" s="38" t="inlineStr">
        <is>
          <t>Octavas</t>
        </is>
      </c>
      <c r="C854" s="38" t="inlineStr">
        <is>
          <t>São Bento da Abadá</t>
        </is>
      </c>
      <c r="D854" s="39">
        <f>IFERROR(CLASIF_E_F!$F$10,"")</f>
        <v/>
      </c>
      <c r="E854" s="40" t="n"/>
      <c r="F854" s="39">
        <f>IFERROR(CLASIF_E_F!$F$15,"")</f>
        <v/>
      </c>
      <c r="G854" s="40" t="n"/>
      <c r="H854" s="41" t="n"/>
      <c r="I854" s="42">
        <f>IF($H854="","",MAX(0,$H854-N($E854)))</f>
        <v/>
      </c>
      <c r="J854" s="42">
        <f>IF($H854="","",MAX(0,$H854-N($G854)))</f>
        <v/>
      </c>
    </row>
    <row r="855" ht="19.5" customHeight="1" s="72">
      <c r="A855" s="38" t="inlineStr">
        <is>
          <t>EF-OCT-P06-BEN</t>
        </is>
      </c>
      <c r="B855" s="38" t="inlineStr">
        <is>
          <t>Octavas</t>
        </is>
      </c>
      <c r="C855" s="38" t="inlineStr">
        <is>
          <t>Benguela</t>
        </is>
      </c>
      <c r="D855" s="39">
        <f>IFERROR(CLASIF_E_F!$F$10,"")</f>
        <v/>
      </c>
      <c r="E855" s="40" t="n"/>
      <c r="F855" s="39">
        <f>IFERROR(CLASIF_E_F!$F$15,"")</f>
        <v/>
      </c>
      <c r="G855" s="40" t="n"/>
      <c r="H855" s="41" t="n"/>
      <c r="I855" s="42">
        <f>IF($H855="","",MAX(0,$H855-N($E855)))</f>
        <v/>
      </c>
      <c r="J855" s="42">
        <f>IF($H855="","",MAX(0,$H855-N($G855)))</f>
        <v/>
      </c>
    </row>
    <row r="856" ht="19.5" customHeight="1" s="72">
      <c r="A856" s="38" t="inlineStr">
        <is>
          <t>EF-OCT-P07-SBA</t>
        </is>
      </c>
      <c r="B856" s="38" t="inlineStr">
        <is>
          <t>Octavas</t>
        </is>
      </c>
      <c r="C856" s="38" t="inlineStr">
        <is>
          <t>São Bento da Abadá</t>
        </is>
      </c>
      <c r="D856" s="39">
        <f>IFERROR(CLASIF_E_F!$F$11,"")</f>
        <v/>
      </c>
      <c r="E856" s="40" t="n"/>
      <c r="F856" s="39">
        <f>IFERROR(CLASIF_E_F!$F$14,"")</f>
        <v/>
      </c>
      <c r="G856" s="40" t="n"/>
      <c r="H856" s="41" t="n"/>
      <c r="I856" s="42">
        <f>IF($H856="","",MAX(0,$H856-N($E856)))</f>
        <v/>
      </c>
      <c r="J856" s="42">
        <f>IF($H856="","",MAX(0,$H856-N($G856)))</f>
        <v/>
      </c>
    </row>
    <row r="857" ht="19.5" customHeight="1" s="72">
      <c r="A857" s="38" t="inlineStr">
        <is>
          <t>EF-OCT-P07-BEN</t>
        </is>
      </c>
      <c r="B857" s="38" t="inlineStr">
        <is>
          <t>Octavas</t>
        </is>
      </c>
      <c r="C857" s="38" t="inlineStr">
        <is>
          <t>Benguela</t>
        </is>
      </c>
      <c r="D857" s="39">
        <f>IFERROR(CLASIF_E_F!$F$11,"")</f>
        <v/>
      </c>
      <c r="E857" s="40" t="n"/>
      <c r="F857" s="39">
        <f>IFERROR(CLASIF_E_F!$F$14,"")</f>
        <v/>
      </c>
      <c r="G857" s="40" t="n"/>
      <c r="H857" s="41" t="n"/>
      <c r="I857" s="42">
        <f>IF($H857="","",MAX(0,$H857-N($E857)))</f>
        <v/>
      </c>
      <c r="J857" s="42">
        <f>IF($H857="","",MAX(0,$H857-N($G857)))</f>
        <v/>
      </c>
    </row>
    <row r="858" ht="19.5" customHeight="1" s="72">
      <c r="A858" s="38" t="inlineStr">
        <is>
          <t>EF-OCT-P08-SBA</t>
        </is>
      </c>
      <c r="B858" s="38" t="inlineStr">
        <is>
          <t>Octavas</t>
        </is>
      </c>
      <c r="C858" s="38" t="inlineStr">
        <is>
          <t>São Bento da Abadá</t>
        </is>
      </c>
      <c r="D858" s="39">
        <f>IFERROR(CLASIF_E_F!$F$12,"")</f>
        <v/>
      </c>
      <c r="E858" s="40" t="n"/>
      <c r="F858" s="39">
        <f>IFERROR(CLASIF_E_F!$F$13,"")</f>
        <v/>
      </c>
      <c r="G858" s="40" t="n"/>
      <c r="H858" s="41" t="n"/>
      <c r="I858" s="42">
        <f>IF($H858="","",MAX(0,$H858-N($E858)))</f>
        <v/>
      </c>
      <c r="J858" s="42">
        <f>IF($H858="","",MAX(0,$H858-N($G858)))</f>
        <v/>
      </c>
    </row>
    <row r="859" ht="19.5" customHeight="1" s="72">
      <c r="A859" s="38" t="inlineStr">
        <is>
          <t>EF-OCT-P08-BEN</t>
        </is>
      </c>
      <c r="B859" s="38" t="inlineStr">
        <is>
          <t>Octavas</t>
        </is>
      </c>
      <c r="C859" s="38" t="inlineStr">
        <is>
          <t>Benguela</t>
        </is>
      </c>
      <c r="D859" s="39">
        <f>IFERROR(CLASIF_E_F!$F$12,"")</f>
        <v/>
      </c>
      <c r="E859" s="40" t="n"/>
      <c r="F859" s="39">
        <f>IFERROR(CLASIF_E_F!$F$13,"")</f>
        <v/>
      </c>
      <c r="G859" s="40" t="n"/>
      <c r="H859" s="41" t="n"/>
      <c r="I859" s="42">
        <f>IF($H859="","",MAX(0,$H859-N($E859)))</f>
        <v/>
      </c>
      <c r="J859" s="42">
        <f>IF($H859="","",MAX(0,$H859-N($G859)))</f>
        <v/>
      </c>
    </row>
    <row r="860" ht="19.5" customHeight="1" s="72">
      <c r="A860" s="38" t="inlineStr">
        <is>
          <t>EF-SEM-P01-SBA</t>
        </is>
      </c>
      <c r="B860" s="38" t="inlineStr">
        <is>
          <t>Semifinal</t>
        </is>
      </c>
      <c r="C860" s="38" t="inlineStr">
        <is>
          <t>São Bento da Abadá</t>
        </is>
      </c>
      <c r="D860" s="39">
        <f>IFERROR(CLASIF_E_F!$O$5,"")</f>
        <v/>
      </c>
      <c r="E860" s="40" t="n"/>
      <c r="F860" s="39">
        <f>IFERROR(CLASIF_E_F!$O$12,"")</f>
        <v/>
      </c>
      <c r="G860" s="40" t="n"/>
      <c r="H860" s="41" t="n"/>
      <c r="I860" s="42">
        <f>IF($H860="","",MAX(0,$H860-N($E860)))</f>
        <v/>
      </c>
      <c r="J860" s="42">
        <f>IF($H860="","",MAX(0,$H860-N($G860)))</f>
        <v/>
      </c>
    </row>
    <row r="861" ht="19.5" customHeight="1" s="72">
      <c r="A861" s="38" t="inlineStr">
        <is>
          <t>EF-SEM-P01-BEN</t>
        </is>
      </c>
      <c r="B861" s="38" t="inlineStr">
        <is>
          <t>Semifinal</t>
        </is>
      </c>
      <c r="C861" s="38" t="inlineStr">
        <is>
          <t>Benguela</t>
        </is>
      </c>
      <c r="D861" s="39">
        <f>IFERROR(CLASIF_E_F!$O$5,"")</f>
        <v/>
      </c>
      <c r="E861" s="40" t="n"/>
      <c r="F861" s="39">
        <f>IFERROR(CLASIF_E_F!$O$12,"")</f>
        <v/>
      </c>
      <c r="G861" s="40" t="n"/>
      <c r="H861" s="41" t="n"/>
      <c r="I861" s="42">
        <f>IF($H861="","",MAX(0,$H861-N($E861)))</f>
        <v/>
      </c>
      <c r="J861" s="42">
        <f>IF($H861="","",MAX(0,$H861-N($G861)))</f>
        <v/>
      </c>
    </row>
    <row r="862" ht="19.5" customHeight="1" s="72">
      <c r="A862" s="38" t="inlineStr">
        <is>
          <t>EF-SEM-P02-SBA</t>
        </is>
      </c>
      <c r="B862" s="38" t="inlineStr">
        <is>
          <t>Semifinal</t>
        </is>
      </c>
      <c r="C862" s="38" t="inlineStr">
        <is>
          <t>São Bento da Abadá</t>
        </is>
      </c>
      <c r="D862" s="39">
        <f>IFERROR(CLASIF_E_F!$O$6,"")</f>
        <v/>
      </c>
      <c r="E862" s="40" t="n"/>
      <c r="F862" s="39">
        <f>IFERROR(CLASIF_E_F!$O$11,"")</f>
        <v/>
      </c>
      <c r="G862" s="40" t="n"/>
      <c r="H862" s="41" t="n"/>
      <c r="I862" s="42">
        <f>IF($H862="","",MAX(0,$H862-N($E862)))</f>
        <v/>
      </c>
      <c r="J862" s="42">
        <f>IF($H862="","",MAX(0,$H862-N($G862)))</f>
        <v/>
      </c>
    </row>
    <row r="863" ht="19.5" customHeight="1" s="72">
      <c r="A863" s="38" t="inlineStr">
        <is>
          <t>EF-SEM-P02-BEN</t>
        </is>
      </c>
      <c r="B863" s="38" t="inlineStr">
        <is>
          <t>Semifinal</t>
        </is>
      </c>
      <c r="C863" s="38" t="inlineStr">
        <is>
          <t>Benguela</t>
        </is>
      </c>
      <c r="D863" s="39">
        <f>IFERROR(CLASIF_E_F!$O$6,"")</f>
        <v/>
      </c>
      <c r="E863" s="40" t="n"/>
      <c r="F863" s="39">
        <f>IFERROR(CLASIF_E_F!$O$11,"")</f>
        <v/>
      </c>
      <c r="G863" s="40" t="n"/>
      <c r="H863" s="41" t="n"/>
      <c r="I863" s="42">
        <f>IF($H863="","",MAX(0,$H863-N($E863)))</f>
        <v/>
      </c>
      <c r="J863" s="42">
        <f>IF($H863="","",MAX(0,$H863-N($G863)))</f>
        <v/>
      </c>
    </row>
    <row r="864" ht="19.5" customHeight="1" s="72">
      <c r="A864" s="38" t="inlineStr">
        <is>
          <t>EF-SEM-P03-SBA</t>
        </is>
      </c>
      <c r="B864" s="38" t="inlineStr">
        <is>
          <t>Semifinal</t>
        </is>
      </c>
      <c r="C864" s="38" t="inlineStr">
        <is>
          <t>São Bento da Abadá</t>
        </is>
      </c>
      <c r="D864" s="39">
        <f>IFERROR(CLASIF_E_F!$O$7,"")</f>
        <v/>
      </c>
      <c r="E864" s="40" t="n"/>
      <c r="F864" s="39">
        <f>IFERROR(CLASIF_E_F!$O$10,"")</f>
        <v/>
      </c>
      <c r="G864" s="40" t="n"/>
      <c r="H864" s="41" t="n"/>
      <c r="I864" s="42">
        <f>IF($H864="","",MAX(0,$H864-N($E864)))</f>
        <v/>
      </c>
      <c r="J864" s="42">
        <f>IF($H864="","",MAX(0,$H864-N($G864)))</f>
        <v/>
      </c>
    </row>
    <row r="865" ht="19.5" customHeight="1" s="72">
      <c r="A865" s="38" t="inlineStr">
        <is>
          <t>EF-SEM-P03-BEN</t>
        </is>
      </c>
      <c r="B865" s="38" t="inlineStr">
        <is>
          <t>Semifinal</t>
        </is>
      </c>
      <c r="C865" s="38" t="inlineStr">
        <is>
          <t>Benguela</t>
        </is>
      </c>
      <c r="D865" s="39">
        <f>IFERROR(CLASIF_E_F!$O$7,"")</f>
        <v/>
      </c>
      <c r="E865" s="40" t="n"/>
      <c r="F865" s="39">
        <f>IFERROR(CLASIF_E_F!$O$10,"")</f>
        <v/>
      </c>
      <c r="G865" s="40" t="n"/>
      <c r="H865" s="41" t="n"/>
      <c r="I865" s="42">
        <f>IF($H865="","",MAX(0,$H865-N($E865)))</f>
        <v/>
      </c>
      <c r="J865" s="42">
        <f>IF($H865="","",MAX(0,$H865-N($G865)))</f>
        <v/>
      </c>
    </row>
    <row r="866" ht="19.5" customHeight="1" s="72">
      <c r="A866" s="38" t="inlineStr">
        <is>
          <t>EF-SEM-P04-SBA</t>
        </is>
      </c>
      <c r="B866" s="38" t="inlineStr">
        <is>
          <t>Semifinal</t>
        </is>
      </c>
      <c r="C866" s="38" t="inlineStr">
        <is>
          <t>São Bento da Abadá</t>
        </is>
      </c>
      <c r="D866" s="39">
        <f>IFERROR(CLASIF_E_F!$O$8,"")</f>
        <v/>
      </c>
      <c r="E866" s="40" t="n"/>
      <c r="F866" s="39">
        <f>IFERROR(CLASIF_E_F!$O$9,"")</f>
        <v/>
      </c>
      <c r="G866" s="40" t="n"/>
      <c r="H866" s="41" t="n"/>
      <c r="I866" s="42">
        <f>IF($H866="","",MAX(0,$H866-N($E866)))</f>
        <v/>
      </c>
      <c r="J866" s="42">
        <f>IF($H866="","",MAX(0,$H866-N($G866)))</f>
        <v/>
      </c>
    </row>
    <row r="867" ht="19.5" customHeight="1" s="72">
      <c r="A867" s="38" t="inlineStr">
        <is>
          <t>EF-SEM-P04-BEN</t>
        </is>
      </c>
      <c r="B867" s="38" t="inlineStr">
        <is>
          <t>Semifinal</t>
        </is>
      </c>
      <c r="C867" s="38" t="inlineStr">
        <is>
          <t>Benguela</t>
        </is>
      </c>
      <c r="D867" s="39">
        <f>IFERROR(CLASIF_E_F!$O$8,"")</f>
        <v/>
      </c>
      <c r="E867" s="40" t="n"/>
      <c r="F867" s="39">
        <f>IFERROR(CLASIF_E_F!$O$9,"")</f>
        <v/>
      </c>
      <c r="G867" s="40" t="n"/>
      <c r="H867" s="41" t="n"/>
      <c r="I867" s="42">
        <f>IF($H867="","",MAX(0,$H867-N($E867)))</f>
        <v/>
      </c>
      <c r="J867" s="42">
        <f>IF($H867="","",MAX(0,$H867-N($G867)))</f>
        <v/>
      </c>
    </row>
    <row r="868" ht="19.5" customHeight="1" s="72">
      <c r="A868" s="38" t="inlineStr">
        <is>
          <t>EF-FIN-P01-SBA</t>
        </is>
      </c>
      <c r="B868" s="38" t="inlineStr">
        <is>
          <t>Final</t>
        </is>
      </c>
      <c r="C868" s="38" t="inlineStr">
        <is>
          <t>São Bento da Abadá</t>
        </is>
      </c>
      <c r="D868" s="39">
        <f>IFERROR(CLASIF_E_F!$X$5,"")</f>
        <v/>
      </c>
      <c r="E868" s="40" t="n"/>
      <c r="F868" s="39">
        <f>IFERROR(CLASIF_E_F!$X$8,"")</f>
        <v/>
      </c>
      <c r="G868" s="40" t="n"/>
      <c r="H868" s="41" t="n"/>
      <c r="I868" s="42">
        <f>IF($H868="","",MAX(0,$H868-N($E868)))</f>
        <v/>
      </c>
      <c r="J868" s="42">
        <f>IF($H868="","",MAX(0,$H868-N($G868)))</f>
        <v/>
      </c>
    </row>
    <row r="869" ht="19.5" customHeight="1" s="72">
      <c r="A869" s="38" t="inlineStr">
        <is>
          <t>EF-FIN-P01-BEN</t>
        </is>
      </c>
      <c r="B869" s="38" t="inlineStr">
        <is>
          <t>Final</t>
        </is>
      </c>
      <c r="C869" s="38" t="inlineStr">
        <is>
          <t>Benguela</t>
        </is>
      </c>
      <c r="D869" s="39">
        <f>IFERROR(CLASIF_E_F!$X$5,"")</f>
        <v/>
      </c>
      <c r="E869" s="40" t="n"/>
      <c r="F869" s="39">
        <f>IFERROR(CLASIF_E_F!$X$8,"")</f>
        <v/>
      </c>
      <c r="G869" s="40" t="n"/>
      <c r="H869" s="41" t="n"/>
      <c r="I869" s="42">
        <f>IF($H869="","",MAX(0,$H869-N($E869)))</f>
        <v/>
      </c>
      <c r="J869" s="42">
        <f>IF($H869="","",MAX(0,$H869-N($G869)))</f>
        <v/>
      </c>
    </row>
    <row r="870" ht="19.5" customHeight="1" s="72">
      <c r="A870" s="38" t="inlineStr">
        <is>
          <t>EF-FIN-P02-SBA</t>
        </is>
      </c>
      <c r="B870" s="38" t="inlineStr">
        <is>
          <t>Final</t>
        </is>
      </c>
      <c r="C870" s="38" t="inlineStr">
        <is>
          <t>São Bento da Abadá</t>
        </is>
      </c>
      <c r="D870" s="39">
        <f>IFERROR(CLASIF_E_F!$X$6,"")</f>
        <v/>
      </c>
      <c r="E870" s="40" t="n"/>
      <c r="F870" s="39">
        <f>IFERROR(CLASIF_E_F!$X$7,"")</f>
        <v/>
      </c>
      <c r="G870" s="40" t="n"/>
      <c r="H870" s="41" t="n"/>
      <c r="I870" s="42">
        <f>IF($H870="","",MAX(0,$H870-N($E870)))</f>
        <v/>
      </c>
      <c r="J870" s="42">
        <f>IF($H870="","",MAX(0,$H870-N($G870)))</f>
        <v/>
      </c>
    </row>
    <row r="871" ht="19.5" customHeight="1" s="72">
      <c r="A871" s="38" t="inlineStr">
        <is>
          <t>EF-FIN-P02-BEN</t>
        </is>
      </c>
      <c r="B871" s="38" t="inlineStr">
        <is>
          <t>Final</t>
        </is>
      </c>
      <c r="C871" s="38" t="inlineStr">
        <is>
          <t>Benguela</t>
        </is>
      </c>
      <c r="D871" s="39">
        <f>IFERROR(CLASIF_E_F!$X$6,"")</f>
        <v/>
      </c>
      <c r="E871" s="40" t="n"/>
      <c r="F871" s="39">
        <f>IFERROR(CLASIF_E_F!$X$7,"")</f>
        <v/>
      </c>
      <c r="G871" s="40" t="n"/>
      <c r="H871" s="41" t="n"/>
      <c r="I871" s="42">
        <f>IF($H871="","",MAX(0,$H871-N($E871)))</f>
        <v/>
      </c>
      <c r="J871" s="42">
        <f>IF($H871="","",MAX(0,$H871-N($G871)))</f>
        <v/>
      </c>
    </row>
    <row r="872" ht="19.5" customHeight="1" s="72">
      <c r="A872" s="43" t="n"/>
      <c r="B872" s="43" t="n"/>
      <c r="C872" s="43" t="n"/>
      <c r="D872" s="43" t="n"/>
      <c r="E872" s="43" t="n"/>
      <c r="F872" s="43" t="n"/>
      <c r="G872" s="43" t="n"/>
      <c r="H872" s="44" t="n"/>
      <c r="I872" s="43">
        <f>IF($H872="","",MAX(0,$H872-N($E872)))</f>
        <v/>
      </c>
      <c r="J872" s="43">
        <f>IF($H872="","",MAX(0,$H872-N($G872)))</f>
        <v/>
      </c>
    </row>
    <row r="873" ht="19.5" customHeight="1" s="72">
      <c r="A873" s="85" t="inlineStr">
        <is>
          <t>═══ CATEGORÍA Baobá · Masculino · +45 años · Toques: São Bento da Abadá, Benguela, Siriuna ═══</t>
        </is>
      </c>
    </row>
    <row r="874" ht="19.5" customHeight="1" s="72">
      <c r="A874" s="8" t="inlineStr">
        <is>
          <t>Jogo</t>
        </is>
      </c>
      <c r="B874" s="8" t="inlineStr">
        <is>
          <t>Fase</t>
        </is>
      </c>
      <c r="C874" s="8" t="inlineStr">
        <is>
          <t>Toque</t>
        </is>
      </c>
      <c r="D874" s="8" t="inlineStr">
        <is>
          <t>Jugador A</t>
        </is>
      </c>
      <c r="E874" s="8" t="inlineStr">
        <is>
          <t>Quita A</t>
        </is>
      </c>
      <c r="F874" s="8" t="inlineStr">
        <is>
          <t>Jugador B</t>
        </is>
      </c>
      <c r="G874" s="8" t="inlineStr">
        <is>
          <t>Quita B</t>
        </is>
      </c>
      <c r="H874" s="8" t="inlineStr">
        <is>
          <t>NOTA (0-5)</t>
        </is>
      </c>
      <c r="I874" s="8">
        <f>IF($H874="","",MAX(0,$H874-N($E874)))</f>
        <v/>
      </c>
      <c r="J874" s="8">
        <f>IF($H874="","",MAX(0,$H874-N($G874)))</f>
        <v/>
      </c>
    </row>
    <row r="875" ht="19.5" customHeight="1" s="72">
      <c r="A875" s="38" t="inlineStr">
        <is>
          <t>BaobáM-32-P01-SBA</t>
        </is>
      </c>
      <c r="B875" s="38" t="inlineStr">
        <is>
          <t>Fase 32</t>
        </is>
      </c>
      <c r="C875" s="38" t="inlineStr">
        <is>
          <t>São Bento da Abadá</t>
        </is>
      </c>
      <c r="D875" s="39" t="inlineStr">
        <is>
          <t>A_Baobá_M_32_P1</t>
        </is>
      </c>
      <c r="E875" s="40" t="n"/>
      <c r="F875" s="39" t="inlineStr">
        <is>
          <t>B_Baobá_M_32_P1</t>
        </is>
      </c>
      <c r="G875" s="40" t="n"/>
      <c r="H875" s="41" t="n"/>
      <c r="I875" s="42">
        <f>IF($H875="","",MAX(0,$H875-N($E875)))</f>
        <v/>
      </c>
      <c r="J875" s="42">
        <f>IF($H875="","",MAX(0,$H875-N($G875)))</f>
        <v/>
      </c>
    </row>
    <row r="876" ht="19.5" customHeight="1" s="72">
      <c r="A876" s="38" t="inlineStr">
        <is>
          <t>BaobáM-32-P01-BEN</t>
        </is>
      </c>
      <c r="B876" s="38" t="inlineStr">
        <is>
          <t>Fase 32</t>
        </is>
      </c>
      <c r="C876" s="38" t="inlineStr">
        <is>
          <t>Benguela</t>
        </is>
      </c>
      <c r="D876" s="39" t="inlineStr">
        <is>
          <t>A_Baobá_M_32_P1</t>
        </is>
      </c>
      <c r="E876" s="40" t="n"/>
      <c r="F876" s="39" t="inlineStr">
        <is>
          <t>B_Baobá_M_32_P1</t>
        </is>
      </c>
      <c r="G876" s="40" t="n"/>
      <c r="H876" s="41" t="n"/>
      <c r="I876" s="42">
        <f>IF($H876="","",MAX(0,$H876-N($E876)))</f>
        <v/>
      </c>
      <c r="J876" s="42">
        <f>IF($H876="","",MAX(0,$H876-N($G876)))</f>
        <v/>
      </c>
    </row>
    <row r="877" ht="19.5" customHeight="1" s="72">
      <c r="A877" s="38" t="inlineStr">
        <is>
          <t>BaobáM-32-P01-SIR</t>
        </is>
      </c>
      <c r="B877" s="38" t="inlineStr">
        <is>
          <t>Fase 32</t>
        </is>
      </c>
      <c r="C877" s="38" t="inlineStr">
        <is>
          <t>Siriuna</t>
        </is>
      </c>
      <c r="D877" s="39" t="inlineStr">
        <is>
          <t>A_Baobá_M_32_P1</t>
        </is>
      </c>
      <c r="E877" s="40" t="n"/>
      <c r="F877" s="39" t="inlineStr">
        <is>
          <t>B_Baobá_M_32_P1</t>
        </is>
      </c>
      <c r="G877" s="40" t="n"/>
      <c r="H877" s="41" t="n"/>
      <c r="I877" s="42">
        <f>IF($H877="","",MAX(0,$H877-N($E877)))</f>
        <v/>
      </c>
      <c r="J877" s="42">
        <f>IF($H877="","",MAX(0,$H877-N($G877)))</f>
        <v/>
      </c>
    </row>
    <row r="878" ht="19.5" customHeight="1" s="72">
      <c r="A878" s="38" t="inlineStr">
        <is>
          <t>BaobáM-32-P02-SBA</t>
        </is>
      </c>
      <c r="B878" s="38" t="inlineStr">
        <is>
          <t>Fase 32</t>
        </is>
      </c>
      <c r="C878" s="38" t="inlineStr">
        <is>
          <t>São Bento da Abadá</t>
        </is>
      </c>
      <c r="D878" s="39" t="inlineStr">
        <is>
          <t>A_Baobá_M_32_P2</t>
        </is>
      </c>
      <c r="E878" s="40" t="n"/>
      <c r="F878" s="39" t="inlineStr">
        <is>
          <t>B_Baobá_M_32_P2</t>
        </is>
      </c>
      <c r="G878" s="40" t="n"/>
      <c r="H878" s="41" t="n"/>
      <c r="I878" s="42">
        <f>IF($H878="","",MAX(0,$H878-N($E878)))</f>
        <v/>
      </c>
      <c r="J878" s="42">
        <f>IF($H878="","",MAX(0,$H878-N($G878)))</f>
        <v/>
      </c>
    </row>
    <row r="879" ht="19.5" customHeight="1" s="72">
      <c r="A879" s="38" t="inlineStr">
        <is>
          <t>BaobáM-32-P02-BEN</t>
        </is>
      </c>
      <c r="B879" s="38" t="inlineStr">
        <is>
          <t>Fase 32</t>
        </is>
      </c>
      <c r="C879" s="38" t="inlineStr">
        <is>
          <t>Benguela</t>
        </is>
      </c>
      <c r="D879" s="39" t="inlineStr">
        <is>
          <t>A_Baobá_M_32_P2</t>
        </is>
      </c>
      <c r="E879" s="40" t="n"/>
      <c r="F879" s="39" t="inlineStr">
        <is>
          <t>B_Baobá_M_32_P2</t>
        </is>
      </c>
      <c r="G879" s="40" t="n"/>
      <c r="H879" s="41" t="n"/>
      <c r="I879" s="42">
        <f>IF($H879="","",MAX(0,$H879-N($E879)))</f>
        <v/>
      </c>
      <c r="J879" s="42">
        <f>IF($H879="","",MAX(0,$H879-N($G879)))</f>
        <v/>
      </c>
    </row>
    <row r="880" ht="19.5" customHeight="1" s="72">
      <c r="A880" s="38" t="inlineStr">
        <is>
          <t>BaobáM-32-P02-SIR</t>
        </is>
      </c>
      <c r="B880" s="38" t="inlineStr">
        <is>
          <t>Fase 32</t>
        </is>
      </c>
      <c r="C880" s="38" t="inlineStr">
        <is>
          <t>Siriuna</t>
        </is>
      </c>
      <c r="D880" s="39" t="inlineStr">
        <is>
          <t>A_Baobá_M_32_P2</t>
        </is>
      </c>
      <c r="E880" s="40" t="n"/>
      <c r="F880" s="39" t="inlineStr">
        <is>
          <t>B_Baobá_M_32_P2</t>
        </is>
      </c>
      <c r="G880" s="40" t="n"/>
      <c r="H880" s="41" t="n"/>
      <c r="I880" s="42">
        <f>IF($H880="","",MAX(0,$H880-N($E880)))</f>
        <v/>
      </c>
      <c r="J880" s="42">
        <f>IF($H880="","",MAX(0,$H880-N($G880)))</f>
        <v/>
      </c>
    </row>
    <row r="881" ht="19.5" customHeight="1" s="72">
      <c r="A881" s="38" t="inlineStr">
        <is>
          <t>BaobáM-32-P03-SBA</t>
        </is>
      </c>
      <c r="B881" s="38" t="inlineStr">
        <is>
          <t>Fase 32</t>
        </is>
      </c>
      <c r="C881" s="38" t="inlineStr">
        <is>
          <t>São Bento da Abadá</t>
        </is>
      </c>
      <c r="D881" s="39" t="inlineStr">
        <is>
          <t>A_Baobá_M_32_P3</t>
        </is>
      </c>
      <c r="E881" s="40" t="n"/>
      <c r="F881" s="39" t="inlineStr">
        <is>
          <t>B_Baobá_M_32_P3</t>
        </is>
      </c>
      <c r="G881" s="40" t="n"/>
      <c r="H881" s="41" t="n"/>
      <c r="I881" s="42">
        <f>IF($H881="","",MAX(0,$H881-N($E881)))</f>
        <v/>
      </c>
      <c r="J881" s="42">
        <f>IF($H881="","",MAX(0,$H881-N($G881)))</f>
        <v/>
      </c>
    </row>
    <row r="882" ht="19.5" customHeight="1" s="72">
      <c r="A882" s="38" t="inlineStr">
        <is>
          <t>BaobáM-32-P03-BEN</t>
        </is>
      </c>
      <c r="B882" s="38" t="inlineStr">
        <is>
          <t>Fase 32</t>
        </is>
      </c>
      <c r="C882" s="38" t="inlineStr">
        <is>
          <t>Benguela</t>
        </is>
      </c>
      <c r="D882" s="39" t="inlineStr">
        <is>
          <t>A_Baobá_M_32_P3</t>
        </is>
      </c>
      <c r="E882" s="40" t="n"/>
      <c r="F882" s="39" t="inlineStr">
        <is>
          <t>B_Baobá_M_32_P3</t>
        </is>
      </c>
      <c r="G882" s="40" t="n"/>
      <c r="H882" s="41" t="n"/>
      <c r="I882" s="42">
        <f>IF($H882="","",MAX(0,$H882-N($E882)))</f>
        <v/>
      </c>
      <c r="J882" s="42">
        <f>IF($H882="","",MAX(0,$H882-N($G882)))</f>
        <v/>
      </c>
    </row>
    <row r="883" ht="19.5" customHeight="1" s="72">
      <c r="A883" s="38" t="inlineStr">
        <is>
          <t>BaobáM-32-P03-SIR</t>
        </is>
      </c>
      <c r="B883" s="38" t="inlineStr">
        <is>
          <t>Fase 32</t>
        </is>
      </c>
      <c r="C883" s="38" t="inlineStr">
        <is>
          <t>Siriuna</t>
        </is>
      </c>
      <c r="D883" s="39" t="inlineStr">
        <is>
          <t>A_Baobá_M_32_P3</t>
        </is>
      </c>
      <c r="E883" s="40" t="n"/>
      <c r="F883" s="39" t="inlineStr">
        <is>
          <t>B_Baobá_M_32_P3</t>
        </is>
      </c>
      <c r="G883" s="40" t="n"/>
      <c r="H883" s="41" t="n"/>
      <c r="I883" s="42">
        <f>IF($H883="","",MAX(0,$H883-N($E883)))</f>
        <v/>
      </c>
      <c r="J883" s="42">
        <f>IF($H883="","",MAX(0,$H883-N($G883)))</f>
        <v/>
      </c>
    </row>
    <row r="884" ht="19.5" customHeight="1" s="72">
      <c r="A884" s="38" t="inlineStr">
        <is>
          <t>BaobáM-32-P04-SBA</t>
        </is>
      </c>
      <c r="B884" s="38" t="inlineStr">
        <is>
          <t>Fase 32</t>
        </is>
      </c>
      <c r="C884" s="38" t="inlineStr">
        <is>
          <t>São Bento da Abadá</t>
        </is>
      </c>
      <c r="D884" s="39" t="inlineStr">
        <is>
          <t>A_Baobá_M_32_P4</t>
        </is>
      </c>
      <c r="E884" s="40" t="n"/>
      <c r="F884" s="39" t="inlineStr">
        <is>
          <t>B_Baobá_M_32_P4</t>
        </is>
      </c>
      <c r="G884" s="40" t="n"/>
      <c r="H884" s="41" t="n"/>
      <c r="I884" s="42">
        <f>IF($H884="","",MAX(0,$H884-N($E884)))</f>
        <v/>
      </c>
      <c r="J884" s="42">
        <f>IF($H884="","",MAX(0,$H884-N($G884)))</f>
        <v/>
      </c>
    </row>
    <row r="885" ht="19.5" customHeight="1" s="72">
      <c r="A885" s="38" t="inlineStr">
        <is>
          <t>BaobáM-32-P04-BEN</t>
        </is>
      </c>
      <c r="B885" s="38" t="inlineStr">
        <is>
          <t>Fase 32</t>
        </is>
      </c>
      <c r="C885" s="38" t="inlineStr">
        <is>
          <t>Benguela</t>
        </is>
      </c>
      <c r="D885" s="39" t="inlineStr">
        <is>
          <t>A_Baobá_M_32_P4</t>
        </is>
      </c>
      <c r="E885" s="40" t="n"/>
      <c r="F885" s="39" t="inlineStr">
        <is>
          <t>B_Baobá_M_32_P4</t>
        </is>
      </c>
      <c r="G885" s="40" t="n"/>
      <c r="H885" s="41" t="n"/>
      <c r="I885" s="42">
        <f>IF($H885="","",MAX(0,$H885-N($E885)))</f>
        <v/>
      </c>
      <c r="J885" s="42">
        <f>IF($H885="","",MAX(0,$H885-N($G885)))</f>
        <v/>
      </c>
    </row>
    <row r="886" ht="19.5" customHeight="1" s="72">
      <c r="A886" s="38" t="inlineStr">
        <is>
          <t>BaobáM-32-P04-SIR</t>
        </is>
      </c>
      <c r="B886" s="38" t="inlineStr">
        <is>
          <t>Fase 32</t>
        </is>
      </c>
      <c r="C886" s="38" t="inlineStr">
        <is>
          <t>Siriuna</t>
        </is>
      </c>
      <c r="D886" s="39" t="inlineStr">
        <is>
          <t>A_Baobá_M_32_P4</t>
        </is>
      </c>
      <c r="E886" s="40" t="n"/>
      <c r="F886" s="39" t="inlineStr">
        <is>
          <t>B_Baobá_M_32_P4</t>
        </is>
      </c>
      <c r="G886" s="40" t="n"/>
      <c r="H886" s="41" t="n"/>
      <c r="I886" s="42">
        <f>IF($H886="","",MAX(0,$H886-N($E886)))</f>
        <v/>
      </c>
      <c r="J886" s="42">
        <f>IF($H886="","",MAX(0,$H886-N($G886)))</f>
        <v/>
      </c>
    </row>
    <row r="887" ht="19.5" customHeight="1" s="72">
      <c r="A887" s="38" t="inlineStr">
        <is>
          <t>BaobáM-32-P05-SBA</t>
        </is>
      </c>
      <c r="B887" s="38" t="inlineStr">
        <is>
          <t>Fase 32</t>
        </is>
      </c>
      <c r="C887" s="38" t="inlineStr">
        <is>
          <t>São Bento da Abadá</t>
        </is>
      </c>
      <c r="D887" s="39" t="inlineStr">
        <is>
          <t>A_Baobá_M_32_P5</t>
        </is>
      </c>
      <c r="E887" s="40" t="n"/>
      <c r="F887" s="39" t="inlineStr">
        <is>
          <t>B_Baobá_M_32_P5</t>
        </is>
      </c>
      <c r="G887" s="40" t="n"/>
      <c r="H887" s="41" t="n"/>
      <c r="I887" s="42">
        <f>IF($H887="","",MAX(0,$H887-N($E887)))</f>
        <v/>
      </c>
      <c r="J887" s="42">
        <f>IF($H887="","",MAX(0,$H887-N($G887)))</f>
        <v/>
      </c>
    </row>
    <row r="888" ht="19.5" customHeight="1" s="72">
      <c r="A888" s="38" t="inlineStr">
        <is>
          <t>BaobáM-32-P05-BEN</t>
        </is>
      </c>
      <c r="B888" s="38" t="inlineStr">
        <is>
          <t>Fase 32</t>
        </is>
      </c>
      <c r="C888" s="38" t="inlineStr">
        <is>
          <t>Benguela</t>
        </is>
      </c>
      <c r="D888" s="39" t="inlineStr">
        <is>
          <t>A_Baobá_M_32_P5</t>
        </is>
      </c>
      <c r="E888" s="40" t="n"/>
      <c r="F888" s="39" t="inlineStr">
        <is>
          <t>B_Baobá_M_32_P5</t>
        </is>
      </c>
      <c r="G888" s="40" t="n"/>
      <c r="H888" s="41" t="n"/>
      <c r="I888" s="42">
        <f>IF($H888="","",MAX(0,$H888-N($E888)))</f>
        <v/>
      </c>
      <c r="J888" s="42">
        <f>IF($H888="","",MAX(0,$H888-N($G888)))</f>
        <v/>
      </c>
    </row>
    <row r="889" ht="19.5" customHeight="1" s="72">
      <c r="A889" s="38" t="inlineStr">
        <is>
          <t>BaobáM-32-P05-SIR</t>
        </is>
      </c>
      <c r="B889" s="38" t="inlineStr">
        <is>
          <t>Fase 32</t>
        </is>
      </c>
      <c r="C889" s="38" t="inlineStr">
        <is>
          <t>Siriuna</t>
        </is>
      </c>
      <c r="D889" s="39" t="inlineStr">
        <is>
          <t>A_Baobá_M_32_P5</t>
        </is>
      </c>
      <c r="E889" s="40" t="n"/>
      <c r="F889" s="39" t="inlineStr">
        <is>
          <t>B_Baobá_M_32_P5</t>
        </is>
      </c>
      <c r="G889" s="40" t="n"/>
      <c r="H889" s="41" t="n"/>
      <c r="I889" s="42">
        <f>IF($H889="","",MAX(0,$H889-N($E889)))</f>
        <v/>
      </c>
      <c r="J889" s="42">
        <f>IF($H889="","",MAX(0,$H889-N($G889)))</f>
        <v/>
      </c>
    </row>
    <row r="890" ht="19.5" customHeight="1" s="72">
      <c r="A890" s="38" t="inlineStr">
        <is>
          <t>BaobáM-32-P06-SBA</t>
        </is>
      </c>
      <c r="B890" s="38" t="inlineStr">
        <is>
          <t>Fase 32</t>
        </is>
      </c>
      <c r="C890" s="38" t="inlineStr">
        <is>
          <t>São Bento da Abadá</t>
        </is>
      </c>
      <c r="D890" s="39" t="inlineStr">
        <is>
          <t>A_Baobá_M_32_P6</t>
        </is>
      </c>
      <c r="E890" s="40" t="n"/>
      <c r="F890" s="39" t="inlineStr">
        <is>
          <t>B_Baobá_M_32_P6</t>
        </is>
      </c>
      <c r="G890" s="40" t="n"/>
      <c r="H890" s="41" t="n"/>
      <c r="I890" s="42">
        <f>IF($H890="","",MAX(0,$H890-N($E890)))</f>
        <v/>
      </c>
      <c r="J890" s="42">
        <f>IF($H890="","",MAX(0,$H890-N($G890)))</f>
        <v/>
      </c>
    </row>
    <row r="891" ht="19.5" customHeight="1" s="72">
      <c r="A891" s="38" t="inlineStr">
        <is>
          <t>BaobáM-32-P06-BEN</t>
        </is>
      </c>
      <c r="B891" s="38" t="inlineStr">
        <is>
          <t>Fase 32</t>
        </is>
      </c>
      <c r="C891" s="38" t="inlineStr">
        <is>
          <t>Benguela</t>
        </is>
      </c>
      <c r="D891" s="39" t="inlineStr">
        <is>
          <t>A_Baobá_M_32_P6</t>
        </is>
      </c>
      <c r="E891" s="40" t="n"/>
      <c r="F891" s="39" t="inlineStr">
        <is>
          <t>B_Baobá_M_32_P6</t>
        </is>
      </c>
      <c r="G891" s="40" t="n"/>
      <c r="H891" s="41" t="n"/>
      <c r="I891" s="42">
        <f>IF($H891="","",MAX(0,$H891-N($E891)))</f>
        <v/>
      </c>
      <c r="J891" s="42">
        <f>IF($H891="","",MAX(0,$H891-N($G891)))</f>
        <v/>
      </c>
    </row>
    <row r="892" ht="19.5" customHeight="1" s="72">
      <c r="A892" s="38" t="inlineStr">
        <is>
          <t>BaobáM-32-P06-SIR</t>
        </is>
      </c>
      <c r="B892" s="38" t="inlineStr">
        <is>
          <t>Fase 32</t>
        </is>
      </c>
      <c r="C892" s="38" t="inlineStr">
        <is>
          <t>Siriuna</t>
        </is>
      </c>
      <c r="D892" s="39" t="inlineStr">
        <is>
          <t>A_Baobá_M_32_P6</t>
        </is>
      </c>
      <c r="E892" s="40" t="n"/>
      <c r="F892" s="39" t="inlineStr">
        <is>
          <t>B_Baobá_M_32_P6</t>
        </is>
      </c>
      <c r="G892" s="40" t="n"/>
      <c r="H892" s="41" t="n"/>
      <c r="I892" s="42">
        <f>IF($H892="","",MAX(0,$H892-N($E892)))</f>
        <v/>
      </c>
      <c r="J892" s="42">
        <f>IF($H892="","",MAX(0,$H892-N($G892)))</f>
        <v/>
      </c>
    </row>
    <row r="893" ht="19.5" customHeight="1" s="72">
      <c r="A893" s="38" t="inlineStr">
        <is>
          <t>BaobáM-32-P07-SBA</t>
        </is>
      </c>
      <c r="B893" s="38" t="inlineStr">
        <is>
          <t>Fase 32</t>
        </is>
      </c>
      <c r="C893" s="38" t="inlineStr">
        <is>
          <t>São Bento da Abadá</t>
        </is>
      </c>
      <c r="D893" s="39" t="inlineStr">
        <is>
          <t>A_Baobá_M_32_P7</t>
        </is>
      </c>
      <c r="E893" s="40" t="n"/>
      <c r="F893" s="39" t="inlineStr">
        <is>
          <t>B_Baobá_M_32_P7</t>
        </is>
      </c>
      <c r="G893" s="40" t="n"/>
      <c r="H893" s="41" t="n"/>
      <c r="I893" s="42">
        <f>IF($H893="","",MAX(0,$H893-N($E893)))</f>
        <v/>
      </c>
      <c r="J893" s="42">
        <f>IF($H893="","",MAX(0,$H893-N($G893)))</f>
        <v/>
      </c>
    </row>
    <row r="894" ht="19.5" customHeight="1" s="72">
      <c r="A894" s="38" t="inlineStr">
        <is>
          <t>BaobáM-32-P07-BEN</t>
        </is>
      </c>
      <c r="B894" s="38" t="inlineStr">
        <is>
          <t>Fase 32</t>
        </is>
      </c>
      <c r="C894" s="38" t="inlineStr">
        <is>
          <t>Benguela</t>
        </is>
      </c>
      <c r="D894" s="39" t="inlineStr">
        <is>
          <t>A_Baobá_M_32_P7</t>
        </is>
      </c>
      <c r="E894" s="40" t="n"/>
      <c r="F894" s="39" t="inlineStr">
        <is>
          <t>B_Baobá_M_32_P7</t>
        </is>
      </c>
      <c r="G894" s="40" t="n"/>
      <c r="H894" s="41" t="n"/>
      <c r="I894" s="42">
        <f>IF($H894="","",MAX(0,$H894-N($E894)))</f>
        <v/>
      </c>
      <c r="J894" s="42">
        <f>IF($H894="","",MAX(0,$H894-N($G894)))</f>
        <v/>
      </c>
    </row>
    <row r="895" ht="19.5" customHeight="1" s="72">
      <c r="A895" s="38" t="inlineStr">
        <is>
          <t>BaobáM-32-P07-SIR</t>
        </is>
      </c>
      <c r="B895" s="38" t="inlineStr">
        <is>
          <t>Fase 32</t>
        </is>
      </c>
      <c r="C895" s="38" t="inlineStr">
        <is>
          <t>Siriuna</t>
        </is>
      </c>
      <c r="D895" s="39" t="inlineStr">
        <is>
          <t>A_Baobá_M_32_P7</t>
        </is>
      </c>
      <c r="E895" s="40" t="n"/>
      <c r="F895" s="39" t="inlineStr">
        <is>
          <t>B_Baobá_M_32_P7</t>
        </is>
      </c>
      <c r="G895" s="40" t="n"/>
      <c r="H895" s="41" t="n"/>
      <c r="I895" s="42">
        <f>IF($H895="","",MAX(0,$H895-N($E895)))</f>
        <v/>
      </c>
      <c r="J895" s="42">
        <f>IF($H895="","",MAX(0,$H895-N($G895)))</f>
        <v/>
      </c>
    </row>
    <row r="896" ht="19.5" customHeight="1" s="72">
      <c r="A896" s="38" t="inlineStr">
        <is>
          <t>BaobáM-32-P08-SBA</t>
        </is>
      </c>
      <c r="B896" s="38" t="inlineStr">
        <is>
          <t>Fase 32</t>
        </is>
      </c>
      <c r="C896" s="38" t="inlineStr">
        <is>
          <t>São Bento da Abadá</t>
        </is>
      </c>
      <c r="D896" s="39" t="inlineStr">
        <is>
          <t>A_Baobá_M_32_P8</t>
        </is>
      </c>
      <c r="E896" s="40" t="n"/>
      <c r="F896" s="39" t="inlineStr">
        <is>
          <t>B_Baobá_M_32_P8</t>
        </is>
      </c>
      <c r="G896" s="40" t="n"/>
      <c r="H896" s="41" t="n"/>
      <c r="I896" s="42">
        <f>IF($H896="","",MAX(0,$H896-N($E896)))</f>
        <v/>
      </c>
      <c r="J896" s="42">
        <f>IF($H896="","",MAX(0,$H896-N($G896)))</f>
        <v/>
      </c>
    </row>
    <row r="897" ht="19.5" customHeight="1" s="72">
      <c r="A897" s="38" t="inlineStr">
        <is>
          <t>BaobáM-32-P08-BEN</t>
        </is>
      </c>
      <c r="B897" s="38" t="inlineStr">
        <is>
          <t>Fase 32</t>
        </is>
      </c>
      <c r="C897" s="38" t="inlineStr">
        <is>
          <t>Benguela</t>
        </is>
      </c>
      <c r="D897" s="39" t="inlineStr">
        <is>
          <t>A_Baobá_M_32_P8</t>
        </is>
      </c>
      <c r="E897" s="40" t="n"/>
      <c r="F897" s="39" t="inlineStr">
        <is>
          <t>B_Baobá_M_32_P8</t>
        </is>
      </c>
      <c r="G897" s="40" t="n"/>
      <c r="H897" s="41" t="n"/>
      <c r="I897" s="42">
        <f>IF($H897="","",MAX(0,$H897-N($E897)))</f>
        <v/>
      </c>
      <c r="J897" s="42">
        <f>IF($H897="","",MAX(0,$H897-N($G897)))</f>
        <v/>
      </c>
    </row>
    <row r="898" ht="19.5" customHeight="1" s="72">
      <c r="A898" s="38" t="inlineStr">
        <is>
          <t>BaobáM-32-P08-SIR</t>
        </is>
      </c>
      <c r="B898" s="38" t="inlineStr">
        <is>
          <t>Fase 32</t>
        </is>
      </c>
      <c r="C898" s="38" t="inlineStr">
        <is>
          <t>Siriuna</t>
        </is>
      </c>
      <c r="D898" s="39" t="inlineStr">
        <is>
          <t>A_Baobá_M_32_P8</t>
        </is>
      </c>
      <c r="E898" s="40" t="n"/>
      <c r="F898" s="39" t="inlineStr">
        <is>
          <t>B_Baobá_M_32_P8</t>
        </is>
      </c>
      <c r="G898" s="40" t="n"/>
      <c r="H898" s="41" t="n"/>
      <c r="I898" s="42">
        <f>IF($H898="","",MAX(0,$H898-N($E898)))</f>
        <v/>
      </c>
      <c r="J898" s="42">
        <f>IF($H898="","",MAX(0,$H898-N($G898)))</f>
        <v/>
      </c>
    </row>
    <row r="899" ht="19.5" customHeight="1" s="72">
      <c r="A899" s="38" t="inlineStr">
        <is>
          <t>BaobáM-32-P09-SBA</t>
        </is>
      </c>
      <c r="B899" s="38" t="inlineStr">
        <is>
          <t>Fase 32</t>
        </is>
      </c>
      <c r="C899" s="38" t="inlineStr">
        <is>
          <t>São Bento da Abadá</t>
        </is>
      </c>
      <c r="D899" s="39" t="inlineStr">
        <is>
          <t>A_Baobá_M_32_P9</t>
        </is>
      </c>
      <c r="E899" s="40" t="n"/>
      <c r="F899" s="39" t="inlineStr">
        <is>
          <t>B_Baobá_M_32_P9</t>
        </is>
      </c>
      <c r="G899" s="40" t="n"/>
      <c r="H899" s="41" t="n"/>
      <c r="I899" s="42">
        <f>IF($H899="","",MAX(0,$H899-N($E899)))</f>
        <v/>
      </c>
      <c r="J899" s="42">
        <f>IF($H899="","",MAX(0,$H899-N($G899)))</f>
        <v/>
      </c>
    </row>
    <row r="900" ht="19.5" customHeight="1" s="72">
      <c r="A900" s="38" t="inlineStr">
        <is>
          <t>BaobáM-32-P09-BEN</t>
        </is>
      </c>
      <c r="B900" s="38" t="inlineStr">
        <is>
          <t>Fase 32</t>
        </is>
      </c>
      <c r="C900" s="38" t="inlineStr">
        <is>
          <t>Benguela</t>
        </is>
      </c>
      <c r="D900" s="39" t="inlineStr">
        <is>
          <t>A_Baobá_M_32_P9</t>
        </is>
      </c>
      <c r="E900" s="40" t="n"/>
      <c r="F900" s="39" t="inlineStr">
        <is>
          <t>B_Baobá_M_32_P9</t>
        </is>
      </c>
      <c r="G900" s="40" t="n"/>
      <c r="H900" s="41" t="n"/>
      <c r="I900" s="42">
        <f>IF($H900="","",MAX(0,$H900-N($E900)))</f>
        <v/>
      </c>
      <c r="J900" s="42">
        <f>IF($H900="","",MAX(0,$H900-N($G900)))</f>
        <v/>
      </c>
    </row>
    <row r="901" ht="19.5" customHeight="1" s="72">
      <c r="A901" s="38" t="inlineStr">
        <is>
          <t>BaobáM-32-P09-SIR</t>
        </is>
      </c>
      <c r="B901" s="38" t="inlineStr">
        <is>
          <t>Fase 32</t>
        </is>
      </c>
      <c r="C901" s="38" t="inlineStr">
        <is>
          <t>Siriuna</t>
        </is>
      </c>
      <c r="D901" s="39" t="inlineStr">
        <is>
          <t>A_Baobá_M_32_P9</t>
        </is>
      </c>
      <c r="E901" s="40" t="n"/>
      <c r="F901" s="39" t="inlineStr">
        <is>
          <t>B_Baobá_M_32_P9</t>
        </is>
      </c>
      <c r="G901" s="40" t="n"/>
      <c r="H901" s="41" t="n"/>
      <c r="I901" s="42">
        <f>IF($H901="","",MAX(0,$H901-N($E901)))</f>
        <v/>
      </c>
      <c r="J901" s="42">
        <f>IF($H901="","",MAX(0,$H901-N($G901)))</f>
        <v/>
      </c>
    </row>
    <row r="902" ht="19.5" customHeight="1" s="72">
      <c r="A902" s="38" t="inlineStr">
        <is>
          <t>BaobáM-32-P10-SBA</t>
        </is>
      </c>
      <c r="B902" s="38" t="inlineStr">
        <is>
          <t>Fase 32</t>
        </is>
      </c>
      <c r="C902" s="38" t="inlineStr">
        <is>
          <t>São Bento da Abadá</t>
        </is>
      </c>
      <c r="D902" s="39" t="inlineStr">
        <is>
          <t>A_Baobá_M_32_P10</t>
        </is>
      </c>
      <c r="E902" s="40" t="n"/>
      <c r="F902" s="39" t="inlineStr">
        <is>
          <t>B_Baobá_M_32_P10</t>
        </is>
      </c>
      <c r="G902" s="40" t="n"/>
      <c r="H902" s="41" t="n"/>
      <c r="I902" s="42">
        <f>IF($H902="","",MAX(0,$H902-N($E902)))</f>
        <v/>
      </c>
      <c r="J902" s="42">
        <f>IF($H902="","",MAX(0,$H902-N($G902)))</f>
        <v/>
      </c>
    </row>
    <row r="903" ht="19.5" customHeight="1" s="72">
      <c r="A903" s="38" t="inlineStr">
        <is>
          <t>BaobáM-32-P10-BEN</t>
        </is>
      </c>
      <c r="B903" s="38" t="inlineStr">
        <is>
          <t>Fase 32</t>
        </is>
      </c>
      <c r="C903" s="38" t="inlineStr">
        <is>
          <t>Benguela</t>
        </is>
      </c>
      <c r="D903" s="39" t="inlineStr">
        <is>
          <t>A_Baobá_M_32_P10</t>
        </is>
      </c>
      <c r="E903" s="40" t="n"/>
      <c r="F903" s="39" t="inlineStr">
        <is>
          <t>B_Baobá_M_32_P10</t>
        </is>
      </c>
      <c r="G903" s="40" t="n"/>
      <c r="H903" s="41" t="n"/>
      <c r="I903" s="42">
        <f>IF($H903="","",MAX(0,$H903-N($E903)))</f>
        <v/>
      </c>
      <c r="J903" s="42">
        <f>IF($H903="","",MAX(0,$H903-N($G903)))</f>
        <v/>
      </c>
    </row>
    <row r="904" ht="19.5" customHeight="1" s="72">
      <c r="A904" s="38" t="inlineStr">
        <is>
          <t>BaobáM-32-P10-SIR</t>
        </is>
      </c>
      <c r="B904" s="38" t="inlineStr">
        <is>
          <t>Fase 32</t>
        </is>
      </c>
      <c r="C904" s="38" t="inlineStr">
        <is>
          <t>Siriuna</t>
        </is>
      </c>
      <c r="D904" s="39" t="inlineStr">
        <is>
          <t>A_Baobá_M_32_P10</t>
        </is>
      </c>
      <c r="E904" s="40" t="n"/>
      <c r="F904" s="39" t="inlineStr">
        <is>
          <t>B_Baobá_M_32_P10</t>
        </is>
      </c>
      <c r="G904" s="40" t="n"/>
      <c r="H904" s="41" t="n"/>
      <c r="I904" s="42">
        <f>IF($H904="","",MAX(0,$H904-N($E904)))</f>
        <v/>
      </c>
      <c r="J904" s="42">
        <f>IF($H904="","",MAX(0,$H904-N($G904)))</f>
        <v/>
      </c>
    </row>
    <row r="905" ht="19.5" customHeight="1" s="72">
      <c r="A905" s="38" t="inlineStr">
        <is>
          <t>BaobáM-32-P11-SBA</t>
        </is>
      </c>
      <c r="B905" s="38" t="inlineStr">
        <is>
          <t>Fase 32</t>
        </is>
      </c>
      <c r="C905" s="38" t="inlineStr">
        <is>
          <t>São Bento da Abadá</t>
        </is>
      </c>
      <c r="D905" s="39" t="inlineStr">
        <is>
          <t>A_Baobá_M_32_P11</t>
        </is>
      </c>
      <c r="E905" s="40" t="n"/>
      <c r="F905" s="39" t="inlineStr">
        <is>
          <t>B_Baobá_M_32_P11</t>
        </is>
      </c>
      <c r="G905" s="40" t="n"/>
      <c r="H905" s="41" t="n"/>
      <c r="I905" s="42">
        <f>IF($H905="","",MAX(0,$H905-N($E905)))</f>
        <v/>
      </c>
      <c r="J905" s="42">
        <f>IF($H905="","",MAX(0,$H905-N($G905)))</f>
        <v/>
      </c>
    </row>
    <row r="906" ht="19.5" customHeight="1" s="72">
      <c r="A906" s="38" t="inlineStr">
        <is>
          <t>BaobáM-32-P11-BEN</t>
        </is>
      </c>
      <c r="B906" s="38" t="inlineStr">
        <is>
          <t>Fase 32</t>
        </is>
      </c>
      <c r="C906" s="38" t="inlineStr">
        <is>
          <t>Benguela</t>
        </is>
      </c>
      <c r="D906" s="39" t="inlineStr">
        <is>
          <t>A_Baobá_M_32_P11</t>
        </is>
      </c>
      <c r="E906" s="40" t="n"/>
      <c r="F906" s="39" t="inlineStr">
        <is>
          <t>B_Baobá_M_32_P11</t>
        </is>
      </c>
      <c r="G906" s="40" t="n"/>
      <c r="H906" s="41" t="n"/>
      <c r="I906" s="42">
        <f>IF($H906="","",MAX(0,$H906-N($E906)))</f>
        <v/>
      </c>
      <c r="J906" s="42">
        <f>IF($H906="","",MAX(0,$H906-N($G906)))</f>
        <v/>
      </c>
    </row>
    <row r="907" ht="19.5" customHeight="1" s="72">
      <c r="A907" s="38" t="inlineStr">
        <is>
          <t>BaobáM-32-P11-SIR</t>
        </is>
      </c>
      <c r="B907" s="38" t="inlineStr">
        <is>
          <t>Fase 32</t>
        </is>
      </c>
      <c r="C907" s="38" t="inlineStr">
        <is>
          <t>Siriuna</t>
        </is>
      </c>
      <c r="D907" s="39" t="inlineStr">
        <is>
          <t>A_Baobá_M_32_P11</t>
        </is>
      </c>
      <c r="E907" s="40" t="n"/>
      <c r="F907" s="39" t="inlineStr">
        <is>
          <t>B_Baobá_M_32_P11</t>
        </is>
      </c>
      <c r="G907" s="40" t="n"/>
      <c r="H907" s="41" t="n"/>
      <c r="I907" s="42">
        <f>IF($H907="","",MAX(0,$H907-N($E907)))</f>
        <v/>
      </c>
      <c r="J907" s="42">
        <f>IF($H907="","",MAX(0,$H907-N($G907)))</f>
        <v/>
      </c>
    </row>
    <row r="908" ht="19.5" customHeight="1" s="72">
      <c r="A908" s="38" t="inlineStr">
        <is>
          <t>BaobáM-32-P12-SBA</t>
        </is>
      </c>
      <c r="B908" s="38" t="inlineStr">
        <is>
          <t>Fase 32</t>
        </is>
      </c>
      <c r="C908" s="38" t="inlineStr">
        <is>
          <t>São Bento da Abadá</t>
        </is>
      </c>
      <c r="D908" s="39" t="inlineStr">
        <is>
          <t>A_Baobá_M_32_P12</t>
        </is>
      </c>
      <c r="E908" s="40" t="n"/>
      <c r="F908" s="39" t="inlineStr">
        <is>
          <t>B_Baobá_M_32_P12</t>
        </is>
      </c>
      <c r="G908" s="40" t="n"/>
      <c r="H908" s="41" t="n"/>
      <c r="I908" s="42">
        <f>IF($H908="","",MAX(0,$H908-N($E908)))</f>
        <v/>
      </c>
      <c r="J908" s="42">
        <f>IF($H908="","",MAX(0,$H908-N($G908)))</f>
        <v/>
      </c>
    </row>
    <row r="909" ht="19.5" customHeight="1" s="72">
      <c r="A909" s="38" t="inlineStr">
        <is>
          <t>BaobáM-32-P12-BEN</t>
        </is>
      </c>
      <c r="B909" s="38" t="inlineStr">
        <is>
          <t>Fase 32</t>
        </is>
      </c>
      <c r="C909" s="38" t="inlineStr">
        <is>
          <t>Benguela</t>
        </is>
      </c>
      <c r="D909" s="39" t="inlineStr">
        <is>
          <t>A_Baobá_M_32_P12</t>
        </is>
      </c>
      <c r="E909" s="40" t="n"/>
      <c r="F909" s="39" t="inlineStr">
        <is>
          <t>B_Baobá_M_32_P12</t>
        </is>
      </c>
      <c r="G909" s="40" t="n"/>
      <c r="H909" s="41" t="n"/>
      <c r="I909" s="42">
        <f>IF($H909="","",MAX(0,$H909-N($E909)))</f>
        <v/>
      </c>
      <c r="J909" s="42">
        <f>IF($H909="","",MAX(0,$H909-N($G909)))</f>
        <v/>
      </c>
    </row>
    <row r="910" ht="19.5" customHeight="1" s="72">
      <c r="A910" s="38" t="inlineStr">
        <is>
          <t>BaobáM-32-P12-SIR</t>
        </is>
      </c>
      <c r="B910" s="38" t="inlineStr">
        <is>
          <t>Fase 32</t>
        </is>
      </c>
      <c r="C910" s="38" t="inlineStr">
        <is>
          <t>Siriuna</t>
        </is>
      </c>
      <c r="D910" s="39" t="inlineStr">
        <is>
          <t>A_Baobá_M_32_P12</t>
        </is>
      </c>
      <c r="E910" s="40" t="n"/>
      <c r="F910" s="39" t="inlineStr">
        <is>
          <t>B_Baobá_M_32_P12</t>
        </is>
      </c>
      <c r="G910" s="40" t="n"/>
      <c r="H910" s="41" t="n"/>
      <c r="I910" s="42">
        <f>IF($H910="","",MAX(0,$H910-N($E910)))</f>
        <v/>
      </c>
      <c r="J910" s="42">
        <f>IF($H910="","",MAX(0,$H910-N($G910)))</f>
        <v/>
      </c>
    </row>
    <row r="911" ht="19.5" customHeight="1" s="72">
      <c r="A911" s="38" t="inlineStr">
        <is>
          <t>BaobáM-32-P13-SBA</t>
        </is>
      </c>
      <c r="B911" s="38" t="inlineStr">
        <is>
          <t>Fase 32</t>
        </is>
      </c>
      <c r="C911" s="38" t="inlineStr">
        <is>
          <t>São Bento da Abadá</t>
        </is>
      </c>
      <c r="D911" s="39" t="inlineStr">
        <is>
          <t>A_Baobá_M_32_P13</t>
        </is>
      </c>
      <c r="E911" s="40" t="n"/>
      <c r="F911" s="39" t="inlineStr">
        <is>
          <t>B_Baobá_M_32_P13</t>
        </is>
      </c>
      <c r="G911" s="40" t="n"/>
      <c r="H911" s="41" t="n"/>
      <c r="I911" s="42">
        <f>IF($H911="","",MAX(0,$H911-N($E911)))</f>
        <v/>
      </c>
      <c r="J911" s="42">
        <f>IF($H911="","",MAX(0,$H911-N($G911)))</f>
        <v/>
      </c>
    </row>
    <row r="912" ht="19.5" customHeight="1" s="72">
      <c r="A912" s="38" t="inlineStr">
        <is>
          <t>BaobáM-32-P13-BEN</t>
        </is>
      </c>
      <c r="B912" s="38" t="inlineStr">
        <is>
          <t>Fase 32</t>
        </is>
      </c>
      <c r="C912" s="38" t="inlineStr">
        <is>
          <t>Benguela</t>
        </is>
      </c>
      <c r="D912" s="39" t="inlineStr">
        <is>
          <t>A_Baobá_M_32_P13</t>
        </is>
      </c>
      <c r="E912" s="40" t="n"/>
      <c r="F912" s="39" t="inlineStr">
        <is>
          <t>B_Baobá_M_32_P13</t>
        </is>
      </c>
      <c r="G912" s="40" t="n"/>
      <c r="H912" s="41" t="n"/>
      <c r="I912" s="42">
        <f>IF($H912="","",MAX(0,$H912-N($E912)))</f>
        <v/>
      </c>
      <c r="J912" s="42">
        <f>IF($H912="","",MAX(0,$H912-N($G912)))</f>
        <v/>
      </c>
    </row>
    <row r="913" ht="19.5" customHeight="1" s="72">
      <c r="A913" s="38" t="inlineStr">
        <is>
          <t>BaobáM-32-P13-SIR</t>
        </is>
      </c>
      <c r="B913" s="38" t="inlineStr">
        <is>
          <t>Fase 32</t>
        </is>
      </c>
      <c r="C913" s="38" t="inlineStr">
        <is>
          <t>Siriuna</t>
        </is>
      </c>
      <c r="D913" s="39" t="inlineStr">
        <is>
          <t>A_Baobá_M_32_P13</t>
        </is>
      </c>
      <c r="E913" s="40" t="n"/>
      <c r="F913" s="39" t="inlineStr">
        <is>
          <t>B_Baobá_M_32_P13</t>
        </is>
      </c>
      <c r="G913" s="40" t="n"/>
      <c r="H913" s="41" t="n"/>
      <c r="I913" s="42">
        <f>IF($H913="","",MAX(0,$H913-N($E913)))</f>
        <v/>
      </c>
      <c r="J913" s="42">
        <f>IF($H913="","",MAX(0,$H913-N($G913)))</f>
        <v/>
      </c>
    </row>
    <row r="914" ht="19.5" customHeight="1" s="72">
      <c r="A914" s="38" t="inlineStr">
        <is>
          <t>BaobáM-32-P14-SBA</t>
        </is>
      </c>
      <c r="B914" s="38" t="inlineStr">
        <is>
          <t>Fase 32</t>
        </is>
      </c>
      <c r="C914" s="38" t="inlineStr">
        <is>
          <t>São Bento da Abadá</t>
        </is>
      </c>
      <c r="D914" s="39" t="inlineStr">
        <is>
          <t>A_Baobá_M_32_P14</t>
        </is>
      </c>
      <c r="E914" s="40" t="n"/>
      <c r="F914" s="39" t="inlineStr">
        <is>
          <t>B_Baobá_M_32_P14</t>
        </is>
      </c>
      <c r="G914" s="40" t="n"/>
      <c r="H914" s="41" t="n"/>
      <c r="I914" s="42">
        <f>IF($H914="","",MAX(0,$H914-N($E914)))</f>
        <v/>
      </c>
      <c r="J914" s="42">
        <f>IF($H914="","",MAX(0,$H914-N($G914)))</f>
        <v/>
      </c>
    </row>
    <row r="915" ht="19.5" customHeight="1" s="72">
      <c r="A915" s="38" t="inlineStr">
        <is>
          <t>BaobáM-32-P14-BEN</t>
        </is>
      </c>
      <c r="B915" s="38" t="inlineStr">
        <is>
          <t>Fase 32</t>
        </is>
      </c>
      <c r="C915" s="38" t="inlineStr">
        <is>
          <t>Benguela</t>
        </is>
      </c>
      <c r="D915" s="39" t="inlineStr">
        <is>
          <t>A_Baobá_M_32_P14</t>
        </is>
      </c>
      <c r="E915" s="40" t="n"/>
      <c r="F915" s="39" t="inlineStr">
        <is>
          <t>B_Baobá_M_32_P14</t>
        </is>
      </c>
      <c r="G915" s="40" t="n"/>
      <c r="H915" s="41" t="n"/>
      <c r="I915" s="42">
        <f>IF($H915="","",MAX(0,$H915-N($E915)))</f>
        <v/>
      </c>
      <c r="J915" s="42">
        <f>IF($H915="","",MAX(0,$H915-N($G915)))</f>
        <v/>
      </c>
    </row>
    <row r="916" ht="19.5" customHeight="1" s="72">
      <c r="A916" s="38" t="inlineStr">
        <is>
          <t>BaobáM-32-P14-SIR</t>
        </is>
      </c>
      <c r="B916" s="38" t="inlineStr">
        <is>
          <t>Fase 32</t>
        </is>
      </c>
      <c r="C916" s="38" t="inlineStr">
        <is>
          <t>Siriuna</t>
        </is>
      </c>
      <c r="D916" s="39" t="inlineStr">
        <is>
          <t>A_Baobá_M_32_P14</t>
        </is>
      </c>
      <c r="E916" s="40" t="n"/>
      <c r="F916" s="39" t="inlineStr">
        <is>
          <t>B_Baobá_M_32_P14</t>
        </is>
      </c>
      <c r="G916" s="40" t="n"/>
      <c r="H916" s="41" t="n"/>
      <c r="I916" s="42">
        <f>IF($H916="","",MAX(0,$H916-N($E916)))</f>
        <v/>
      </c>
      <c r="J916" s="42">
        <f>IF($H916="","",MAX(0,$H916-N($G916)))</f>
        <v/>
      </c>
    </row>
    <row r="917" ht="19.5" customHeight="1" s="72">
      <c r="A917" s="38" t="inlineStr">
        <is>
          <t>BaobáM-32-P15-SBA</t>
        </is>
      </c>
      <c r="B917" s="38" t="inlineStr">
        <is>
          <t>Fase 32</t>
        </is>
      </c>
      <c r="C917" s="38" t="inlineStr">
        <is>
          <t>São Bento da Abadá</t>
        </is>
      </c>
      <c r="D917" s="39" t="inlineStr">
        <is>
          <t>A_Baobá_M_32_P15</t>
        </is>
      </c>
      <c r="E917" s="40" t="n"/>
      <c r="F917" s="39" t="inlineStr">
        <is>
          <t>B_Baobá_M_32_P15</t>
        </is>
      </c>
      <c r="G917" s="40" t="n"/>
      <c r="H917" s="41" t="n"/>
      <c r="I917" s="42">
        <f>IF($H917="","",MAX(0,$H917-N($E917)))</f>
        <v/>
      </c>
      <c r="J917" s="42">
        <f>IF($H917="","",MAX(0,$H917-N($G917)))</f>
        <v/>
      </c>
    </row>
    <row r="918" ht="19.5" customHeight="1" s="72">
      <c r="A918" s="38" t="inlineStr">
        <is>
          <t>BaobáM-32-P15-BEN</t>
        </is>
      </c>
      <c r="B918" s="38" t="inlineStr">
        <is>
          <t>Fase 32</t>
        </is>
      </c>
      <c r="C918" s="38" t="inlineStr">
        <is>
          <t>Benguela</t>
        </is>
      </c>
      <c r="D918" s="39" t="inlineStr">
        <is>
          <t>A_Baobá_M_32_P15</t>
        </is>
      </c>
      <c r="E918" s="40" t="n"/>
      <c r="F918" s="39" t="inlineStr">
        <is>
          <t>B_Baobá_M_32_P15</t>
        </is>
      </c>
      <c r="G918" s="40" t="n"/>
      <c r="H918" s="41" t="n"/>
      <c r="I918" s="42">
        <f>IF($H918="","",MAX(0,$H918-N($E918)))</f>
        <v/>
      </c>
      <c r="J918" s="42">
        <f>IF($H918="","",MAX(0,$H918-N($G918)))</f>
        <v/>
      </c>
    </row>
    <row r="919" ht="19.5" customHeight="1" s="72">
      <c r="A919" s="38" t="inlineStr">
        <is>
          <t>BaobáM-32-P15-SIR</t>
        </is>
      </c>
      <c r="B919" s="38" t="inlineStr">
        <is>
          <t>Fase 32</t>
        </is>
      </c>
      <c r="C919" s="38" t="inlineStr">
        <is>
          <t>Siriuna</t>
        </is>
      </c>
      <c r="D919" s="39" t="inlineStr">
        <is>
          <t>A_Baobá_M_32_P15</t>
        </is>
      </c>
      <c r="E919" s="40" t="n"/>
      <c r="F919" s="39" t="inlineStr">
        <is>
          <t>B_Baobá_M_32_P15</t>
        </is>
      </c>
      <c r="G919" s="40" t="n"/>
      <c r="H919" s="41" t="n"/>
      <c r="I919" s="42">
        <f>IF($H919="","",MAX(0,$H919-N($E919)))</f>
        <v/>
      </c>
      <c r="J919" s="42">
        <f>IF($H919="","",MAX(0,$H919-N($G919)))</f>
        <v/>
      </c>
    </row>
    <row r="920" ht="19.5" customHeight="1" s="72">
      <c r="A920" s="38" t="inlineStr">
        <is>
          <t>BaobáM-32-P16-SBA</t>
        </is>
      </c>
      <c r="B920" s="38" t="inlineStr">
        <is>
          <t>Fase 32</t>
        </is>
      </c>
      <c r="C920" s="38" t="inlineStr">
        <is>
          <t>São Bento da Abadá</t>
        </is>
      </c>
      <c r="D920" s="39" t="inlineStr">
        <is>
          <t>A_Baobá_M_32_P16</t>
        </is>
      </c>
      <c r="E920" s="40" t="n"/>
      <c r="F920" s="39" t="inlineStr">
        <is>
          <t>B_Baobá_M_32_P16</t>
        </is>
      </c>
      <c r="G920" s="40" t="n"/>
      <c r="H920" s="41" t="n"/>
      <c r="I920" s="42">
        <f>IF($H920="","",MAX(0,$H920-N($E920)))</f>
        <v/>
      </c>
      <c r="J920" s="42">
        <f>IF($H920="","",MAX(0,$H920-N($G920)))</f>
        <v/>
      </c>
    </row>
    <row r="921" ht="19.5" customHeight="1" s="72">
      <c r="A921" s="38" t="inlineStr">
        <is>
          <t>BaobáM-32-P16-BEN</t>
        </is>
      </c>
      <c r="B921" s="38" t="inlineStr">
        <is>
          <t>Fase 32</t>
        </is>
      </c>
      <c r="C921" s="38" t="inlineStr">
        <is>
          <t>Benguela</t>
        </is>
      </c>
      <c r="D921" s="39" t="inlineStr">
        <is>
          <t>A_Baobá_M_32_P16</t>
        </is>
      </c>
      <c r="E921" s="40" t="n"/>
      <c r="F921" s="39" t="inlineStr">
        <is>
          <t>B_Baobá_M_32_P16</t>
        </is>
      </c>
      <c r="G921" s="40" t="n"/>
      <c r="H921" s="41" t="n"/>
      <c r="I921" s="42">
        <f>IF($H921="","",MAX(0,$H921-N($E921)))</f>
        <v/>
      </c>
      <c r="J921" s="42">
        <f>IF($H921="","",MAX(0,$H921-N($G921)))</f>
        <v/>
      </c>
    </row>
    <row r="922" ht="19.5" customHeight="1" s="72">
      <c r="A922" s="38" t="inlineStr">
        <is>
          <t>BaobáM-32-P16-SIR</t>
        </is>
      </c>
      <c r="B922" s="38" t="inlineStr">
        <is>
          <t>Fase 32</t>
        </is>
      </c>
      <c r="C922" s="38" t="inlineStr">
        <is>
          <t>Siriuna</t>
        </is>
      </c>
      <c r="D922" s="39" t="inlineStr">
        <is>
          <t>A_Baobá_M_32_P16</t>
        </is>
      </c>
      <c r="E922" s="40" t="n"/>
      <c r="F922" s="39" t="inlineStr">
        <is>
          <t>B_Baobá_M_32_P16</t>
        </is>
      </c>
      <c r="G922" s="40" t="n"/>
      <c r="H922" s="41" t="n"/>
      <c r="I922" s="42">
        <f>IF($H922="","",MAX(0,$H922-N($E922)))</f>
        <v/>
      </c>
      <c r="J922" s="42">
        <f>IF($H922="","",MAX(0,$H922-N($G922)))</f>
        <v/>
      </c>
    </row>
    <row r="923" ht="19.5" customHeight="1" s="72">
      <c r="A923" s="38" t="inlineStr">
        <is>
          <t>BaobáM-OCT-P01-SBA</t>
        </is>
      </c>
      <c r="B923" s="38" t="inlineStr">
        <is>
          <t>Octavas</t>
        </is>
      </c>
      <c r="C923" s="38" t="inlineStr">
        <is>
          <t>São Bento da Abadá</t>
        </is>
      </c>
      <c r="D923" s="39">
        <f>IFERROR('CLASIF_Baobá_M'!$F$5,"")</f>
        <v/>
      </c>
      <c r="E923" s="40" t="n"/>
      <c r="F923" s="39">
        <f>IFERROR('CLASIF_Baobá_M'!$F$20,"")</f>
        <v/>
      </c>
      <c r="G923" s="40" t="n"/>
      <c r="H923" s="41" t="n"/>
      <c r="I923" s="42">
        <f>IF($H923="","",MAX(0,$H923-N($E923)))</f>
        <v/>
      </c>
      <c r="J923" s="42">
        <f>IF($H923="","",MAX(0,$H923-N($G923)))</f>
        <v/>
      </c>
    </row>
    <row r="924" ht="19.5" customHeight="1" s="72">
      <c r="A924" s="38" t="inlineStr">
        <is>
          <t>BaobáM-OCT-P01-BEN</t>
        </is>
      </c>
      <c r="B924" s="38" t="inlineStr">
        <is>
          <t>Octavas</t>
        </is>
      </c>
      <c r="C924" s="38" t="inlineStr">
        <is>
          <t>Benguela</t>
        </is>
      </c>
      <c r="D924" s="39">
        <f>IFERROR('CLASIF_Baobá_M'!$F$5,"")</f>
        <v/>
      </c>
      <c r="E924" s="40" t="n"/>
      <c r="F924" s="39">
        <f>IFERROR('CLASIF_Baobá_M'!$F$20,"")</f>
        <v/>
      </c>
      <c r="G924" s="40" t="n"/>
      <c r="H924" s="41" t="n"/>
      <c r="I924" s="42">
        <f>IF($H924="","",MAX(0,$H924-N($E924)))</f>
        <v/>
      </c>
      <c r="J924" s="42">
        <f>IF($H924="","",MAX(0,$H924-N($G924)))</f>
        <v/>
      </c>
    </row>
    <row r="925" ht="19.5" customHeight="1" s="72">
      <c r="A925" s="38" t="inlineStr">
        <is>
          <t>BaobáM-OCT-P01-SIR</t>
        </is>
      </c>
      <c r="B925" s="38" t="inlineStr">
        <is>
          <t>Octavas</t>
        </is>
      </c>
      <c r="C925" s="38" t="inlineStr">
        <is>
          <t>Siriuna</t>
        </is>
      </c>
      <c r="D925" s="39">
        <f>IFERROR('CLASIF_Baobá_M'!$F$5,"")</f>
        <v/>
      </c>
      <c r="E925" s="40" t="n"/>
      <c r="F925" s="39">
        <f>IFERROR('CLASIF_Baobá_M'!$F$20,"")</f>
        <v/>
      </c>
      <c r="G925" s="40" t="n"/>
      <c r="H925" s="41" t="n"/>
      <c r="I925" s="42">
        <f>IF($H925="","",MAX(0,$H925-N($E925)))</f>
        <v/>
      </c>
      <c r="J925" s="42">
        <f>IF($H925="","",MAX(0,$H925-N($G925)))</f>
        <v/>
      </c>
    </row>
    <row r="926" ht="19.5" customHeight="1" s="72">
      <c r="A926" s="38" t="inlineStr">
        <is>
          <t>BaobáM-OCT-P02-SBA</t>
        </is>
      </c>
      <c r="B926" s="38" t="inlineStr">
        <is>
          <t>Octavas</t>
        </is>
      </c>
      <c r="C926" s="38" t="inlineStr">
        <is>
          <t>São Bento da Abadá</t>
        </is>
      </c>
      <c r="D926" s="39">
        <f>IFERROR('CLASIF_Baobá_M'!$F$6,"")</f>
        <v/>
      </c>
      <c r="E926" s="40" t="n"/>
      <c r="F926" s="39">
        <f>IFERROR('CLASIF_Baobá_M'!$F$19,"")</f>
        <v/>
      </c>
      <c r="G926" s="40" t="n"/>
      <c r="H926" s="41" t="n"/>
      <c r="I926" s="42">
        <f>IF($H926="","",MAX(0,$H926-N($E926)))</f>
        <v/>
      </c>
      <c r="J926" s="42">
        <f>IF($H926="","",MAX(0,$H926-N($G926)))</f>
        <v/>
      </c>
    </row>
    <row r="927" ht="19.5" customHeight="1" s="72">
      <c r="A927" s="38" t="inlineStr">
        <is>
          <t>BaobáM-OCT-P02-BEN</t>
        </is>
      </c>
      <c r="B927" s="38" t="inlineStr">
        <is>
          <t>Octavas</t>
        </is>
      </c>
      <c r="C927" s="38" t="inlineStr">
        <is>
          <t>Benguela</t>
        </is>
      </c>
      <c r="D927" s="39">
        <f>IFERROR('CLASIF_Baobá_M'!$F$6,"")</f>
        <v/>
      </c>
      <c r="E927" s="40" t="n"/>
      <c r="F927" s="39">
        <f>IFERROR('CLASIF_Baobá_M'!$F$19,"")</f>
        <v/>
      </c>
      <c r="G927" s="40" t="n"/>
      <c r="H927" s="41" t="n"/>
      <c r="I927" s="42">
        <f>IF($H927="","",MAX(0,$H927-N($E927)))</f>
        <v/>
      </c>
      <c r="J927" s="42">
        <f>IF($H927="","",MAX(0,$H927-N($G927)))</f>
        <v/>
      </c>
    </row>
    <row r="928" ht="19.5" customHeight="1" s="72">
      <c r="A928" s="38" t="inlineStr">
        <is>
          <t>BaobáM-OCT-P02-SIR</t>
        </is>
      </c>
      <c r="B928" s="38" t="inlineStr">
        <is>
          <t>Octavas</t>
        </is>
      </c>
      <c r="C928" s="38" t="inlineStr">
        <is>
          <t>Siriuna</t>
        </is>
      </c>
      <c r="D928" s="39">
        <f>IFERROR('CLASIF_Baobá_M'!$F$6,"")</f>
        <v/>
      </c>
      <c r="E928" s="40" t="n"/>
      <c r="F928" s="39">
        <f>IFERROR('CLASIF_Baobá_M'!$F$19,"")</f>
        <v/>
      </c>
      <c r="G928" s="40" t="n"/>
      <c r="H928" s="41" t="n"/>
      <c r="I928" s="42">
        <f>IF($H928="","",MAX(0,$H928-N($E928)))</f>
        <v/>
      </c>
      <c r="J928" s="42">
        <f>IF($H928="","",MAX(0,$H928-N($G928)))</f>
        <v/>
      </c>
    </row>
    <row r="929" ht="19.5" customHeight="1" s="72">
      <c r="A929" s="38" t="inlineStr">
        <is>
          <t>BaobáM-OCT-P03-SBA</t>
        </is>
      </c>
      <c r="B929" s="38" t="inlineStr">
        <is>
          <t>Octavas</t>
        </is>
      </c>
      <c r="C929" s="38" t="inlineStr">
        <is>
          <t>São Bento da Abadá</t>
        </is>
      </c>
      <c r="D929" s="39">
        <f>IFERROR('CLASIF_Baobá_M'!$F$7,"")</f>
        <v/>
      </c>
      <c r="E929" s="40" t="n"/>
      <c r="F929" s="39">
        <f>IFERROR('CLASIF_Baobá_M'!$F$18,"")</f>
        <v/>
      </c>
      <c r="G929" s="40" t="n"/>
      <c r="H929" s="41" t="n"/>
      <c r="I929" s="42">
        <f>IF($H929="","",MAX(0,$H929-N($E929)))</f>
        <v/>
      </c>
      <c r="J929" s="42">
        <f>IF($H929="","",MAX(0,$H929-N($G929)))</f>
        <v/>
      </c>
    </row>
    <row r="930" ht="19.5" customHeight="1" s="72">
      <c r="A930" s="38" t="inlineStr">
        <is>
          <t>BaobáM-OCT-P03-BEN</t>
        </is>
      </c>
      <c r="B930" s="38" t="inlineStr">
        <is>
          <t>Octavas</t>
        </is>
      </c>
      <c r="C930" s="38" t="inlineStr">
        <is>
          <t>Benguela</t>
        </is>
      </c>
      <c r="D930" s="39">
        <f>IFERROR('CLASIF_Baobá_M'!$F$7,"")</f>
        <v/>
      </c>
      <c r="E930" s="40" t="n"/>
      <c r="F930" s="39">
        <f>IFERROR('CLASIF_Baobá_M'!$F$18,"")</f>
        <v/>
      </c>
      <c r="G930" s="40" t="n"/>
      <c r="H930" s="41" t="n"/>
      <c r="I930" s="42">
        <f>IF($H930="","",MAX(0,$H930-N($E930)))</f>
        <v/>
      </c>
      <c r="J930" s="42">
        <f>IF($H930="","",MAX(0,$H930-N($G930)))</f>
        <v/>
      </c>
    </row>
    <row r="931" ht="19.5" customHeight="1" s="72">
      <c r="A931" s="38" t="inlineStr">
        <is>
          <t>BaobáM-OCT-P03-SIR</t>
        </is>
      </c>
      <c r="B931" s="38" t="inlineStr">
        <is>
          <t>Octavas</t>
        </is>
      </c>
      <c r="C931" s="38" t="inlineStr">
        <is>
          <t>Siriuna</t>
        </is>
      </c>
      <c r="D931" s="39">
        <f>IFERROR('CLASIF_Baobá_M'!$F$7,"")</f>
        <v/>
      </c>
      <c r="E931" s="40" t="n"/>
      <c r="F931" s="39">
        <f>IFERROR('CLASIF_Baobá_M'!$F$18,"")</f>
        <v/>
      </c>
      <c r="G931" s="40" t="n"/>
      <c r="H931" s="41" t="n"/>
      <c r="I931" s="42">
        <f>IF($H931="","",MAX(0,$H931-N($E931)))</f>
        <v/>
      </c>
      <c r="J931" s="42">
        <f>IF($H931="","",MAX(0,$H931-N($G931)))</f>
        <v/>
      </c>
    </row>
    <row r="932" ht="19.5" customHeight="1" s="72">
      <c r="A932" s="38" t="inlineStr">
        <is>
          <t>BaobáM-OCT-P04-SBA</t>
        </is>
      </c>
      <c r="B932" s="38" t="inlineStr">
        <is>
          <t>Octavas</t>
        </is>
      </c>
      <c r="C932" s="38" t="inlineStr">
        <is>
          <t>São Bento da Abadá</t>
        </is>
      </c>
      <c r="D932" s="39">
        <f>IFERROR('CLASIF_Baobá_M'!$F$8,"")</f>
        <v/>
      </c>
      <c r="E932" s="40" t="n"/>
      <c r="F932" s="39">
        <f>IFERROR('CLASIF_Baobá_M'!$F$17,"")</f>
        <v/>
      </c>
      <c r="G932" s="40" t="n"/>
      <c r="H932" s="41" t="n"/>
      <c r="I932" s="42">
        <f>IF($H932="","",MAX(0,$H932-N($E932)))</f>
        <v/>
      </c>
      <c r="J932" s="42">
        <f>IF($H932="","",MAX(0,$H932-N($G932)))</f>
        <v/>
      </c>
    </row>
    <row r="933" ht="19.5" customHeight="1" s="72">
      <c r="A933" s="38" t="inlineStr">
        <is>
          <t>BaobáM-OCT-P04-BEN</t>
        </is>
      </c>
      <c r="B933" s="38" t="inlineStr">
        <is>
          <t>Octavas</t>
        </is>
      </c>
      <c r="C933" s="38" t="inlineStr">
        <is>
          <t>Benguela</t>
        </is>
      </c>
      <c r="D933" s="39">
        <f>IFERROR('CLASIF_Baobá_M'!$F$8,"")</f>
        <v/>
      </c>
      <c r="E933" s="40" t="n"/>
      <c r="F933" s="39">
        <f>IFERROR('CLASIF_Baobá_M'!$F$17,"")</f>
        <v/>
      </c>
      <c r="G933" s="40" t="n"/>
      <c r="H933" s="41" t="n"/>
      <c r="I933" s="42">
        <f>IF($H933="","",MAX(0,$H933-N($E933)))</f>
        <v/>
      </c>
      <c r="J933" s="42">
        <f>IF($H933="","",MAX(0,$H933-N($G933)))</f>
        <v/>
      </c>
    </row>
    <row r="934" ht="19.5" customHeight="1" s="72">
      <c r="A934" s="38" t="inlineStr">
        <is>
          <t>BaobáM-OCT-P04-SIR</t>
        </is>
      </c>
      <c r="B934" s="38" t="inlineStr">
        <is>
          <t>Octavas</t>
        </is>
      </c>
      <c r="C934" s="38" t="inlineStr">
        <is>
          <t>Siriuna</t>
        </is>
      </c>
      <c r="D934" s="39">
        <f>IFERROR('CLASIF_Baobá_M'!$F$8,"")</f>
        <v/>
      </c>
      <c r="E934" s="40" t="n"/>
      <c r="F934" s="39">
        <f>IFERROR('CLASIF_Baobá_M'!$F$17,"")</f>
        <v/>
      </c>
      <c r="G934" s="40" t="n"/>
      <c r="H934" s="41" t="n"/>
      <c r="I934" s="42">
        <f>IF($H934="","",MAX(0,$H934-N($E934)))</f>
        <v/>
      </c>
      <c r="J934" s="42">
        <f>IF($H934="","",MAX(0,$H934-N($G934)))</f>
        <v/>
      </c>
    </row>
    <row r="935" ht="19.5" customHeight="1" s="72">
      <c r="A935" s="38" t="inlineStr">
        <is>
          <t>BaobáM-OCT-P05-SBA</t>
        </is>
      </c>
      <c r="B935" s="38" t="inlineStr">
        <is>
          <t>Octavas</t>
        </is>
      </c>
      <c r="C935" s="38" t="inlineStr">
        <is>
          <t>São Bento da Abadá</t>
        </is>
      </c>
      <c r="D935" s="39">
        <f>IFERROR('CLASIF_Baobá_M'!$F$9,"")</f>
        <v/>
      </c>
      <c r="E935" s="40" t="n"/>
      <c r="F935" s="39">
        <f>IFERROR('CLASIF_Baobá_M'!$F$16,"")</f>
        <v/>
      </c>
      <c r="G935" s="40" t="n"/>
      <c r="H935" s="41" t="n"/>
      <c r="I935" s="42">
        <f>IF($H935="","",MAX(0,$H935-N($E935)))</f>
        <v/>
      </c>
      <c r="J935" s="42">
        <f>IF($H935="","",MAX(0,$H935-N($G935)))</f>
        <v/>
      </c>
    </row>
    <row r="936" ht="19.5" customHeight="1" s="72">
      <c r="A936" s="38" t="inlineStr">
        <is>
          <t>BaobáM-OCT-P05-BEN</t>
        </is>
      </c>
      <c r="B936" s="38" t="inlineStr">
        <is>
          <t>Octavas</t>
        </is>
      </c>
      <c r="C936" s="38" t="inlineStr">
        <is>
          <t>Benguela</t>
        </is>
      </c>
      <c r="D936" s="39">
        <f>IFERROR('CLASIF_Baobá_M'!$F$9,"")</f>
        <v/>
      </c>
      <c r="E936" s="40" t="n"/>
      <c r="F936" s="39">
        <f>IFERROR('CLASIF_Baobá_M'!$F$16,"")</f>
        <v/>
      </c>
      <c r="G936" s="40" t="n"/>
      <c r="H936" s="41" t="n"/>
      <c r="I936" s="42">
        <f>IF($H936="","",MAX(0,$H936-N($E936)))</f>
        <v/>
      </c>
      <c r="J936" s="42">
        <f>IF($H936="","",MAX(0,$H936-N($G936)))</f>
        <v/>
      </c>
    </row>
    <row r="937" ht="19.5" customHeight="1" s="72">
      <c r="A937" s="38" t="inlineStr">
        <is>
          <t>BaobáM-OCT-P05-SIR</t>
        </is>
      </c>
      <c r="B937" s="38" t="inlineStr">
        <is>
          <t>Octavas</t>
        </is>
      </c>
      <c r="C937" s="38" t="inlineStr">
        <is>
          <t>Siriuna</t>
        </is>
      </c>
      <c r="D937" s="39">
        <f>IFERROR('CLASIF_Baobá_M'!$F$9,"")</f>
        <v/>
      </c>
      <c r="E937" s="40" t="n"/>
      <c r="F937" s="39">
        <f>IFERROR('CLASIF_Baobá_M'!$F$16,"")</f>
        <v/>
      </c>
      <c r="G937" s="40" t="n"/>
      <c r="H937" s="41" t="n"/>
      <c r="I937" s="42">
        <f>IF($H937="","",MAX(0,$H937-N($E937)))</f>
        <v/>
      </c>
      <c r="J937" s="42">
        <f>IF($H937="","",MAX(0,$H937-N($G937)))</f>
        <v/>
      </c>
    </row>
    <row r="938" ht="19.5" customHeight="1" s="72">
      <c r="A938" s="38" t="inlineStr">
        <is>
          <t>BaobáM-OCT-P06-SBA</t>
        </is>
      </c>
      <c r="B938" s="38" t="inlineStr">
        <is>
          <t>Octavas</t>
        </is>
      </c>
      <c r="C938" s="38" t="inlineStr">
        <is>
          <t>São Bento da Abadá</t>
        </is>
      </c>
      <c r="D938" s="39">
        <f>IFERROR('CLASIF_Baobá_M'!$F$10,"")</f>
        <v/>
      </c>
      <c r="E938" s="40" t="n"/>
      <c r="F938" s="39">
        <f>IFERROR('CLASIF_Baobá_M'!$F$15,"")</f>
        <v/>
      </c>
      <c r="G938" s="40" t="n"/>
      <c r="H938" s="41" t="n"/>
      <c r="I938" s="42">
        <f>IF($H938="","",MAX(0,$H938-N($E938)))</f>
        <v/>
      </c>
      <c r="J938" s="42">
        <f>IF($H938="","",MAX(0,$H938-N($G938)))</f>
        <v/>
      </c>
    </row>
    <row r="939" ht="19.5" customHeight="1" s="72">
      <c r="A939" s="38" t="inlineStr">
        <is>
          <t>BaobáM-OCT-P06-BEN</t>
        </is>
      </c>
      <c r="B939" s="38" t="inlineStr">
        <is>
          <t>Octavas</t>
        </is>
      </c>
      <c r="C939" s="38" t="inlineStr">
        <is>
          <t>Benguela</t>
        </is>
      </c>
      <c r="D939" s="39">
        <f>IFERROR('CLASIF_Baobá_M'!$F$10,"")</f>
        <v/>
      </c>
      <c r="E939" s="40" t="n"/>
      <c r="F939" s="39">
        <f>IFERROR('CLASIF_Baobá_M'!$F$15,"")</f>
        <v/>
      </c>
      <c r="G939" s="40" t="n"/>
      <c r="H939" s="41" t="n"/>
      <c r="I939" s="42">
        <f>IF($H939="","",MAX(0,$H939-N($E939)))</f>
        <v/>
      </c>
      <c r="J939" s="42">
        <f>IF($H939="","",MAX(0,$H939-N($G939)))</f>
        <v/>
      </c>
    </row>
    <row r="940" ht="19.5" customHeight="1" s="72">
      <c r="A940" s="38" t="inlineStr">
        <is>
          <t>BaobáM-OCT-P06-SIR</t>
        </is>
      </c>
      <c r="B940" s="38" t="inlineStr">
        <is>
          <t>Octavas</t>
        </is>
      </c>
      <c r="C940" s="38" t="inlineStr">
        <is>
          <t>Siriuna</t>
        </is>
      </c>
      <c r="D940" s="39">
        <f>IFERROR('CLASIF_Baobá_M'!$F$10,"")</f>
        <v/>
      </c>
      <c r="E940" s="40" t="n"/>
      <c r="F940" s="39">
        <f>IFERROR('CLASIF_Baobá_M'!$F$15,"")</f>
        <v/>
      </c>
      <c r="G940" s="40" t="n"/>
      <c r="H940" s="41" t="n"/>
      <c r="I940" s="42">
        <f>IF($H940="","",MAX(0,$H940-N($E940)))</f>
        <v/>
      </c>
      <c r="J940" s="42">
        <f>IF($H940="","",MAX(0,$H940-N($G940)))</f>
        <v/>
      </c>
    </row>
    <row r="941" ht="19.5" customHeight="1" s="72">
      <c r="A941" s="38" t="inlineStr">
        <is>
          <t>BaobáM-OCT-P07-SBA</t>
        </is>
      </c>
      <c r="B941" s="38" t="inlineStr">
        <is>
          <t>Octavas</t>
        </is>
      </c>
      <c r="C941" s="38" t="inlineStr">
        <is>
          <t>São Bento da Abadá</t>
        </is>
      </c>
      <c r="D941" s="39">
        <f>IFERROR('CLASIF_Baobá_M'!$F$11,"")</f>
        <v/>
      </c>
      <c r="E941" s="40" t="n"/>
      <c r="F941" s="39">
        <f>IFERROR('CLASIF_Baobá_M'!$F$14,"")</f>
        <v/>
      </c>
      <c r="G941" s="40" t="n"/>
      <c r="H941" s="41" t="n"/>
      <c r="I941" s="42">
        <f>IF($H941="","",MAX(0,$H941-N($E941)))</f>
        <v/>
      </c>
      <c r="J941" s="42">
        <f>IF($H941="","",MAX(0,$H941-N($G941)))</f>
        <v/>
      </c>
    </row>
    <row r="942" ht="19.5" customHeight="1" s="72">
      <c r="A942" s="38" t="inlineStr">
        <is>
          <t>BaobáM-OCT-P07-BEN</t>
        </is>
      </c>
      <c r="B942" s="38" t="inlineStr">
        <is>
          <t>Octavas</t>
        </is>
      </c>
      <c r="C942" s="38" t="inlineStr">
        <is>
          <t>Benguela</t>
        </is>
      </c>
      <c r="D942" s="39">
        <f>IFERROR('CLASIF_Baobá_M'!$F$11,"")</f>
        <v/>
      </c>
      <c r="E942" s="40" t="n"/>
      <c r="F942" s="39">
        <f>IFERROR('CLASIF_Baobá_M'!$F$14,"")</f>
        <v/>
      </c>
      <c r="G942" s="40" t="n"/>
      <c r="H942" s="41" t="n"/>
      <c r="I942" s="42">
        <f>IF($H942="","",MAX(0,$H942-N($E942)))</f>
        <v/>
      </c>
      <c r="J942" s="42">
        <f>IF($H942="","",MAX(0,$H942-N($G942)))</f>
        <v/>
      </c>
    </row>
    <row r="943" ht="19.5" customHeight="1" s="72">
      <c r="A943" s="38" t="inlineStr">
        <is>
          <t>BaobáM-OCT-P07-SIR</t>
        </is>
      </c>
      <c r="B943" s="38" t="inlineStr">
        <is>
          <t>Octavas</t>
        </is>
      </c>
      <c r="C943" s="38" t="inlineStr">
        <is>
          <t>Siriuna</t>
        </is>
      </c>
      <c r="D943" s="39">
        <f>IFERROR('CLASIF_Baobá_M'!$F$11,"")</f>
        <v/>
      </c>
      <c r="E943" s="40" t="n"/>
      <c r="F943" s="39">
        <f>IFERROR('CLASIF_Baobá_M'!$F$14,"")</f>
        <v/>
      </c>
      <c r="G943" s="40" t="n"/>
      <c r="H943" s="41" t="n"/>
      <c r="I943" s="42">
        <f>IF($H943="","",MAX(0,$H943-N($E943)))</f>
        <v/>
      </c>
      <c r="J943" s="42">
        <f>IF($H943="","",MAX(0,$H943-N($G943)))</f>
        <v/>
      </c>
    </row>
    <row r="944" ht="19.5" customHeight="1" s="72">
      <c r="A944" s="38" t="inlineStr">
        <is>
          <t>BaobáM-OCT-P08-SBA</t>
        </is>
      </c>
      <c r="B944" s="38" t="inlineStr">
        <is>
          <t>Octavas</t>
        </is>
      </c>
      <c r="C944" s="38" t="inlineStr">
        <is>
          <t>São Bento da Abadá</t>
        </is>
      </c>
      <c r="D944" s="39">
        <f>IFERROR('CLASIF_Baobá_M'!$F$12,"")</f>
        <v/>
      </c>
      <c r="E944" s="40" t="n"/>
      <c r="F944" s="39">
        <f>IFERROR('CLASIF_Baobá_M'!$F$13,"")</f>
        <v/>
      </c>
      <c r="G944" s="40" t="n"/>
      <c r="H944" s="41" t="n"/>
      <c r="I944" s="42">
        <f>IF($H944="","",MAX(0,$H944-N($E944)))</f>
        <v/>
      </c>
      <c r="J944" s="42">
        <f>IF($H944="","",MAX(0,$H944-N($G944)))</f>
        <v/>
      </c>
    </row>
    <row r="945" ht="19.5" customHeight="1" s="72">
      <c r="A945" s="38" t="inlineStr">
        <is>
          <t>BaobáM-OCT-P08-BEN</t>
        </is>
      </c>
      <c r="B945" s="38" t="inlineStr">
        <is>
          <t>Octavas</t>
        </is>
      </c>
      <c r="C945" s="38" t="inlineStr">
        <is>
          <t>Benguela</t>
        </is>
      </c>
      <c r="D945" s="39">
        <f>IFERROR('CLASIF_Baobá_M'!$F$12,"")</f>
        <v/>
      </c>
      <c r="E945" s="40" t="n"/>
      <c r="F945" s="39">
        <f>IFERROR('CLASIF_Baobá_M'!$F$13,"")</f>
        <v/>
      </c>
      <c r="G945" s="40" t="n"/>
      <c r="H945" s="41" t="n"/>
      <c r="I945" s="42">
        <f>IF($H945="","",MAX(0,$H945-N($E945)))</f>
        <v/>
      </c>
      <c r="J945" s="42">
        <f>IF($H945="","",MAX(0,$H945-N($G945)))</f>
        <v/>
      </c>
    </row>
    <row r="946" ht="19.5" customHeight="1" s="72">
      <c r="A946" s="38" t="inlineStr">
        <is>
          <t>BaobáM-OCT-P08-SIR</t>
        </is>
      </c>
      <c r="B946" s="38" t="inlineStr">
        <is>
          <t>Octavas</t>
        </is>
      </c>
      <c r="C946" s="38" t="inlineStr">
        <is>
          <t>Siriuna</t>
        </is>
      </c>
      <c r="D946" s="39">
        <f>IFERROR('CLASIF_Baobá_M'!$F$12,"")</f>
        <v/>
      </c>
      <c r="E946" s="40" t="n"/>
      <c r="F946" s="39">
        <f>IFERROR('CLASIF_Baobá_M'!$F$13,"")</f>
        <v/>
      </c>
      <c r="G946" s="40" t="n"/>
      <c r="H946" s="41" t="n"/>
      <c r="I946" s="42">
        <f>IF($H946="","",MAX(0,$H946-N($E946)))</f>
        <v/>
      </c>
      <c r="J946" s="42">
        <f>IF($H946="","",MAX(0,$H946-N($G946)))</f>
        <v/>
      </c>
    </row>
    <row r="947" ht="19.5" customHeight="1" s="72">
      <c r="A947" s="38" t="inlineStr">
        <is>
          <t>BaobáM-SEM-P01-SBA</t>
        </is>
      </c>
      <c r="B947" s="38" t="inlineStr">
        <is>
          <t>Semifinal</t>
        </is>
      </c>
      <c r="C947" s="38" t="inlineStr">
        <is>
          <t>São Bento da Abadá</t>
        </is>
      </c>
      <c r="D947" s="39">
        <f>IFERROR('CLASIF_Baobá_M'!$O$5,"")</f>
        <v/>
      </c>
      <c r="E947" s="40" t="n"/>
      <c r="F947" s="39">
        <f>IFERROR('CLASIF_Baobá_M'!$O$12,"")</f>
        <v/>
      </c>
      <c r="G947" s="40" t="n"/>
      <c r="H947" s="41" t="n"/>
      <c r="I947" s="42">
        <f>IF($H947="","",MAX(0,$H947-N($E947)))</f>
        <v/>
      </c>
      <c r="J947" s="42">
        <f>IF($H947="","",MAX(0,$H947-N($G947)))</f>
        <v/>
      </c>
    </row>
    <row r="948" ht="19.5" customHeight="1" s="72">
      <c r="A948" s="38" t="inlineStr">
        <is>
          <t>BaobáM-SEM-P01-BEN</t>
        </is>
      </c>
      <c r="B948" s="38" t="inlineStr">
        <is>
          <t>Semifinal</t>
        </is>
      </c>
      <c r="C948" s="38" t="inlineStr">
        <is>
          <t>Benguela</t>
        </is>
      </c>
      <c r="D948" s="39">
        <f>IFERROR('CLASIF_Baobá_M'!$O$5,"")</f>
        <v/>
      </c>
      <c r="E948" s="40" t="n"/>
      <c r="F948" s="39">
        <f>IFERROR('CLASIF_Baobá_M'!$O$12,"")</f>
        <v/>
      </c>
      <c r="G948" s="40" t="n"/>
      <c r="H948" s="41" t="n"/>
      <c r="I948" s="42">
        <f>IF($H948="","",MAX(0,$H948-N($E948)))</f>
        <v/>
      </c>
      <c r="J948" s="42">
        <f>IF($H948="","",MAX(0,$H948-N($G948)))</f>
        <v/>
      </c>
    </row>
    <row r="949" ht="19.5" customHeight="1" s="72">
      <c r="A949" s="38" t="inlineStr">
        <is>
          <t>BaobáM-SEM-P01-SIR</t>
        </is>
      </c>
      <c r="B949" s="38" t="inlineStr">
        <is>
          <t>Semifinal</t>
        </is>
      </c>
      <c r="C949" s="38" t="inlineStr">
        <is>
          <t>Siriuna</t>
        </is>
      </c>
      <c r="D949" s="39">
        <f>IFERROR('CLASIF_Baobá_M'!$O$5,"")</f>
        <v/>
      </c>
      <c r="E949" s="40" t="n"/>
      <c r="F949" s="39">
        <f>IFERROR('CLASIF_Baobá_M'!$O$12,"")</f>
        <v/>
      </c>
      <c r="G949" s="40" t="n"/>
      <c r="H949" s="41" t="n"/>
      <c r="I949" s="42">
        <f>IF($H949="","",MAX(0,$H949-N($E949)))</f>
        <v/>
      </c>
      <c r="J949" s="42">
        <f>IF($H949="","",MAX(0,$H949-N($G949)))</f>
        <v/>
      </c>
    </row>
    <row r="950" ht="19.5" customHeight="1" s="72">
      <c r="A950" s="38" t="inlineStr">
        <is>
          <t>BaobáM-SEM-P02-SBA</t>
        </is>
      </c>
      <c r="B950" s="38" t="inlineStr">
        <is>
          <t>Semifinal</t>
        </is>
      </c>
      <c r="C950" s="38" t="inlineStr">
        <is>
          <t>São Bento da Abadá</t>
        </is>
      </c>
      <c r="D950" s="39">
        <f>IFERROR('CLASIF_Baobá_M'!$O$6,"")</f>
        <v/>
      </c>
      <c r="E950" s="40" t="n"/>
      <c r="F950" s="39">
        <f>IFERROR('CLASIF_Baobá_M'!$O$11,"")</f>
        <v/>
      </c>
      <c r="G950" s="40" t="n"/>
      <c r="H950" s="41" t="n"/>
      <c r="I950" s="42">
        <f>IF($H950="","",MAX(0,$H950-N($E950)))</f>
        <v/>
      </c>
      <c r="J950" s="42">
        <f>IF($H950="","",MAX(0,$H950-N($G950)))</f>
        <v/>
      </c>
    </row>
    <row r="951" ht="19.5" customHeight="1" s="72">
      <c r="A951" s="38" t="inlineStr">
        <is>
          <t>BaobáM-SEM-P02-BEN</t>
        </is>
      </c>
      <c r="B951" s="38" t="inlineStr">
        <is>
          <t>Semifinal</t>
        </is>
      </c>
      <c r="C951" s="38" t="inlineStr">
        <is>
          <t>Benguela</t>
        </is>
      </c>
      <c r="D951" s="39">
        <f>IFERROR('CLASIF_Baobá_M'!$O$6,"")</f>
        <v/>
      </c>
      <c r="E951" s="40" t="n"/>
      <c r="F951" s="39">
        <f>IFERROR('CLASIF_Baobá_M'!$O$11,"")</f>
        <v/>
      </c>
      <c r="G951" s="40" t="n"/>
      <c r="H951" s="41" t="n"/>
      <c r="I951" s="42">
        <f>IF($H951="","",MAX(0,$H951-N($E951)))</f>
        <v/>
      </c>
      <c r="J951" s="42">
        <f>IF($H951="","",MAX(0,$H951-N($G951)))</f>
        <v/>
      </c>
    </row>
    <row r="952" ht="19.5" customHeight="1" s="72">
      <c r="A952" s="38" t="inlineStr">
        <is>
          <t>BaobáM-SEM-P02-SIR</t>
        </is>
      </c>
      <c r="B952" s="38" t="inlineStr">
        <is>
          <t>Semifinal</t>
        </is>
      </c>
      <c r="C952" s="38" t="inlineStr">
        <is>
          <t>Siriuna</t>
        </is>
      </c>
      <c r="D952" s="39">
        <f>IFERROR('CLASIF_Baobá_M'!$O$6,"")</f>
        <v/>
      </c>
      <c r="E952" s="40" t="n"/>
      <c r="F952" s="39">
        <f>IFERROR('CLASIF_Baobá_M'!$O$11,"")</f>
        <v/>
      </c>
      <c r="G952" s="40" t="n"/>
      <c r="H952" s="41" t="n"/>
      <c r="I952" s="42">
        <f>IF($H952="","",MAX(0,$H952-N($E952)))</f>
        <v/>
      </c>
      <c r="J952" s="42">
        <f>IF($H952="","",MAX(0,$H952-N($G952)))</f>
        <v/>
      </c>
    </row>
    <row r="953" ht="19.5" customHeight="1" s="72">
      <c r="A953" s="38" t="inlineStr">
        <is>
          <t>BaobáM-SEM-P03-SBA</t>
        </is>
      </c>
      <c r="B953" s="38" t="inlineStr">
        <is>
          <t>Semifinal</t>
        </is>
      </c>
      <c r="C953" s="38" t="inlineStr">
        <is>
          <t>São Bento da Abadá</t>
        </is>
      </c>
      <c r="D953" s="39">
        <f>IFERROR('CLASIF_Baobá_M'!$O$7,"")</f>
        <v/>
      </c>
      <c r="E953" s="40" t="n"/>
      <c r="F953" s="39">
        <f>IFERROR('CLASIF_Baobá_M'!$O$10,"")</f>
        <v/>
      </c>
      <c r="G953" s="40" t="n"/>
      <c r="H953" s="41" t="n"/>
      <c r="I953" s="42">
        <f>IF($H953="","",MAX(0,$H953-N($E953)))</f>
        <v/>
      </c>
      <c r="J953" s="42">
        <f>IF($H953="","",MAX(0,$H953-N($G953)))</f>
        <v/>
      </c>
    </row>
    <row r="954" ht="19.5" customHeight="1" s="72">
      <c r="A954" s="38" t="inlineStr">
        <is>
          <t>BaobáM-SEM-P03-BEN</t>
        </is>
      </c>
      <c r="B954" s="38" t="inlineStr">
        <is>
          <t>Semifinal</t>
        </is>
      </c>
      <c r="C954" s="38" t="inlineStr">
        <is>
          <t>Benguela</t>
        </is>
      </c>
      <c r="D954" s="39">
        <f>IFERROR('CLASIF_Baobá_M'!$O$7,"")</f>
        <v/>
      </c>
      <c r="E954" s="40" t="n"/>
      <c r="F954" s="39">
        <f>IFERROR('CLASIF_Baobá_M'!$O$10,"")</f>
        <v/>
      </c>
      <c r="G954" s="40" t="n"/>
      <c r="H954" s="41" t="n"/>
      <c r="I954" s="42">
        <f>IF($H954="","",MAX(0,$H954-N($E954)))</f>
        <v/>
      </c>
      <c r="J954" s="42">
        <f>IF($H954="","",MAX(0,$H954-N($G954)))</f>
        <v/>
      </c>
    </row>
    <row r="955" ht="19.5" customHeight="1" s="72">
      <c r="A955" s="38" t="inlineStr">
        <is>
          <t>BaobáM-SEM-P03-SIR</t>
        </is>
      </c>
      <c r="B955" s="38" t="inlineStr">
        <is>
          <t>Semifinal</t>
        </is>
      </c>
      <c r="C955" s="38" t="inlineStr">
        <is>
          <t>Siriuna</t>
        </is>
      </c>
      <c r="D955" s="39">
        <f>IFERROR('CLASIF_Baobá_M'!$O$7,"")</f>
        <v/>
      </c>
      <c r="E955" s="40" t="n"/>
      <c r="F955" s="39">
        <f>IFERROR('CLASIF_Baobá_M'!$O$10,"")</f>
        <v/>
      </c>
      <c r="G955" s="40" t="n"/>
      <c r="H955" s="41" t="n"/>
      <c r="I955" s="42">
        <f>IF($H955="","",MAX(0,$H955-N($E955)))</f>
        <v/>
      </c>
      <c r="J955" s="42">
        <f>IF($H955="","",MAX(0,$H955-N($G955)))</f>
        <v/>
      </c>
    </row>
    <row r="956" ht="19.5" customHeight="1" s="72">
      <c r="A956" s="38" t="inlineStr">
        <is>
          <t>BaobáM-SEM-P04-SBA</t>
        </is>
      </c>
      <c r="B956" s="38" t="inlineStr">
        <is>
          <t>Semifinal</t>
        </is>
      </c>
      <c r="C956" s="38" t="inlineStr">
        <is>
          <t>São Bento da Abadá</t>
        </is>
      </c>
      <c r="D956" s="39">
        <f>IFERROR('CLASIF_Baobá_M'!$O$8,"")</f>
        <v/>
      </c>
      <c r="E956" s="40" t="n"/>
      <c r="F956" s="39">
        <f>IFERROR('CLASIF_Baobá_M'!$O$9,"")</f>
        <v/>
      </c>
      <c r="G956" s="40" t="n"/>
      <c r="H956" s="41" t="n"/>
      <c r="I956" s="42">
        <f>IF($H956="","",MAX(0,$H956-N($E956)))</f>
        <v/>
      </c>
      <c r="J956" s="42">
        <f>IF($H956="","",MAX(0,$H956-N($G956)))</f>
        <v/>
      </c>
    </row>
    <row r="957" ht="19.5" customHeight="1" s="72">
      <c r="A957" s="38" t="inlineStr">
        <is>
          <t>BaobáM-SEM-P04-BEN</t>
        </is>
      </c>
      <c r="B957" s="38" t="inlineStr">
        <is>
          <t>Semifinal</t>
        </is>
      </c>
      <c r="C957" s="38" t="inlineStr">
        <is>
          <t>Benguela</t>
        </is>
      </c>
      <c r="D957" s="39">
        <f>IFERROR('CLASIF_Baobá_M'!$O$8,"")</f>
        <v/>
      </c>
      <c r="E957" s="40" t="n"/>
      <c r="F957" s="39">
        <f>IFERROR('CLASIF_Baobá_M'!$O$9,"")</f>
        <v/>
      </c>
      <c r="G957" s="40" t="n"/>
      <c r="H957" s="41" t="n"/>
      <c r="I957" s="42">
        <f>IF($H957="","",MAX(0,$H957-N($E957)))</f>
        <v/>
      </c>
      <c r="J957" s="42">
        <f>IF($H957="","",MAX(0,$H957-N($G957)))</f>
        <v/>
      </c>
    </row>
    <row r="958" ht="19.5" customHeight="1" s="72">
      <c r="A958" s="38" t="inlineStr">
        <is>
          <t>BaobáM-SEM-P04-SIR</t>
        </is>
      </c>
      <c r="B958" s="38" t="inlineStr">
        <is>
          <t>Semifinal</t>
        </is>
      </c>
      <c r="C958" s="38" t="inlineStr">
        <is>
          <t>Siriuna</t>
        </is>
      </c>
      <c r="D958" s="39">
        <f>IFERROR('CLASIF_Baobá_M'!$O$8,"")</f>
        <v/>
      </c>
      <c r="E958" s="40" t="n"/>
      <c r="F958" s="39">
        <f>IFERROR('CLASIF_Baobá_M'!$O$9,"")</f>
        <v/>
      </c>
      <c r="G958" s="40" t="n"/>
      <c r="H958" s="41" t="n"/>
      <c r="I958" s="42">
        <f>IF($H958="","",MAX(0,$H958-N($E958)))</f>
        <v/>
      </c>
      <c r="J958" s="42">
        <f>IF($H958="","",MAX(0,$H958-N($G958)))</f>
        <v/>
      </c>
    </row>
    <row r="959" ht="19.5" customHeight="1" s="72">
      <c r="A959" s="38" t="inlineStr">
        <is>
          <t>BaobáM-FIN-P01-SBA</t>
        </is>
      </c>
      <c r="B959" s="38" t="inlineStr">
        <is>
          <t>Final</t>
        </is>
      </c>
      <c r="C959" s="38" t="inlineStr">
        <is>
          <t>São Bento da Abadá</t>
        </is>
      </c>
      <c r="D959" s="39">
        <f>IFERROR('CLASIF_Baobá_M'!$X$5,"")</f>
        <v/>
      </c>
      <c r="E959" s="40" t="n"/>
      <c r="F959" s="39">
        <f>IFERROR('CLASIF_Baobá_M'!$X$8,"")</f>
        <v/>
      </c>
      <c r="G959" s="40" t="n"/>
      <c r="H959" s="41" t="n"/>
      <c r="I959" s="42">
        <f>IF($H959="","",MAX(0,$H959-N($E959)))</f>
        <v/>
      </c>
      <c r="J959" s="42">
        <f>IF($H959="","",MAX(0,$H959-N($G959)))</f>
        <v/>
      </c>
    </row>
    <row r="960" ht="19.5" customHeight="1" s="72">
      <c r="A960" s="38" t="inlineStr">
        <is>
          <t>BaobáM-FIN-P01-BEN</t>
        </is>
      </c>
      <c r="B960" s="38" t="inlineStr">
        <is>
          <t>Final</t>
        </is>
      </c>
      <c r="C960" s="38" t="inlineStr">
        <is>
          <t>Benguela</t>
        </is>
      </c>
      <c r="D960" s="39">
        <f>IFERROR('CLASIF_Baobá_M'!$X$5,"")</f>
        <v/>
      </c>
      <c r="E960" s="40" t="n"/>
      <c r="F960" s="39">
        <f>IFERROR('CLASIF_Baobá_M'!$X$8,"")</f>
        <v/>
      </c>
      <c r="G960" s="40" t="n"/>
      <c r="H960" s="41" t="n"/>
      <c r="I960" s="42">
        <f>IF($H960="","",MAX(0,$H960-N($E960)))</f>
        <v/>
      </c>
      <c r="J960" s="42">
        <f>IF($H960="","",MAX(0,$H960-N($G960)))</f>
        <v/>
      </c>
    </row>
    <row r="961" ht="19.5" customHeight="1" s="72">
      <c r="A961" s="38" t="inlineStr">
        <is>
          <t>BaobáM-FIN-P01-SIR</t>
        </is>
      </c>
      <c r="B961" s="38" t="inlineStr">
        <is>
          <t>Final</t>
        </is>
      </c>
      <c r="C961" s="38" t="inlineStr">
        <is>
          <t>Siriuna</t>
        </is>
      </c>
      <c r="D961" s="39">
        <f>IFERROR('CLASIF_Baobá_M'!$X$5,"")</f>
        <v/>
      </c>
      <c r="E961" s="40" t="n"/>
      <c r="F961" s="39">
        <f>IFERROR('CLASIF_Baobá_M'!$X$8,"")</f>
        <v/>
      </c>
      <c r="G961" s="40" t="n"/>
      <c r="H961" s="41" t="n"/>
      <c r="I961" s="42">
        <f>IF($H961="","",MAX(0,$H961-N($E961)))</f>
        <v/>
      </c>
      <c r="J961" s="42">
        <f>IF($H961="","",MAX(0,$H961-N($G961)))</f>
        <v/>
      </c>
    </row>
    <row r="962" ht="19.5" customHeight="1" s="72">
      <c r="A962" s="38" t="inlineStr">
        <is>
          <t>BaobáM-FIN-P02-SBA</t>
        </is>
      </c>
      <c r="B962" s="38" t="inlineStr">
        <is>
          <t>Final</t>
        </is>
      </c>
      <c r="C962" s="38" t="inlineStr">
        <is>
          <t>São Bento da Abadá</t>
        </is>
      </c>
      <c r="D962" s="39">
        <f>IFERROR('CLASIF_Baobá_M'!$X$6,"")</f>
        <v/>
      </c>
      <c r="E962" s="40" t="n"/>
      <c r="F962" s="39">
        <f>IFERROR('CLASIF_Baobá_M'!$X$7,"")</f>
        <v/>
      </c>
      <c r="G962" s="40" t="n"/>
      <c r="H962" s="41" t="n"/>
      <c r="I962" s="42">
        <f>IF($H962="","",MAX(0,$H962-N($E962)))</f>
        <v/>
      </c>
      <c r="J962" s="42">
        <f>IF($H962="","",MAX(0,$H962-N($G962)))</f>
        <v/>
      </c>
    </row>
    <row r="963" ht="19.5" customHeight="1" s="72">
      <c r="A963" s="38" t="inlineStr">
        <is>
          <t>BaobáM-FIN-P02-BEN</t>
        </is>
      </c>
      <c r="B963" s="38" t="inlineStr">
        <is>
          <t>Final</t>
        </is>
      </c>
      <c r="C963" s="38" t="inlineStr">
        <is>
          <t>Benguela</t>
        </is>
      </c>
      <c r="D963" s="39">
        <f>IFERROR('CLASIF_Baobá_M'!$X$6,"")</f>
        <v/>
      </c>
      <c r="E963" s="40" t="n"/>
      <c r="F963" s="39">
        <f>IFERROR('CLASIF_Baobá_M'!$X$7,"")</f>
        <v/>
      </c>
      <c r="G963" s="40" t="n"/>
      <c r="H963" s="41" t="n"/>
      <c r="I963" s="42">
        <f>IF($H963="","",MAX(0,$H963-N($E963)))</f>
        <v/>
      </c>
      <c r="J963" s="42">
        <f>IF($H963="","",MAX(0,$H963-N($G963)))</f>
        <v/>
      </c>
    </row>
    <row r="964" ht="19.5" customHeight="1" s="72">
      <c r="A964" s="38" t="inlineStr">
        <is>
          <t>BaobáM-FIN-P02-SIR</t>
        </is>
      </c>
      <c r="B964" s="38" t="inlineStr">
        <is>
          <t>Final</t>
        </is>
      </c>
      <c r="C964" s="38" t="inlineStr">
        <is>
          <t>Siriuna</t>
        </is>
      </c>
      <c r="D964" s="39">
        <f>IFERROR('CLASIF_Baobá_M'!$X$6,"")</f>
        <v/>
      </c>
      <c r="E964" s="40" t="n"/>
      <c r="F964" s="39">
        <f>IFERROR('CLASIF_Baobá_M'!$X$7,"")</f>
        <v/>
      </c>
      <c r="G964" s="40" t="n"/>
      <c r="H964" s="41" t="n"/>
      <c r="I964" s="42">
        <f>IF($H964="","",MAX(0,$H964-N($E964)))</f>
        <v/>
      </c>
      <c r="J964" s="42">
        <f>IF($H964="","",MAX(0,$H964-N($G964)))</f>
        <v/>
      </c>
    </row>
    <row r="965" ht="19.5" customHeight="1" s="72">
      <c r="A965" s="43" t="n"/>
      <c r="B965" s="43" t="n"/>
      <c r="C965" s="43" t="n"/>
      <c r="D965" s="43" t="n"/>
      <c r="E965" s="43" t="n"/>
      <c r="F965" s="43" t="n"/>
      <c r="G965" s="43" t="n"/>
      <c r="H965" s="44" t="n"/>
      <c r="I965" s="43">
        <f>IF($H965="","",MAX(0,$H965-N($E965)))</f>
        <v/>
      </c>
      <c r="J965" s="43">
        <f>IF($H965="","",MAX(0,$H965-N($G965)))</f>
        <v/>
      </c>
    </row>
    <row r="966" ht="19.5" customHeight="1" s="72">
      <c r="A966" s="85" t="inlineStr">
        <is>
          <t>═══ CATEGORÍA Baobá · Femenino · +45 años · Toques: São Bento da Abadá, Benguela, Siriuna ═══</t>
        </is>
      </c>
    </row>
    <row r="967" ht="19.5" customHeight="1" s="72">
      <c r="A967" s="45" t="inlineStr">
        <is>
          <t>Jogo</t>
        </is>
      </c>
      <c r="B967" s="45" t="inlineStr">
        <is>
          <t>Fase</t>
        </is>
      </c>
      <c r="C967" s="45" t="inlineStr">
        <is>
          <t>Toque</t>
        </is>
      </c>
      <c r="D967" s="45" t="inlineStr">
        <is>
          <t>Jugador A</t>
        </is>
      </c>
      <c r="E967" s="45" t="inlineStr">
        <is>
          <t>Quita A</t>
        </is>
      </c>
      <c r="F967" s="45" t="inlineStr">
        <is>
          <t>Jugador B</t>
        </is>
      </c>
      <c r="G967" s="45" t="inlineStr">
        <is>
          <t>Quita B</t>
        </is>
      </c>
      <c r="H967" s="45" t="inlineStr">
        <is>
          <t>NOTA (0-5)</t>
        </is>
      </c>
      <c r="I967" s="45">
        <f>IF($H967="","",MAX(0,$H967-N($E967)))</f>
        <v/>
      </c>
      <c r="J967" s="45">
        <f>IF($H967="","",MAX(0,$H967-N($G967)))</f>
        <v/>
      </c>
    </row>
    <row r="968" ht="19.5" customHeight="1" s="72">
      <c r="A968" s="38" t="inlineStr">
        <is>
          <t>BaobáF-32-P01-SBA</t>
        </is>
      </c>
      <c r="B968" s="38" t="inlineStr">
        <is>
          <t>Fase 32</t>
        </is>
      </c>
      <c r="C968" s="38" t="inlineStr">
        <is>
          <t>São Bento da Abadá</t>
        </is>
      </c>
      <c r="D968" s="39" t="inlineStr">
        <is>
          <t>A_Baobá_F_32_P1</t>
        </is>
      </c>
      <c r="E968" s="40" t="n"/>
      <c r="F968" s="39" t="inlineStr">
        <is>
          <t>B_Baobá_F_32_P1</t>
        </is>
      </c>
      <c r="G968" s="40" t="n"/>
      <c r="H968" s="41" t="n"/>
      <c r="I968" s="42">
        <f>IF($H968="","",MAX(0,$H968-N($E968)))</f>
        <v/>
      </c>
      <c r="J968" s="42">
        <f>IF($H968="","",MAX(0,$H968-N($G968)))</f>
        <v/>
      </c>
    </row>
    <row r="969" ht="19.5" customHeight="1" s="72">
      <c r="A969" s="38" t="inlineStr">
        <is>
          <t>BaobáF-32-P01-BEN</t>
        </is>
      </c>
      <c r="B969" s="38" t="inlineStr">
        <is>
          <t>Fase 32</t>
        </is>
      </c>
      <c r="C969" s="38" t="inlineStr">
        <is>
          <t>Benguela</t>
        </is>
      </c>
      <c r="D969" s="39" t="inlineStr">
        <is>
          <t>A_Baobá_F_32_P1</t>
        </is>
      </c>
      <c r="E969" s="40" t="n"/>
      <c r="F969" s="39" t="inlineStr">
        <is>
          <t>B_Baobá_F_32_P1</t>
        </is>
      </c>
      <c r="G969" s="40" t="n"/>
      <c r="H969" s="41" t="n"/>
      <c r="I969" s="42">
        <f>IF($H969="","",MAX(0,$H969-N($E969)))</f>
        <v/>
      </c>
      <c r="J969" s="42">
        <f>IF($H969="","",MAX(0,$H969-N($G969)))</f>
        <v/>
      </c>
    </row>
    <row r="970" ht="19.5" customHeight="1" s="72">
      <c r="A970" s="38" t="inlineStr">
        <is>
          <t>BaobáF-32-P01-SIR</t>
        </is>
      </c>
      <c r="B970" s="38" t="inlineStr">
        <is>
          <t>Fase 32</t>
        </is>
      </c>
      <c r="C970" s="38" t="inlineStr">
        <is>
          <t>Siriuna</t>
        </is>
      </c>
      <c r="D970" s="39" t="inlineStr">
        <is>
          <t>A_Baobá_F_32_P1</t>
        </is>
      </c>
      <c r="E970" s="40" t="n"/>
      <c r="F970" s="39" t="inlineStr">
        <is>
          <t>B_Baobá_F_32_P1</t>
        </is>
      </c>
      <c r="G970" s="40" t="n"/>
      <c r="H970" s="41" t="n"/>
      <c r="I970" s="42">
        <f>IF($H970="","",MAX(0,$H970-N($E970)))</f>
        <v/>
      </c>
      <c r="J970" s="42">
        <f>IF($H970="","",MAX(0,$H970-N($G970)))</f>
        <v/>
      </c>
    </row>
    <row r="971" ht="19.5" customHeight="1" s="72">
      <c r="A971" s="38" t="inlineStr">
        <is>
          <t>BaobáF-32-P02-SBA</t>
        </is>
      </c>
      <c r="B971" s="38" t="inlineStr">
        <is>
          <t>Fase 32</t>
        </is>
      </c>
      <c r="C971" s="38" t="inlineStr">
        <is>
          <t>São Bento da Abadá</t>
        </is>
      </c>
      <c r="D971" s="39" t="inlineStr">
        <is>
          <t>A_Baobá_F_32_P2</t>
        </is>
      </c>
      <c r="E971" s="40" t="n"/>
      <c r="F971" s="39" t="inlineStr">
        <is>
          <t>B_Baobá_F_32_P2</t>
        </is>
      </c>
      <c r="G971" s="40" t="n"/>
      <c r="H971" s="41" t="n"/>
      <c r="I971" s="42">
        <f>IF($H971="","",MAX(0,$H971-N($E971)))</f>
        <v/>
      </c>
      <c r="J971" s="42">
        <f>IF($H971="","",MAX(0,$H971-N($G971)))</f>
        <v/>
      </c>
    </row>
    <row r="972" ht="19.5" customHeight="1" s="72">
      <c r="A972" s="38" t="inlineStr">
        <is>
          <t>BaobáF-32-P02-BEN</t>
        </is>
      </c>
      <c r="B972" s="38" t="inlineStr">
        <is>
          <t>Fase 32</t>
        </is>
      </c>
      <c r="C972" s="38" t="inlineStr">
        <is>
          <t>Benguela</t>
        </is>
      </c>
      <c r="D972" s="39" t="inlineStr">
        <is>
          <t>A_Baobá_F_32_P2</t>
        </is>
      </c>
      <c r="E972" s="40" t="n"/>
      <c r="F972" s="39" t="inlineStr">
        <is>
          <t>B_Baobá_F_32_P2</t>
        </is>
      </c>
      <c r="G972" s="40" t="n"/>
      <c r="H972" s="41" t="n"/>
      <c r="I972" s="42">
        <f>IF($H972="","",MAX(0,$H972-N($E972)))</f>
        <v/>
      </c>
      <c r="J972" s="42">
        <f>IF($H972="","",MAX(0,$H972-N($G972)))</f>
        <v/>
      </c>
    </row>
    <row r="973" ht="19.5" customHeight="1" s="72">
      <c r="A973" s="38" t="inlineStr">
        <is>
          <t>BaobáF-32-P02-SIR</t>
        </is>
      </c>
      <c r="B973" s="38" t="inlineStr">
        <is>
          <t>Fase 32</t>
        </is>
      </c>
      <c r="C973" s="38" t="inlineStr">
        <is>
          <t>Siriuna</t>
        </is>
      </c>
      <c r="D973" s="39" t="inlineStr">
        <is>
          <t>A_Baobá_F_32_P2</t>
        </is>
      </c>
      <c r="E973" s="40" t="n"/>
      <c r="F973" s="39" t="inlineStr">
        <is>
          <t>B_Baobá_F_32_P2</t>
        </is>
      </c>
      <c r="G973" s="40" t="n"/>
      <c r="H973" s="41" t="n"/>
      <c r="I973" s="42">
        <f>IF($H973="","",MAX(0,$H973-N($E973)))</f>
        <v/>
      </c>
      <c r="J973" s="42">
        <f>IF($H973="","",MAX(0,$H973-N($G973)))</f>
        <v/>
      </c>
    </row>
    <row r="974" ht="19.5" customHeight="1" s="72">
      <c r="A974" s="38" t="inlineStr">
        <is>
          <t>BaobáF-32-P03-SBA</t>
        </is>
      </c>
      <c r="B974" s="38" t="inlineStr">
        <is>
          <t>Fase 32</t>
        </is>
      </c>
      <c r="C974" s="38" t="inlineStr">
        <is>
          <t>São Bento da Abadá</t>
        </is>
      </c>
      <c r="D974" s="39" t="inlineStr">
        <is>
          <t>A_Baobá_F_32_P3</t>
        </is>
      </c>
      <c r="E974" s="40" t="n"/>
      <c r="F974" s="39" t="inlineStr">
        <is>
          <t>B_Baobá_F_32_P3</t>
        </is>
      </c>
      <c r="G974" s="40" t="n"/>
      <c r="H974" s="41" t="n"/>
      <c r="I974" s="42">
        <f>IF($H974="","",MAX(0,$H974-N($E974)))</f>
        <v/>
      </c>
      <c r="J974" s="42">
        <f>IF($H974="","",MAX(0,$H974-N($G974)))</f>
        <v/>
      </c>
    </row>
    <row r="975" ht="19.5" customHeight="1" s="72">
      <c r="A975" s="38" t="inlineStr">
        <is>
          <t>BaobáF-32-P03-BEN</t>
        </is>
      </c>
      <c r="B975" s="38" t="inlineStr">
        <is>
          <t>Fase 32</t>
        </is>
      </c>
      <c r="C975" s="38" t="inlineStr">
        <is>
          <t>Benguela</t>
        </is>
      </c>
      <c r="D975" s="39" t="inlineStr">
        <is>
          <t>A_Baobá_F_32_P3</t>
        </is>
      </c>
      <c r="E975" s="40" t="n"/>
      <c r="F975" s="39" t="inlineStr">
        <is>
          <t>B_Baobá_F_32_P3</t>
        </is>
      </c>
      <c r="G975" s="40" t="n"/>
      <c r="H975" s="41" t="n"/>
      <c r="I975" s="42">
        <f>IF($H975="","",MAX(0,$H975-N($E975)))</f>
        <v/>
      </c>
      <c r="J975" s="42">
        <f>IF($H975="","",MAX(0,$H975-N($G975)))</f>
        <v/>
      </c>
    </row>
    <row r="976" ht="19.5" customHeight="1" s="72">
      <c r="A976" s="38" t="inlineStr">
        <is>
          <t>BaobáF-32-P03-SIR</t>
        </is>
      </c>
      <c r="B976" s="38" t="inlineStr">
        <is>
          <t>Fase 32</t>
        </is>
      </c>
      <c r="C976" s="38" t="inlineStr">
        <is>
          <t>Siriuna</t>
        </is>
      </c>
      <c r="D976" s="39" t="inlineStr">
        <is>
          <t>A_Baobá_F_32_P3</t>
        </is>
      </c>
      <c r="E976" s="40" t="n"/>
      <c r="F976" s="39" t="inlineStr">
        <is>
          <t>B_Baobá_F_32_P3</t>
        </is>
      </c>
      <c r="G976" s="40" t="n"/>
      <c r="H976" s="41" t="n"/>
      <c r="I976" s="42">
        <f>IF($H976="","",MAX(0,$H976-N($E976)))</f>
        <v/>
      </c>
      <c r="J976" s="42">
        <f>IF($H976="","",MAX(0,$H976-N($G976)))</f>
        <v/>
      </c>
    </row>
    <row r="977" ht="19.5" customHeight="1" s="72">
      <c r="A977" s="38" t="inlineStr">
        <is>
          <t>BaobáF-32-P04-SBA</t>
        </is>
      </c>
      <c r="B977" s="38" t="inlineStr">
        <is>
          <t>Fase 32</t>
        </is>
      </c>
      <c r="C977" s="38" t="inlineStr">
        <is>
          <t>São Bento da Abadá</t>
        </is>
      </c>
      <c r="D977" s="39" t="inlineStr">
        <is>
          <t>A_Baobá_F_32_P4</t>
        </is>
      </c>
      <c r="E977" s="40" t="n"/>
      <c r="F977" s="39" t="inlineStr">
        <is>
          <t>B_Baobá_F_32_P4</t>
        </is>
      </c>
      <c r="G977" s="40" t="n"/>
      <c r="H977" s="41" t="n"/>
      <c r="I977" s="42">
        <f>IF($H977="","",MAX(0,$H977-N($E977)))</f>
        <v/>
      </c>
      <c r="J977" s="42">
        <f>IF($H977="","",MAX(0,$H977-N($G977)))</f>
        <v/>
      </c>
    </row>
    <row r="978" ht="19.5" customHeight="1" s="72">
      <c r="A978" s="38" t="inlineStr">
        <is>
          <t>BaobáF-32-P04-BEN</t>
        </is>
      </c>
      <c r="B978" s="38" t="inlineStr">
        <is>
          <t>Fase 32</t>
        </is>
      </c>
      <c r="C978" s="38" t="inlineStr">
        <is>
          <t>Benguela</t>
        </is>
      </c>
      <c r="D978" s="39" t="inlineStr">
        <is>
          <t>A_Baobá_F_32_P4</t>
        </is>
      </c>
      <c r="E978" s="40" t="n"/>
      <c r="F978" s="39" t="inlineStr">
        <is>
          <t>B_Baobá_F_32_P4</t>
        </is>
      </c>
      <c r="G978" s="40" t="n"/>
      <c r="H978" s="41" t="n"/>
      <c r="I978" s="42">
        <f>IF($H978="","",MAX(0,$H978-N($E978)))</f>
        <v/>
      </c>
      <c r="J978" s="42">
        <f>IF($H978="","",MAX(0,$H978-N($G978)))</f>
        <v/>
      </c>
    </row>
    <row r="979" ht="19.5" customHeight="1" s="72">
      <c r="A979" s="38" t="inlineStr">
        <is>
          <t>BaobáF-32-P04-SIR</t>
        </is>
      </c>
      <c r="B979" s="38" t="inlineStr">
        <is>
          <t>Fase 32</t>
        </is>
      </c>
      <c r="C979" s="38" t="inlineStr">
        <is>
          <t>Siriuna</t>
        </is>
      </c>
      <c r="D979" s="39" t="inlineStr">
        <is>
          <t>A_Baobá_F_32_P4</t>
        </is>
      </c>
      <c r="E979" s="40" t="n"/>
      <c r="F979" s="39" t="inlineStr">
        <is>
          <t>B_Baobá_F_32_P4</t>
        </is>
      </c>
      <c r="G979" s="40" t="n"/>
      <c r="H979" s="41" t="n"/>
      <c r="I979" s="42">
        <f>IF($H979="","",MAX(0,$H979-N($E979)))</f>
        <v/>
      </c>
      <c r="J979" s="42">
        <f>IF($H979="","",MAX(0,$H979-N($G979)))</f>
        <v/>
      </c>
    </row>
    <row r="980" ht="19.5" customHeight="1" s="72">
      <c r="A980" s="38" t="inlineStr">
        <is>
          <t>BaobáF-32-P05-SBA</t>
        </is>
      </c>
      <c r="B980" s="38" t="inlineStr">
        <is>
          <t>Fase 32</t>
        </is>
      </c>
      <c r="C980" s="38" t="inlineStr">
        <is>
          <t>São Bento da Abadá</t>
        </is>
      </c>
      <c r="D980" s="39" t="inlineStr">
        <is>
          <t>A_Baobá_F_32_P5</t>
        </is>
      </c>
      <c r="E980" s="40" t="n"/>
      <c r="F980" s="39" t="inlineStr">
        <is>
          <t>B_Baobá_F_32_P5</t>
        </is>
      </c>
      <c r="G980" s="40" t="n"/>
      <c r="H980" s="41" t="n"/>
      <c r="I980" s="42">
        <f>IF($H980="","",MAX(0,$H980-N($E980)))</f>
        <v/>
      </c>
      <c r="J980" s="42">
        <f>IF($H980="","",MAX(0,$H980-N($G980)))</f>
        <v/>
      </c>
    </row>
    <row r="981" ht="19.5" customHeight="1" s="72">
      <c r="A981" s="38" t="inlineStr">
        <is>
          <t>BaobáF-32-P05-BEN</t>
        </is>
      </c>
      <c r="B981" s="38" t="inlineStr">
        <is>
          <t>Fase 32</t>
        </is>
      </c>
      <c r="C981" s="38" t="inlineStr">
        <is>
          <t>Benguela</t>
        </is>
      </c>
      <c r="D981" s="39" t="inlineStr">
        <is>
          <t>A_Baobá_F_32_P5</t>
        </is>
      </c>
      <c r="E981" s="40" t="n"/>
      <c r="F981" s="39" t="inlineStr">
        <is>
          <t>B_Baobá_F_32_P5</t>
        </is>
      </c>
      <c r="G981" s="40" t="n"/>
      <c r="H981" s="41" t="n"/>
      <c r="I981" s="42">
        <f>IF($H981="","",MAX(0,$H981-N($E981)))</f>
        <v/>
      </c>
      <c r="J981" s="42">
        <f>IF($H981="","",MAX(0,$H981-N($G981)))</f>
        <v/>
      </c>
    </row>
    <row r="982" ht="19.5" customHeight="1" s="72">
      <c r="A982" s="38" t="inlineStr">
        <is>
          <t>BaobáF-32-P05-SIR</t>
        </is>
      </c>
      <c r="B982" s="38" t="inlineStr">
        <is>
          <t>Fase 32</t>
        </is>
      </c>
      <c r="C982" s="38" t="inlineStr">
        <is>
          <t>Siriuna</t>
        </is>
      </c>
      <c r="D982" s="39" t="inlineStr">
        <is>
          <t>A_Baobá_F_32_P5</t>
        </is>
      </c>
      <c r="E982" s="40" t="n"/>
      <c r="F982" s="39" t="inlineStr">
        <is>
          <t>B_Baobá_F_32_P5</t>
        </is>
      </c>
      <c r="G982" s="40" t="n"/>
      <c r="H982" s="41" t="n"/>
      <c r="I982" s="42">
        <f>IF($H982="","",MAX(0,$H982-N($E982)))</f>
        <v/>
      </c>
      <c r="J982" s="42">
        <f>IF($H982="","",MAX(0,$H982-N($G982)))</f>
        <v/>
      </c>
    </row>
    <row r="983" ht="19.5" customHeight="1" s="72">
      <c r="A983" s="38" t="inlineStr">
        <is>
          <t>BaobáF-32-P06-SBA</t>
        </is>
      </c>
      <c r="B983" s="38" t="inlineStr">
        <is>
          <t>Fase 32</t>
        </is>
      </c>
      <c r="C983" s="38" t="inlineStr">
        <is>
          <t>São Bento da Abadá</t>
        </is>
      </c>
      <c r="D983" s="39" t="inlineStr">
        <is>
          <t>A_Baobá_F_32_P6</t>
        </is>
      </c>
      <c r="E983" s="40" t="n"/>
      <c r="F983" s="39" t="inlineStr">
        <is>
          <t>B_Baobá_F_32_P6</t>
        </is>
      </c>
      <c r="G983" s="40" t="n"/>
      <c r="H983" s="41" t="n"/>
      <c r="I983" s="42">
        <f>IF($H983="","",MAX(0,$H983-N($E983)))</f>
        <v/>
      </c>
      <c r="J983" s="42">
        <f>IF($H983="","",MAX(0,$H983-N($G983)))</f>
        <v/>
      </c>
    </row>
    <row r="984" ht="19.5" customHeight="1" s="72">
      <c r="A984" s="38" t="inlineStr">
        <is>
          <t>BaobáF-32-P06-BEN</t>
        </is>
      </c>
      <c r="B984" s="38" t="inlineStr">
        <is>
          <t>Fase 32</t>
        </is>
      </c>
      <c r="C984" s="38" t="inlineStr">
        <is>
          <t>Benguela</t>
        </is>
      </c>
      <c r="D984" s="39" t="inlineStr">
        <is>
          <t>A_Baobá_F_32_P6</t>
        </is>
      </c>
      <c r="E984" s="40" t="n"/>
      <c r="F984" s="39" t="inlineStr">
        <is>
          <t>B_Baobá_F_32_P6</t>
        </is>
      </c>
      <c r="G984" s="40" t="n"/>
      <c r="H984" s="41" t="n"/>
      <c r="I984" s="42">
        <f>IF($H984="","",MAX(0,$H984-N($E984)))</f>
        <v/>
      </c>
      <c r="J984" s="42">
        <f>IF($H984="","",MAX(0,$H984-N($G984)))</f>
        <v/>
      </c>
    </row>
    <row r="985" ht="19.5" customHeight="1" s="72">
      <c r="A985" s="38" t="inlineStr">
        <is>
          <t>BaobáF-32-P06-SIR</t>
        </is>
      </c>
      <c r="B985" s="38" t="inlineStr">
        <is>
          <t>Fase 32</t>
        </is>
      </c>
      <c r="C985" s="38" t="inlineStr">
        <is>
          <t>Siriuna</t>
        </is>
      </c>
      <c r="D985" s="39" t="inlineStr">
        <is>
          <t>A_Baobá_F_32_P6</t>
        </is>
      </c>
      <c r="E985" s="40" t="n"/>
      <c r="F985" s="39" t="inlineStr">
        <is>
          <t>B_Baobá_F_32_P6</t>
        </is>
      </c>
      <c r="G985" s="40" t="n"/>
      <c r="H985" s="41" t="n"/>
      <c r="I985" s="42">
        <f>IF($H985="","",MAX(0,$H985-N($E985)))</f>
        <v/>
      </c>
      <c r="J985" s="42">
        <f>IF($H985="","",MAX(0,$H985-N($G985)))</f>
        <v/>
      </c>
    </row>
    <row r="986" ht="19.5" customHeight="1" s="72">
      <c r="A986" s="38" t="inlineStr">
        <is>
          <t>BaobáF-32-P07-SBA</t>
        </is>
      </c>
      <c r="B986" s="38" t="inlineStr">
        <is>
          <t>Fase 32</t>
        </is>
      </c>
      <c r="C986" s="38" t="inlineStr">
        <is>
          <t>São Bento da Abadá</t>
        </is>
      </c>
      <c r="D986" s="39" t="inlineStr">
        <is>
          <t>A_Baobá_F_32_P7</t>
        </is>
      </c>
      <c r="E986" s="40" t="n"/>
      <c r="F986" s="39" t="inlineStr">
        <is>
          <t>B_Baobá_F_32_P7</t>
        </is>
      </c>
      <c r="G986" s="40" t="n"/>
      <c r="H986" s="41" t="n"/>
      <c r="I986" s="42">
        <f>IF($H986="","",MAX(0,$H986-N($E986)))</f>
        <v/>
      </c>
      <c r="J986" s="42">
        <f>IF($H986="","",MAX(0,$H986-N($G986)))</f>
        <v/>
      </c>
    </row>
    <row r="987" ht="19.5" customHeight="1" s="72">
      <c r="A987" s="38" t="inlineStr">
        <is>
          <t>BaobáF-32-P07-BEN</t>
        </is>
      </c>
      <c r="B987" s="38" t="inlineStr">
        <is>
          <t>Fase 32</t>
        </is>
      </c>
      <c r="C987" s="38" t="inlineStr">
        <is>
          <t>Benguela</t>
        </is>
      </c>
      <c r="D987" s="39" t="inlineStr">
        <is>
          <t>A_Baobá_F_32_P7</t>
        </is>
      </c>
      <c r="E987" s="40" t="n"/>
      <c r="F987" s="39" t="inlineStr">
        <is>
          <t>B_Baobá_F_32_P7</t>
        </is>
      </c>
      <c r="G987" s="40" t="n"/>
      <c r="H987" s="41" t="n"/>
      <c r="I987" s="42">
        <f>IF($H987="","",MAX(0,$H987-N($E987)))</f>
        <v/>
      </c>
      <c r="J987" s="42">
        <f>IF($H987="","",MAX(0,$H987-N($G987)))</f>
        <v/>
      </c>
    </row>
    <row r="988" ht="19.5" customHeight="1" s="72">
      <c r="A988" s="38" t="inlineStr">
        <is>
          <t>BaobáF-32-P07-SIR</t>
        </is>
      </c>
      <c r="B988" s="38" t="inlineStr">
        <is>
          <t>Fase 32</t>
        </is>
      </c>
      <c r="C988" s="38" t="inlineStr">
        <is>
          <t>Siriuna</t>
        </is>
      </c>
      <c r="D988" s="39" t="inlineStr">
        <is>
          <t>A_Baobá_F_32_P7</t>
        </is>
      </c>
      <c r="E988" s="40" t="n"/>
      <c r="F988" s="39" t="inlineStr">
        <is>
          <t>B_Baobá_F_32_P7</t>
        </is>
      </c>
      <c r="G988" s="40" t="n"/>
      <c r="H988" s="41" t="n"/>
      <c r="I988" s="42">
        <f>IF($H988="","",MAX(0,$H988-N($E988)))</f>
        <v/>
      </c>
      <c r="J988" s="42">
        <f>IF($H988="","",MAX(0,$H988-N($G988)))</f>
        <v/>
      </c>
    </row>
    <row r="989" ht="19.5" customHeight="1" s="72">
      <c r="A989" s="38" t="inlineStr">
        <is>
          <t>BaobáF-32-P08-SBA</t>
        </is>
      </c>
      <c r="B989" s="38" t="inlineStr">
        <is>
          <t>Fase 32</t>
        </is>
      </c>
      <c r="C989" s="38" t="inlineStr">
        <is>
          <t>São Bento da Abadá</t>
        </is>
      </c>
      <c r="D989" s="39" t="inlineStr">
        <is>
          <t>A_Baobá_F_32_P8</t>
        </is>
      </c>
      <c r="E989" s="40" t="n"/>
      <c r="F989" s="39" t="inlineStr">
        <is>
          <t>B_Baobá_F_32_P8</t>
        </is>
      </c>
      <c r="G989" s="40" t="n"/>
      <c r="H989" s="41" t="n"/>
      <c r="I989" s="42">
        <f>IF($H989="","",MAX(0,$H989-N($E989)))</f>
        <v/>
      </c>
      <c r="J989" s="42">
        <f>IF($H989="","",MAX(0,$H989-N($G989)))</f>
        <v/>
      </c>
    </row>
    <row r="990" ht="19.5" customHeight="1" s="72">
      <c r="A990" s="38" t="inlineStr">
        <is>
          <t>BaobáF-32-P08-BEN</t>
        </is>
      </c>
      <c r="B990" s="38" t="inlineStr">
        <is>
          <t>Fase 32</t>
        </is>
      </c>
      <c r="C990" s="38" t="inlineStr">
        <is>
          <t>Benguela</t>
        </is>
      </c>
      <c r="D990" s="39" t="inlineStr">
        <is>
          <t>A_Baobá_F_32_P8</t>
        </is>
      </c>
      <c r="E990" s="40" t="n"/>
      <c r="F990" s="39" t="inlineStr">
        <is>
          <t>B_Baobá_F_32_P8</t>
        </is>
      </c>
      <c r="G990" s="40" t="n"/>
      <c r="H990" s="41" t="n"/>
      <c r="I990" s="42">
        <f>IF($H990="","",MAX(0,$H990-N($E990)))</f>
        <v/>
      </c>
      <c r="J990" s="42">
        <f>IF($H990="","",MAX(0,$H990-N($G990)))</f>
        <v/>
      </c>
    </row>
    <row r="991" ht="19.5" customHeight="1" s="72">
      <c r="A991" s="38" t="inlineStr">
        <is>
          <t>BaobáF-32-P08-SIR</t>
        </is>
      </c>
      <c r="B991" s="38" t="inlineStr">
        <is>
          <t>Fase 32</t>
        </is>
      </c>
      <c r="C991" s="38" t="inlineStr">
        <is>
          <t>Siriuna</t>
        </is>
      </c>
      <c r="D991" s="39" t="inlineStr">
        <is>
          <t>A_Baobá_F_32_P8</t>
        </is>
      </c>
      <c r="E991" s="40" t="n"/>
      <c r="F991" s="39" t="inlineStr">
        <is>
          <t>B_Baobá_F_32_P8</t>
        </is>
      </c>
      <c r="G991" s="40" t="n"/>
      <c r="H991" s="41" t="n"/>
      <c r="I991" s="42">
        <f>IF($H991="","",MAX(0,$H991-N($E991)))</f>
        <v/>
      </c>
      <c r="J991" s="42">
        <f>IF($H991="","",MAX(0,$H991-N($G991)))</f>
        <v/>
      </c>
    </row>
    <row r="992" ht="19.5" customHeight="1" s="72">
      <c r="A992" s="38" t="inlineStr">
        <is>
          <t>BaobáF-32-P09-SBA</t>
        </is>
      </c>
      <c r="B992" s="38" t="inlineStr">
        <is>
          <t>Fase 32</t>
        </is>
      </c>
      <c r="C992" s="38" t="inlineStr">
        <is>
          <t>São Bento da Abadá</t>
        </is>
      </c>
      <c r="D992" s="39" t="inlineStr">
        <is>
          <t>A_Baobá_F_32_P9</t>
        </is>
      </c>
      <c r="E992" s="40" t="n"/>
      <c r="F992" s="39" t="inlineStr">
        <is>
          <t>B_Baobá_F_32_P9</t>
        </is>
      </c>
      <c r="G992" s="40" t="n"/>
      <c r="H992" s="41" t="n"/>
      <c r="I992" s="42">
        <f>IF($H992="","",MAX(0,$H992-N($E992)))</f>
        <v/>
      </c>
      <c r="J992" s="42">
        <f>IF($H992="","",MAX(0,$H992-N($G992)))</f>
        <v/>
      </c>
    </row>
    <row r="993" ht="19.5" customHeight="1" s="72">
      <c r="A993" s="38" t="inlineStr">
        <is>
          <t>BaobáF-32-P09-BEN</t>
        </is>
      </c>
      <c r="B993" s="38" t="inlineStr">
        <is>
          <t>Fase 32</t>
        </is>
      </c>
      <c r="C993" s="38" t="inlineStr">
        <is>
          <t>Benguela</t>
        </is>
      </c>
      <c r="D993" s="39" t="inlineStr">
        <is>
          <t>A_Baobá_F_32_P9</t>
        </is>
      </c>
      <c r="E993" s="40" t="n"/>
      <c r="F993" s="39" t="inlineStr">
        <is>
          <t>B_Baobá_F_32_P9</t>
        </is>
      </c>
      <c r="G993" s="40" t="n"/>
      <c r="H993" s="41" t="n"/>
      <c r="I993" s="42">
        <f>IF($H993="","",MAX(0,$H993-N($E993)))</f>
        <v/>
      </c>
      <c r="J993" s="42">
        <f>IF($H993="","",MAX(0,$H993-N($G993)))</f>
        <v/>
      </c>
    </row>
    <row r="994" ht="19.5" customHeight="1" s="72">
      <c r="A994" s="38" t="inlineStr">
        <is>
          <t>BaobáF-32-P09-SIR</t>
        </is>
      </c>
      <c r="B994" s="38" t="inlineStr">
        <is>
          <t>Fase 32</t>
        </is>
      </c>
      <c r="C994" s="38" t="inlineStr">
        <is>
          <t>Siriuna</t>
        </is>
      </c>
      <c r="D994" s="39" t="inlineStr">
        <is>
          <t>A_Baobá_F_32_P9</t>
        </is>
      </c>
      <c r="E994" s="40" t="n"/>
      <c r="F994" s="39" t="inlineStr">
        <is>
          <t>B_Baobá_F_32_P9</t>
        </is>
      </c>
      <c r="G994" s="40" t="n"/>
      <c r="H994" s="41" t="n"/>
      <c r="I994" s="42">
        <f>IF($H994="","",MAX(0,$H994-N($E994)))</f>
        <v/>
      </c>
      <c r="J994" s="42">
        <f>IF($H994="","",MAX(0,$H994-N($G994)))</f>
        <v/>
      </c>
    </row>
    <row r="995" ht="19.5" customHeight="1" s="72">
      <c r="A995" s="38" t="inlineStr">
        <is>
          <t>BaobáF-32-P10-SBA</t>
        </is>
      </c>
      <c r="B995" s="38" t="inlineStr">
        <is>
          <t>Fase 32</t>
        </is>
      </c>
      <c r="C995" s="38" t="inlineStr">
        <is>
          <t>São Bento da Abadá</t>
        </is>
      </c>
      <c r="D995" s="39" t="inlineStr">
        <is>
          <t>A_Baobá_F_32_P10</t>
        </is>
      </c>
      <c r="E995" s="40" t="n"/>
      <c r="F995" s="39" t="inlineStr">
        <is>
          <t>B_Baobá_F_32_P10</t>
        </is>
      </c>
      <c r="G995" s="40" t="n"/>
      <c r="H995" s="41" t="n"/>
      <c r="I995" s="42">
        <f>IF($H995="","",MAX(0,$H995-N($E995)))</f>
        <v/>
      </c>
      <c r="J995" s="42">
        <f>IF($H995="","",MAX(0,$H995-N($G995)))</f>
        <v/>
      </c>
    </row>
    <row r="996" ht="19.5" customHeight="1" s="72">
      <c r="A996" s="38" t="inlineStr">
        <is>
          <t>BaobáF-32-P10-BEN</t>
        </is>
      </c>
      <c r="B996" s="38" t="inlineStr">
        <is>
          <t>Fase 32</t>
        </is>
      </c>
      <c r="C996" s="38" t="inlineStr">
        <is>
          <t>Benguela</t>
        </is>
      </c>
      <c r="D996" s="39" t="inlineStr">
        <is>
          <t>A_Baobá_F_32_P10</t>
        </is>
      </c>
      <c r="E996" s="40" t="n"/>
      <c r="F996" s="39" t="inlineStr">
        <is>
          <t>B_Baobá_F_32_P10</t>
        </is>
      </c>
      <c r="G996" s="40" t="n"/>
      <c r="H996" s="41" t="n"/>
      <c r="I996" s="42">
        <f>IF($H996="","",MAX(0,$H996-N($E996)))</f>
        <v/>
      </c>
      <c r="J996" s="42">
        <f>IF($H996="","",MAX(0,$H996-N($G996)))</f>
        <v/>
      </c>
    </row>
    <row r="997" ht="19.5" customHeight="1" s="72">
      <c r="A997" s="38" t="inlineStr">
        <is>
          <t>BaobáF-32-P10-SIR</t>
        </is>
      </c>
      <c r="B997" s="38" t="inlineStr">
        <is>
          <t>Fase 32</t>
        </is>
      </c>
      <c r="C997" s="38" t="inlineStr">
        <is>
          <t>Siriuna</t>
        </is>
      </c>
      <c r="D997" s="39" t="inlineStr">
        <is>
          <t>A_Baobá_F_32_P10</t>
        </is>
      </c>
      <c r="E997" s="40" t="n"/>
      <c r="F997" s="39" t="inlineStr">
        <is>
          <t>B_Baobá_F_32_P10</t>
        </is>
      </c>
      <c r="G997" s="40" t="n"/>
      <c r="H997" s="41" t="n"/>
      <c r="I997" s="42">
        <f>IF($H997="","",MAX(0,$H997-N($E997)))</f>
        <v/>
      </c>
      <c r="J997" s="42">
        <f>IF($H997="","",MAX(0,$H997-N($G997)))</f>
        <v/>
      </c>
    </row>
    <row r="998" ht="19.5" customHeight="1" s="72">
      <c r="A998" s="38" t="inlineStr">
        <is>
          <t>BaobáF-32-P11-SBA</t>
        </is>
      </c>
      <c r="B998" s="38" t="inlineStr">
        <is>
          <t>Fase 32</t>
        </is>
      </c>
      <c r="C998" s="38" t="inlineStr">
        <is>
          <t>São Bento da Abadá</t>
        </is>
      </c>
      <c r="D998" s="39" t="inlineStr">
        <is>
          <t>A_Baobá_F_32_P11</t>
        </is>
      </c>
      <c r="E998" s="40" t="n"/>
      <c r="F998" s="39" t="inlineStr">
        <is>
          <t>B_Baobá_F_32_P11</t>
        </is>
      </c>
      <c r="G998" s="40" t="n"/>
      <c r="H998" s="41" t="n"/>
      <c r="I998" s="42">
        <f>IF($H998="","",MAX(0,$H998-N($E998)))</f>
        <v/>
      </c>
      <c r="J998" s="42">
        <f>IF($H998="","",MAX(0,$H998-N($G998)))</f>
        <v/>
      </c>
    </row>
    <row r="999" ht="19.5" customHeight="1" s="72">
      <c r="A999" s="38" t="inlineStr">
        <is>
          <t>BaobáF-32-P11-BEN</t>
        </is>
      </c>
      <c r="B999" s="38" t="inlineStr">
        <is>
          <t>Fase 32</t>
        </is>
      </c>
      <c r="C999" s="38" t="inlineStr">
        <is>
          <t>Benguela</t>
        </is>
      </c>
      <c r="D999" s="39" t="inlineStr">
        <is>
          <t>A_Baobá_F_32_P11</t>
        </is>
      </c>
      <c r="E999" s="40" t="n"/>
      <c r="F999" s="39" t="inlineStr">
        <is>
          <t>B_Baobá_F_32_P11</t>
        </is>
      </c>
      <c r="G999" s="40" t="n"/>
      <c r="H999" s="41" t="n"/>
      <c r="I999" s="42">
        <f>IF($H999="","",MAX(0,$H999-N($E999)))</f>
        <v/>
      </c>
      <c r="J999" s="42">
        <f>IF($H999="","",MAX(0,$H999-N($G999)))</f>
        <v/>
      </c>
    </row>
    <row r="1000" ht="19.5" customHeight="1" s="72">
      <c r="A1000" s="38" t="inlineStr">
        <is>
          <t>BaobáF-32-P11-SIR</t>
        </is>
      </c>
      <c r="B1000" s="38" t="inlineStr">
        <is>
          <t>Fase 32</t>
        </is>
      </c>
      <c r="C1000" s="38" t="inlineStr">
        <is>
          <t>Siriuna</t>
        </is>
      </c>
      <c r="D1000" s="39" t="inlineStr">
        <is>
          <t>A_Baobá_F_32_P11</t>
        </is>
      </c>
      <c r="E1000" s="40" t="n"/>
      <c r="F1000" s="39" t="inlineStr">
        <is>
          <t>B_Baobá_F_32_P11</t>
        </is>
      </c>
      <c r="G1000" s="40" t="n"/>
      <c r="H1000" s="41" t="n"/>
      <c r="I1000" s="42">
        <f>IF($H1000="","",MAX(0,$H1000-N($E1000)))</f>
        <v/>
      </c>
      <c r="J1000" s="42">
        <f>IF($H1000="","",MAX(0,$H1000-N($G1000)))</f>
        <v/>
      </c>
    </row>
    <row r="1001" ht="19.5" customHeight="1" s="72">
      <c r="A1001" s="38" t="inlineStr">
        <is>
          <t>BaobáF-32-P12-SBA</t>
        </is>
      </c>
      <c r="B1001" s="38" t="inlineStr">
        <is>
          <t>Fase 32</t>
        </is>
      </c>
      <c r="C1001" s="38" t="inlineStr">
        <is>
          <t>São Bento da Abadá</t>
        </is>
      </c>
      <c r="D1001" s="39" t="inlineStr">
        <is>
          <t>A_Baobá_F_32_P12</t>
        </is>
      </c>
      <c r="E1001" s="40" t="n"/>
      <c r="F1001" s="39" t="inlineStr">
        <is>
          <t>B_Baobá_F_32_P12</t>
        </is>
      </c>
      <c r="G1001" s="40" t="n"/>
      <c r="H1001" s="41" t="n"/>
      <c r="I1001" s="42">
        <f>IF($H1001="","",MAX(0,$H1001-N($E1001)))</f>
        <v/>
      </c>
      <c r="J1001" s="42">
        <f>IF($H1001="","",MAX(0,$H1001-N($G1001)))</f>
        <v/>
      </c>
    </row>
    <row r="1002" ht="19.5" customHeight="1" s="72">
      <c r="A1002" s="38" t="inlineStr">
        <is>
          <t>BaobáF-32-P12-BEN</t>
        </is>
      </c>
      <c r="B1002" s="38" t="inlineStr">
        <is>
          <t>Fase 32</t>
        </is>
      </c>
      <c r="C1002" s="38" t="inlineStr">
        <is>
          <t>Benguela</t>
        </is>
      </c>
      <c r="D1002" s="39" t="inlineStr">
        <is>
          <t>A_Baobá_F_32_P12</t>
        </is>
      </c>
      <c r="E1002" s="40" t="n"/>
      <c r="F1002" s="39" t="inlineStr">
        <is>
          <t>B_Baobá_F_32_P12</t>
        </is>
      </c>
      <c r="G1002" s="40" t="n"/>
      <c r="H1002" s="41" t="n"/>
      <c r="I1002" s="42">
        <f>IF($H1002="","",MAX(0,$H1002-N($E1002)))</f>
        <v/>
      </c>
      <c r="J1002" s="42">
        <f>IF($H1002="","",MAX(0,$H1002-N($G1002)))</f>
        <v/>
      </c>
    </row>
    <row r="1003" ht="19.5" customHeight="1" s="72">
      <c r="A1003" s="38" t="inlineStr">
        <is>
          <t>BaobáF-32-P12-SIR</t>
        </is>
      </c>
      <c r="B1003" s="38" t="inlineStr">
        <is>
          <t>Fase 32</t>
        </is>
      </c>
      <c r="C1003" s="38" t="inlineStr">
        <is>
          <t>Siriuna</t>
        </is>
      </c>
      <c r="D1003" s="39" t="inlineStr">
        <is>
          <t>A_Baobá_F_32_P12</t>
        </is>
      </c>
      <c r="E1003" s="40" t="n"/>
      <c r="F1003" s="39" t="inlineStr">
        <is>
          <t>B_Baobá_F_32_P12</t>
        </is>
      </c>
      <c r="G1003" s="40" t="n"/>
      <c r="H1003" s="41" t="n"/>
      <c r="I1003" s="42">
        <f>IF($H1003="","",MAX(0,$H1003-N($E1003)))</f>
        <v/>
      </c>
      <c r="J1003" s="42">
        <f>IF($H1003="","",MAX(0,$H1003-N($G1003)))</f>
        <v/>
      </c>
    </row>
    <row r="1004" ht="19.5" customHeight="1" s="72">
      <c r="A1004" s="38" t="inlineStr">
        <is>
          <t>BaobáF-32-P13-SBA</t>
        </is>
      </c>
      <c r="B1004" s="38" t="inlineStr">
        <is>
          <t>Fase 32</t>
        </is>
      </c>
      <c r="C1004" s="38" t="inlineStr">
        <is>
          <t>São Bento da Abadá</t>
        </is>
      </c>
      <c r="D1004" s="39" t="inlineStr">
        <is>
          <t>A_Baobá_F_32_P13</t>
        </is>
      </c>
      <c r="E1004" s="40" t="n"/>
      <c r="F1004" s="39" t="inlineStr">
        <is>
          <t>B_Baobá_F_32_P13</t>
        </is>
      </c>
      <c r="G1004" s="40" t="n"/>
      <c r="H1004" s="41" t="n"/>
      <c r="I1004" s="42">
        <f>IF($H1004="","",MAX(0,$H1004-N($E1004)))</f>
        <v/>
      </c>
      <c r="J1004" s="42">
        <f>IF($H1004="","",MAX(0,$H1004-N($G1004)))</f>
        <v/>
      </c>
    </row>
    <row r="1005" ht="19.5" customHeight="1" s="72">
      <c r="A1005" s="38" t="inlineStr">
        <is>
          <t>BaobáF-32-P13-BEN</t>
        </is>
      </c>
      <c r="B1005" s="38" t="inlineStr">
        <is>
          <t>Fase 32</t>
        </is>
      </c>
      <c r="C1005" s="38" t="inlineStr">
        <is>
          <t>Benguela</t>
        </is>
      </c>
      <c r="D1005" s="39" t="inlineStr">
        <is>
          <t>A_Baobá_F_32_P13</t>
        </is>
      </c>
      <c r="E1005" s="40" t="n"/>
      <c r="F1005" s="39" t="inlineStr">
        <is>
          <t>B_Baobá_F_32_P13</t>
        </is>
      </c>
      <c r="G1005" s="40" t="n"/>
      <c r="H1005" s="41" t="n"/>
      <c r="I1005" s="42">
        <f>IF($H1005="","",MAX(0,$H1005-N($E1005)))</f>
        <v/>
      </c>
      <c r="J1005" s="42">
        <f>IF($H1005="","",MAX(0,$H1005-N($G1005)))</f>
        <v/>
      </c>
    </row>
    <row r="1006" ht="19.5" customHeight="1" s="72">
      <c r="A1006" s="38" t="inlineStr">
        <is>
          <t>BaobáF-32-P13-SIR</t>
        </is>
      </c>
      <c r="B1006" s="38" t="inlineStr">
        <is>
          <t>Fase 32</t>
        </is>
      </c>
      <c r="C1006" s="38" t="inlineStr">
        <is>
          <t>Siriuna</t>
        </is>
      </c>
      <c r="D1006" s="39" t="inlineStr">
        <is>
          <t>A_Baobá_F_32_P13</t>
        </is>
      </c>
      <c r="E1006" s="40" t="n"/>
      <c r="F1006" s="39" t="inlineStr">
        <is>
          <t>B_Baobá_F_32_P13</t>
        </is>
      </c>
      <c r="G1006" s="40" t="n"/>
      <c r="H1006" s="41" t="n"/>
      <c r="I1006" s="42">
        <f>IF($H1006="","",MAX(0,$H1006-N($E1006)))</f>
        <v/>
      </c>
      <c r="J1006" s="42">
        <f>IF($H1006="","",MAX(0,$H1006-N($G1006)))</f>
        <v/>
      </c>
    </row>
    <row r="1007" ht="19.5" customHeight="1" s="72">
      <c r="A1007" s="38" t="inlineStr">
        <is>
          <t>BaobáF-32-P14-SBA</t>
        </is>
      </c>
      <c r="B1007" s="38" t="inlineStr">
        <is>
          <t>Fase 32</t>
        </is>
      </c>
      <c r="C1007" s="38" t="inlineStr">
        <is>
          <t>São Bento da Abadá</t>
        </is>
      </c>
      <c r="D1007" s="39" t="inlineStr">
        <is>
          <t>A_Baobá_F_32_P14</t>
        </is>
      </c>
      <c r="E1007" s="40" t="n"/>
      <c r="F1007" s="39" t="inlineStr">
        <is>
          <t>B_Baobá_F_32_P14</t>
        </is>
      </c>
      <c r="G1007" s="40" t="n"/>
      <c r="H1007" s="41" t="n"/>
      <c r="I1007" s="42">
        <f>IF($H1007="","",MAX(0,$H1007-N($E1007)))</f>
        <v/>
      </c>
      <c r="J1007" s="42">
        <f>IF($H1007="","",MAX(0,$H1007-N($G1007)))</f>
        <v/>
      </c>
    </row>
    <row r="1008" ht="19.5" customHeight="1" s="72">
      <c r="A1008" s="38" t="inlineStr">
        <is>
          <t>BaobáF-32-P14-BEN</t>
        </is>
      </c>
      <c r="B1008" s="38" t="inlineStr">
        <is>
          <t>Fase 32</t>
        </is>
      </c>
      <c r="C1008" s="38" t="inlineStr">
        <is>
          <t>Benguela</t>
        </is>
      </c>
      <c r="D1008" s="39" t="inlineStr">
        <is>
          <t>A_Baobá_F_32_P14</t>
        </is>
      </c>
      <c r="E1008" s="40" t="n"/>
      <c r="F1008" s="39" t="inlineStr">
        <is>
          <t>B_Baobá_F_32_P14</t>
        </is>
      </c>
      <c r="G1008" s="40" t="n"/>
      <c r="H1008" s="41" t="n"/>
      <c r="I1008" s="42">
        <f>IF($H1008="","",MAX(0,$H1008-N($E1008)))</f>
        <v/>
      </c>
      <c r="J1008" s="42">
        <f>IF($H1008="","",MAX(0,$H1008-N($G1008)))</f>
        <v/>
      </c>
    </row>
    <row r="1009" ht="19.5" customHeight="1" s="72">
      <c r="A1009" s="38" t="inlineStr">
        <is>
          <t>BaobáF-32-P14-SIR</t>
        </is>
      </c>
      <c r="B1009" s="38" t="inlineStr">
        <is>
          <t>Fase 32</t>
        </is>
      </c>
      <c r="C1009" s="38" t="inlineStr">
        <is>
          <t>Siriuna</t>
        </is>
      </c>
      <c r="D1009" s="39" t="inlineStr">
        <is>
          <t>A_Baobá_F_32_P14</t>
        </is>
      </c>
      <c r="E1009" s="40" t="n"/>
      <c r="F1009" s="39" t="inlineStr">
        <is>
          <t>B_Baobá_F_32_P14</t>
        </is>
      </c>
      <c r="G1009" s="40" t="n"/>
      <c r="H1009" s="41" t="n"/>
      <c r="I1009" s="42">
        <f>IF($H1009="","",MAX(0,$H1009-N($E1009)))</f>
        <v/>
      </c>
      <c r="J1009" s="42">
        <f>IF($H1009="","",MAX(0,$H1009-N($G1009)))</f>
        <v/>
      </c>
    </row>
    <row r="1010" ht="19.5" customHeight="1" s="72">
      <c r="A1010" s="38" t="inlineStr">
        <is>
          <t>BaobáF-32-P15-SBA</t>
        </is>
      </c>
      <c r="B1010" s="38" t="inlineStr">
        <is>
          <t>Fase 32</t>
        </is>
      </c>
      <c r="C1010" s="38" t="inlineStr">
        <is>
          <t>São Bento da Abadá</t>
        </is>
      </c>
      <c r="D1010" s="39" t="inlineStr">
        <is>
          <t>A_Baobá_F_32_P15</t>
        </is>
      </c>
      <c r="E1010" s="40" t="n"/>
      <c r="F1010" s="39" t="inlineStr">
        <is>
          <t>B_Baobá_F_32_P15</t>
        </is>
      </c>
      <c r="G1010" s="40" t="n"/>
      <c r="H1010" s="41" t="n"/>
      <c r="I1010" s="42">
        <f>IF($H1010="","",MAX(0,$H1010-N($E1010)))</f>
        <v/>
      </c>
      <c r="J1010" s="42">
        <f>IF($H1010="","",MAX(0,$H1010-N($G1010)))</f>
        <v/>
      </c>
    </row>
    <row r="1011" ht="19.5" customHeight="1" s="72">
      <c r="A1011" s="38" t="inlineStr">
        <is>
          <t>BaobáF-32-P15-BEN</t>
        </is>
      </c>
      <c r="B1011" s="38" t="inlineStr">
        <is>
          <t>Fase 32</t>
        </is>
      </c>
      <c r="C1011" s="38" t="inlineStr">
        <is>
          <t>Benguela</t>
        </is>
      </c>
      <c r="D1011" s="39" t="inlineStr">
        <is>
          <t>A_Baobá_F_32_P15</t>
        </is>
      </c>
      <c r="E1011" s="40" t="n"/>
      <c r="F1011" s="39" t="inlineStr">
        <is>
          <t>B_Baobá_F_32_P15</t>
        </is>
      </c>
      <c r="G1011" s="40" t="n"/>
      <c r="H1011" s="41" t="n"/>
      <c r="I1011" s="42">
        <f>IF($H1011="","",MAX(0,$H1011-N($E1011)))</f>
        <v/>
      </c>
      <c r="J1011" s="42">
        <f>IF($H1011="","",MAX(0,$H1011-N($G1011)))</f>
        <v/>
      </c>
    </row>
    <row r="1012" ht="19.5" customHeight="1" s="72">
      <c r="A1012" s="38" t="inlineStr">
        <is>
          <t>BaobáF-32-P15-SIR</t>
        </is>
      </c>
      <c r="B1012" s="38" t="inlineStr">
        <is>
          <t>Fase 32</t>
        </is>
      </c>
      <c r="C1012" s="38" t="inlineStr">
        <is>
          <t>Siriuna</t>
        </is>
      </c>
      <c r="D1012" s="39" t="inlineStr">
        <is>
          <t>A_Baobá_F_32_P15</t>
        </is>
      </c>
      <c r="E1012" s="40" t="n"/>
      <c r="F1012" s="39" t="inlineStr">
        <is>
          <t>B_Baobá_F_32_P15</t>
        </is>
      </c>
      <c r="G1012" s="40" t="n"/>
      <c r="H1012" s="41" t="n"/>
      <c r="I1012" s="42">
        <f>IF($H1012="","",MAX(0,$H1012-N($E1012)))</f>
        <v/>
      </c>
      <c r="J1012" s="42">
        <f>IF($H1012="","",MAX(0,$H1012-N($G1012)))</f>
        <v/>
      </c>
    </row>
    <row r="1013" ht="19.5" customHeight="1" s="72">
      <c r="A1013" s="38" t="inlineStr">
        <is>
          <t>BaobáF-32-P16-SBA</t>
        </is>
      </c>
      <c r="B1013" s="38" t="inlineStr">
        <is>
          <t>Fase 32</t>
        </is>
      </c>
      <c r="C1013" s="38" t="inlineStr">
        <is>
          <t>São Bento da Abadá</t>
        </is>
      </c>
      <c r="D1013" s="39" t="inlineStr">
        <is>
          <t>A_Baobá_F_32_P16</t>
        </is>
      </c>
      <c r="E1013" s="40" t="n"/>
      <c r="F1013" s="39" t="inlineStr">
        <is>
          <t>B_Baobá_F_32_P16</t>
        </is>
      </c>
      <c r="G1013" s="40" t="n"/>
      <c r="H1013" s="41" t="n"/>
      <c r="I1013" s="42">
        <f>IF($H1013="","",MAX(0,$H1013-N($E1013)))</f>
        <v/>
      </c>
      <c r="J1013" s="42">
        <f>IF($H1013="","",MAX(0,$H1013-N($G1013)))</f>
        <v/>
      </c>
    </row>
    <row r="1014" ht="19.5" customHeight="1" s="72">
      <c r="A1014" s="38" t="inlineStr">
        <is>
          <t>BaobáF-32-P16-BEN</t>
        </is>
      </c>
      <c r="B1014" s="38" t="inlineStr">
        <is>
          <t>Fase 32</t>
        </is>
      </c>
      <c r="C1014" s="38" t="inlineStr">
        <is>
          <t>Benguela</t>
        </is>
      </c>
      <c r="D1014" s="39" t="inlineStr">
        <is>
          <t>A_Baobá_F_32_P16</t>
        </is>
      </c>
      <c r="E1014" s="40" t="n"/>
      <c r="F1014" s="39" t="inlineStr">
        <is>
          <t>B_Baobá_F_32_P16</t>
        </is>
      </c>
      <c r="G1014" s="40" t="n"/>
      <c r="H1014" s="41" t="n"/>
      <c r="I1014" s="42">
        <f>IF($H1014="","",MAX(0,$H1014-N($E1014)))</f>
        <v/>
      </c>
      <c r="J1014" s="42">
        <f>IF($H1014="","",MAX(0,$H1014-N($G1014)))</f>
        <v/>
      </c>
    </row>
    <row r="1015" ht="19.5" customHeight="1" s="72">
      <c r="A1015" s="38" t="inlineStr">
        <is>
          <t>BaobáF-32-P16-SIR</t>
        </is>
      </c>
      <c r="B1015" s="38" t="inlineStr">
        <is>
          <t>Fase 32</t>
        </is>
      </c>
      <c r="C1015" s="38" t="inlineStr">
        <is>
          <t>Siriuna</t>
        </is>
      </c>
      <c r="D1015" s="39" t="inlineStr">
        <is>
          <t>A_Baobá_F_32_P16</t>
        </is>
      </c>
      <c r="E1015" s="40" t="n"/>
      <c r="F1015" s="39" t="inlineStr">
        <is>
          <t>B_Baobá_F_32_P16</t>
        </is>
      </c>
      <c r="G1015" s="40" t="n"/>
      <c r="H1015" s="41" t="n"/>
      <c r="I1015" s="42">
        <f>IF($H1015="","",MAX(0,$H1015-N($E1015)))</f>
        <v/>
      </c>
      <c r="J1015" s="42">
        <f>IF($H1015="","",MAX(0,$H1015-N($G1015)))</f>
        <v/>
      </c>
    </row>
    <row r="1016" ht="19.5" customHeight="1" s="72">
      <c r="A1016" s="38" t="inlineStr">
        <is>
          <t>BaobáF-OCT-P01-SBA</t>
        </is>
      </c>
      <c r="B1016" s="38" t="inlineStr">
        <is>
          <t>Octavas</t>
        </is>
      </c>
      <c r="C1016" s="38" t="inlineStr">
        <is>
          <t>São Bento da Abadá</t>
        </is>
      </c>
      <c r="D1016" s="39">
        <f>IFERROR('CLASIF_Baobá_F'!$F$5,"")</f>
        <v/>
      </c>
      <c r="E1016" s="40" t="n"/>
      <c r="F1016" s="39">
        <f>IFERROR('CLASIF_Baobá_F'!$F$20,"")</f>
        <v/>
      </c>
      <c r="G1016" s="40" t="n"/>
      <c r="H1016" s="41" t="n"/>
      <c r="I1016" s="42">
        <f>IF($H1016="","",MAX(0,$H1016-N($E1016)))</f>
        <v/>
      </c>
      <c r="J1016" s="42">
        <f>IF($H1016="","",MAX(0,$H1016-N($G1016)))</f>
        <v/>
      </c>
    </row>
    <row r="1017" ht="19.5" customHeight="1" s="72">
      <c r="A1017" s="38" t="inlineStr">
        <is>
          <t>BaobáF-OCT-P01-BEN</t>
        </is>
      </c>
      <c r="B1017" s="38" t="inlineStr">
        <is>
          <t>Octavas</t>
        </is>
      </c>
      <c r="C1017" s="38" t="inlineStr">
        <is>
          <t>Benguela</t>
        </is>
      </c>
      <c r="D1017" s="39">
        <f>IFERROR('CLASIF_Baobá_F'!$F$5,"")</f>
        <v/>
      </c>
      <c r="E1017" s="40" t="n"/>
      <c r="F1017" s="39">
        <f>IFERROR('CLASIF_Baobá_F'!$F$20,"")</f>
        <v/>
      </c>
      <c r="G1017" s="40" t="n"/>
      <c r="H1017" s="41" t="n"/>
      <c r="I1017" s="42">
        <f>IF($H1017="","",MAX(0,$H1017-N($E1017)))</f>
        <v/>
      </c>
      <c r="J1017" s="42">
        <f>IF($H1017="","",MAX(0,$H1017-N($G1017)))</f>
        <v/>
      </c>
    </row>
    <row r="1018" ht="19.5" customHeight="1" s="72">
      <c r="A1018" s="38" t="inlineStr">
        <is>
          <t>BaobáF-OCT-P01-SIR</t>
        </is>
      </c>
      <c r="B1018" s="38" t="inlineStr">
        <is>
          <t>Octavas</t>
        </is>
      </c>
      <c r="C1018" s="38" t="inlineStr">
        <is>
          <t>Siriuna</t>
        </is>
      </c>
      <c r="D1018" s="39">
        <f>IFERROR('CLASIF_Baobá_F'!$F$5,"")</f>
        <v/>
      </c>
      <c r="E1018" s="40" t="n"/>
      <c r="F1018" s="39">
        <f>IFERROR('CLASIF_Baobá_F'!$F$20,"")</f>
        <v/>
      </c>
      <c r="G1018" s="40" t="n"/>
      <c r="H1018" s="41" t="n"/>
      <c r="I1018" s="42">
        <f>IF($H1018="","",MAX(0,$H1018-N($E1018)))</f>
        <v/>
      </c>
      <c r="J1018" s="42">
        <f>IF($H1018="","",MAX(0,$H1018-N($G1018)))</f>
        <v/>
      </c>
    </row>
    <row r="1019" ht="19.5" customHeight="1" s="72">
      <c r="A1019" s="38" t="inlineStr">
        <is>
          <t>BaobáF-OCT-P02-SBA</t>
        </is>
      </c>
      <c r="B1019" s="38" t="inlineStr">
        <is>
          <t>Octavas</t>
        </is>
      </c>
      <c r="C1019" s="38" t="inlineStr">
        <is>
          <t>São Bento da Abadá</t>
        </is>
      </c>
      <c r="D1019" s="39">
        <f>IFERROR('CLASIF_Baobá_F'!$F$6,"")</f>
        <v/>
      </c>
      <c r="E1019" s="40" t="n"/>
      <c r="F1019" s="39">
        <f>IFERROR('CLASIF_Baobá_F'!$F$19,"")</f>
        <v/>
      </c>
      <c r="G1019" s="40" t="n"/>
      <c r="H1019" s="41" t="n"/>
      <c r="I1019" s="42">
        <f>IF($H1019="","",MAX(0,$H1019-N($E1019)))</f>
        <v/>
      </c>
      <c r="J1019" s="42">
        <f>IF($H1019="","",MAX(0,$H1019-N($G1019)))</f>
        <v/>
      </c>
    </row>
    <row r="1020" ht="19.5" customHeight="1" s="72">
      <c r="A1020" s="38" t="inlineStr">
        <is>
          <t>BaobáF-OCT-P02-BEN</t>
        </is>
      </c>
      <c r="B1020" s="38" t="inlineStr">
        <is>
          <t>Octavas</t>
        </is>
      </c>
      <c r="C1020" s="38" t="inlineStr">
        <is>
          <t>Benguela</t>
        </is>
      </c>
      <c r="D1020" s="39">
        <f>IFERROR('CLASIF_Baobá_F'!$F$6,"")</f>
        <v/>
      </c>
      <c r="E1020" s="40" t="n"/>
      <c r="F1020" s="39">
        <f>IFERROR('CLASIF_Baobá_F'!$F$19,"")</f>
        <v/>
      </c>
      <c r="G1020" s="40" t="n"/>
      <c r="H1020" s="41" t="n"/>
      <c r="I1020" s="42">
        <f>IF($H1020="","",MAX(0,$H1020-N($E1020)))</f>
        <v/>
      </c>
      <c r="J1020" s="42">
        <f>IF($H1020="","",MAX(0,$H1020-N($G1020)))</f>
        <v/>
      </c>
    </row>
    <row r="1021" ht="19.5" customHeight="1" s="72">
      <c r="A1021" s="38" t="inlineStr">
        <is>
          <t>BaobáF-OCT-P02-SIR</t>
        </is>
      </c>
      <c r="B1021" s="38" t="inlineStr">
        <is>
          <t>Octavas</t>
        </is>
      </c>
      <c r="C1021" s="38" t="inlineStr">
        <is>
          <t>Siriuna</t>
        </is>
      </c>
      <c r="D1021" s="39">
        <f>IFERROR('CLASIF_Baobá_F'!$F$6,"")</f>
        <v/>
      </c>
      <c r="E1021" s="40" t="n"/>
      <c r="F1021" s="39">
        <f>IFERROR('CLASIF_Baobá_F'!$F$19,"")</f>
        <v/>
      </c>
      <c r="G1021" s="40" t="n"/>
      <c r="H1021" s="41" t="n"/>
      <c r="I1021" s="42">
        <f>IF($H1021="","",MAX(0,$H1021-N($E1021)))</f>
        <v/>
      </c>
      <c r="J1021" s="42">
        <f>IF($H1021="","",MAX(0,$H1021-N($G1021)))</f>
        <v/>
      </c>
    </row>
    <row r="1022" ht="19.5" customHeight="1" s="72">
      <c r="A1022" s="38" t="inlineStr">
        <is>
          <t>BaobáF-OCT-P03-SBA</t>
        </is>
      </c>
      <c r="B1022" s="38" t="inlineStr">
        <is>
          <t>Octavas</t>
        </is>
      </c>
      <c r="C1022" s="38" t="inlineStr">
        <is>
          <t>São Bento da Abadá</t>
        </is>
      </c>
      <c r="D1022" s="39">
        <f>IFERROR('CLASIF_Baobá_F'!$F$7,"")</f>
        <v/>
      </c>
      <c r="E1022" s="40" t="n"/>
      <c r="F1022" s="39">
        <f>IFERROR('CLASIF_Baobá_F'!$F$18,"")</f>
        <v/>
      </c>
      <c r="G1022" s="40" t="n"/>
      <c r="H1022" s="41" t="n"/>
      <c r="I1022" s="42">
        <f>IF($H1022="","",MAX(0,$H1022-N($E1022)))</f>
        <v/>
      </c>
      <c r="J1022" s="42">
        <f>IF($H1022="","",MAX(0,$H1022-N($G1022)))</f>
        <v/>
      </c>
    </row>
    <row r="1023" ht="19.5" customHeight="1" s="72">
      <c r="A1023" s="38" t="inlineStr">
        <is>
          <t>BaobáF-OCT-P03-BEN</t>
        </is>
      </c>
      <c r="B1023" s="38" t="inlineStr">
        <is>
          <t>Octavas</t>
        </is>
      </c>
      <c r="C1023" s="38" t="inlineStr">
        <is>
          <t>Benguela</t>
        </is>
      </c>
      <c r="D1023" s="39">
        <f>IFERROR('CLASIF_Baobá_F'!$F$7,"")</f>
        <v/>
      </c>
      <c r="E1023" s="40" t="n"/>
      <c r="F1023" s="39">
        <f>IFERROR('CLASIF_Baobá_F'!$F$18,"")</f>
        <v/>
      </c>
      <c r="G1023" s="40" t="n"/>
      <c r="H1023" s="41" t="n"/>
      <c r="I1023" s="42">
        <f>IF($H1023="","",MAX(0,$H1023-N($E1023)))</f>
        <v/>
      </c>
      <c r="J1023" s="42">
        <f>IF($H1023="","",MAX(0,$H1023-N($G1023)))</f>
        <v/>
      </c>
    </row>
    <row r="1024" ht="19.5" customHeight="1" s="72">
      <c r="A1024" s="38" t="inlineStr">
        <is>
          <t>BaobáF-OCT-P03-SIR</t>
        </is>
      </c>
      <c r="B1024" s="38" t="inlineStr">
        <is>
          <t>Octavas</t>
        </is>
      </c>
      <c r="C1024" s="38" t="inlineStr">
        <is>
          <t>Siriuna</t>
        </is>
      </c>
      <c r="D1024" s="39">
        <f>IFERROR('CLASIF_Baobá_F'!$F$7,"")</f>
        <v/>
      </c>
      <c r="E1024" s="40" t="n"/>
      <c r="F1024" s="39">
        <f>IFERROR('CLASIF_Baobá_F'!$F$18,"")</f>
        <v/>
      </c>
      <c r="G1024" s="40" t="n"/>
      <c r="H1024" s="41" t="n"/>
      <c r="I1024" s="42">
        <f>IF($H1024="","",MAX(0,$H1024-N($E1024)))</f>
        <v/>
      </c>
      <c r="J1024" s="42">
        <f>IF($H1024="","",MAX(0,$H1024-N($G1024)))</f>
        <v/>
      </c>
    </row>
    <row r="1025" ht="19.5" customHeight="1" s="72">
      <c r="A1025" s="38" t="inlineStr">
        <is>
          <t>BaobáF-OCT-P04-SBA</t>
        </is>
      </c>
      <c r="B1025" s="38" t="inlineStr">
        <is>
          <t>Octavas</t>
        </is>
      </c>
      <c r="C1025" s="38" t="inlineStr">
        <is>
          <t>São Bento da Abadá</t>
        </is>
      </c>
      <c r="D1025" s="39">
        <f>IFERROR('CLASIF_Baobá_F'!$F$8,"")</f>
        <v/>
      </c>
      <c r="E1025" s="40" t="n"/>
      <c r="F1025" s="39">
        <f>IFERROR('CLASIF_Baobá_F'!$F$17,"")</f>
        <v/>
      </c>
      <c r="G1025" s="40" t="n"/>
      <c r="H1025" s="41" t="n"/>
      <c r="I1025" s="42">
        <f>IF($H1025="","",MAX(0,$H1025-N($E1025)))</f>
        <v/>
      </c>
      <c r="J1025" s="42">
        <f>IF($H1025="","",MAX(0,$H1025-N($G1025)))</f>
        <v/>
      </c>
    </row>
    <row r="1026" ht="19.5" customHeight="1" s="72">
      <c r="A1026" s="38" t="inlineStr">
        <is>
          <t>BaobáF-OCT-P04-BEN</t>
        </is>
      </c>
      <c r="B1026" s="38" t="inlineStr">
        <is>
          <t>Octavas</t>
        </is>
      </c>
      <c r="C1026" s="38" t="inlineStr">
        <is>
          <t>Benguela</t>
        </is>
      </c>
      <c r="D1026" s="39">
        <f>IFERROR('CLASIF_Baobá_F'!$F$8,"")</f>
        <v/>
      </c>
      <c r="E1026" s="40" t="n"/>
      <c r="F1026" s="39">
        <f>IFERROR('CLASIF_Baobá_F'!$F$17,"")</f>
        <v/>
      </c>
      <c r="G1026" s="40" t="n"/>
      <c r="H1026" s="41" t="n"/>
      <c r="I1026" s="42">
        <f>IF($H1026="","",MAX(0,$H1026-N($E1026)))</f>
        <v/>
      </c>
      <c r="J1026" s="42">
        <f>IF($H1026="","",MAX(0,$H1026-N($G1026)))</f>
        <v/>
      </c>
    </row>
    <row r="1027" ht="19.5" customHeight="1" s="72">
      <c r="A1027" s="38" t="inlineStr">
        <is>
          <t>BaobáF-OCT-P04-SIR</t>
        </is>
      </c>
      <c r="B1027" s="38" t="inlineStr">
        <is>
          <t>Octavas</t>
        </is>
      </c>
      <c r="C1027" s="38" t="inlineStr">
        <is>
          <t>Siriuna</t>
        </is>
      </c>
      <c r="D1027" s="39">
        <f>IFERROR('CLASIF_Baobá_F'!$F$8,"")</f>
        <v/>
      </c>
      <c r="E1027" s="40" t="n"/>
      <c r="F1027" s="39">
        <f>IFERROR('CLASIF_Baobá_F'!$F$17,"")</f>
        <v/>
      </c>
      <c r="G1027" s="40" t="n"/>
      <c r="H1027" s="41" t="n"/>
      <c r="I1027" s="42">
        <f>IF($H1027="","",MAX(0,$H1027-N($E1027)))</f>
        <v/>
      </c>
      <c r="J1027" s="42">
        <f>IF($H1027="","",MAX(0,$H1027-N($G1027)))</f>
        <v/>
      </c>
    </row>
    <row r="1028" ht="19.5" customHeight="1" s="72">
      <c r="A1028" s="38" t="inlineStr">
        <is>
          <t>BaobáF-OCT-P05-SBA</t>
        </is>
      </c>
      <c r="B1028" s="38" t="inlineStr">
        <is>
          <t>Octavas</t>
        </is>
      </c>
      <c r="C1028" s="38" t="inlineStr">
        <is>
          <t>São Bento da Abadá</t>
        </is>
      </c>
      <c r="D1028" s="39">
        <f>IFERROR('CLASIF_Baobá_F'!$F$9,"")</f>
        <v/>
      </c>
      <c r="E1028" s="40" t="n"/>
      <c r="F1028" s="39">
        <f>IFERROR('CLASIF_Baobá_F'!$F$16,"")</f>
        <v/>
      </c>
      <c r="G1028" s="40" t="n"/>
      <c r="H1028" s="41" t="n"/>
      <c r="I1028" s="42">
        <f>IF($H1028="","",MAX(0,$H1028-N($E1028)))</f>
        <v/>
      </c>
      <c r="J1028" s="42">
        <f>IF($H1028="","",MAX(0,$H1028-N($G1028)))</f>
        <v/>
      </c>
    </row>
    <row r="1029" ht="19.5" customHeight="1" s="72">
      <c r="A1029" s="38" t="inlineStr">
        <is>
          <t>BaobáF-OCT-P05-BEN</t>
        </is>
      </c>
      <c r="B1029" s="38" t="inlineStr">
        <is>
          <t>Octavas</t>
        </is>
      </c>
      <c r="C1029" s="38" t="inlineStr">
        <is>
          <t>Benguela</t>
        </is>
      </c>
      <c r="D1029" s="39">
        <f>IFERROR('CLASIF_Baobá_F'!$F$9,"")</f>
        <v/>
      </c>
      <c r="E1029" s="40" t="n"/>
      <c r="F1029" s="39">
        <f>IFERROR('CLASIF_Baobá_F'!$F$16,"")</f>
        <v/>
      </c>
      <c r="G1029" s="40" t="n"/>
      <c r="H1029" s="41" t="n"/>
      <c r="I1029" s="42">
        <f>IF($H1029="","",MAX(0,$H1029-N($E1029)))</f>
        <v/>
      </c>
      <c r="J1029" s="42">
        <f>IF($H1029="","",MAX(0,$H1029-N($G1029)))</f>
        <v/>
      </c>
    </row>
    <row r="1030" ht="19.5" customHeight="1" s="72">
      <c r="A1030" s="38" t="inlineStr">
        <is>
          <t>BaobáF-OCT-P05-SIR</t>
        </is>
      </c>
      <c r="B1030" s="38" t="inlineStr">
        <is>
          <t>Octavas</t>
        </is>
      </c>
      <c r="C1030" s="38" t="inlineStr">
        <is>
          <t>Siriuna</t>
        </is>
      </c>
      <c r="D1030" s="39">
        <f>IFERROR('CLASIF_Baobá_F'!$F$9,"")</f>
        <v/>
      </c>
      <c r="E1030" s="40" t="n"/>
      <c r="F1030" s="39">
        <f>IFERROR('CLASIF_Baobá_F'!$F$16,"")</f>
        <v/>
      </c>
      <c r="G1030" s="40" t="n"/>
      <c r="H1030" s="41" t="n"/>
      <c r="I1030" s="42">
        <f>IF($H1030="","",MAX(0,$H1030-N($E1030)))</f>
        <v/>
      </c>
      <c r="J1030" s="42">
        <f>IF($H1030="","",MAX(0,$H1030-N($G1030)))</f>
        <v/>
      </c>
    </row>
    <row r="1031" ht="19.5" customHeight="1" s="72">
      <c r="A1031" s="38" t="inlineStr">
        <is>
          <t>BaobáF-OCT-P06-SBA</t>
        </is>
      </c>
      <c r="B1031" s="38" t="inlineStr">
        <is>
          <t>Octavas</t>
        </is>
      </c>
      <c r="C1031" s="38" t="inlineStr">
        <is>
          <t>São Bento da Abadá</t>
        </is>
      </c>
      <c r="D1031" s="39">
        <f>IFERROR('CLASIF_Baobá_F'!$F$10,"")</f>
        <v/>
      </c>
      <c r="E1031" s="40" t="n"/>
      <c r="F1031" s="39">
        <f>IFERROR('CLASIF_Baobá_F'!$F$15,"")</f>
        <v/>
      </c>
      <c r="G1031" s="40" t="n"/>
      <c r="H1031" s="41" t="n"/>
      <c r="I1031" s="42">
        <f>IF($H1031="","",MAX(0,$H1031-N($E1031)))</f>
        <v/>
      </c>
      <c r="J1031" s="42">
        <f>IF($H1031="","",MAX(0,$H1031-N($G1031)))</f>
        <v/>
      </c>
    </row>
    <row r="1032" ht="19.5" customHeight="1" s="72">
      <c r="A1032" s="38" t="inlineStr">
        <is>
          <t>BaobáF-OCT-P06-BEN</t>
        </is>
      </c>
      <c r="B1032" s="38" t="inlineStr">
        <is>
          <t>Octavas</t>
        </is>
      </c>
      <c r="C1032" s="38" t="inlineStr">
        <is>
          <t>Benguela</t>
        </is>
      </c>
      <c r="D1032" s="39">
        <f>IFERROR('CLASIF_Baobá_F'!$F$10,"")</f>
        <v/>
      </c>
      <c r="E1032" s="40" t="n"/>
      <c r="F1032" s="39">
        <f>IFERROR('CLASIF_Baobá_F'!$F$15,"")</f>
        <v/>
      </c>
      <c r="G1032" s="40" t="n"/>
      <c r="H1032" s="41" t="n"/>
      <c r="I1032" s="42">
        <f>IF($H1032="","",MAX(0,$H1032-N($E1032)))</f>
        <v/>
      </c>
      <c r="J1032" s="42">
        <f>IF($H1032="","",MAX(0,$H1032-N($G1032)))</f>
        <v/>
      </c>
    </row>
    <row r="1033" ht="19.5" customHeight="1" s="72">
      <c r="A1033" s="38" t="inlineStr">
        <is>
          <t>BaobáF-OCT-P06-SIR</t>
        </is>
      </c>
      <c r="B1033" s="38" t="inlineStr">
        <is>
          <t>Octavas</t>
        </is>
      </c>
      <c r="C1033" s="38" t="inlineStr">
        <is>
          <t>Siriuna</t>
        </is>
      </c>
      <c r="D1033" s="39">
        <f>IFERROR('CLASIF_Baobá_F'!$F$10,"")</f>
        <v/>
      </c>
      <c r="E1033" s="40" t="n"/>
      <c r="F1033" s="39">
        <f>IFERROR('CLASIF_Baobá_F'!$F$15,"")</f>
        <v/>
      </c>
      <c r="G1033" s="40" t="n"/>
      <c r="H1033" s="41" t="n"/>
      <c r="I1033" s="42">
        <f>IF($H1033="","",MAX(0,$H1033-N($E1033)))</f>
        <v/>
      </c>
      <c r="J1033" s="42">
        <f>IF($H1033="","",MAX(0,$H1033-N($G1033)))</f>
        <v/>
      </c>
    </row>
    <row r="1034" ht="19.5" customHeight="1" s="72">
      <c r="A1034" s="38" t="inlineStr">
        <is>
          <t>BaobáF-OCT-P07-SBA</t>
        </is>
      </c>
      <c r="B1034" s="38" t="inlineStr">
        <is>
          <t>Octavas</t>
        </is>
      </c>
      <c r="C1034" s="38" t="inlineStr">
        <is>
          <t>São Bento da Abadá</t>
        </is>
      </c>
      <c r="D1034" s="39">
        <f>IFERROR('CLASIF_Baobá_F'!$F$11,"")</f>
        <v/>
      </c>
      <c r="E1034" s="40" t="n"/>
      <c r="F1034" s="39">
        <f>IFERROR('CLASIF_Baobá_F'!$F$14,"")</f>
        <v/>
      </c>
      <c r="G1034" s="40" t="n"/>
      <c r="H1034" s="41" t="n"/>
      <c r="I1034" s="42">
        <f>IF($H1034="","",MAX(0,$H1034-N($E1034)))</f>
        <v/>
      </c>
      <c r="J1034" s="42">
        <f>IF($H1034="","",MAX(0,$H1034-N($G1034)))</f>
        <v/>
      </c>
    </row>
    <row r="1035" ht="19.5" customHeight="1" s="72">
      <c r="A1035" s="38" t="inlineStr">
        <is>
          <t>BaobáF-OCT-P07-BEN</t>
        </is>
      </c>
      <c r="B1035" s="38" t="inlineStr">
        <is>
          <t>Octavas</t>
        </is>
      </c>
      <c r="C1035" s="38" t="inlineStr">
        <is>
          <t>Benguela</t>
        </is>
      </c>
      <c r="D1035" s="39">
        <f>IFERROR('CLASIF_Baobá_F'!$F$11,"")</f>
        <v/>
      </c>
      <c r="E1035" s="40" t="n"/>
      <c r="F1035" s="39">
        <f>IFERROR('CLASIF_Baobá_F'!$F$14,"")</f>
        <v/>
      </c>
      <c r="G1035" s="40" t="n"/>
      <c r="H1035" s="41" t="n"/>
      <c r="I1035" s="42">
        <f>IF($H1035="","",MAX(0,$H1035-N($E1035)))</f>
        <v/>
      </c>
      <c r="J1035" s="42">
        <f>IF($H1035="","",MAX(0,$H1035-N($G1035)))</f>
        <v/>
      </c>
    </row>
    <row r="1036" ht="19.5" customHeight="1" s="72">
      <c r="A1036" s="38" t="inlineStr">
        <is>
          <t>BaobáF-OCT-P07-SIR</t>
        </is>
      </c>
      <c r="B1036" s="38" t="inlineStr">
        <is>
          <t>Octavas</t>
        </is>
      </c>
      <c r="C1036" s="38" t="inlineStr">
        <is>
          <t>Siriuna</t>
        </is>
      </c>
      <c r="D1036" s="39">
        <f>IFERROR('CLASIF_Baobá_F'!$F$11,"")</f>
        <v/>
      </c>
      <c r="E1036" s="40" t="n"/>
      <c r="F1036" s="39">
        <f>IFERROR('CLASIF_Baobá_F'!$F$14,"")</f>
        <v/>
      </c>
      <c r="G1036" s="40" t="n"/>
      <c r="H1036" s="41" t="n"/>
      <c r="I1036" s="42">
        <f>IF($H1036="","",MAX(0,$H1036-N($E1036)))</f>
        <v/>
      </c>
      <c r="J1036" s="42">
        <f>IF($H1036="","",MAX(0,$H1036-N($G1036)))</f>
        <v/>
      </c>
    </row>
    <row r="1037" ht="19.5" customHeight="1" s="72">
      <c r="A1037" s="38" t="inlineStr">
        <is>
          <t>BaobáF-OCT-P08-SBA</t>
        </is>
      </c>
      <c r="B1037" s="38" t="inlineStr">
        <is>
          <t>Octavas</t>
        </is>
      </c>
      <c r="C1037" s="38" t="inlineStr">
        <is>
          <t>São Bento da Abadá</t>
        </is>
      </c>
      <c r="D1037" s="39">
        <f>IFERROR('CLASIF_Baobá_F'!$F$12,"")</f>
        <v/>
      </c>
      <c r="E1037" s="40" t="n"/>
      <c r="F1037" s="39">
        <f>IFERROR('CLASIF_Baobá_F'!$F$13,"")</f>
        <v/>
      </c>
      <c r="G1037" s="40" t="n"/>
      <c r="H1037" s="41" t="n"/>
      <c r="I1037" s="42">
        <f>IF($H1037="","",MAX(0,$H1037-N($E1037)))</f>
        <v/>
      </c>
      <c r="J1037" s="42">
        <f>IF($H1037="","",MAX(0,$H1037-N($G1037)))</f>
        <v/>
      </c>
    </row>
    <row r="1038" ht="19.5" customHeight="1" s="72">
      <c r="A1038" s="38" t="inlineStr">
        <is>
          <t>BaobáF-OCT-P08-BEN</t>
        </is>
      </c>
      <c r="B1038" s="38" t="inlineStr">
        <is>
          <t>Octavas</t>
        </is>
      </c>
      <c r="C1038" s="38" t="inlineStr">
        <is>
          <t>Benguela</t>
        </is>
      </c>
      <c r="D1038" s="39">
        <f>IFERROR('CLASIF_Baobá_F'!$F$12,"")</f>
        <v/>
      </c>
      <c r="E1038" s="40" t="n"/>
      <c r="F1038" s="39">
        <f>IFERROR('CLASIF_Baobá_F'!$F$13,"")</f>
        <v/>
      </c>
      <c r="G1038" s="40" t="n"/>
      <c r="H1038" s="41" t="n"/>
      <c r="I1038" s="42">
        <f>IF($H1038="","",MAX(0,$H1038-N($E1038)))</f>
        <v/>
      </c>
      <c r="J1038" s="42">
        <f>IF($H1038="","",MAX(0,$H1038-N($G1038)))</f>
        <v/>
      </c>
    </row>
    <row r="1039" ht="19.5" customHeight="1" s="72">
      <c r="A1039" s="38" t="inlineStr">
        <is>
          <t>BaobáF-OCT-P08-SIR</t>
        </is>
      </c>
      <c r="B1039" s="38" t="inlineStr">
        <is>
          <t>Octavas</t>
        </is>
      </c>
      <c r="C1039" s="38" t="inlineStr">
        <is>
          <t>Siriuna</t>
        </is>
      </c>
      <c r="D1039" s="39">
        <f>IFERROR('CLASIF_Baobá_F'!$F$12,"")</f>
        <v/>
      </c>
      <c r="E1039" s="40" t="n"/>
      <c r="F1039" s="39">
        <f>IFERROR('CLASIF_Baobá_F'!$F$13,"")</f>
        <v/>
      </c>
      <c r="G1039" s="40" t="n"/>
      <c r="H1039" s="41" t="n"/>
      <c r="I1039" s="42">
        <f>IF($H1039="","",MAX(0,$H1039-N($E1039)))</f>
        <v/>
      </c>
      <c r="J1039" s="42">
        <f>IF($H1039="","",MAX(0,$H1039-N($G1039)))</f>
        <v/>
      </c>
    </row>
    <row r="1040" ht="19.5" customHeight="1" s="72">
      <c r="A1040" s="38" t="inlineStr">
        <is>
          <t>BaobáF-SEM-P01-SBA</t>
        </is>
      </c>
      <c r="B1040" s="38" t="inlineStr">
        <is>
          <t>Semifinal</t>
        </is>
      </c>
      <c r="C1040" s="38" t="inlineStr">
        <is>
          <t>São Bento da Abadá</t>
        </is>
      </c>
      <c r="D1040" s="39">
        <f>IFERROR('CLASIF_Baobá_F'!$O$5,"")</f>
        <v/>
      </c>
      <c r="E1040" s="40" t="n"/>
      <c r="F1040" s="39">
        <f>IFERROR('CLASIF_Baobá_F'!$O$12,"")</f>
        <v/>
      </c>
      <c r="G1040" s="40" t="n"/>
      <c r="H1040" s="41" t="n"/>
      <c r="I1040" s="42">
        <f>IF($H1040="","",MAX(0,$H1040-N($E1040)))</f>
        <v/>
      </c>
      <c r="J1040" s="42">
        <f>IF($H1040="","",MAX(0,$H1040-N($G1040)))</f>
        <v/>
      </c>
    </row>
    <row r="1041" ht="19.5" customHeight="1" s="72">
      <c r="A1041" s="38" t="inlineStr">
        <is>
          <t>BaobáF-SEM-P01-BEN</t>
        </is>
      </c>
      <c r="B1041" s="38" t="inlineStr">
        <is>
          <t>Semifinal</t>
        </is>
      </c>
      <c r="C1041" s="38" t="inlineStr">
        <is>
          <t>Benguela</t>
        </is>
      </c>
      <c r="D1041" s="39">
        <f>IFERROR('CLASIF_Baobá_F'!$O$5,"")</f>
        <v/>
      </c>
      <c r="E1041" s="40" t="n"/>
      <c r="F1041" s="39">
        <f>IFERROR('CLASIF_Baobá_F'!$O$12,"")</f>
        <v/>
      </c>
      <c r="G1041" s="40" t="n"/>
      <c r="H1041" s="41" t="n"/>
      <c r="I1041" s="42">
        <f>IF($H1041="","",MAX(0,$H1041-N($E1041)))</f>
        <v/>
      </c>
      <c r="J1041" s="42">
        <f>IF($H1041="","",MAX(0,$H1041-N($G1041)))</f>
        <v/>
      </c>
    </row>
    <row r="1042" ht="19.5" customHeight="1" s="72">
      <c r="A1042" s="38" t="inlineStr">
        <is>
          <t>BaobáF-SEM-P01-SIR</t>
        </is>
      </c>
      <c r="B1042" s="38" t="inlineStr">
        <is>
          <t>Semifinal</t>
        </is>
      </c>
      <c r="C1042" s="38" t="inlineStr">
        <is>
          <t>Siriuna</t>
        </is>
      </c>
      <c r="D1042" s="39">
        <f>IFERROR('CLASIF_Baobá_F'!$O$5,"")</f>
        <v/>
      </c>
      <c r="E1042" s="40" t="n"/>
      <c r="F1042" s="39">
        <f>IFERROR('CLASIF_Baobá_F'!$O$12,"")</f>
        <v/>
      </c>
      <c r="G1042" s="40" t="n"/>
      <c r="H1042" s="41" t="n"/>
      <c r="I1042" s="42">
        <f>IF($H1042="","",MAX(0,$H1042-N($E1042)))</f>
        <v/>
      </c>
      <c r="J1042" s="42">
        <f>IF($H1042="","",MAX(0,$H1042-N($G1042)))</f>
        <v/>
      </c>
    </row>
    <row r="1043" ht="19.5" customHeight="1" s="72">
      <c r="A1043" s="38" t="inlineStr">
        <is>
          <t>BaobáF-SEM-P02-SBA</t>
        </is>
      </c>
      <c r="B1043" s="38" t="inlineStr">
        <is>
          <t>Semifinal</t>
        </is>
      </c>
      <c r="C1043" s="38" t="inlineStr">
        <is>
          <t>São Bento da Abadá</t>
        </is>
      </c>
      <c r="D1043" s="39">
        <f>IFERROR('CLASIF_Baobá_F'!$O$6,"")</f>
        <v/>
      </c>
      <c r="E1043" s="40" t="n"/>
      <c r="F1043" s="39">
        <f>IFERROR('CLASIF_Baobá_F'!$O$11,"")</f>
        <v/>
      </c>
      <c r="G1043" s="40" t="n"/>
      <c r="H1043" s="41" t="n"/>
      <c r="I1043" s="42">
        <f>IF($H1043="","",MAX(0,$H1043-N($E1043)))</f>
        <v/>
      </c>
      <c r="J1043" s="42">
        <f>IF($H1043="","",MAX(0,$H1043-N($G1043)))</f>
        <v/>
      </c>
    </row>
    <row r="1044" ht="19.5" customHeight="1" s="72">
      <c r="A1044" s="38" t="inlineStr">
        <is>
          <t>BaobáF-SEM-P02-BEN</t>
        </is>
      </c>
      <c r="B1044" s="38" t="inlineStr">
        <is>
          <t>Semifinal</t>
        </is>
      </c>
      <c r="C1044" s="38" t="inlineStr">
        <is>
          <t>Benguela</t>
        </is>
      </c>
      <c r="D1044" s="39">
        <f>IFERROR('CLASIF_Baobá_F'!$O$6,"")</f>
        <v/>
      </c>
      <c r="E1044" s="40" t="n"/>
      <c r="F1044" s="39">
        <f>IFERROR('CLASIF_Baobá_F'!$O$11,"")</f>
        <v/>
      </c>
      <c r="G1044" s="40" t="n"/>
      <c r="H1044" s="41" t="n"/>
      <c r="I1044" s="42">
        <f>IF($H1044="","",MAX(0,$H1044-N($E1044)))</f>
        <v/>
      </c>
      <c r="J1044" s="42">
        <f>IF($H1044="","",MAX(0,$H1044-N($G1044)))</f>
        <v/>
      </c>
    </row>
    <row r="1045" ht="19.5" customHeight="1" s="72">
      <c r="A1045" s="38" t="inlineStr">
        <is>
          <t>BaobáF-SEM-P02-SIR</t>
        </is>
      </c>
      <c r="B1045" s="38" t="inlineStr">
        <is>
          <t>Semifinal</t>
        </is>
      </c>
      <c r="C1045" s="38" t="inlineStr">
        <is>
          <t>Siriuna</t>
        </is>
      </c>
      <c r="D1045" s="39">
        <f>IFERROR('CLASIF_Baobá_F'!$O$6,"")</f>
        <v/>
      </c>
      <c r="E1045" s="40" t="n"/>
      <c r="F1045" s="39">
        <f>IFERROR('CLASIF_Baobá_F'!$O$11,"")</f>
        <v/>
      </c>
      <c r="G1045" s="40" t="n"/>
      <c r="H1045" s="41" t="n"/>
      <c r="I1045" s="42">
        <f>IF($H1045="","",MAX(0,$H1045-N($E1045)))</f>
        <v/>
      </c>
      <c r="J1045" s="42">
        <f>IF($H1045="","",MAX(0,$H1045-N($G1045)))</f>
        <v/>
      </c>
    </row>
    <row r="1046" ht="19.5" customHeight="1" s="72">
      <c r="A1046" s="38" t="inlineStr">
        <is>
          <t>BaobáF-SEM-P03-SBA</t>
        </is>
      </c>
      <c r="B1046" s="38" t="inlineStr">
        <is>
          <t>Semifinal</t>
        </is>
      </c>
      <c r="C1046" s="38" t="inlineStr">
        <is>
          <t>São Bento da Abadá</t>
        </is>
      </c>
      <c r="D1046" s="39">
        <f>IFERROR('CLASIF_Baobá_F'!$O$7,"")</f>
        <v/>
      </c>
      <c r="E1046" s="40" t="n"/>
      <c r="F1046" s="39">
        <f>IFERROR('CLASIF_Baobá_F'!$O$10,"")</f>
        <v/>
      </c>
      <c r="G1046" s="40" t="n"/>
      <c r="H1046" s="41" t="n"/>
      <c r="I1046" s="42">
        <f>IF($H1046="","",MAX(0,$H1046-N($E1046)))</f>
        <v/>
      </c>
      <c r="J1046" s="42">
        <f>IF($H1046="","",MAX(0,$H1046-N($G1046)))</f>
        <v/>
      </c>
    </row>
    <row r="1047" ht="19.5" customHeight="1" s="72">
      <c r="A1047" s="38" t="inlineStr">
        <is>
          <t>BaobáF-SEM-P03-BEN</t>
        </is>
      </c>
      <c r="B1047" s="38" t="inlineStr">
        <is>
          <t>Semifinal</t>
        </is>
      </c>
      <c r="C1047" s="38" t="inlineStr">
        <is>
          <t>Benguela</t>
        </is>
      </c>
      <c r="D1047" s="39">
        <f>IFERROR('CLASIF_Baobá_F'!$O$7,"")</f>
        <v/>
      </c>
      <c r="E1047" s="40" t="n"/>
      <c r="F1047" s="39">
        <f>IFERROR('CLASIF_Baobá_F'!$O$10,"")</f>
        <v/>
      </c>
      <c r="G1047" s="40" t="n"/>
      <c r="H1047" s="41" t="n"/>
      <c r="I1047" s="42">
        <f>IF($H1047="","",MAX(0,$H1047-N($E1047)))</f>
        <v/>
      </c>
      <c r="J1047" s="42">
        <f>IF($H1047="","",MAX(0,$H1047-N($G1047)))</f>
        <v/>
      </c>
    </row>
    <row r="1048" ht="19.5" customHeight="1" s="72">
      <c r="A1048" s="38" t="inlineStr">
        <is>
          <t>BaobáF-SEM-P03-SIR</t>
        </is>
      </c>
      <c r="B1048" s="38" t="inlineStr">
        <is>
          <t>Semifinal</t>
        </is>
      </c>
      <c r="C1048" s="38" t="inlineStr">
        <is>
          <t>Siriuna</t>
        </is>
      </c>
      <c r="D1048" s="39">
        <f>IFERROR('CLASIF_Baobá_F'!$O$7,"")</f>
        <v/>
      </c>
      <c r="E1048" s="40" t="n"/>
      <c r="F1048" s="39">
        <f>IFERROR('CLASIF_Baobá_F'!$O$10,"")</f>
        <v/>
      </c>
      <c r="G1048" s="40" t="n"/>
      <c r="H1048" s="41" t="n"/>
      <c r="I1048" s="42">
        <f>IF($H1048="","",MAX(0,$H1048-N($E1048)))</f>
        <v/>
      </c>
      <c r="J1048" s="42">
        <f>IF($H1048="","",MAX(0,$H1048-N($G1048)))</f>
        <v/>
      </c>
    </row>
    <row r="1049" ht="19.5" customHeight="1" s="72">
      <c r="A1049" s="38" t="inlineStr">
        <is>
          <t>BaobáF-SEM-P04-SBA</t>
        </is>
      </c>
      <c r="B1049" s="38" t="inlineStr">
        <is>
          <t>Semifinal</t>
        </is>
      </c>
      <c r="C1049" s="38" t="inlineStr">
        <is>
          <t>São Bento da Abadá</t>
        </is>
      </c>
      <c r="D1049" s="39">
        <f>IFERROR('CLASIF_Baobá_F'!$O$8,"")</f>
        <v/>
      </c>
      <c r="E1049" s="40" t="n"/>
      <c r="F1049" s="39">
        <f>IFERROR('CLASIF_Baobá_F'!$O$9,"")</f>
        <v/>
      </c>
      <c r="G1049" s="40" t="n"/>
      <c r="H1049" s="41" t="n"/>
      <c r="I1049" s="42">
        <f>IF($H1049="","",MAX(0,$H1049-N($E1049)))</f>
        <v/>
      </c>
      <c r="J1049" s="42">
        <f>IF($H1049="","",MAX(0,$H1049-N($G1049)))</f>
        <v/>
      </c>
    </row>
    <row r="1050" ht="19.5" customHeight="1" s="72">
      <c r="A1050" s="38" t="inlineStr">
        <is>
          <t>BaobáF-SEM-P04-BEN</t>
        </is>
      </c>
      <c r="B1050" s="38" t="inlineStr">
        <is>
          <t>Semifinal</t>
        </is>
      </c>
      <c r="C1050" s="38" t="inlineStr">
        <is>
          <t>Benguela</t>
        </is>
      </c>
      <c r="D1050" s="39">
        <f>IFERROR('CLASIF_Baobá_F'!$O$8,"")</f>
        <v/>
      </c>
      <c r="E1050" s="40" t="n"/>
      <c r="F1050" s="39">
        <f>IFERROR('CLASIF_Baobá_F'!$O$9,"")</f>
        <v/>
      </c>
      <c r="G1050" s="40" t="n"/>
      <c r="H1050" s="41" t="n"/>
      <c r="I1050" s="42">
        <f>IF($H1050="","",MAX(0,$H1050-N($E1050)))</f>
        <v/>
      </c>
      <c r="J1050" s="42">
        <f>IF($H1050="","",MAX(0,$H1050-N($G1050)))</f>
        <v/>
      </c>
    </row>
    <row r="1051" ht="19.5" customHeight="1" s="72">
      <c r="A1051" s="38" t="inlineStr">
        <is>
          <t>BaobáF-SEM-P04-SIR</t>
        </is>
      </c>
      <c r="B1051" s="38" t="inlineStr">
        <is>
          <t>Semifinal</t>
        </is>
      </c>
      <c r="C1051" s="38" t="inlineStr">
        <is>
          <t>Siriuna</t>
        </is>
      </c>
      <c r="D1051" s="39">
        <f>IFERROR('CLASIF_Baobá_F'!$O$8,"")</f>
        <v/>
      </c>
      <c r="E1051" s="40" t="n"/>
      <c r="F1051" s="39">
        <f>IFERROR('CLASIF_Baobá_F'!$O$9,"")</f>
        <v/>
      </c>
      <c r="G1051" s="40" t="n"/>
      <c r="H1051" s="41" t="n"/>
      <c r="I1051" s="42">
        <f>IF($H1051="","",MAX(0,$H1051-N($E1051)))</f>
        <v/>
      </c>
      <c r="J1051" s="42">
        <f>IF($H1051="","",MAX(0,$H1051-N($G1051)))</f>
        <v/>
      </c>
    </row>
    <row r="1052" ht="19.5" customHeight="1" s="72">
      <c r="A1052" s="38" t="inlineStr">
        <is>
          <t>BaobáF-FIN-P01-SBA</t>
        </is>
      </c>
      <c r="B1052" s="38" t="inlineStr">
        <is>
          <t>Final</t>
        </is>
      </c>
      <c r="C1052" s="38" t="inlineStr">
        <is>
          <t>São Bento da Abadá</t>
        </is>
      </c>
      <c r="D1052" s="39">
        <f>IFERROR('CLASIF_Baobá_F'!$X$5,"")</f>
        <v/>
      </c>
      <c r="E1052" s="40" t="n"/>
      <c r="F1052" s="39">
        <f>IFERROR('CLASIF_Baobá_F'!$X$8,"")</f>
        <v/>
      </c>
      <c r="G1052" s="40" t="n"/>
      <c r="H1052" s="41" t="n"/>
      <c r="I1052" s="42">
        <f>IF($H1052="","",MAX(0,$H1052-N($E1052)))</f>
        <v/>
      </c>
      <c r="J1052" s="42">
        <f>IF($H1052="","",MAX(0,$H1052-N($G1052)))</f>
        <v/>
      </c>
    </row>
    <row r="1053" ht="19.5" customHeight="1" s="72">
      <c r="A1053" s="38" t="inlineStr">
        <is>
          <t>BaobáF-FIN-P01-BEN</t>
        </is>
      </c>
      <c r="B1053" s="38" t="inlineStr">
        <is>
          <t>Final</t>
        </is>
      </c>
      <c r="C1053" s="38" t="inlineStr">
        <is>
          <t>Benguela</t>
        </is>
      </c>
      <c r="D1053" s="39">
        <f>IFERROR('CLASIF_Baobá_F'!$X$5,"")</f>
        <v/>
      </c>
      <c r="E1053" s="40" t="n"/>
      <c r="F1053" s="39">
        <f>IFERROR('CLASIF_Baobá_F'!$X$8,"")</f>
        <v/>
      </c>
      <c r="G1053" s="40" t="n"/>
      <c r="H1053" s="41" t="n"/>
      <c r="I1053" s="42">
        <f>IF($H1053="","",MAX(0,$H1053-N($E1053)))</f>
        <v/>
      </c>
      <c r="J1053" s="42">
        <f>IF($H1053="","",MAX(0,$H1053-N($G1053)))</f>
        <v/>
      </c>
    </row>
    <row r="1054" ht="19.5" customHeight="1" s="72">
      <c r="A1054" s="38" t="inlineStr">
        <is>
          <t>BaobáF-FIN-P01-SIR</t>
        </is>
      </c>
      <c r="B1054" s="38" t="inlineStr">
        <is>
          <t>Final</t>
        </is>
      </c>
      <c r="C1054" s="38" t="inlineStr">
        <is>
          <t>Siriuna</t>
        </is>
      </c>
      <c r="D1054" s="39">
        <f>IFERROR('CLASIF_Baobá_F'!$X$5,"")</f>
        <v/>
      </c>
      <c r="E1054" s="40" t="n"/>
      <c r="F1054" s="39">
        <f>IFERROR('CLASIF_Baobá_F'!$X$8,"")</f>
        <v/>
      </c>
      <c r="G1054" s="40" t="n"/>
      <c r="H1054" s="41" t="n"/>
      <c r="I1054" s="42">
        <f>IF($H1054="","",MAX(0,$H1054-N($E1054)))</f>
        <v/>
      </c>
      <c r="J1054" s="42">
        <f>IF($H1054="","",MAX(0,$H1054-N($G1054)))</f>
        <v/>
      </c>
    </row>
    <row r="1055" ht="19.5" customHeight="1" s="72">
      <c r="A1055" s="38" t="inlineStr">
        <is>
          <t>BaobáF-FIN-P02-SBA</t>
        </is>
      </c>
      <c r="B1055" s="38" t="inlineStr">
        <is>
          <t>Final</t>
        </is>
      </c>
      <c r="C1055" s="38" t="inlineStr">
        <is>
          <t>São Bento da Abadá</t>
        </is>
      </c>
      <c r="D1055" s="39">
        <f>IFERROR('CLASIF_Baobá_F'!$X$6,"")</f>
        <v/>
      </c>
      <c r="E1055" s="40" t="n"/>
      <c r="F1055" s="39">
        <f>IFERROR('CLASIF_Baobá_F'!$X$7,"")</f>
        <v/>
      </c>
      <c r="G1055" s="40" t="n"/>
      <c r="H1055" s="41" t="n"/>
      <c r="I1055" s="42">
        <f>IF($H1055="","",MAX(0,$H1055-N($E1055)))</f>
        <v/>
      </c>
      <c r="J1055" s="42">
        <f>IF($H1055="","",MAX(0,$H1055-N($G1055)))</f>
        <v/>
      </c>
    </row>
    <row r="1056" ht="19.5" customHeight="1" s="72">
      <c r="A1056" s="38" t="inlineStr">
        <is>
          <t>BaobáF-FIN-P02-BEN</t>
        </is>
      </c>
      <c r="B1056" s="38" t="inlineStr">
        <is>
          <t>Final</t>
        </is>
      </c>
      <c r="C1056" s="38" t="inlineStr">
        <is>
          <t>Benguela</t>
        </is>
      </c>
      <c r="D1056" s="39">
        <f>IFERROR('CLASIF_Baobá_F'!$X$6,"")</f>
        <v/>
      </c>
      <c r="E1056" s="40" t="n"/>
      <c r="F1056" s="39">
        <f>IFERROR('CLASIF_Baobá_F'!$X$7,"")</f>
        <v/>
      </c>
      <c r="G1056" s="40" t="n"/>
      <c r="H1056" s="41" t="n"/>
      <c r="I1056" s="42">
        <f>IF($H1056="","",MAX(0,$H1056-N($E1056)))</f>
        <v/>
      </c>
      <c r="J1056" s="42">
        <f>IF($H1056="","",MAX(0,$H1056-N($G1056)))</f>
        <v/>
      </c>
    </row>
    <row r="1057" ht="19.5" customHeight="1" s="72">
      <c r="A1057" s="38" t="inlineStr">
        <is>
          <t>BaobáF-FIN-P02-SIR</t>
        </is>
      </c>
      <c r="B1057" s="38" t="inlineStr">
        <is>
          <t>Final</t>
        </is>
      </c>
      <c r="C1057" s="38" t="inlineStr">
        <is>
          <t>Siriuna</t>
        </is>
      </c>
      <c r="D1057" s="39">
        <f>IFERROR('CLASIF_Baobá_F'!$X$6,"")</f>
        <v/>
      </c>
      <c r="E1057" s="40" t="n"/>
      <c r="F1057" s="39">
        <f>IFERROR('CLASIF_Baobá_F'!$X$7,"")</f>
        <v/>
      </c>
      <c r="G1057" s="40" t="n"/>
      <c r="H1057" s="41" t="n"/>
      <c r="I1057" s="42">
        <f>IF($H1057="","",MAX(0,$H1057-N($E1057)))</f>
        <v/>
      </c>
      <c r="J1057" s="42">
        <f>IF($H1057="","",MAX(0,$H1057-N($G1057)))</f>
        <v/>
      </c>
    </row>
    <row r="1058" ht="19.5" customHeight="1" s="72">
      <c r="A1058" s="43" t="n"/>
      <c r="B1058" s="43" t="n"/>
      <c r="C1058" s="43" t="n"/>
      <c r="D1058" s="43" t="n"/>
      <c r="E1058" s="43" t="n"/>
      <c r="F1058" s="43" t="n"/>
      <c r="G1058" s="43" t="n"/>
      <c r="H1058" s="44" t="n"/>
      <c r="I1058" s="43">
        <f>IF($H1058="","",MAX(0,$H1058-N($E1058)))</f>
        <v/>
      </c>
      <c r="J1058" s="43">
        <f>IF($H1058="","",MAX(0,$H1058-N($G1058)))</f>
        <v/>
      </c>
    </row>
    <row r="1059" ht="19.5" customHeight="1" s="72">
      <c r="A1059" s="86" t="inlineStr">
        <is>
          <t>═══ CATEGORÍA Juvenil · Masculino · Amarilla/Naranja · Toques: São Bento da Abadá, Benguela ═══</t>
        </is>
      </c>
    </row>
    <row r="1060" ht="19.5" customHeight="1" s="72">
      <c r="A1060" s="8" t="inlineStr">
        <is>
          <t>Jogo</t>
        </is>
      </c>
      <c r="B1060" s="8" t="inlineStr">
        <is>
          <t>Fase</t>
        </is>
      </c>
      <c r="C1060" s="8" t="inlineStr">
        <is>
          <t>Toque</t>
        </is>
      </c>
      <c r="D1060" s="8" t="inlineStr">
        <is>
          <t>Jugador A</t>
        </is>
      </c>
      <c r="E1060" s="8" t="inlineStr">
        <is>
          <t>Quita A</t>
        </is>
      </c>
      <c r="F1060" s="8" t="inlineStr">
        <is>
          <t>Jugador B</t>
        </is>
      </c>
      <c r="G1060" s="8" t="inlineStr">
        <is>
          <t>Quita B</t>
        </is>
      </c>
      <c r="H1060" s="8" t="inlineStr">
        <is>
          <t>NOTA (0-5)</t>
        </is>
      </c>
      <c r="I1060" s="8">
        <f>IF($H1060="","",MAX(0,$H1060-N($E1060)))</f>
        <v/>
      </c>
      <c r="J1060" s="8">
        <f>IF($H1060="","",MAX(0,$H1060-N($G1060)))</f>
        <v/>
      </c>
    </row>
    <row r="1061" ht="19.5" customHeight="1" s="72">
      <c r="A1061" s="38" t="inlineStr">
        <is>
          <t>JuvenilM-32-P01-SBA</t>
        </is>
      </c>
      <c r="B1061" s="38" t="inlineStr">
        <is>
          <t>Fase 32</t>
        </is>
      </c>
      <c r="C1061" s="38" t="inlineStr">
        <is>
          <t>São Bento da Abadá</t>
        </is>
      </c>
      <c r="D1061" s="39" t="inlineStr">
        <is>
          <t>A_Juvenil_M_32_P1</t>
        </is>
      </c>
      <c r="E1061" s="40" t="n"/>
      <c r="F1061" s="39" t="inlineStr">
        <is>
          <t>B_Juvenil_M_32_P1</t>
        </is>
      </c>
      <c r="G1061" s="40" t="n"/>
      <c r="H1061" s="41" t="n"/>
      <c r="I1061" s="42">
        <f>IF($H1061="","",MAX(0,$H1061-N($E1061)))</f>
        <v/>
      </c>
      <c r="J1061" s="42">
        <f>IF($H1061="","",MAX(0,$H1061-N($G1061)))</f>
        <v/>
      </c>
    </row>
    <row r="1062" ht="19.5" customHeight="1" s="72">
      <c r="A1062" s="38" t="inlineStr">
        <is>
          <t>JuvenilM-32-P01-BEN</t>
        </is>
      </c>
      <c r="B1062" s="38" t="inlineStr">
        <is>
          <t>Fase 32</t>
        </is>
      </c>
      <c r="C1062" s="38" t="inlineStr">
        <is>
          <t>Benguela</t>
        </is>
      </c>
      <c r="D1062" s="39" t="inlineStr">
        <is>
          <t>A_Juvenil_M_32_P1</t>
        </is>
      </c>
      <c r="E1062" s="40" t="n"/>
      <c r="F1062" s="39" t="inlineStr">
        <is>
          <t>B_Juvenil_M_32_P1</t>
        </is>
      </c>
      <c r="G1062" s="40" t="n"/>
      <c r="H1062" s="41" t="n"/>
      <c r="I1062" s="42">
        <f>IF($H1062="","",MAX(0,$H1062-N($E1062)))</f>
        <v/>
      </c>
      <c r="J1062" s="42">
        <f>IF($H1062="","",MAX(0,$H1062-N($G1062)))</f>
        <v/>
      </c>
    </row>
    <row r="1063" ht="19.5" customHeight="1" s="72">
      <c r="A1063" s="38" t="inlineStr">
        <is>
          <t>JuvenilM-32-P02-SBA</t>
        </is>
      </c>
      <c r="B1063" s="38" t="inlineStr">
        <is>
          <t>Fase 32</t>
        </is>
      </c>
      <c r="C1063" s="38" t="inlineStr">
        <is>
          <t>São Bento da Abadá</t>
        </is>
      </c>
      <c r="D1063" s="39" t="inlineStr">
        <is>
          <t>A_Juvenil_M_32_P2</t>
        </is>
      </c>
      <c r="E1063" s="40" t="n"/>
      <c r="F1063" s="39" t="inlineStr">
        <is>
          <t>B_Juvenil_M_32_P2</t>
        </is>
      </c>
      <c r="G1063" s="40" t="n"/>
      <c r="H1063" s="41" t="n"/>
      <c r="I1063" s="42">
        <f>IF($H1063="","",MAX(0,$H1063-N($E1063)))</f>
        <v/>
      </c>
      <c r="J1063" s="42">
        <f>IF($H1063="","",MAX(0,$H1063-N($G1063)))</f>
        <v/>
      </c>
    </row>
    <row r="1064" ht="19.5" customHeight="1" s="72">
      <c r="A1064" s="38" t="inlineStr">
        <is>
          <t>JuvenilM-32-P02-BEN</t>
        </is>
      </c>
      <c r="B1064" s="38" t="inlineStr">
        <is>
          <t>Fase 32</t>
        </is>
      </c>
      <c r="C1064" s="38" t="inlineStr">
        <is>
          <t>Benguela</t>
        </is>
      </c>
      <c r="D1064" s="39" t="inlineStr">
        <is>
          <t>A_Juvenil_M_32_P2</t>
        </is>
      </c>
      <c r="E1064" s="40" t="n"/>
      <c r="F1064" s="39" t="inlineStr">
        <is>
          <t>B_Juvenil_M_32_P2</t>
        </is>
      </c>
      <c r="G1064" s="40" t="n"/>
      <c r="H1064" s="41" t="n"/>
      <c r="I1064" s="42">
        <f>IF($H1064="","",MAX(0,$H1064-N($E1064)))</f>
        <v/>
      </c>
      <c r="J1064" s="42">
        <f>IF($H1064="","",MAX(0,$H1064-N($G1064)))</f>
        <v/>
      </c>
    </row>
    <row r="1065" ht="19.5" customHeight="1" s="72">
      <c r="A1065" s="38" t="inlineStr">
        <is>
          <t>JuvenilM-32-P03-SBA</t>
        </is>
      </c>
      <c r="B1065" s="38" t="inlineStr">
        <is>
          <t>Fase 32</t>
        </is>
      </c>
      <c r="C1065" s="38" t="inlineStr">
        <is>
          <t>São Bento da Abadá</t>
        </is>
      </c>
      <c r="D1065" s="39" t="inlineStr">
        <is>
          <t>A_Juvenil_M_32_P3</t>
        </is>
      </c>
      <c r="E1065" s="40" t="n"/>
      <c r="F1065" s="39" t="inlineStr">
        <is>
          <t>B_Juvenil_M_32_P3</t>
        </is>
      </c>
      <c r="G1065" s="40" t="n"/>
      <c r="H1065" s="41" t="n"/>
      <c r="I1065" s="42">
        <f>IF($H1065="","",MAX(0,$H1065-N($E1065)))</f>
        <v/>
      </c>
      <c r="J1065" s="42">
        <f>IF($H1065="","",MAX(0,$H1065-N($G1065)))</f>
        <v/>
      </c>
    </row>
    <row r="1066" ht="19.5" customHeight="1" s="72">
      <c r="A1066" s="38" t="inlineStr">
        <is>
          <t>JuvenilM-32-P03-BEN</t>
        </is>
      </c>
      <c r="B1066" s="38" t="inlineStr">
        <is>
          <t>Fase 32</t>
        </is>
      </c>
      <c r="C1066" s="38" t="inlineStr">
        <is>
          <t>Benguela</t>
        </is>
      </c>
      <c r="D1066" s="39" t="inlineStr">
        <is>
          <t>A_Juvenil_M_32_P3</t>
        </is>
      </c>
      <c r="E1066" s="40" t="n"/>
      <c r="F1066" s="39" t="inlineStr">
        <is>
          <t>B_Juvenil_M_32_P3</t>
        </is>
      </c>
      <c r="G1066" s="40" t="n"/>
      <c r="H1066" s="41" t="n"/>
      <c r="I1066" s="42">
        <f>IF($H1066="","",MAX(0,$H1066-N($E1066)))</f>
        <v/>
      </c>
      <c r="J1066" s="42">
        <f>IF($H1066="","",MAX(0,$H1066-N($G1066)))</f>
        <v/>
      </c>
    </row>
    <row r="1067" ht="19.5" customHeight="1" s="72">
      <c r="A1067" s="38" t="inlineStr">
        <is>
          <t>JuvenilM-32-P04-SBA</t>
        </is>
      </c>
      <c r="B1067" s="38" t="inlineStr">
        <is>
          <t>Fase 32</t>
        </is>
      </c>
      <c r="C1067" s="38" t="inlineStr">
        <is>
          <t>São Bento da Abadá</t>
        </is>
      </c>
      <c r="D1067" s="39" t="inlineStr">
        <is>
          <t>A_Juvenil_M_32_P4</t>
        </is>
      </c>
      <c r="E1067" s="40" t="n"/>
      <c r="F1067" s="39" t="inlineStr">
        <is>
          <t>B_Juvenil_M_32_P4</t>
        </is>
      </c>
      <c r="G1067" s="40" t="n"/>
      <c r="H1067" s="41" t="n"/>
      <c r="I1067" s="42">
        <f>IF($H1067="","",MAX(0,$H1067-N($E1067)))</f>
        <v/>
      </c>
      <c r="J1067" s="42">
        <f>IF($H1067="","",MAX(0,$H1067-N($G1067)))</f>
        <v/>
      </c>
    </row>
    <row r="1068" ht="19.5" customHeight="1" s="72">
      <c r="A1068" s="38" t="inlineStr">
        <is>
          <t>JuvenilM-32-P04-BEN</t>
        </is>
      </c>
      <c r="B1068" s="38" t="inlineStr">
        <is>
          <t>Fase 32</t>
        </is>
      </c>
      <c r="C1068" s="38" t="inlineStr">
        <is>
          <t>Benguela</t>
        </is>
      </c>
      <c r="D1068" s="39" t="inlineStr">
        <is>
          <t>A_Juvenil_M_32_P4</t>
        </is>
      </c>
      <c r="E1068" s="40" t="n"/>
      <c r="F1068" s="39" t="inlineStr">
        <is>
          <t>B_Juvenil_M_32_P4</t>
        </is>
      </c>
      <c r="G1068" s="40" t="n"/>
      <c r="H1068" s="41" t="n"/>
      <c r="I1068" s="42">
        <f>IF($H1068="","",MAX(0,$H1068-N($E1068)))</f>
        <v/>
      </c>
      <c r="J1068" s="42">
        <f>IF($H1068="","",MAX(0,$H1068-N($G1068)))</f>
        <v/>
      </c>
    </row>
    <row r="1069" ht="19.5" customHeight="1" s="72">
      <c r="A1069" s="38" t="inlineStr">
        <is>
          <t>JuvenilM-32-P05-SBA</t>
        </is>
      </c>
      <c r="B1069" s="38" t="inlineStr">
        <is>
          <t>Fase 32</t>
        </is>
      </c>
      <c r="C1069" s="38" t="inlineStr">
        <is>
          <t>São Bento da Abadá</t>
        </is>
      </c>
      <c r="D1069" s="39" t="inlineStr">
        <is>
          <t>A_Juvenil_M_32_P5</t>
        </is>
      </c>
      <c r="E1069" s="40" t="n"/>
      <c r="F1069" s="39" t="inlineStr">
        <is>
          <t>B_Juvenil_M_32_P5</t>
        </is>
      </c>
      <c r="G1069" s="40" t="n"/>
      <c r="H1069" s="41" t="n"/>
      <c r="I1069" s="42">
        <f>IF($H1069="","",MAX(0,$H1069-N($E1069)))</f>
        <v/>
      </c>
      <c r="J1069" s="42">
        <f>IF($H1069="","",MAX(0,$H1069-N($G1069)))</f>
        <v/>
      </c>
    </row>
    <row r="1070" ht="19.5" customHeight="1" s="72">
      <c r="A1070" s="38" t="inlineStr">
        <is>
          <t>JuvenilM-32-P05-BEN</t>
        </is>
      </c>
      <c r="B1070" s="38" t="inlineStr">
        <is>
          <t>Fase 32</t>
        </is>
      </c>
      <c r="C1070" s="38" t="inlineStr">
        <is>
          <t>Benguela</t>
        </is>
      </c>
      <c r="D1070" s="39" t="inlineStr">
        <is>
          <t>A_Juvenil_M_32_P5</t>
        </is>
      </c>
      <c r="E1070" s="40" t="n"/>
      <c r="F1070" s="39" t="inlineStr">
        <is>
          <t>B_Juvenil_M_32_P5</t>
        </is>
      </c>
      <c r="G1070" s="40" t="n"/>
      <c r="H1070" s="41" t="n"/>
      <c r="I1070" s="42">
        <f>IF($H1070="","",MAX(0,$H1070-N($E1070)))</f>
        <v/>
      </c>
      <c r="J1070" s="42">
        <f>IF($H1070="","",MAX(0,$H1070-N($G1070)))</f>
        <v/>
      </c>
    </row>
    <row r="1071" ht="19.5" customHeight="1" s="72">
      <c r="A1071" s="38" t="inlineStr">
        <is>
          <t>JuvenilM-32-P06-SBA</t>
        </is>
      </c>
      <c r="B1071" s="38" t="inlineStr">
        <is>
          <t>Fase 32</t>
        </is>
      </c>
      <c r="C1071" s="38" t="inlineStr">
        <is>
          <t>São Bento da Abadá</t>
        </is>
      </c>
      <c r="D1071" s="39" t="inlineStr">
        <is>
          <t>A_Juvenil_M_32_P6</t>
        </is>
      </c>
      <c r="E1071" s="40" t="n"/>
      <c r="F1071" s="39" t="inlineStr">
        <is>
          <t>B_Juvenil_M_32_P6</t>
        </is>
      </c>
      <c r="G1071" s="40" t="n"/>
      <c r="H1071" s="41" t="n"/>
      <c r="I1071" s="42">
        <f>IF($H1071="","",MAX(0,$H1071-N($E1071)))</f>
        <v/>
      </c>
      <c r="J1071" s="42">
        <f>IF($H1071="","",MAX(0,$H1071-N($G1071)))</f>
        <v/>
      </c>
    </row>
    <row r="1072" ht="19.5" customHeight="1" s="72">
      <c r="A1072" s="38" t="inlineStr">
        <is>
          <t>JuvenilM-32-P06-BEN</t>
        </is>
      </c>
      <c r="B1072" s="38" t="inlineStr">
        <is>
          <t>Fase 32</t>
        </is>
      </c>
      <c r="C1072" s="38" t="inlineStr">
        <is>
          <t>Benguela</t>
        </is>
      </c>
      <c r="D1072" s="39" t="inlineStr">
        <is>
          <t>A_Juvenil_M_32_P6</t>
        </is>
      </c>
      <c r="E1072" s="40" t="n"/>
      <c r="F1072" s="39" t="inlineStr">
        <is>
          <t>B_Juvenil_M_32_P6</t>
        </is>
      </c>
      <c r="G1072" s="40" t="n"/>
      <c r="H1072" s="41" t="n"/>
      <c r="I1072" s="42">
        <f>IF($H1072="","",MAX(0,$H1072-N($E1072)))</f>
        <v/>
      </c>
      <c r="J1072" s="42">
        <f>IF($H1072="","",MAX(0,$H1072-N($G1072)))</f>
        <v/>
      </c>
    </row>
    <row r="1073" ht="19.5" customHeight="1" s="72">
      <c r="A1073" s="38" t="inlineStr">
        <is>
          <t>JuvenilM-32-P07-SBA</t>
        </is>
      </c>
      <c r="B1073" s="38" t="inlineStr">
        <is>
          <t>Fase 32</t>
        </is>
      </c>
      <c r="C1073" s="38" t="inlineStr">
        <is>
          <t>São Bento da Abadá</t>
        </is>
      </c>
      <c r="D1073" s="39" t="inlineStr">
        <is>
          <t>A_Juvenil_M_32_P7</t>
        </is>
      </c>
      <c r="E1073" s="40" t="n"/>
      <c r="F1073" s="39" t="inlineStr">
        <is>
          <t>B_Juvenil_M_32_P7</t>
        </is>
      </c>
      <c r="G1073" s="40" t="n"/>
      <c r="H1073" s="41" t="n"/>
      <c r="I1073" s="42">
        <f>IF($H1073="","",MAX(0,$H1073-N($E1073)))</f>
        <v/>
      </c>
      <c r="J1073" s="42">
        <f>IF($H1073="","",MAX(0,$H1073-N($G1073)))</f>
        <v/>
      </c>
    </row>
    <row r="1074" ht="19.5" customHeight="1" s="72">
      <c r="A1074" s="38" t="inlineStr">
        <is>
          <t>JuvenilM-32-P07-BEN</t>
        </is>
      </c>
      <c r="B1074" s="38" t="inlineStr">
        <is>
          <t>Fase 32</t>
        </is>
      </c>
      <c r="C1074" s="38" t="inlineStr">
        <is>
          <t>Benguela</t>
        </is>
      </c>
      <c r="D1074" s="39" t="inlineStr">
        <is>
          <t>A_Juvenil_M_32_P7</t>
        </is>
      </c>
      <c r="E1074" s="40" t="n"/>
      <c r="F1074" s="39" t="inlineStr">
        <is>
          <t>B_Juvenil_M_32_P7</t>
        </is>
      </c>
      <c r="G1074" s="40" t="n"/>
      <c r="H1074" s="41" t="n"/>
      <c r="I1074" s="42">
        <f>IF($H1074="","",MAX(0,$H1074-N($E1074)))</f>
        <v/>
      </c>
      <c r="J1074" s="42">
        <f>IF($H1074="","",MAX(0,$H1074-N($G1074)))</f>
        <v/>
      </c>
    </row>
    <row r="1075" ht="19.5" customHeight="1" s="72">
      <c r="A1075" s="38" t="inlineStr">
        <is>
          <t>JuvenilM-32-P08-SBA</t>
        </is>
      </c>
      <c r="B1075" s="38" t="inlineStr">
        <is>
          <t>Fase 32</t>
        </is>
      </c>
      <c r="C1075" s="38" t="inlineStr">
        <is>
          <t>São Bento da Abadá</t>
        </is>
      </c>
      <c r="D1075" s="39" t="inlineStr">
        <is>
          <t>A_Juvenil_M_32_P8</t>
        </is>
      </c>
      <c r="E1075" s="40" t="n"/>
      <c r="F1075" s="39" t="inlineStr">
        <is>
          <t>B_Juvenil_M_32_P8</t>
        </is>
      </c>
      <c r="G1075" s="40" t="n"/>
      <c r="H1075" s="41" t="n"/>
      <c r="I1075" s="42">
        <f>IF($H1075="","",MAX(0,$H1075-N($E1075)))</f>
        <v/>
      </c>
      <c r="J1075" s="42">
        <f>IF($H1075="","",MAX(0,$H1075-N($G1075)))</f>
        <v/>
      </c>
    </row>
    <row r="1076" ht="19.5" customHeight="1" s="72">
      <c r="A1076" s="38" t="inlineStr">
        <is>
          <t>JuvenilM-32-P08-BEN</t>
        </is>
      </c>
      <c r="B1076" s="38" t="inlineStr">
        <is>
          <t>Fase 32</t>
        </is>
      </c>
      <c r="C1076" s="38" t="inlineStr">
        <is>
          <t>Benguela</t>
        </is>
      </c>
      <c r="D1076" s="39" t="inlineStr">
        <is>
          <t>A_Juvenil_M_32_P8</t>
        </is>
      </c>
      <c r="E1076" s="40" t="n"/>
      <c r="F1076" s="39" t="inlineStr">
        <is>
          <t>B_Juvenil_M_32_P8</t>
        </is>
      </c>
      <c r="G1076" s="40" t="n"/>
      <c r="H1076" s="41" t="n"/>
      <c r="I1076" s="42">
        <f>IF($H1076="","",MAX(0,$H1076-N($E1076)))</f>
        <v/>
      </c>
      <c r="J1076" s="42">
        <f>IF($H1076="","",MAX(0,$H1076-N($G1076)))</f>
        <v/>
      </c>
    </row>
    <row r="1077" ht="19.5" customHeight="1" s="72">
      <c r="A1077" s="38" t="inlineStr">
        <is>
          <t>JuvenilM-32-P09-SBA</t>
        </is>
      </c>
      <c r="B1077" s="38" t="inlineStr">
        <is>
          <t>Fase 32</t>
        </is>
      </c>
      <c r="C1077" s="38" t="inlineStr">
        <is>
          <t>São Bento da Abadá</t>
        </is>
      </c>
      <c r="D1077" s="39" t="inlineStr">
        <is>
          <t>A_Juvenil_M_32_P9</t>
        </is>
      </c>
      <c r="E1077" s="40" t="n"/>
      <c r="F1077" s="39" t="inlineStr">
        <is>
          <t>B_Juvenil_M_32_P9</t>
        </is>
      </c>
      <c r="G1077" s="40" t="n"/>
      <c r="H1077" s="41" t="n"/>
      <c r="I1077" s="42">
        <f>IF($H1077="","",MAX(0,$H1077-N($E1077)))</f>
        <v/>
      </c>
      <c r="J1077" s="42">
        <f>IF($H1077="","",MAX(0,$H1077-N($G1077)))</f>
        <v/>
      </c>
    </row>
    <row r="1078" ht="19.5" customHeight="1" s="72">
      <c r="A1078" s="38" t="inlineStr">
        <is>
          <t>JuvenilM-32-P09-BEN</t>
        </is>
      </c>
      <c r="B1078" s="38" t="inlineStr">
        <is>
          <t>Fase 32</t>
        </is>
      </c>
      <c r="C1078" s="38" t="inlineStr">
        <is>
          <t>Benguela</t>
        </is>
      </c>
      <c r="D1078" s="39" t="inlineStr">
        <is>
          <t>A_Juvenil_M_32_P9</t>
        </is>
      </c>
      <c r="E1078" s="40" t="n"/>
      <c r="F1078" s="39" t="inlineStr">
        <is>
          <t>B_Juvenil_M_32_P9</t>
        </is>
      </c>
      <c r="G1078" s="40" t="n"/>
      <c r="H1078" s="41" t="n"/>
      <c r="I1078" s="42">
        <f>IF($H1078="","",MAX(0,$H1078-N($E1078)))</f>
        <v/>
      </c>
      <c r="J1078" s="42">
        <f>IF($H1078="","",MAX(0,$H1078-N($G1078)))</f>
        <v/>
      </c>
    </row>
    <row r="1079" ht="19.5" customHeight="1" s="72">
      <c r="A1079" s="38" t="inlineStr">
        <is>
          <t>JuvenilM-32-P10-SBA</t>
        </is>
      </c>
      <c r="B1079" s="38" t="inlineStr">
        <is>
          <t>Fase 32</t>
        </is>
      </c>
      <c r="C1079" s="38" t="inlineStr">
        <is>
          <t>São Bento da Abadá</t>
        </is>
      </c>
      <c r="D1079" s="39" t="inlineStr">
        <is>
          <t>A_Juvenil_M_32_P10</t>
        </is>
      </c>
      <c r="E1079" s="40" t="n"/>
      <c r="F1079" s="39" t="inlineStr">
        <is>
          <t>B_Juvenil_M_32_P10</t>
        </is>
      </c>
      <c r="G1079" s="40" t="n"/>
      <c r="H1079" s="41" t="n"/>
      <c r="I1079" s="42">
        <f>IF($H1079="","",MAX(0,$H1079-N($E1079)))</f>
        <v/>
      </c>
      <c r="J1079" s="42">
        <f>IF($H1079="","",MAX(0,$H1079-N($G1079)))</f>
        <v/>
      </c>
    </row>
    <row r="1080" ht="19.5" customHeight="1" s="72">
      <c r="A1080" s="38" t="inlineStr">
        <is>
          <t>JuvenilM-32-P10-BEN</t>
        </is>
      </c>
      <c r="B1080" s="38" t="inlineStr">
        <is>
          <t>Fase 32</t>
        </is>
      </c>
      <c r="C1080" s="38" t="inlineStr">
        <is>
          <t>Benguela</t>
        </is>
      </c>
      <c r="D1080" s="39" t="inlineStr">
        <is>
          <t>A_Juvenil_M_32_P10</t>
        </is>
      </c>
      <c r="E1080" s="40" t="n"/>
      <c r="F1080" s="39" t="inlineStr">
        <is>
          <t>B_Juvenil_M_32_P10</t>
        </is>
      </c>
      <c r="G1080" s="40" t="n"/>
      <c r="H1080" s="41" t="n"/>
      <c r="I1080" s="42">
        <f>IF($H1080="","",MAX(0,$H1080-N($E1080)))</f>
        <v/>
      </c>
      <c r="J1080" s="42">
        <f>IF($H1080="","",MAX(0,$H1080-N($G1080)))</f>
        <v/>
      </c>
    </row>
    <row r="1081" ht="19.5" customHeight="1" s="72">
      <c r="A1081" s="38" t="inlineStr">
        <is>
          <t>JuvenilM-32-P11-SBA</t>
        </is>
      </c>
      <c r="B1081" s="38" t="inlineStr">
        <is>
          <t>Fase 32</t>
        </is>
      </c>
      <c r="C1081" s="38" t="inlineStr">
        <is>
          <t>São Bento da Abadá</t>
        </is>
      </c>
      <c r="D1081" s="39" t="inlineStr">
        <is>
          <t>A_Juvenil_M_32_P11</t>
        </is>
      </c>
      <c r="E1081" s="40" t="n"/>
      <c r="F1081" s="39" t="inlineStr">
        <is>
          <t>B_Juvenil_M_32_P11</t>
        </is>
      </c>
      <c r="G1081" s="40" t="n"/>
      <c r="H1081" s="41" t="n"/>
      <c r="I1081" s="42">
        <f>IF($H1081="","",MAX(0,$H1081-N($E1081)))</f>
        <v/>
      </c>
      <c r="J1081" s="42">
        <f>IF($H1081="","",MAX(0,$H1081-N($G1081)))</f>
        <v/>
      </c>
    </row>
    <row r="1082" ht="19.5" customHeight="1" s="72">
      <c r="A1082" s="38" t="inlineStr">
        <is>
          <t>JuvenilM-32-P11-BEN</t>
        </is>
      </c>
      <c r="B1082" s="38" t="inlineStr">
        <is>
          <t>Fase 32</t>
        </is>
      </c>
      <c r="C1082" s="38" t="inlineStr">
        <is>
          <t>Benguela</t>
        </is>
      </c>
      <c r="D1082" s="39" t="inlineStr">
        <is>
          <t>A_Juvenil_M_32_P11</t>
        </is>
      </c>
      <c r="E1082" s="40" t="n"/>
      <c r="F1082" s="39" t="inlineStr">
        <is>
          <t>B_Juvenil_M_32_P11</t>
        </is>
      </c>
      <c r="G1082" s="40" t="n"/>
      <c r="H1082" s="41" t="n"/>
      <c r="I1082" s="42">
        <f>IF($H1082="","",MAX(0,$H1082-N($E1082)))</f>
        <v/>
      </c>
      <c r="J1082" s="42">
        <f>IF($H1082="","",MAX(0,$H1082-N($G1082)))</f>
        <v/>
      </c>
    </row>
    <row r="1083" ht="19.5" customHeight="1" s="72">
      <c r="A1083" s="38" t="inlineStr">
        <is>
          <t>JuvenilM-32-P12-SBA</t>
        </is>
      </c>
      <c r="B1083" s="38" t="inlineStr">
        <is>
          <t>Fase 32</t>
        </is>
      </c>
      <c r="C1083" s="38" t="inlineStr">
        <is>
          <t>São Bento da Abadá</t>
        </is>
      </c>
      <c r="D1083" s="39" t="inlineStr">
        <is>
          <t>A_Juvenil_M_32_P12</t>
        </is>
      </c>
      <c r="E1083" s="40" t="n"/>
      <c r="F1083" s="39" t="inlineStr">
        <is>
          <t>B_Juvenil_M_32_P12</t>
        </is>
      </c>
      <c r="G1083" s="40" t="n"/>
      <c r="H1083" s="41" t="n"/>
      <c r="I1083" s="42">
        <f>IF($H1083="","",MAX(0,$H1083-N($E1083)))</f>
        <v/>
      </c>
      <c r="J1083" s="42">
        <f>IF($H1083="","",MAX(0,$H1083-N($G1083)))</f>
        <v/>
      </c>
    </row>
    <row r="1084" ht="19.5" customHeight="1" s="72">
      <c r="A1084" s="38" t="inlineStr">
        <is>
          <t>JuvenilM-32-P12-BEN</t>
        </is>
      </c>
      <c r="B1084" s="38" t="inlineStr">
        <is>
          <t>Fase 32</t>
        </is>
      </c>
      <c r="C1084" s="38" t="inlineStr">
        <is>
          <t>Benguela</t>
        </is>
      </c>
      <c r="D1084" s="39" t="inlineStr">
        <is>
          <t>A_Juvenil_M_32_P12</t>
        </is>
      </c>
      <c r="E1084" s="40" t="n"/>
      <c r="F1084" s="39" t="inlineStr">
        <is>
          <t>B_Juvenil_M_32_P12</t>
        </is>
      </c>
      <c r="G1084" s="40" t="n"/>
      <c r="H1084" s="41" t="n"/>
      <c r="I1084" s="42">
        <f>IF($H1084="","",MAX(0,$H1084-N($E1084)))</f>
        <v/>
      </c>
      <c r="J1084" s="42">
        <f>IF($H1084="","",MAX(0,$H1084-N($G1084)))</f>
        <v/>
      </c>
    </row>
    <row r="1085" ht="19.5" customHeight="1" s="72">
      <c r="A1085" s="38" t="inlineStr">
        <is>
          <t>JuvenilM-32-P13-SBA</t>
        </is>
      </c>
      <c r="B1085" s="38" t="inlineStr">
        <is>
          <t>Fase 32</t>
        </is>
      </c>
      <c r="C1085" s="38" t="inlineStr">
        <is>
          <t>São Bento da Abadá</t>
        </is>
      </c>
      <c r="D1085" s="39" t="inlineStr">
        <is>
          <t>A_Juvenil_M_32_P13</t>
        </is>
      </c>
      <c r="E1085" s="40" t="n"/>
      <c r="F1085" s="39" t="inlineStr">
        <is>
          <t>B_Juvenil_M_32_P13</t>
        </is>
      </c>
      <c r="G1085" s="40" t="n"/>
      <c r="H1085" s="41" t="n"/>
      <c r="I1085" s="42">
        <f>IF($H1085="","",MAX(0,$H1085-N($E1085)))</f>
        <v/>
      </c>
      <c r="J1085" s="42">
        <f>IF($H1085="","",MAX(0,$H1085-N($G1085)))</f>
        <v/>
      </c>
    </row>
    <row r="1086" ht="19.5" customHeight="1" s="72">
      <c r="A1086" s="38" t="inlineStr">
        <is>
          <t>JuvenilM-32-P13-BEN</t>
        </is>
      </c>
      <c r="B1086" s="38" t="inlineStr">
        <is>
          <t>Fase 32</t>
        </is>
      </c>
      <c r="C1086" s="38" t="inlineStr">
        <is>
          <t>Benguela</t>
        </is>
      </c>
      <c r="D1086" s="39" t="inlineStr">
        <is>
          <t>A_Juvenil_M_32_P13</t>
        </is>
      </c>
      <c r="E1086" s="40" t="n"/>
      <c r="F1086" s="39" t="inlineStr">
        <is>
          <t>B_Juvenil_M_32_P13</t>
        </is>
      </c>
      <c r="G1086" s="40" t="n"/>
      <c r="H1086" s="41" t="n"/>
      <c r="I1086" s="42">
        <f>IF($H1086="","",MAX(0,$H1086-N($E1086)))</f>
        <v/>
      </c>
      <c r="J1086" s="42">
        <f>IF($H1086="","",MAX(0,$H1086-N($G1086)))</f>
        <v/>
      </c>
    </row>
    <row r="1087" ht="19.5" customHeight="1" s="72">
      <c r="A1087" s="38" t="inlineStr">
        <is>
          <t>JuvenilM-32-P14-SBA</t>
        </is>
      </c>
      <c r="B1087" s="38" t="inlineStr">
        <is>
          <t>Fase 32</t>
        </is>
      </c>
      <c r="C1087" s="38" t="inlineStr">
        <is>
          <t>São Bento da Abadá</t>
        </is>
      </c>
      <c r="D1087" s="39" t="inlineStr">
        <is>
          <t>A_Juvenil_M_32_P14</t>
        </is>
      </c>
      <c r="E1087" s="40" t="n"/>
      <c r="F1087" s="39" t="inlineStr">
        <is>
          <t>B_Juvenil_M_32_P14</t>
        </is>
      </c>
      <c r="G1087" s="40" t="n"/>
      <c r="H1087" s="41" t="n"/>
      <c r="I1087" s="42">
        <f>IF($H1087="","",MAX(0,$H1087-N($E1087)))</f>
        <v/>
      </c>
      <c r="J1087" s="42">
        <f>IF($H1087="","",MAX(0,$H1087-N($G1087)))</f>
        <v/>
      </c>
    </row>
    <row r="1088" ht="19.5" customHeight="1" s="72">
      <c r="A1088" s="38" t="inlineStr">
        <is>
          <t>JuvenilM-32-P14-BEN</t>
        </is>
      </c>
      <c r="B1088" s="38" t="inlineStr">
        <is>
          <t>Fase 32</t>
        </is>
      </c>
      <c r="C1088" s="38" t="inlineStr">
        <is>
          <t>Benguela</t>
        </is>
      </c>
      <c r="D1088" s="39" t="inlineStr">
        <is>
          <t>A_Juvenil_M_32_P14</t>
        </is>
      </c>
      <c r="E1088" s="40" t="n"/>
      <c r="F1088" s="39" t="inlineStr">
        <is>
          <t>B_Juvenil_M_32_P14</t>
        </is>
      </c>
      <c r="G1088" s="40" t="n"/>
      <c r="H1088" s="41" t="n"/>
      <c r="I1088" s="42">
        <f>IF($H1088="","",MAX(0,$H1088-N($E1088)))</f>
        <v/>
      </c>
      <c r="J1088" s="42">
        <f>IF($H1088="","",MAX(0,$H1088-N($G1088)))</f>
        <v/>
      </c>
    </row>
    <row r="1089" ht="19.5" customHeight="1" s="72">
      <c r="A1089" s="38" t="inlineStr">
        <is>
          <t>JuvenilM-32-P15-SBA</t>
        </is>
      </c>
      <c r="B1089" s="38" t="inlineStr">
        <is>
          <t>Fase 32</t>
        </is>
      </c>
      <c r="C1089" s="38" t="inlineStr">
        <is>
          <t>São Bento da Abadá</t>
        </is>
      </c>
      <c r="D1089" s="39" t="inlineStr">
        <is>
          <t>A_Juvenil_M_32_P15</t>
        </is>
      </c>
      <c r="E1089" s="40" t="n"/>
      <c r="F1089" s="39" t="inlineStr">
        <is>
          <t>B_Juvenil_M_32_P15</t>
        </is>
      </c>
      <c r="G1089" s="40" t="n"/>
      <c r="H1089" s="41" t="n"/>
      <c r="I1089" s="42">
        <f>IF($H1089="","",MAX(0,$H1089-N($E1089)))</f>
        <v/>
      </c>
      <c r="J1089" s="42">
        <f>IF($H1089="","",MAX(0,$H1089-N($G1089)))</f>
        <v/>
      </c>
    </row>
    <row r="1090" ht="19.5" customHeight="1" s="72">
      <c r="A1090" s="38" t="inlineStr">
        <is>
          <t>JuvenilM-32-P15-BEN</t>
        </is>
      </c>
      <c r="B1090" s="38" t="inlineStr">
        <is>
          <t>Fase 32</t>
        </is>
      </c>
      <c r="C1090" s="38" t="inlineStr">
        <is>
          <t>Benguela</t>
        </is>
      </c>
      <c r="D1090" s="39" t="inlineStr">
        <is>
          <t>A_Juvenil_M_32_P15</t>
        </is>
      </c>
      <c r="E1090" s="40" t="n"/>
      <c r="F1090" s="39" t="inlineStr">
        <is>
          <t>B_Juvenil_M_32_P15</t>
        </is>
      </c>
      <c r="G1090" s="40" t="n"/>
      <c r="H1090" s="41" t="n"/>
      <c r="I1090" s="42">
        <f>IF($H1090="","",MAX(0,$H1090-N($E1090)))</f>
        <v/>
      </c>
      <c r="J1090" s="42">
        <f>IF($H1090="","",MAX(0,$H1090-N($G1090)))</f>
        <v/>
      </c>
    </row>
    <row r="1091" ht="19.5" customHeight="1" s="72">
      <c r="A1091" s="38" t="inlineStr">
        <is>
          <t>JuvenilM-32-P16-SBA</t>
        </is>
      </c>
      <c r="B1091" s="38" t="inlineStr">
        <is>
          <t>Fase 32</t>
        </is>
      </c>
      <c r="C1091" s="38" t="inlineStr">
        <is>
          <t>São Bento da Abadá</t>
        </is>
      </c>
      <c r="D1091" s="39" t="inlineStr">
        <is>
          <t>A_Juvenil_M_32_P16</t>
        </is>
      </c>
      <c r="E1091" s="40" t="n"/>
      <c r="F1091" s="39" t="inlineStr">
        <is>
          <t>B_Juvenil_M_32_P16</t>
        </is>
      </c>
      <c r="G1091" s="40" t="n"/>
      <c r="H1091" s="41" t="n"/>
      <c r="I1091" s="42">
        <f>IF($H1091="","",MAX(0,$H1091-N($E1091)))</f>
        <v/>
      </c>
      <c r="J1091" s="42">
        <f>IF($H1091="","",MAX(0,$H1091-N($G1091)))</f>
        <v/>
      </c>
    </row>
    <row r="1092" ht="19.5" customHeight="1" s="72">
      <c r="A1092" s="38" t="inlineStr">
        <is>
          <t>JuvenilM-32-P16-BEN</t>
        </is>
      </c>
      <c r="B1092" s="38" t="inlineStr">
        <is>
          <t>Fase 32</t>
        </is>
      </c>
      <c r="C1092" s="38" t="inlineStr">
        <is>
          <t>Benguela</t>
        </is>
      </c>
      <c r="D1092" s="39" t="inlineStr">
        <is>
          <t>A_Juvenil_M_32_P16</t>
        </is>
      </c>
      <c r="E1092" s="40" t="n"/>
      <c r="F1092" s="39" t="inlineStr">
        <is>
          <t>B_Juvenil_M_32_P16</t>
        </is>
      </c>
      <c r="G1092" s="40" t="n"/>
      <c r="H1092" s="41" t="n"/>
      <c r="I1092" s="42">
        <f>IF($H1092="","",MAX(0,$H1092-N($E1092)))</f>
        <v/>
      </c>
      <c r="J1092" s="42">
        <f>IF($H1092="","",MAX(0,$H1092-N($G1092)))</f>
        <v/>
      </c>
    </row>
    <row r="1093" ht="19.5" customHeight="1" s="72">
      <c r="A1093" s="38" t="inlineStr">
        <is>
          <t>JuvenilM-OCT-P01-SBA</t>
        </is>
      </c>
      <c r="B1093" s="38" t="inlineStr">
        <is>
          <t>Octavas</t>
        </is>
      </c>
      <c r="C1093" s="38" t="inlineStr">
        <is>
          <t>São Bento da Abadá</t>
        </is>
      </c>
      <c r="D1093" s="39">
        <f>IFERROR(CLASIF_Juvenil_M!$F$5,"")</f>
        <v/>
      </c>
      <c r="E1093" s="40" t="n"/>
      <c r="F1093" s="39">
        <f>IFERROR(CLASIF_Juvenil_M!$F$20,"")</f>
        <v/>
      </c>
      <c r="G1093" s="40" t="n"/>
      <c r="H1093" s="41" t="n"/>
      <c r="I1093" s="42">
        <f>IF($H1093="","",MAX(0,$H1093-N($E1093)))</f>
        <v/>
      </c>
      <c r="J1093" s="42">
        <f>IF($H1093="","",MAX(0,$H1093-N($G1093)))</f>
        <v/>
      </c>
    </row>
    <row r="1094" ht="19.5" customHeight="1" s="72">
      <c r="A1094" s="38" t="inlineStr">
        <is>
          <t>JuvenilM-OCT-P01-BEN</t>
        </is>
      </c>
      <c r="B1094" s="38" t="inlineStr">
        <is>
          <t>Octavas</t>
        </is>
      </c>
      <c r="C1094" s="38" t="inlineStr">
        <is>
          <t>Benguela</t>
        </is>
      </c>
      <c r="D1094" s="39">
        <f>IFERROR(CLASIF_Juvenil_M!$F$5,"")</f>
        <v/>
      </c>
      <c r="E1094" s="40" t="n"/>
      <c r="F1094" s="39">
        <f>IFERROR(CLASIF_Juvenil_M!$F$20,"")</f>
        <v/>
      </c>
      <c r="G1094" s="40" t="n"/>
      <c r="H1094" s="41" t="n"/>
      <c r="I1094" s="42">
        <f>IF($H1094="","",MAX(0,$H1094-N($E1094)))</f>
        <v/>
      </c>
      <c r="J1094" s="42">
        <f>IF($H1094="","",MAX(0,$H1094-N($G1094)))</f>
        <v/>
      </c>
    </row>
    <row r="1095" ht="19.5" customHeight="1" s="72">
      <c r="A1095" s="38" t="inlineStr">
        <is>
          <t>JuvenilM-OCT-P02-SBA</t>
        </is>
      </c>
      <c r="B1095" s="38" t="inlineStr">
        <is>
          <t>Octavas</t>
        </is>
      </c>
      <c r="C1095" s="38" t="inlineStr">
        <is>
          <t>São Bento da Abadá</t>
        </is>
      </c>
      <c r="D1095" s="39">
        <f>IFERROR(CLASIF_Juvenil_M!$F$6,"")</f>
        <v/>
      </c>
      <c r="E1095" s="40" t="n"/>
      <c r="F1095" s="39">
        <f>IFERROR(CLASIF_Juvenil_M!$F$19,"")</f>
        <v/>
      </c>
      <c r="G1095" s="40" t="n"/>
      <c r="H1095" s="41" t="n"/>
      <c r="I1095" s="42">
        <f>IF($H1095="","",MAX(0,$H1095-N($E1095)))</f>
        <v/>
      </c>
      <c r="J1095" s="42">
        <f>IF($H1095="","",MAX(0,$H1095-N($G1095)))</f>
        <v/>
      </c>
    </row>
    <row r="1096" ht="19.5" customHeight="1" s="72">
      <c r="A1096" s="38" t="inlineStr">
        <is>
          <t>JuvenilM-OCT-P02-BEN</t>
        </is>
      </c>
      <c r="B1096" s="38" t="inlineStr">
        <is>
          <t>Octavas</t>
        </is>
      </c>
      <c r="C1096" s="38" t="inlineStr">
        <is>
          <t>Benguela</t>
        </is>
      </c>
      <c r="D1096" s="39">
        <f>IFERROR(CLASIF_Juvenil_M!$F$6,"")</f>
        <v/>
      </c>
      <c r="E1096" s="40" t="n"/>
      <c r="F1096" s="39">
        <f>IFERROR(CLASIF_Juvenil_M!$F$19,"")</f>
        <v/>
      </c>
      <c r="G1096" s="40" t="n"/>
      <c r="H1096" s="41" t="n"/>
      <c r="I1096" s="42">
        <f>IF($H1096="","",MAX(0,$H1096-N($E1096)))</f>
        <v/>
      </c>
      <c r="J1096" s="42">
        <f>IF($H1096="","",MAX(0,$H1096-N($G1096)))</f>
        <v/>
      </c>
    </row>
    <row r="1097" ht="19.5" customHeight="1" s="72">
      <c r="A1097" s="38" t="inlineStr">
        <is>
          <t>JuvenilM-OCT-P03-SBA</t>
        </is>
      </c>
      <c r="B1097" s="38" t="inlineStr">
        <is>
          <t>Octavas</t>
        </is>
      </c>
      <c r="C1097" s="38" t="inlineStr">
        <is>
          <t>São Bento da Abadá</t>
        </is>
      </c>
      <c r="D1097" s="39">
        <f>IFERROR(CLASIF_Juvenil_M!$F$7,"")</f>
        <v/>
      </c>
      <c r="E1097" s="40" t="n"/>
      <c r="F1097" s="39">
        <f>IFERROR(CLASIF_Juvenil_M!$F$18,"")</f>
        <v/>
      </c>
      <c r="G1097" s="40" t="n"/>
      <c r="H1097" s="41" t="n"/>
      <c r="I1097" s="42">
        <f>IF($H1097="","",MAX(0,$H1097-N($E1097)))</f>
        <v/>
      </c>
      <c r="J1097" s="42">
        <f>IF($H1097="","",MAX(0,$H1097-N($G1097)))</f>
        <v/>
      </c>
    </row>
    <row r="1098" ht="19.5" customHeight="1" s="72">
      <c r="A1098" s="38" t="inlineStr">
        <is>
          <t>JuvenilM-OCT-P03-BEN</t>
        </is>
      </c>
      <c r="B1098" s="38" t="inlineStr">
        <is>
          <t>Octavas</t>
        </is>
      </c>
      <c r="C1098" s="38" t="inlineStr">
        <is>
          <t>Benguela</t>
        </is>
      </c>
      <c r="D1098" s="39">
        <f>IFERROR(CLASIF_Juvenil_M!$F$7,"")</f>
        <v/>
      </c>
      <c r="E1098" s="40" t="n"/>
      <c r="F1098" s="39">
        <f>IFERROR(CLASIF_Juvenil_M!$F$18,"")</f>
        <v/>
      </c>
      <c r="G1098" s="40" t="n"/>
      <c r="H1098" s="41" t="n"/>
      <c r="I1098" s="42">
        <f>IF($H1098="","",MAX(0,$H1098-N($E1098)))</f>
        <v/>
      </c>
      <c r="J1098" s="42">
        <f>IF($H1098="","",MAX(0,$H1098-N($G1098)))</f>
        <v/>
      </c>
    </row>
    <row r="1099" ht="19.5" customHeight="1" s="72">
      <c r="A1099" s="38" t="inlineStr">
        <is>
          <t>JuvenilM-OCT-P04-SBA</t>
        </is>
      </c>
      <c r="B1099" s="38" t="inlineStr">
        <is>
          <t>Octavas</t>
        </is>
      </c>
      <c r="C1099" s="38" t="inlineStr">
        <is>
          <t>São Bento da Abadá</t>
        </is>
      </c>
      <c r="D1099" s="39">
        <f>IFERROR(CLASIF_Juvenil_M!$F$8,"")</f>
        <v/>
      </c>
      <c r="E1099" s="40" t="n"/>
      <c r="F1099" s="39">
        <f>IFERROR(CLASIF_Juvenil_M!$F$17,"")</f>
        <v/>
      </c>
      <c r="G1099" s="40" t="n"/>
      <c r="H1099" s="41" t="n"/>
      <c r="I1099" s="42">
        <f>IF($H1099="","",MAX(0,$H1099-N($E1099)))</f>
        <v/>
      </c>
      <c r="J1099" s="42">
        <f>IF($H1099="","",MAX(0,$H1099-N($G1099)))</f>
        <v/>
      </c>
    </row>
    <row r="1100" ht="19.5" customHeight="1" s="72">
      <c r="A1100" s="38" t="inlineStr">
        <is>
          <t>JuvenilM-OCT-P04-BEN</t>
        </is>
      </c>
      <c r="B1100" s="38" t="inlineStr">
        <is>
          <t>Octavas</t>
        </is>
      </c>
      <c r="C1100" s="38" t="inlineStr">
        <is>
          <t>Benguela</t>
        </is>
      </c>
      <c r="D1100" s="39">
        <f>IFERROR(CLASIF_Juvenil_M!$F$8,"")</f>
        <v/>
      </c>
      <c r="E1100" s="40" t="n"/>
      <c r="F1100" s="39">
        <f>IFERROR(CLASIF_Juvenil_M!$F$17,"")</f>
        <v/>
      </c>
      <c r="G1100" s="40" t="n"/>
      <c r="H1100" s="41" t="n"/>
      <c r="I1100" s="42">
        <f>IF($H1100="","",MAX(0,$H1100-N($E1100)))</f>
        <v/>
      </c>
      <c r="J1100" s="42">
        <f>IF($H1100="","",MAX(0,$H1100-N($G1100)))</f>
        <v/>
      </c>
    </row>
    <row r="1101" ht="19.5" customHeight="1" s="72">
      <c r="A1101" s="38" t="inlineStr">
        <is>
          <t>JuvenilM-OCT-P05-SBA</t>
        </is>
      </c>
      <c r="B1101" s="38" t="inlineStr">
        <is>
          <t>Octavas</t>
        </is>
      </c>
      <c r="C1101" s="38" t="inlineStr">
        <is>
          <t>São Bento da Abadá</t>
        </is>
      </c>
      <c r="D1101" s="39">
        <f>IFERROR(CLASIF_Juvenil_M!$F$9,"")</f>
        <v/>
      </c>
      <c r="E1101" s="40" t="n"/>
      <c r="F1101" s="39">
        <f>IFERROR(CLASIF_Juvenil_M!$F$16,"")</f>
        <v/>
      </c>
      <c r="G1101" s="40" t="n"/>
      <c r="H1101" s="41" t="n"/>
      <c r="I1101" s="42">
        <f>IF($H1101="","",MAX(0,$H1101-N($E1101)))</f>
        <v/>
      </c>
      <c r="J1101" s="42">
        <f>IF($H1101="","",MAX(0,$H1101-N($G1101)))</f>
        <v/>
      </c>
    </row>
    <row r="1102" ht="19.5" customHeight="1" s="72">
      <c r="A1102" s="38" t="inlineStr">
        <is>
          <t>JuvenilM-OCT-P05-BEN</t>
        </is>
      </c>
      <c r="B1102" s="38" t="inlineStr">
        <is>
          <t>Octavas</t>
        </is>
      </c>
      <c r="C1102" s="38" t="inlineStr">
        <is>
          <t>Benguela</t>
        </is>
      </c>
      <c r="D1102" s="39">
        <f>IFERROR(CLASIF_Juvenil_M!$F$9,"")</f>
        <v/>
      </c>
      <c r="E1102" s="40" t="n"/>
      <c r="F1102" s="39">
        <f>IFERROR(CLASIF_Juvenil_M!$F$16,"")</f>
        <v/>
      </c>
      <c r="G1102" s="40" t="n"/>
      <c r="H1102" s="41" t="n"/>
      <c r="I1102" s="42">
        <f>IF($H1102="","",MAX(0,$H1102-N($E1102)))</f>
        <v/>
      </c>
      <c r="J1102" s="42">
        <f>IF($H1102="","",MAX(0,$H1102-N($G1102)))</f>
        <v/>
      </c>
    </row>
    <row r="1103" ht="19.5" customHeight="1" s="72">
      <c r="A1103" s="38" t="inlineStr">
        <is>
          <t>JuvenilM-OCT-P06-SBA</t>
        </is>
      </c>
      <c r="B1103" s="38" t="inlineStr">
        <is>
          <t>Octavas</t>
        </is>
      </c>
      <c r="C1103" s="38" t="inlineStr">
        <is>
          <t>São Bento da Abadá</t>
        </is>
      </c>
      <c r="D1103" s="39">
        <f>IFERROR(CLASIF_Juvenil_M!$F$10,"")</f>
        <v/>
      </c>
      <c r="E1103" s="40" t="n"/>
      <c r="F1103" s="39">
        <f>IFERROR(CLASIF_Juvenil_M!$F$15,"")</f>
        <v/>
      </c>
      <c r="G1103" s="40" t="n"/>
      <c r="H1103" s="41" t="n"/>
      <c r="I1103" s="42">
        <f>IF($H1103="","",MAX(0,$H1103-N($E1103)))</f>
        <v/>
      </c>
      <c r="J1103" s="42">
        <f>IF($H1103="","",MAX(0,$H1103-N($G1103)))</f>
        <v/>
      </c>
    </row>
    <row r="1104" ht="19.5" customHeight="1" s="72">
      <c r="A1104" s="38" t="inlineStr">
        <is>
          <t>JuvenilM-OCT-P06-BEN</t>
        </is>
      </c>
      <c r="B1104" s="38" t="inlineStr">
        <is>
          <t>Octavas</t>
        </is>
      </c>
      <c r="C1104" s="38" t="inlineStr">
        <is>
          <t>Benguela</t>
        </is>
      </c>
      <c r="D1104" s="39">
        <f>IFERROR(CLASIF_Juvenil_M!$F$10,"")</f>
        <v/>
      </c>
      <c r="E1104" s="40" t="n"/>
      <c r="F1104" s="39">
        <f>IFERROR(CLASIF_Juvenil_M!$F$15,"")</f>
        <v/>
      </c>
      <c r="G1104" s="40" t="n"/>
      <c r="H1104" s="41" t="n"/>
      <c r="I1104" s="42">
        <f>IF($H1104="","",MAX(0,$H1104-N($E1104)))</f>
        <v/>
      </c>
      <c r="J1104" s="42">
        <f>IF($H1104="","",MAX(0,$H1104-N($G1104)))</f>
        <v/>
      </c>
    </row>
    <row r="1105" ht="19.5" customHeight="1" s="72">
      <c r="A1105" s="38" t="inlineStr">
        <is>
          <t>JuvenilM-OCT-P07-SBA</t>
        </is>
      </c>
      <c r="B1105" s="38" t="inlineStr">
        <is>
          <t>Octavas</t>
        </is>
      </c>
      <c r="C1105" s="38" t="inlineStr">
        <is>
          <t>São Bento da Abadá</t>
        </is>
      </c>
      <c r="D1105" s="39">
        <f>IFERROR(CLASIF_Juvenil_M!$F$11,"")</f>
        <v/>
      </c>
      <c r="E1105" s="40" t="n"/>
      <c r="F1105" s="39">
        <f>IFERROR(CLASIF_Juvenil_M!$F$14,"")</f>
        <v/>
      </c>
      <c r="G1105" s="40" t="n"/>
      <c r="H1105" s="41" t="n"/>
      <c r="I1105" s="42">
        <f>IF($H1105="","",MAX(0,$H1105-N($E1105)))</f>
        <v/>
      </c>
      <c r="J1105" s="42">
        <f>IF($H1105="","",MAX(0,$H1105-N($G1105)))</f>
        <v/>
      </c>
    </row>
    <row r="1106" ht="19.5" customHeight="1" s="72">
      <c r="A1106" s="38" t="inlineStr">
        <is>
          <t>JuvenilM-OCT-P07-BEN</t>
        </is>
      </c>
      <c r="B1106" s="38" t="inlineStr">
        <is>
          <t>Octavas</t>
        </is>
      </c>
      <c r="C1106" s="38" t="inlineStr">
        <is>
          <t>Benguela</t>
        </is>
      </c>
      <c r="D1106" s="39">
        <f>IFERROR(CLASIF_Juvenil_M!$F$11,"")</f>
        <v/>
      </c>
      <c r="E1106" s="40" t="n"/>
      <c r="F1106" s="39">
        <f>IFERROR(CLASIF_Juvenil_M!$F$14,"")</f>
        <v/>
      </c>
      <c r="G1106" s="40" t="n"/>
      <c r="H1106" s="41" t="n"/>
      <c r="I1106" s="42">
        <f>IF($H1106="","",MAX(0,$H1106-N($E1106)))</f>
        <v/>
      </c>
      <c r="J1106" s="42">
        <f>IF($H1106="","",MAX(0,$H1106-N($G1106)))</f>
        <v/>
      </c>
    </row>
    <row r="1107" ht="19.5" customHeight="1" s="72">
      <c r="A1107" s="38" t="inlineStr">
        <is>
          <t>JuvenilM-OCT-P08-SBA</t>
        </is>
      </c>
      <c r="B1107" s="38" t="inlineStr">
        <is>
          <t>Octavas</t>
        </is>
      </c>
      <c r="C1107" s="38" t="inlineStr">
        <is>
          <t>São Bento da Abadá</t>
        </is>
      </c>
      <c r="D1107" s="39">
        <f>IFERROR(CLASIF_Juvenil_M!$F$12,"")</f>
        <v/>
      </c>
      <c r="E1107" s="40" t="n"/>
      <c r="F1107" s="39">
        <f>IFERROR(CLASIF_Juvenil_M!$F$13,"")</f>
        <v/>
      </c>
      <c r="G1107" s="40" t="n"/>
      <c r="H1107" s="41" t="n"/>
      <c r="I1107" s="42">
        <f>IF($H1107="","",MAX(0,$H1107-N($E1107)))</f>
        <v/>
      </c>
      <c r="J1107" s="42">
        <f>IF($H1107="","",MAX(0,$H1107-N($G1107)))</f>
        <v/>
      </c>
    </row>
    <row r="1108" ht="19.5" customHeight="1" s="72">
      <c r="A1108" s="38" t="inlineStr">
        <is>
          <t>JuvenilM-OCT-P08-BEN</t>
        </is>
      </c>
      <c r="B1108" s="38" t="inlineStr">
        <is>
          <t>Octavas</t>
        </is>
      </c>
      <c r="C1108" s="38" t="inlineStr">
        <is>
          <t>Benguela</t>
        </is>
      </c>
      <c r="D1108" s="39">
        <f>IFERROR(CLASIF_Juvenil_M!$F$12,"")</f>
        <v/>
      </c>
      <c r="E1108" s="40" t="n"/>
      <c r="F1108" s="39">
        <f>IFERROR(CLASIF_Juvenil_M!$F$13,"")</f>
        <v/>
      </c>
      <c r="G1108" s="40" t="n"/>
      <c r="H1108" s="41" t="n"/>
      <c r="I1108" s="42">
        <f>IF($H1108="","",MAX(0,$H1108-N($E1108)))</f>
        <v/>
      </c>
      <c r="J1108" s="42">
        <f>IF($H1108="","",MAX(0,$H1108-N($G1108)))</f>
        <v/>
      </c>
    </row>
    <row r="1109" ht="19.5" customHeight="1" s="72">
      <c r="A1109" s="38" t="inlineStr">
        <is>
          <t>JuvenilM-SEM-P01-SBA</t>
        </is>
      </c>
      <c r="B1109" s="38" t="inlineStr">
        <is>
          <t>Semifinal</t>
        </is>
      </c>
      <c r="C1109" s="38" t="inlineStr">
        <is>
          <t>São Bento da Abadá</t>
        </is>
      </c>
      <c r="D1109" s="39">
        <f>IFERROR(CLASIF_Juvenil_M!$O$5,"")</f>
        <v/>
      </c>
      <c r="E1109" s="40" t="n"/>
      <c r="F1109" s="39">
        <f>IFERROR(CLASIF_Juvenil_M!$O$12,"")</f>
        <v/>
      </c>
      <c r="G1109" s="40" t="n"/>
      <c r="H1109" s="41" t="n"/>
      <c r="I1109" s="42">
        <f>IF($H1109="","",MAX(0,$H1109-N($E1109)))</f>
        <v/>
      </c>
      <c r="J1109" s="42">
        <f>IF($H1109="","",MAX(0,$H1109-N($G1109)))</f>
        <v/>
      </c>
    </row>
    <row r="1110" ht="19.5" customHeight="1" s="72">
      <c r="A1110" s="38" t="inlineStr">
        <is>
          <t>JuvenilM-SEM-P01-BEN</t>
        </is>
      </c>
      <c r="B1110" s="38" t="inlineStr">
        <is>
          <t>Semifinal</t>
        </is>
      </c>
      <c r="C1110" s="38" t="inlineStr">
        <is>
          <t>Benguela</t>
        </is>
      </c>
      <c r="D1110" s="39">
        <f>IFERROR(CLASIF_Juvenil_M!$O$5,"")</f>
        <v/>
      </c>
      <c r="E1110" s="40" t="n"/>
      <c r="F1110" s="39">
        <f>IFERROR(CLASIF_Juvenil_M!$O$12,"")</f>
        <v/>
      </c>
      <c r="G1110" s="40" t="n"/>
      <c r="H1110" s="41" t="n"/>
      <c r="I1110" s="42">
        <f>IF($H1110="","",MAX(0,$H1110-N($E1110)))</f>
        <v/>
      </c>
      <c r="J1110" s="42">
        <f>IF($H1110="","",MAX(0,$H1110-N($G1110)))</f>
        <v/>
      </c>
    </row>
    <row r="1111" ht="19.5" customHeight="1" s="72">
      <c r="A1111" s="38" t="inlineStr">
        <is>
          <t>JuvenilM-SEM-P02-SBA</t>
        </is>
      </c>
      <c r="B1111" s="38" t="inlineStr">
        <is>
          <t>Semifinal</t>
        </is>
      </c>
      <c r="C1111" s="38" t="inlineStr">
        <is>
          <t>São Bento da Abadá</t>
        </is>
      </c>
      <c r="D1111" s="39">
        <f>IFERROR(CLASIF_Juvenil_M!$O$6,"")</f>
        <v/>
      </c>
      <c r="E1111" s="40" t="n"/>
      <c r="F1111" s="39">
        <f>IFERROR(CLASIF_Juvenil_M!$O$11,"")</f>
        <v/>
      </c>
      <c r="G1111" s="40" t="n"/>
      <c r="H1111" s="41" t="n"/>
      <c r="I1111" s="42">
        <f>IF($H1111="","",MAX(0,$H1111-N($E1111)))</f>
        <v/>
      </c>
      <c r="J1111" s="42">
        <f>IF($H1111="","",MAX(0,$H1111-N($G1111)))</f>
        <v/>
      </c>
    </row>
    <row r="1112" ht="19.5" customHeight="1" s="72">
      <c r="A1112" s="38" t="inlineStr">
        <is>
          <t>JuvenilM-SEM-P02-BEN</t>
        </is>
      </c>
      <c r="B1112" s="38" t="inlineStr">
        <is>
          <t>Semifinal</t>
        </is>
      </c>
      <c r="C1112" s="38" t="inlineStr">
        <is>
          <t>Benguela</t>
        </is>
      </c>
      <c r="D1112" s="39">
        <f>IFERROR(CLASIF_Juvenil_M!$O$6,"")</f>
        <v/>
      </c>
      <c r="E1112" s="40" t="n"/>
      <c r="F1112" s="39">
        <f>IFERROR(CLASIF_Juvenil_M!$O$11,"")</f>
        <v/>
      </c>
      <c r="G1112" s="40" t="n"/>
      <c r="H1112" s="41" t="n"/>
      <c r="I1112" s="42">
        <f>IF($H1112="","",MAX(0,$H1112-N($E1112)))</f>
        <v/>
      </c>
      <c r="J1112" s="42">
        <f>IF($H1112="","",MAX(0,$H1112-N($G1112)))</f>
        <v/>
      </c>
    </row>
    <row r="1113" ht="19.5" customHeight="1" s="72">
      <c r="A1113" s="38" t="inlineStr">
        <is>
          <t>JuvenilM-SEM-P03-SBA</t>
        </is>
      </c>
      <c r="B1113" s="38" t="inlineStr">
        <is>
          <t>Semifinal</t>
        </is>
      </c>
      <c r="C1113" s="38" t="inlineStr">
        <is>
          <t>São Bento da Abadá</t>
        </is>
      </c>
      <c r="D1113" s="39">
        <f>IFERROR(CLASIF_Juvenil_M!$O$7,"")</f>
        <v/>
      </c>
      <c r="E1113" s="40" t="n"/>
      <c r="F1113" s="39">
        <f>IFERROR(CLASIF_Juvenil_M!$O$10,"")</f>
        <v/>
      </c>
      <c r="G1113" s="40" t="n"/>
      <c r="H1113" s="41" t="n"/>
      <c r="I1113" s="42">
        <f>IF($H1113="","",MAX(0,$H1113-N($E1113)))</f>
        <v/>
      </c>
      <c r="J1113" s="42">
        <f>IF($H1113="","",MAX(0,$H1113-N($G1113)))</f>
        <v/>
      </c>
    </row>
    <row r="1114" ht="19.5" customHeight="1" s="72">
      <c r="A1114" s="38" t="inlineStr">
        <is>
          <t>JuvenilM-SEM-P03-BEN</t>
        </is>
      </c>
      <c r="B1114" s="38" t="inlineStr">
        <is>
          <t>Semifinal</t>
        </is>
      </c>
      <c r="C1114" s="38" t="inlineStr">
        <is>
          <t>Benguela</t>
        </is>
      </c>
      <c r="D1114" s="39">
        <f>IFERROR(CLASIF_Juvenil_M!$O$7,"")</f>
        <v/>
      </c>
      <c r="E1114" s="40" t="n"/>
      <c r="F1114" s="39">
        <f>IFERROR(CLASIF_Juvenil_M!$O$10,"")</f>
        <v/>
      </c>
      <c r="G1114" s="40" t="n"/>
      <c r="H1114" s="41" t="n"/>
      <c r="I1114" s="42">
        <f>IF($H1114="","",MAX(0,$H1114-N($E1114)))</f>
        <v/>
      </c>
      <c r="J1114" s="42">
        <f>IF($H1114="","",MAX(0,$H1114-N($G1114)))</f>
        <v/>
      </c>
    </row>
    <row r="1115" ht="19.5" customHeight="1" s="72">
      <c r="A1115" s="38" t="inlineStr">
        <is>
          <t>JuvenilM-SEM-P04-SBA</t>
        </is>
      </c>
      <c r="B1115" s="38" t="inlineStr">
        <is>
          <t>Semifinal</t>
        </is>
      </c>
      <c r="C1115" s="38" t="inlineStr">
        <is>
          <t>São Bento da Abadá</t>
        </is>
      </c>
      <c r="D1115" s="39">
        <f>IFERROR(CLASIF_Juvenil_M!$O$8,"")</f>
        <v/>
      </c>
      <c r="E1115" s="40" t="n"/>
      <c r="F1115" s="39">
        <f>IFERROR(CLASIF_Juvenil_M!$O$9,"")</f>
        <v/>
      </c>
      <c r="G1115" s="40" t="n"/>
      <c r="H1115" s="41" t="n"/>
      <c r="I1115" s="42">
        <f>IF($H1115="","",MAX(0,$H1115-N($E1115)))</f>
        <v/>
      </c>
      <c r="J1115" s="42">
        <f>IF($H1115="","",MAX(0,$H1115-N($G1115)))</f>
        <v/>
      </c>
    </row>
    <row r="1116" ht="19.5" customHeight="1" s="72">
      <c r="A1116" s="38" t="inlineStr">
        <is>
          <t>JuvenilM-SEM-P04-BEN</t>
        </is>
      </c>
      <c r="B1116" s="38" t="inlineStr">
        <is>
          <t>Semifinal</t>
        </is>
      </c>
      <c r="C1116" s="38" t="inlineStr">
        <is>
          <t>Benguela</t>
        </is>
      </c>
      <c r="D1116" s="39">
        <f>IFERROR(CLASIF_Juvenil_M!$O$8,"")</f>
        <v/>
      </c>
      <c r="E1116" s="40" t="n"/>
      <c r="F1116" s="39">
        <f>IFERROR(CLASIF_Juvenil_M!$O$9,"")</f>
        <v/>
      </c>
      <c r="G1116" s="40" t="n"/>
      <c r="H1116" s="41" t="n"/>
      <c r="I1116" s="42">
        <f>IF($H1116="","",MAX(0,$H1116-N($E1116)))</f>
        <v/>
      </c>
      <c r="J1116" s="42">
        <f>IF($H1116="","",MAX(0,$H1116-N($G1116)))</f>
        <v/>
      </c>
    </row>
    <row r="1117" ht="19.5" customHeight="1" s="72">
      <c r="A1117" s="38" t="inlineStr">
        <is>
          <t>JuvenilM-FIN-P01-SBA</t>
        </is>
      </c>
      <c r="B1117" s="38" t="inlineStr">
        <is>
          <t>Final</t>
        </is>
      </c>
      <c r="C1117" s="38" t="inlineStr">
        <is>
          <t>São Bento da Abadá</t>
        </is>
      </c>
      <c r="D1117" s="39">
        <f>IFERROR(CLASIF_Juvenil_M!$X$5,"")</f>
        <v/>
      </c>
      <c r="E1117" s="40" t="n"/>
      <c r="F1117" s="39">
        <f>IFERROR(CLASIF_Juvenil_M!$X$8,"")</f>
        <v/>
      </c>
      <c r="G1117" s="40" t="n"/>
      <c r="H1117" s="41" t="n"/>
      <c r="I1117" s="42">
        <f>IF($H1117="","",MAX(0,$H1117-N($E1117)))</f>
        <v/>
      </c>
      <c r="J1117" s="42">
        <f>IF($H1117="","",MAX(0,$H1117-N($G1117)))</f>
        <v/>
      </c>
    </row>
    <row r="1118" ht="19.5" customHeight="1" s="72">
      <c r="A1118" s="38" t="inlineStr">
        <is>
          <t>JuvenilM-FIN-P01-BEN</t>
        </is>
      </c>
      <c r="B1118" s="38" t="inlineStr">
        <is>
          <t>Final</t>
        </is>
      </c>
      <c r="C1118" s="38" t="inlineStr">
        <is>
          <t>Benguela</t>
        </is>
      </c>
      <c r="D1118" s="39">
        <f>IFERROR(CLASIF_Juvenil_M!$X$5,"")</f>
        <v/>
      </c>
      <c r="E1118" s="40" t="n"/>
      <c r="F1118" s="39">
        <f>IFERROR(CLASIF_Juvenil_M!$X$8,"")</f>
        <v/>
      </c>
      <c r="G1118" s="40" t="n"/>
      <c r="H1118" s="41" t="n"/>
      <c r="I1118" s="42">
        <f>IF($H1118="","",MAX(0,$H1118-N($E1118)))</f>
        <v/>
      </c>
      <c r="J1118" s="42">
        <f>IF($H1118="","",MAX(0,$H1118-N($G1118)))</f>
        <v/>
      </c>
    </row>
    <row r="1119" ht="19.5" customHeight="1" s="72">
      <c r="A1119" s="38" t="inlineStr">
        <is>
          <t>JuvenilM-FIN-P02-SBA</t>
        </is>
      </c>
      <c r="B1119" s="38" t="inlineStr">
        <is>
          <t>Final</t>
        </is>
      </c>
      <c r="C1119" s="38" t="inlineStr">
        <is>
          <t>São Bento da Abadá</t>
        </is>
      </c>
      <c r="D1119" s="39">
        <f>IFERROR(CLASIF_Juvenil_M!$X$6,"")</f>
        <v/>
      </c>
      <c r="E1119" s="40" t="n"/>
      <c r="F1119" s="39">
        <f>IFERROR(CLASIF_Juvenil_M!$X$7,"")</f>
        <v/>
      </c>
      <c r="G1119" s="40" t="n"/>
      <c r="H1119" s="41" t="n"/>
      <c r="I1119" s="42">
        <f>IF($H1119="","",MAX(0,$H1119-N($E1119)))</f>
        <v/>
      </c>
      <c r="J1119" s="42">
        <f>IF($H1119="","",MAX(0,$H1119-N($G1119)))</f>
        <v/>
      </c>
    </row>
    <row r="1120" ht="19.5" customHeight="1" s="72">
      <c r="A1120" s="38" t="inlineStr">
        <is>
          <t>JuvenilM-FIN-P02-BEN</t>
        </is>
      </c>
      <c r="B1120" s="38" t="inlineStr">
        <is>
          <t>Final</t>
        </is>
      </c>
      <c r="C1120" s="38" t="inlineStr">
        <is>
          <t>Benguela</t>
        </is>
      </c>
      <c r="D1120" s="39">
        <f>IFERROR(CLASIF_Juvenil_M!$X$6,"")</f>
        <v/>
      </c>
      <c r="E1120" s="40" t="n"/>
      <c r="F1120" s="39">
        <f>IFERROR(CLASIF_Juvenil_M!$X$7,"")</f>
        <v/>
      </c>
      <c r="G1120" s="40" t="n"/>
      <c r="H1120" s="41" t="n"/>
      <c r="I1120" s="42">
        <f>IF($H1120="","",MAX(0,$H1120-N($E1120)))</f>
        <v/>
      </c>
      <c r="J1120" s="42">
        <f>IF($H1120="","",MAX(0,$H1120-N($G1120)))</f>
        <v/>
      </c>
    </row>
    <row r="1121" ht="19.5" customHeight="1" s="72">
      <c r="A1121" s="43" t="n"/>
      <c r="B1121" s="43" t="n"/>
      <c r="C1121" s="43" t="n"/>
      <c r="D1121" s="43" t="n"/>
      <c r="E1121" s="43" t="n"/>
      <c r="F1121" s="43" t="n"/>
      <c r="G1121" s="43" t="n"/>
      <c r="H1121" s="44" t="n"/>
      <c r="I1121" s="43">
        <f>IF($H1121="","",MAX(0,$H1121-N($E1121)))</f>
        <v/>
      </c>
      <c r="J1121" s="43">
        <f>IF($H1121="","",MAX(0,$H1121-N($G1121)))</f>
        <v/>
      </c>
    </row>
    <row r="1122" ht="19.5" customHeight="1" s="72">
      <c r="A1122" s="86" t="inlineStr">
        <is>
          <t>═══ CATEGORÍA Juvenil · Femenino · Amarilla/Naranja · Toques: São Bento da Abadá, Benguela ═══</t>
        </is>
      </c>
    </row>
    <row r="1123" ht="19.5" customHeight="1" s="72">
      <c r="A1123" s="45" t="inlineStr">
        <is>
          <t>Jogo</t>
        </is>
      </c>
      <c r="B1123" s="45" t="inlineStr">
        <is>
          <t>Fase</t>
        </is>
      </c>
      <c r="C1123" s="45" t="inlineStr">
        <is>
          <t>Toque</t>
        </is>
      </c>
      <c r="D1123" s="45" t="inlineStr">
        <is>
          <t>Jugador A</t>
        </is>
      </c>
      <c r="E1123" s="45" t="inlineStr">
        <is>
          <t>Quita A</t>
        </is>
      </c>
      <c r="F1123" s="45" t="inlineStr">
        <is>
          <t>Jugador B</t>
        </is>
      </c>
      <c r="G1123" s="45" t="inlineStr">
        <is>
          <t>Quita B</t>
        </is>
      </c>
      <c r="H1123" s="45" t="inlineStr">
        <is>
          <t>NOTA (0-5)</t>
        </is>
      </c>
      <c r="I1123" s="45">
        <f>IF($H1123="","",MAX(0,$H1123-N($E1123)))</f>
        <v/>
      </c>
      <c r="J1123" s="45">
        <f>IF($H1123="","",MAX(0,$H1123-N($G1123)))</f>
        <v/>
      </c>
    </row>
    <row r="1124" ht="19.5" customHeight="1" s="72">
      <c r="A1124" s="38" t="inlineStr">
        <is>
          <t>JuvenilF-32-P01-SBA</t>
        </is>
      </c>
      <c r="B1124" s="38" t="inlineStr">
        <is>
          <t>Fase 32</t>
        </is>
      </c>
      <c r="C1124" s="38" t="inlineStr">
        <is>
          <t>São Bento da Abadá</t>
        </is>
      </c>
      <c r="D1124" s="39" t="inlineStr">
        <is>
          <t>A_Juvenil_F_32_P1</t>
        </is>
      </c>
      <c r="E1124" s="40" t="n"/>
      <c r="F1124" s="39" t="inlineStr">
        <is>
          <t>B_Juvenil_F_32_P1</t>
        </is>
      </c>
      <c r="G1124" s="40" t="n"/>
      <c r="H1124" s="41" t="n"/>
      <c r="I1124" s="42">
        <f>IF($H1124="","",MAX(0,$H1124-N($E1124)))</f>
        <v/>
      </c>
      <c r="J1124" s="42">
        <f>IF($H1124="","",MAX(0,$H1124-N($G1124)))</f>
        <v/>
      </c>
    </row>
    <row r="1125" ht="19.5" customHeight="1" s="72">
      <c r="A1125" s="38" t="inlineStr">
        <is>
          <t>JuvenilF-32-P01-BEN</t>
        </is>
      </c>
      <c r="B1125" s="38" t="inlineStr">
        <is>
          <t>Fase 32</t>
        </is>
      </c>
      <c r="C1125" s="38" t="inlineStr">
        <is>
          <t>Benguela</t>
        </is>
      </c>
      <c r="D1125" s="39" t="inlineStr">
        <is>
          <t>A_Juvenil_F_32_P1</t>
        </is>
      </c>
      <c r="E1125" s="40" t="n"/>
      <c r="F1125" s="39" t="inlineStr">
        <is>
          <t>B_Juvenil_F_32_P1</t>
        </is>
      </c>
      <c r="G1125" s="40" t="n"/>
      <c r="H1125" s="41" t="n"/>
      <c r="I1125" s="42">
        <f>IF($H1125="","",MAX(0,$H1125-N($E1125)))</f>
        <v/>
      </c>
      <c r="J1125" s="42">
        <f>IF($H1125="","",MAX(0,$H1125-N($G1125)))</f>
        <v/>
      </c>
    </row>
    <row r="1126" ht="19.5" customHeight="1" s="72">
      <c r="A1126" s="38" t="inlineStr">
        <is>
          <t>JuvenilF-32-P02-SBA</t>
        </is>
      </c>
      <c r="B1126" s="38" t="inlineStr">
        <is>
          <t>Fase 32</t>
        </is>
      </c>
      <c r="C1126" s="38" t="inlineStr">
        <is>
          <t>São Bento da Abadá</t>
        </is>
      </c>
      <c r="D1126" s="39" t="inlineStr">
        <is>
          <t>A_Juvenil_F_32_P2</t>
        </is>
      </c>
      <c r="E1126" s="40" t="n"/>
      <c r="F1126" s="39" t="inlineStr">
        <is>
          <t>B_Juvenil_F_32_P2</t>
        </is>
      </c>
      <c r="G1126" s="40" t="n"/>
      <c r="H1126" s="41" t="n"/>
      <c r="I1126" s="42">
        <f>IF($H1126="","",MAX(0,$H1126-N($E1126)))</f>
        <v/>
      </c>
      <c r="J1126" s="42">
        <f>IF($H1126="","",MAX(0,$H1126-N($G1126)))</f>
        <v/>
      </c>
    </row>
    <row r="1127" ht="19.5" customHeight="1" s="72">
      <c r="A1127" s="38" t="inlineStr">
        <is>
          <t>JuvenilF-32-P02-BEN</t>
        </is>
      </c>
      <c r="B1127" s="38" t="inlineStr">
        <is>
          <t>Fase 32</t>
        </is>
      </c>
      <c r="C1127" s="38" t="inlineStr">
        <is>
          <t>Benguela</t>
        </is>
      </c>
      <c r="D1127" s="39" t="inlineStr">
        <is>
          <t>A_Juvenil_F_32_P2</t>
        </is>
      </c>
      <c r="E1127" s="40" t="n"/>
      <c r="F1127" s="39" t="inlineStr">
        <is>
          <t>B_Juvenil_F_32_P2</t>
        </is>
      </c>
      <c r="G1127" s="40" t="n"/>
      <c r="H1127" s="41" t="n"/>
      <c r="I1127" s="42">
        <f>IF($H1127="","",MAX(0,$H1127-N($E1127)))</f>
        <v/>
      </c>
      <c r="J1127" s="42">
        <f>IF($H1127="","",MAX(0,$H1127-N($G1127)))</f>
        <v/>
      </c>
    </row>
    <row r="1128" ht="19.5" customHeight="1" s="72">
      <c r="A1128" s="38" t="inlineStr">
        <is>
          <t>JuvenilF-32-P03-SBA</t>
        </is>
      </c>
      <c r="B1128" s="38" t="inlineStr">
        <is>
          <t>Fase 32</t>
        </is>
      </c>
      <c r="C1128" s="38" t="inlineStr">
        <is>
          <t>São Bento da Abadá</t>
        </is>
      </c>
      <c r="D1128" s="39" t="inlineStr">
        <is>
          <t>A_Juvenil_F_32_P3</t>
        </is>
      </c>
      <c r="E1128" s="40" t="n"/>
      <c r="F1128" s="39" t="inlineStr">
        <is>
          <t>B_Juvenil_F_32_P3</t>
        </is>
      </c>
      <c r="G1128" s="40" t="n"/>
      <c r="H1128" s="41" t="n"/>
      <c r="I1128" s="42">
        <f>IF($H1128="","",MAX(0,$H1128-N($E1128)))</f>
        <v/>
      </c>
      <c r="J1128" s="42">
        <f>IF($H1128="","",MAX(0,$H1128-N($G1128)))</f>
        <v/>
      </c>
    </row>
    <row r="1129" ht="19.5" customHeight="1" s="72">
      <c r="A1129" s="38" t="inlineStr">
        <is>
          <t>JuvenilF-32-P03-BEN</t>
        </is>
      </c>
      <c r="B1129" s="38" t="inlineStr">
        <is>
          <t>Fase 32</t>
        </is>
      </c>
      <c r="C1129" s="38" t="inlineStr">
        <is>
          <t>Benguela</t>
        </is>
      </c>
      <c r="D1129" s="39" t="inlineStr">
        <is>
          <t>A_Juvenil_F_32_P3</t>
        </is>
      </c>
      <c r="E1129" s="40" t="n"/>
      <c r="F1129" s="39" t="inlineStr">
        <is>
          <t>B_Juvenil_F_32_P3</t>
        </is>
      </c>
      <c r="G1129" s="40" t="n"/>
      <c r="H1129" s="41" t="n"/>
      <c r="I1129" s="42">
        <f>IF($H1129="","",MAX(0,$H1129-N($E1129)))</f>
        <v/>
      </c>
      <c r="J1129" s="42">
        <f>IF($H1129="","",MAX(0,$H1129-N($G1129)))</f>
        <v/>
      </c>
    </row>
    <row r="1130" ht="19.5" customHeight="1" s="72">
      <c r="A1130" s="38" t="inlineStr">
        <is>
          <t>JuvenilF-32-P04-SBA</t>
        </is>
      </c>
      <c r="B1130" s="38" t="inlineStr">
        <is>
          <t>Fase 32</t>
        </is>
      </c>
      <c r="C1130" s="38" t="inlineStr">
        <is>
          <t>São Bento da Abadá</t>
        </is>
      </c>
      <c r="D1130" s="39" t="inlineStr">
        <is>
          <t>A_Juvenil_F_32_P4</t>
        </is>
      </c>
      <c r="E1130" s="40" t="n"/>
      <c r="F1130" s="39" t="inlineStr">
        <is>
          <t>B_Juvenil_F_32_P4</t>
        </is>
      </c>
      <c r="G1130" s="40" t="n"/>
      <c r="H1130" s="41" t="n"/>
      <c r="I1130" s="42">
        <f>IF($H1130="","",MAX(0,$H1130-N($E1130)))</f>
        <v/>
      </c>
      <c r="J1130" s="42">
        <f>IF($H1130="","",MAX(0,$H1130-N($G1130)))</f>
        <v/>
      </c>
    </row>
    <row r="1131" ht="19.5" customHeight="1" s="72">
      <c r="A1131" s="38" t="inlineStr">
        <is>
          <t>JuvenilF-32-P04-BEN</t>
        </is>
      </c>
      <c r="B1131" s="38" t="inlineStr">
        <is>
          <t>Fase 32</t>
        </is>
      </c>
      <c r="C1131" s="38" t="inlineStr">
        <is>
          <t>Benguela</t>
        </is>
      </c>
      <c r="D1131" s="39" t="inlineStr">
        <is>
          <t>A_Juvenil_F_32_P4</t>
        </is>
      </c>
      <c r="E1131" s="40" t="n"/>
      <c r="F1131" s="39" t="inlineStr">
        <is>
          <t>B_Juvenil_F_32_P4</t>
        </is>
      </c>
      <c r="G1131" s="40" t="n"/>
      <c r="H1131" s="41" t="n"/>
      <c r="I1131" s="42">
        <f>IF($H1131="","",MAX(0,$H1131-N($E1131)))</f>
        <v/>
      </c>
      <c r="J1131" s="42">
        <f>IF($H1131="","",MAX(0,$H1131-N($G1131)))</f>
        <v/>
      </c>
    </row>
    <row r="1132" ht="19.5" customHeight="1" s="72">
      <c r="A1132" s="38" t="inlineStr">
        <is>
          <t>JuvenilF-32-P05-SBA</t>
        </is>
      </c>
      <c r="B1132" s="38" t="inlineStr">
        <is>
          <t>Fase 32</t>
        </is>
      </c>
      <c r="C1132" s="38" t="inlineStr">
        <is>
          <t>São Bento da Abadá</t>
        </is>
      </c>
      <c r="D1132" s="39" t="inlineStr">
        <is>
          <t>A_Juvenil_F_32_P5</t>
        </is>
      </c>
      <c r="E1132" s="40" t="n"/>
      <c r="F1132" s="39" t="inlineStr">
        <is>
          <t>B_Juvenil_F_32_P5</t>
        </is>
      </c>
      <c r="G1132" s="40" t="n"/>
      <c r="H1132" s="41" t="n"/>
      <c r="I1132" s="42">
        <f>IF($H1132="","",MAX(0,$H1132-N($E1132)))</f>
        <v/>
      </c>
      <c r="J1132" s="42">
        <f>IF($H1132="","",MAX(0,$H1132-N($G1132)))</f>
        <v/>
      </c>
    </row>
    <row r="1133" ht="19.5" customHeight="1" s="72">
      <c r="A1133" s="38" t="inlineStr">
        <is>
          <t>JuvenilF-32-P05-BEN</t>
        </is>
      </c>
      <c r="B1133" s="38" t="inlineStr">
        <is>
          <t>Fase 32</t>
        </is>
      </c>
      <c r="C1133" s="38" t="inlineStr">
        <is>
          <t>Benguela</t>
        </is>
      </c>
      <c r="D1133" s="39" t="inlineStr">
        <is>
          <t>A_Juvenil_F_32_P5</t>
        </is>
      </c>
      <c r="E1133" s="40" t="n"/>
      <c r="F1133" s="39" t="inlineStr">
        <is>
          <t>B_Juvenil_F_32_P5</t>
        </is>
      </c>
      <c r="G1133" s="40" t="n"/>
      <c r="H1133" s="41" t="n"/>
      <c r="I1133" s="42">
        <f>IF($H1133="","",MAX(0,$H1133-N($E1133)))</f>
        <v/>
      </c>
      <c r="J1133" s="42">
        <f>IF($H1133="","",MAX(0,$H1133-N($G1133)))</f>
        <v/>
      </c>
    </row>
    <row r="1134" ht="19.5" customHeight="1" s="72">
      <c r="A1134" s="38" t="inlineStr">
        <is>
          <t>JuvenilF-32-P06-SBA</t>
        </is>
      </c>
      <c r="B1134" s="38" t="inlineStr">
        <is>
          <t>Fase 32</t>
        </is>
      </c>
      <c r="C1134" s="38" t="inlineStr">
        <is>
          <t>São Bento da Abadá</t>
        </is>
      </c>
      <c r="D1134" s="39" t="inlineStr">
        <is>
          <t>A_Juvenil_F_32_P6</t>
        </is>
      </c>
      <c r="E1134" s="40" t="n"/>
      <c r="F1134" s="39" t="inlineStr">
        <is>
          <t>B_Juvenil_F_32_P6</t>
        </is>
      </c>
      <c r="G1134" s="40" t="n"/>
      <c r="H1134" s="41" t="n"/>
      <c r="I1134" s="42">
        <f>IF($H1134="","",MAX(0,$H1134-N($E1134)))</f>
        <v/>
      </c>
      <c r="J1134" s="42">
        <f>IF($H1134="","",MAX(0,$H1134-N($G1134)))</f>
        <v/>
      </c>
    </row>
    <row r="1135" ht="19.5" customHeight="1" s="72">
      <c r="A1135" s="38" t="inlineStr">
        <is>
          <t>JuvenilF-32-P06-BEN</t>
        </is>
      </c>
      <c r="B1135" s="38" t="inlineStr">
        <is>
          <t>Fase 32</t>
        </is>
      </c>
      <c r="C1135" s="38" t="inlineStr">
        <is>
          <t>Benguela</t>
        </is>
      </c>
      <c r="D1135" s="39" t="inlineStr">
        <is>
          <t>A_Juvenil_F_32_P6</t>
        </is>
      </c>
      <c r="E1135" s="40" t="n"/>
      <c r="F1135" s="39" t="inlineStr">
        <is>
          <t>B_Juvenil_F_32_P6</t>
        </is>
      </c>
      <c r="G1135" s="40" t="n"/>
      <c r="H1135" s="41" t="n"/>
      <c r="I1135" s="42">
        <f>IF($H1135="","",MAX(0,$H1135-N($E1135)))</f>
        <v/>
      </c>
      <c r="J1135" s="42">
        <f>IF($H1135="","",MAX(0,$H1135-N($G1135)))</f>
        <v/>
      </c>
    </row>
    <row r="1136" ht="19.5" customHeight="1" s="72">
      <c r="A1136" s="38" t="inlineStr">
        <is>
          <t>JuvenilF-32-P07-SBA</t>
        </is>
      </c>
      <c r="B1136" s="38" t="inlineStr">
        <is>
          <t>Fase 32</t>
        </is>
      </c>
      <c r="C1136" s="38" t="inlineStr">
        <is>
          <t>São Bento da Abadá</t>
        </is>
      </c>
      <c r="D1136" s="39" t="inlineStr">
        <is>
          <t>A_Juvenil_F_32_P7</t>
        </is>
      </c>
      <c r="E1136" s="40" t="n"/>
      <c r="F1136" s="39" t="inlineStr">
        <is>
          <t>B_Juvenil_F_32_P7</t>
        </is>
      </c>
      <c r="G1136" s="40" t="n"/>
      <c r="H1136" s="41" t="n"/>
      <c r="I1136" s="42">
        <f>IF($H1136="","",MAX(0,$H1136-N($E1136)))</f>
        <v/>
      </c>
      <c r="J1136" s="42">
        <f>IF($H1136="","",MAX(0,$H1136-N($G1136)))</f>
        <v/>
      </c>
    </row>
    <row r="1137" ht="19.5" customHeight="1" s="72">
      <c r="A1137" s="38" t="inlineStr">
        <is>
          <t>JuvenilF-32-P07-BEN</t>
        </is>
      </c>
      <c r="B1137" s="38" t="inlineStr">
        <is>
          <t>Fase 32</t>
        </is>
      </c>
      <c r="C1137" s="38" t="inlineStr">
        <is>
          <t>Benguela</t>
        </is>
      </c>
      <c r="D1137" s="39" t="inlineStr">
        <is>
          <t>A_Juvenil_F_32_P7</t>
        </is>
      </c>
      <c r="E1137" s="40" t="n"/>
      <c r="F1137" s="39" t="inlineStr">
        <is>
          <t>B_Juvenil_F_32_P7</t>
        </is>
      </c>
      <c r="G1137" s="40" t="n"/>
      <c r="H1137" s="41" t="n"/>
      <c r="I1137" s="42">
        <f>IF($H1137="","",MAX(0,$H1137-N($E1137)))</f>
        <v/>
      </c>
      <c r="J1137" s="42">
        <f>IF($H1137="","",MAX(0,$H1137-N($G1137)))</f>
        <v/>
      </c>
    </row>
    <row r="1138" ht="19.5" customHeight="1" s="72">
      <c r="A1138" s="38" t="inlineStr">
        <is>
          <t>JuvenilF-32-P08-SBA</t>
        </is>
      </c>
      <c r="B1138" s="38" t="inlineStr">
        <is>
          <t>Fase 32</t>
        </is>
      </c>
      <c r="C1138" s="38" t="inlineStr">
        <is>
          <t>São Bento da Abadá</t>
        </is>
      </c>
      <c r="D1138" s="39" t="inlineStr">
        <is>
          <t>A_Juvenil_F_32_P8</t>
        </is>
      </c>
      <c r="E1138" s="40" t="n"/>
      <c r="F1138" s="39" t="inlineStr">
        <is>
          <t>B_Juvenil_F_32_P8</t>
        </is>
      </c>
      <c r="G1138" s="40" t="n"/>
      <c r="H1138" s="41" t="n"/>
      <c r="I1138" s="42">
        <f>IF($H1138="","",MAX(0,$H1138-N($E1138)))</f>
        <v/>
      </c>
      <c r="J1138" s="42">
        <f>IF($H1138="","",MAX(0,$H1138-N($G1138)))</f>
        <v/>
      </c>
    </row>
    <row r="1139" ht="19.5" customHeight="1" s="72">
      <c r="A1139" s="38" t="inlineStr">
        <is>
          <t>JuvenilF-32-P08-BEN</t>
        </is>
      </c>
      <c r="B1139" s="38" t="inlineStr">
        <is>
          <t>Fase 32</t>
        </is>
      </c>
      <c r="C1139" s="38" t="inlineStr">
        <is>
          <t>Benguela</t>
        </is>
      </c>
      <c r="D1139" s="39" t="inlineStr">
        <is>
          <t>A_Juvenil_F_32_P8</t>
        </is>
      </c>
      <c r="E1139" s="40" t="n"/>
      <c r="F1139" s="39" t="inlineStr">
        <is>
          <t>B_Juvenil_F_32_P8</t>
        </is>
      </c>
      <c r="G1139" s="40" t="n"/>
      <c r="H1139" s="41" t="n"/>
      <c r="I1139" s="42">
        <f>IF($H1139="","",MAX(0,$H1139-N($E1139)))</f>
        <v/>
      </c>
      <c r="J1139" s="42">
        <f>IF($H1139="","",MAX(0,$H1139-N($G1139)))</f>
        <v/>
      </c>
    </row>
    <row r="1140" ht="19.5" customHeight="1" s="72">
      <c r="A1140" s="38" t="inlineStr">
        <is>
          <t>JuvenilF-32-P09-SBA</t>
        </is>
      </c>
      <c r="B1140" s="38" t="inlineStr">
        <is>
          <t>Fase 32</t>
        </is>
      </c>
      <c r="C1140" s="38" t="inlineStr">
        <is>
          <t>São Bento da Abadá</t>
        </is>
      </c>
      <c r="D1140" s="39" t="inlineStr">
        <is>
          <t>A_Juvenil_F_32_P9</t>
        </is>
      </c>
      <c r="E1140" s="40" t="n"/>
      <c r="F1140" s="39" t="inlineStr">
        <is>
          <t>B_Juvenil_F_32_P9</t>
        </is>
      </c>
      <c r="G1140" s="40" t="n"/>
      <c r="H1140" s="41" t="n"/>
      <c r="I1140" s="42">
        <f>IF($H1140="","",MAX(0,$H1140-N($E1140)))</f>
        <v/>
      </c>
      <c r="J1140" s="42">
        <f>IF($H1140="","",MAX(0,$H1140-N($G1140)))</f>
        <v/>
      </c>
    </row>
    <row r="1141" ht="19.5" customHeight="1" s="72">
      <c r="A1141" s="38" t="inlineStr">
        <is>
          <t>JuvenilF-32-P09-BEN</t>
        </is>
      </c>
      <c r="B1141" s="38" t="inlineStr">
        <is>
          <t>Fase 32</t>
        </is>
      </c>
      <c r="C1141" s="38" t="inlineStr">
        <is>
          <t>Benguela</t>
        </is>
      </c>
      <c r="D1141" s="39" t="inlineStr">
        <is>
          <t>A_Juvenil_F_32_P9</t>
        </is>
      </c>
      <c r="E1141" s="40" t="n"/>
      <c r="F1141" s="39" t="inlineStr">
        <is>
          <t>B_Juvenil_F_32_P9</t>
        </is>
      </c>
      <c r="G1141" s="40" t="n"/>
      <c r="H1141" s="41" t="n"/>
      <c r="I1141" s="42">
        <f>IF($H1141="","",MAX(0,$H1141-N($E1141)))</f>
        <v/>
      </c>
      <c r="J1141" s="42">
        <f>IF($H1141="","",MAX(0,$H1141-N($G1141)))</f>
        <v/>
      </c>
    </row>
    <row r="1142" ht="19.5" customHeight="1" s="72">
      <c r="A1142" s="38" t="inlineStr">
        <is>
          <t>JuvenilF-32-P10-SBA</t>
        </is>
      </c>
      <c r="B1142" s="38" t="inlineStr">
        <is>
          <t>Fase 32</t>
        </is>
      </c>
      <c r="C1142" s="38" t="inlineStr">
        <is>
          <t>São Bento da Abadá</t>
        </is>
      </c>
      <c r="D1142" s="39" t="inlineStr">
        <is>
          <t>A_Juvenil_F_32_P10</t>
        </is>
      </c>
      <c r="E1142" s="40" t="n"/>
      <c r="F1142" s="39" t="inlineStr">
        <is>
          <t>B_Juvenil_F_32_P10</t>
        </is>
      </c>
      <c r="G1142" s="40" t="n"/>
      <c r="H1142" s="41" t="n"/>
      <c r="I1142" s="42">
        <f>IF($H1142="","",MAX(0,$H1142-N($E1142)))</f>
        <v/>
      </c>
      <c r="J1142" s="42">
        <f>IF($H1142="","",MAX(0,$H1142-N($G1142)))</f>
        <v/>
      </c>
    </row>
    <row r="1143" ht="19.5" customHeight="1" s="72">
      <c r="A1143" s="38" t="inlineStr">
        <is>
          <t>JuvenilF-32-P10-BEN</t>
        </is>
      </c>
      <c r="B1143" s="38" t="inlineStr">
        <is>
          <t>Fase 32</t>
        </is>
      </c>
      <c r="C1143" s="38" t="inlineStr">
        <is>
          <t>Benguela</t>
        </is>
      </c>
      <c r="D1143" s="39" t="inlineStr">
        <is>
          <t>A_Juvenil_F_32_P10</t>
        </is>
      </c>
      <c r="E1143" s="40" t="n"/>
      <c r="F1143" s="39" t="inlineStr">
        <is>
          <t>B_Juvenil_F_32_P10</t>
        </is>
      </c>
      <c r="G1143" s="40" t="n"/>
      <c r="H1143" s="41" t="n"/>
      <c r="I1143" s="42">
        <f>IF($H1143="","",MAX(0,$H1143-N($E1143)))</f>
        <v/>
      </c>
      <c r="J1143" s="42">
        <f>IF($H1143="","",MAX(0,$H1143-N($G1143)))</f>
        <v/>
      </c>
    </row>
    <row r="1144" ht="19.5" customHeight="1" s="72">
      <c r="A1144" s="38" t="inlineStr">
        <is>
          <t>JuvenilF-32-P11-SBA</t>
        </is>
      </c>
      <c r="B1144" s="38" t="inlineStr">
        <is>
          <t>Fase 32</t>
        </is>
      </c>
      <c r="C1144" s="38" t="inlineStr">
        <is>
          <t>São Bento da Abadá</t>
        </is>
      </c>
      <c r="D1144" s="39" t="inlineStr">
        <is>
          <t>A_Juvenil_F_32_P11</t>
        </is>
      </c>
      <c r="E1144" s="40" t="n"/>
      <c r="F1144" s="39" t="inlineStr">
        <is>
          <t>B_Juvenil_F_32_P11</t>
        </is>
      </c>
      <c r="G1144" s="40" t="n"/>
      <c r="H1144" s="41" t="n"/>
      <c r="I1144" s="42">
        <f>IF($H1144="","",MAX(0,$H1144-N($E1144)))</f>
        <v/>
      </c>
      <c r="J1144" s="42">
        <f>IF($H1144="","",MAX(0,$H1144-N($G1144)))</f>
        <v/>
      </c>
    </row>
    <row r="1145" ht="19.5" customHeight="1" s="72">
      <c r="A1145" s="38" t="inlineStr">
        <is>
          <t>JuvenilF-32-P11-BEN</t>
        </is>
      </c>
      <c r="B1145" s="38" t="inlineStr">
        <is>
          <t>Fase 32</t>
        </is>
      </c>
      <c r="C1145" s="38" t="inlineStr">
        <is>
          <t>Benguela</t>
        </is>
      </c>
      <c r="D1145" s="39" t="inlineStr">
        <is>
          <t>A_Juvenil_F_32_P11</t>
        </is>
      </c>
      <c r="E1145" s="40" t="n"/>
      <c r="F1145" s="39" t="inlineStr">
        <is>
          <t>B_Juvenil_F_32_P11</t>
        </is>
      </c>
      <c r="G1145" s="40" t="n"/>
      <c r="H1145" s="41" t="n"/>
      <c r="I1145" s="42">
        <f>IF($H1145="","",MAX(0,$H1145-N($E1145)))</f>
        <v/>
      </c>
      <c r="J1145" s="42">
        <f>IF($H1145="","",MAX(0,$H1145-N($G1145)))</f>
        <v/>
      </c>
    </row>
    <row r="1146" ht="19.5" customHeight="1" s="72">
      <c r="A1146" s="38" t="inlineStr">
        <is>
          <t>JuvenilF-32-P12-SBA</t>
        </is>
      </c>
      <c r="B1146" s="38" t="inlineStr">
        <is>
          <t>Fase 32</t>
        </is>
      </c>
      <c r="C1146" s="38" t="inlineStr">
        <is>
          <t>São Bento da Abadá</t>
        </is>
      </c>
      <c r="D1146" s="39" t="inlineStr">
        <is>
          <t>A_Juvenil_F_32_P12</t>
        </is>
      </c>
      <c r="E1146" s="40" t="n"/>
      <c r="F1146" s="39" t="inlineStr">
        <is>
          <t>B_Juvenil_F_32_P12</t>
        </is>
      </c>
      <c r="G1146" s="40" t="n"/>
      <c r="H1146" s="41" t="n"/>
      <c r="I1146" s="42">
        <f>IF($H1146="","",MAX(0,$H1146-N($E1146)))</f>
        <v/>
      </c>
      <c r="J1146" s="42">
        <f>IF($H1146="","",MAX(0,$H1146-N($G1146)))</f>
        <v/>
      </c>
    </row>
    <row r="1147" ht="19.5" customHeight="1" s="72">
      <c r="A1147" s="38" t="inlineStr">
        <is>
          <t>JuvenilF-32-P12-BEN</t>
        </is>
      </c>
      <c r="B1147" s="38" t="inlineStr">
        <is>
          <t>Fase 32</t>
        </is>
      </c>
      <c r="C1147" s="38" t="inlineStr">
        <is>
          <t>Benguela</t>
        </is>
      </c>
      <c r="D1147" s="39" t="inlineStr">
        <is>
          <t>A_Juvenil_F_32_P12</t>
        </is>
      </c>
      <c r="E1147" s="40" t="n"/>
      <c r="F1147" s="39" t="inlineStr">
        <is>
          <t>B_Juvenil_F_32_P12</t>
        </is>
      </c>
      <c r="G1147" s="40" t="n"/>
      <c r="H1147" s="41" t="n"/>
      <c r="I1147" s="42">
        <f>IF($H1147="","",MAX(0,$H1147-N($E1147)))</f>
        <v/>
      </c>
      <c r="J1147" s="42">
        <f>IF($H1147="","",MAX(0,$H1147-N($G1147)))</f>
        <v/>
      </c>
    </row>
    <row r="1148" ht="19.5" customHeight="1" s="72">
      <c r="A1148" s="38" t="inlineStr">
        <is>
          <t>JuvenilF-32-P13-SBA</t>
        </is>
      </c>
      <c r="B1148" s="38" t="inlineStr">
        <is>
          <t>Fase 32</t>
        </is>
      </c>
      <c r="C1148" s="38" t="inlineStr">
        <is>
          <t>São Bento da Abadá</t>
        </is>
      </c>
      <c r="D1148" s="39" t="inlineStr">
        <is>
          <t>A_Juvenil_F_32_P13</t>
        </is>
      </c>
      <c r="E1148" s="40" t="n"/>
      <c r="F1148" s="39" t="inlineStr">
        <is>
          <t>B_Juvenil_F_32_P13</t>
        </is>
      </c>
      <c r="G1148" s="40" t="n"/>
      <c r="H1148" s="41" t="n"/>
      <c r="I1148" s="42">
        <f>IF($H1148="","",MAX(0,$H1148-N($E1148)))</f>
        <v/>
      </c>
      <c r="J1148" s="42">
        <f>IF($H1148="","",MAX(0,$H1148-N($G1148)))</f>
        <v/>
      </c>
    </row>
    <row r="1149" ht="19.5" customHeight="1" s="72">
      <c r="A1149" s="38" t="inlineStr">
        <is>
          <t>JuvenilF-32-P13-BEN</t>
        </is>
      </c>
      <c r="B1149" s="38" t="inlineStr">
        <is>
          <t>Fase 32</t>
        </is>
      </c>
      <c r="C1149" s="38" t="inlineStr">
        <is>
          <t>Benguela</t>
        </is>
      </c>
      <c r="D1149" s="39" t="inlineStr">
        <is>
          <t>A_Juvenil_F_32_P13</t>
        </is>
      </c>
      <c r="E1149" s="40" t="n"/>
      <c r="F1149" s="39" t="inlineStr">
        <is>
          <t>B_Juvenil_F_32_P13</t>
        </is>
      </c>
      <c r="G1149" s="40" t="n"/>
      <c r="H1149" s="41" t="n"/>
      <c r="I1149" s="42">
        <f>IF($H1149="","",MAX(0,$H1149-N($E1149)))</f>
        <v/>
      </c>
      <c r="J1149" s="42">
        <f>IF($H1149="","",MAX(0,$H1149-N($G1149)))</f>
        <v/>
      </c>
    </row>
    <row r="1150" ht="19.5" customHeight="1" s="72">
      <c r="A1150" s="38" t="inlineStr">
        <is>
          <t>JuvenilF-32-P14-SBA</t>
        </is>
      </c>
      <c r="B1150" s="38" t="inlineStr">
        <is>
          <t>Fase 32</t>
        </is>
      </c>
      <c r="C1150" s="38" t="inlineStr">
        <is>
          <t>São Bento da Abadá</t>
        </is>
      </c>
      <c r="D1150" s="39" t="inlineStr">
        <is>
          <t>A_Juvenil_F_32_P14</t>
        </is>
      </c>
      <c r="E1150" s="40" t="n"/>
      <c r="F1150" s="39" t="inlineStr">
        <is>
          <t>B_Juvenil_F_32_P14</t>
        </is>
      </c>
      <c r="G1150" s="40" t="n"/>
      <c r="H1150" s="41" t="n"/>
      <c r="I1150" s="42">
        <f>IF($H1150="","",MAX(0,$H1150-N($E1150)))</f>
        <v/>
      </c>
      <c r="J1150" s="42">
        <f>IF($H1150="","",MAX(0,$H1150-N($G1150)))</f>
        <v/>
      </c>
    </row>
    <row r="1151" ht="19.5" customHeight="1" s="72">
      <c r="A1151" s="38" t="inlineStr">
        <is>
          <t>JuvenilF-32-P14-BEN</t>
        </is>
      </c>
      <c r="B1151" s="38" t="inlineStr">
        <is>
          <t>Fase 32</t>
        </is>
      </c>
      <c r="C1151" s="38" t="inlineStr">
        <is>
          <t>Benguela</t>
        </is>
      </c>
      <c r="D1151" s="39" t="inlineStr">
        <is>
          <t>A_Juvenil_F_32_P14</t>
        </is>
      </c>
      <c r="E1151" s="40" t="n"/>
      <c r="F1151" s="39" t="inlineStr">
        <is>
          <t>B_Juvenil_F_32_P14</t>
        </is>
      </c>
      <c r="G1151" s="40" t="n"/>
      <c r="H1151" s="41" t="n"/>
      <c r="I1151" s="42">
        <f>IF($H1151="","",MAX(0,$H1151-N($E1151)))</f>
        <v/>
      </c>
      <c r="J1151" s="42">
        <f>IF($H1151="","",MAX(0,$H1151-N($G1151)))</f>
        <v/>
      </c>
    </row>
    <row r="1152" ht="19.5" customHeight="1" s="72">
      <c r="A1152" s="38" t="inlineStr">
        <is>
          <t>JuvenilF-32-P15-SBA</t>
        </is>
      </c>
      <c r="B1152" s="38" t="inlineStr">
        <is>
          <t>Fase 32</t>
        </is>
      </c>
      <c r="C1152" s="38" t="inlineStr">
        <is>
          <t>São Bento da Abadá</t>
        </is>
      </c>
      <c r="D1152" s="39" t="inlineStr">
        <is>
          <t>A_Juvenil_F_32_P15</t>
        </is>
      </c>
      <c r="E1152" s="40" t="n"/>
      <c r="F1152" s="39" t="inlineStr">
        <is>
          <t>B_Juvenil_F_32_P15</t>
        </is>
      </c>
      <c r="G1152" s="40" t="n"/>
      <c r="H1152" s="41" t="n"/>
      <c r="I1152" s="42">
        <f>IF($H1152="","",MAX(0,$H1152-N($E1152)))</f>
        <v/>
      </c>
      <c r="J1152" s="42">
        <f>IF($H1152="","",MAX(0,$H1152-N($G1152)))</f>
        <v/>
      </c>
    </row>
    <row r="1153" ht="19.5" customHeight="1" s="72">
      <c r="A1153" s="38" t="inlineStr">
        <is>
          <t>JuvenilF-32-P15-BEN</t>
        </is>
      </c>
      <c r="B1153" s="38" t="inlineStr">
        <is>
          <t>Fase 32</t>
        </is>
      </c>
      <c r="C1153" s="38" t="inlineStr">
        <is>
          <t>Benguela</t>
        </is>
      </c>
      <c r="D1153" s="39" t="inlineStr">
        <is>
          <t>A_Juvenil_F_32_P15</t>
        </is>
      </c>
      <c r="E1153" s="40" t="n"/>
      <c r="F1153" s="39" t="inlineStr">
        <is>
          <t>B_Juvenil_F_32_P15</t>
        </is>
      </c>
      <c r="G1153" s="40" t="n"/>
      <c r="H1153" s="41" t="n"/>
      <c r="I1153" s="42">
        <f>IF($H1153="","",MAX(0,$H1153-N($E1153)))</f>
        <v/>
      </c>
      <c r="J1153" s="42">
        <f>IF($H1153="","",MAX(0,$H1153-N($G1153)))</f>
        <v/>
      </c>
    </row>
    <row r="1154" ht="19.5" customHeight="1" s="72">
      <c r="A1154" s="38" t="inlineStr">
        <is>
          <t>JuvenilF-32-P16-SBA</t>
        </is>
      </c>
      <c r="B1154" s="38" t="inlineStr">
        <is>
          <t>Fase 32</t>
        </is>
      </c>
      <c r="C1154" s="38" t="inlineStr">
        <is>
          <t>São Bento da Abadá</t>
        </is>
      </c>
      <c r="D1154" s="39" t="inlineStr">
        <is>
          <t>A_Juvenil_F_32_P16</t>
        </is>
      </c>
      <c r="E1154" s="40" t="n"/>
      <c r="F1154" s="39" t="inlineStr">
        <is>
          <t>B_Juvenil_F_32_P16</t>
        </is>
      </c>
      <c r="G1154" s="40" t="n"/>
      <c r="H1154" s="41" t="n"/>
      <c r="I1154" s="42">
        <f>IF($H1154="","",MAX(0,$H1154-N($E1154)))</f>
        <v/>
      </c>
      <c r="J1154" s="42">
        <f>IF($H1154="","",MAX(0,$H1154-N($G1154)))</f>
        <v/>
      </c>
    </row>
    <row r="1155" ht="19.5" customHeight="1" s="72">
      <c r="A1155" s="38" t="inlineStr">
        <is>
          <t>JuvenilF-32-P16-BEN</t>
        </is>
      </c>
      <c r="B1155" s="38" t="inlineStr">
        <is>
          <t>Fase 32</t>
        </is>
      </c>
      <c r="C1155" s="38" t="inlineStr">
        <is>
          <t>Benguela</t>
        </is>
      </c>
      <c r="D1155" s="39" t="inlineStr">
        <is>
          <t>A_Juvenil_F_32_P16</t>
        </is>
      </c>
      <c r="E1155" s="40" t="n"/>
      <c r="F1155" s="39" t="inlineStr">
        <is>
          <t>B_Juvenil_F_32_P16</t>
        </is>
      </c>
      <c r="G1155" s="40" t="n"/>
      <c r="H1155" s="41" t="n"/>
      <c r="I1155" s="42">
        <f>IF($H1155="","",MAX(0,$H1155-N($E1155)))</f>
        <v/>
      </c>
      <c r="J1155" s="42">
        <f>IF($H1155="","",MAX(0,$H1155-N($G1155)))</f>
        <v/>
      </c>
    </row>
    <row r="1156" ht="19.5" customHeight="1" s="72">
      <c r="A1156" s="38" t="inlineStr">
        <is>
          <t>JuvenilF-OCT-P01-SBA</t>
        </is>
      </c>
      <c r="B1156" s="38" t="inlineStr">
        <is>
          <t>Octavas</t>
        </is>
      </c>
      <c r="C1156" s="38" t="inlineStr">
        <is>
          <t>São Bento da Abadá</t>
        </is>
      </c>
      <c r="D1156" s="39">
        <f>IFERROR(CLASIF_Juvenil_F!$F$5,"")</f>
        <v/>
      </c>
      <c r="E1156" s="40" t="n"/>
      <c r="F1156" s="39">
        <f>IFERROR(CLASIF_Juvenil_F!$F$20,"")</f>
        <v/>
      </c>
      <c r="G1156" s="40" t="n"/>
      <c r="H1156" s="41" t="n"/>
      <c r="I1156" s="42">
        <f>IF($H1156="","",MAX(0,$H1156-N($E1156)))</f>
        <v/>
      </c>
      <c r="J1156" s="42">
        <f>IF($H1156="","",MAX(0,$H1156-N($G1156)))</f>
        <v/>
      </c>
    </row>
    <row r="1157" ht="19.5" customHeight="1" s="72">
      <c r="A1157" s="38" t="inlineStr">
        <is>
          <t>JuvenilF-OCT-P01-BEN</t>
        </is>
      </c>
      <c r="B1157" s="38" t="inlineStr">
        <is>
          <t>Octavas</t>
        </is>
      </c>
      <c r="C1157" s="38" t="inlineStr">
        <is>
          <t>Benguela</t>
        </is>
      </c>
      <c r="D1157" s="39">
        <f>IFERROR(CLASIF_Juvenil_F!$F$5,"")</f>
        <v/>
      </c>
      <c r="E1157" s="40" t="n"/>
      <c r="F1157" s="39">
        <f>IFERROR(CLASIF_Juvenil_F!$F$20,"")</f>
        <v/>
      </c>
      <c r="G1157" s="40" t="n"/>
      <c r="H1157" s="41" t="n"/>
      <c r="I1157" s="42">
        <f>IF($H1157="","",MAX(0,$H1157-N($E1157)))</f>
        <v/>
      </c>
      <c r="J1157" s="42">
        <f>IF($H1157="","",MAX(0,$H1157-N($G1157)))</f>
        <v/>
      </c>
    </row>
    <row r="1158" ht="19.5" customHeight="1" s="72">
      <c r="A1158" s="38" t="inlineStr">
        <is>
          <t>JuvenilF-OCT-P02-SBA</t>
        </is>
      </c>
      <c r="B1158" s="38" t="inlineStr">
        <is>
          <t>Octavas</t>
        </is>
      </c>
      <c r="C1158" s="38" t="inlineStr">
        <is>
          <t>São Bento da Abadá</t>
        </is>
      </c>
      <c r="D1158" s="39">
        <f>IFERROR(CLASIF_Juvenil_F!$F$6,"")</f>
        <v/>
      </c>
      <c r="E1158" s="40" t="n"/>
      <c r="F1158" s="39">
        <f>IFERROR(CLASIF_Juvenil_F!$F$19,"")</f>
        <v/>
      </c>
      <c r="G1158" s="40" t="n"/>
      <c r="H1158" s="41" t="n"/>
      <c r="I1158" s="42">
        <f>IF($H1158="","",MAX(0,$H1158-N($E1158)))</f>
        <v/>
      </c>
      <c r="J1158" s="42">
        <f>IF($H1158="","",MAX(0,$H1158-N($G1158)))</f>
        <v/>
      </c>
    </row>
    <row r="1159" ht="19.5" customHeight="1" s="72">
      <c r="A1159" s="38" t="inlineStr">
        <is>
          <t>JuvenilF-OCT-P02-BEN</t>
        </is>
      </c>
      <c r="B1159" s="38" t="inlineStr">
        <is>
          <t>Octavas</t>
        </is>
      </c>
      <c r="C1159" s="38" t="inlineStr">
        <is>
          <t>Benguela</t>
        </is>
      </c>
      <c r="D1159" s="39">
        <f>IFERROR(CLASIF_Juvenil_F!$F$6,"")</f>
        <v/>
      </c>
      <c r="E1159" s="40" t="n"/>
      <c r="F1159" s="39">
        <f>IFERROR(CLASIF_Juvenil_F!$F$19,"")</f>
        <v/>
      </c>
      <c r="G1159" s="40" t="n"/>
      <c r="H1159" s="41" t="n"/>
      <c r="I1159" s="42">
        <f>IF($H1159="","",MAX(0,$H1159-N($E1159)))</f>
        <v/>
      </c>
      <c r="J1159" s="42">
        <f>IF($H1159="","",MAX(0,$H1159-N($G1159)))</f>
        <v/>
      </c>
    </row>
    <row r="1160" ht="19.5" customHeight="1" s="72">
      <c r="A1160" s="38" t="inlineStr">
        <is>
          <t>JuvenilF-OCT-P03-SBA</t>
        </is>
      </c>
      <c r="B1160" s="38" t="inlineStr">
        <is>
          <t>Octavas</t>
        </is>
      </c>
      <c r="C1160" s="38" t="inlineStr">
        <is>
          <t>São Bento da Abadá</t>
        </is>
      </c>
      <c r="D1160" s="39">
        <f>IFERROR(CLASIF_Juvenil_F!$F$7,"")</f>
        <v/>
      </c>
      <c r="E1160" s="40" t="n"/>
      <c r="F1160" s="39">
        <f>IFERROR(CLASIF_Juvenil_F!$F$18,"")</f>
        <v/>
      </c>
      <c r="G1160" s="40" t="n"/>
      <c r="H1160" s="41" t="n"/>
      <c r="I1160" s="42">
        <f>IF($H1160="","",MAX(0,$H1160-N($E1160)))</f>
        <v/>
      </c>
      <c r="J1160" s="42">
        <f>IF($H1160="","",MAX(0,$H1160-N($G1160)))</f>
        <v/>
      </c>
    </row>
    <row r="1161" ht="19.5" customHeight="1" s="72">
      <c r="A1161" s="38" t="inlineStr">
        <is>
          <t>JuvenilF-OCT-P03-BEN</t>
        </is>
      </c>
      <c r="B1161" s="38" t="inlineStr">
        <is>
          <t>Octavas</t>
        </is>
      </c>
      <c r="C1161" s="38" t="inlineStr">
        <is>
          <t>Benguela</t>
        </is>
      </c>
      <c r="D1161" s="39">
        <f>IFERROR(CLASIF_Juvenil_F!$F$7,"")</f>
        <v/>
      </c>
      <c r="E1161" s="40" t="n"/>
      <c r="F1161" s="39">
        <f>IFERROR(CLASIF_Juvenil_F!$F$18,"")</f>
        <v/>
      </c>
      <c r="G1161" s="40" t="n"/>
      <c r="H1161" s="41" t="n"/>
      <c r="I1161" s="42">
        <f>IF($H1161="","",MAX(0,$H1161-N($E1161)))</f>
        <v/>
      </c>
      <c r="J1161" s="42">
        <f>IF($H1161="","",MAX(0,$H1161-N($G1161)))</f>
        <v/>
      </c>
    </row>
    <row r="1162" ht="19.5" customHeight="1" s="72">
      <c r="A1162" s="38" t="inlineStr">
        <is>
          <t>JuvenilF-OCT-P04-SBA</t>
        </is>
      </c>
      <c r="B1162" s="38" t="inlineStr">
        <is>
          <t>Octavas</t>
        </is>
      </c>
      <c r="C1162" s="38" t="inlineStr">
        <is>
          <t>São Bento da Abadá</t>
        </is>
      </c>
      <c r="D1162" s="39">
        <f>IFERROR(CLASIF_Juvenil_F!$F$8,"")</f>
        <v/>
      </c>
      <c r="E1162" s="40" t="n"/>
      <c r="F1162" s="39">
        <f>IFERROR(CLASIF_Juvenil_F!$F$17,"")</f>
        <v/>
      </c>
      <c r="G1162" s="40" t="n"/>
      <c r="H1162" s="41" t="n"/>
      <c r="I1162" s="42">
        <f>IF($H1162="","",MAX(0,$H1162-N($E1162)))</f>
        <v/>
      </c>
      <c r="J1162" s="42">
        <f>IF($H1162="","",MAX(0,$H1162-N($G1162)))</f>
        <v/>
      </c>
    </row>
    <row r="1163" ht="19.5" customHeight="1" s="72">
      <c r="A1163" s="38" t="inlineStr">
        <is>
          <t>JuvenilF-OCT-P04-BEN</t>
        </is>
      </c>
      <c r="B1163" s="38" t="inlineStr">
        <is>
          <t>Octavas</t>
        </is>
      </c>
      <c r="C1163" s="38" t="inlineStr">
        <is>
          <t>Benguela</t>
        </is>
      </c>
      <c r="D1163" s="39">
        <f>IFERROR(CLASIF_Juvenil_F!$F$8,"")</f>
        <v/>
      </c>
      <c r="E1163" s="40" t="n"/>
      <c r="F1163" s="39">
        <f>IFERROR(CLASIF_Juvenil_F!$F$17,"")</f>
        <v/>
      </c>
      <c r="G1163" s="40" t="n"/>
      <c r="H1163" s="41" t="n"/>
      <c r="I1163" s="42">
        <f>IF($H1163="","",MAX(0,$H1163-N($E1163)))</f>
        <v/>
      </c>
      <c r="J1163" s="42">
        <f>IF($H1163="","",MAX(0,$H1163-N($G1163)))</f>
        <v/>
      </c>
    </row>
    <row r="1164" ht="19.5" customHeight="1" s="72">
      <c r="A1164" s="38" t="inlineStr">
        <is>
          <t>JuvenilF-OCT-P05-SBA</t>
        </is>
      </c>
      <c r="B1164" s="38" t="inlineStr">
        <is>
          <t>Octavas</t>
        </is>
      </c>
      <c r="C1164" s="38" t="inlineStr">
        <is>
          <t>São Bento da Abadá</t>
        </is>
      </c>
      <c r="D1164" s="39">
        <f>IFERROR(CLASIF_Juvenil_F!$F$9,"")</f>
        <v/>
      </c>
      <c r="E1164" s="40" t="n"/>
      <c r="F1164" s="39">
        <f>IFERROR(CLASIF_Juvenil_F!$F$16,"")</f>
        <v/>
      </c>
      <c r="G1164" s="40" t="n"/>
      <c r="H1164" s="41" t="n"/>
      <c r="I1164" s="42">
        <f>IF($H1164="","",MAX(0,$H1164-N($E1164)))</f>
        <v/>
      </c>
      <c r="J1164" s="42">
        <f>IF($H1164="","",MAX(0,$H1164-N($G1164)))</f>
        <v/>
      </c>
    </row>
    <row r="1165" ht="19.5" customHeight="1" s="72">
      <c r="A1165" s="38" t="inlineStr">
        <is>
          <t>JuvenilF-OCT-P05-BEN</t>
        </is>
      </c>
      <c r="B1165" s="38" t="inlineStr">
        <is>
          <t>Octavas</t>
        </is>
      </c>
      <c r="C1165" s="38" t="inlineStr">
        <is>
          <t>Benguela</t>
        </is>
      </c>
      <c r="D1165" s="39">
        <f>IFERROR(CLASIF_Juvenil_F!$F$9,"")</f>
        <v/>
      </c>
      <c r="E1165" s="40" t="n"/>
      <c r="F1165" s="39">
        <f>IFERROR(CLASIF_Juvenil_F!$F$16,"")</f>
        <v/>
      </c>
      <c r="G1165" s="40" t="n"/>
      <c r="H1165" s="41" t="n"/>
      <c r="I1165" s="42">
        <f>IF($H1165="","",MAX(0,$H1165-N($E1165)))</f>
        <v/>
      </c>
      <c r="J1165" s="42">
        <f>IF($H1165="","",MAX(0,$H1165-N($G1165)))</f>
        <v/>
      </c>
    </row>
    <row r="1166" ht="19.5" customHeight="1" s="72">
      <c r="A1166" s="38" t="inlineStr">
        <is>
          <t>JuvenilF-OCT-P06-SBA</t>
        </is>
      </c>
      <c r="B1166" s="38" t="inlineStr">
        <is>
          <t>Octavas</t>
        </is>
      </c>
      <c r="C1166" s="38" t="inlineStr">
        <is>
          <t>São Bento da Abadá</t>
        </is>
      </c>
      <c r="D1166" s="39">
        <f>IFERROR(CLASIF_Juvenil_F!$F$10,"")</f>
        <v/>
      </c>
      <c r="E1166" s="40" t="n"/>
      <c r="F1166" s="39">
        <f>IFERROR(CLASIF_Juvenil_F!$F$15,"")</f>
        <v/>
      </c>
      <c r="G1166" s="40" t="n"/>
      <c r="H1166" s="41" t="n"/>
      <c r="I1166" s="42">
        <f>IF($H1166="","",MAX(0,$H1166-N($E1166)))</f>
        <v/>
      </c>
      <c r="J1166" s="42">
        <f>IF($H1166="","",MAX(0,$H1166-N($G1166)))</f>
        <v/>
      </c>
    </row>
    <row r="1167" ht="19.5" customHeight="1" s="72">
      <c r="A1167" s="38" t="inlineStr">
        <is>
          <t>JuvenilF-OCT-P06-BEN</t>
        </is>
      </c>
      <c r="B1167" s="38" t="inlineStr">
        <is>
          <t>Octavas</t>
        </is>
      </c>
      <c r="C1167" s="38" t="inlineStr">
        <is>
          <t>Benguela</t>
        </is>
      </c>
      <c r="D1167" s="39">
        <f>IFERROR(CLASIF_Juvenil_F!$F$10,"")</f>
        <v/>
      </c>
      <c r="E1167" s="40" t="n"/>
      <c r="F1167" s="39">
        <f>IFERROR(CLASIF_Juvenil_F!$F$15,"")</f>
        <v/>
      </c>
      <c r="G1167" s="40" t="n"/>
      <c r="H1167" s="41" t="n"/>
      <c r="I1167" s="42">
        <f>IF($H1167="","",MAX(0,$H1167-N($E1167)))</f>
        <v/>
      </c>
      <c r="J1167" s="42">
        <f>IF($H1167="","",MAX(0,$H1167-N($G1167)))</f>
        <v/>
      </c>
    </row>
    <row r="1168" ht="19.5" customHeight="1" s="72">
      <c r="A1168" s="38" t="inlineStr">
        <is>
          <t>JuvenilF-OCT-P07-SBA</t>
        </is>
      </c>
      <c r="B1168" s="38" t="inlineStr">
        <is>
          <t>Octavas</t>
        </is>
      </c>
      <c r="C1168" s="38" t="inlineStr">
        <is>
          <t>São Bento da Abadá</t>
        </is>
      </c>
      <c r="D1168" s="39">
        <f>IFERROR(CLASIF_Juvenil_F!$F$11,"")</f>
        <v/>
      </c>
      <c r="E1168" s="40" t="n"/>
      <c r="F1168" s="39">
        <f>IFERROR(CLASIF_Juvenil_F!$F$14,"")</f>
        <v/>
      </c>
      <c r="G1168" s="40" t="n"/>
      <c r="H1168" s="41" t="n"/>
      <c r="I1168" s="42">
        <f>IF($H1168="","",MAX(0,$H1168-N($E1168)))</f>
        <v/>
      </c>
      <c r="J1168" s="42">
        <f>IF($H1168="","",MAX(0,$H1168-N($G1168)))</f>
        <v/>
      </c>
    </row>
    <row r="1169" ht="19.5" customHeight="1" s="72">
      <c r="A1169" s="38" t="inlineStr">
        <is>
          <t>JuvenilF-OCT-P07-BEN</t>
        </is>
      </c>
      <c r="B1169" s="38" t="inlineStr">
        <is>
          <t>Octavas</t>
        </is>
      </c>
      <c r="C1169" s="38" t="inlineStr">
        <is>
          <t>Benguela</t>
        </is>
      </c>
      <c r="D1169" s="39">
        <f>IFERROR(CLASIF_Juvenil_F!$F$11,"")</f>
        <v/>
      </c>
      <c r="E1169" s="40" t="n"/>
      <c r="F1169" s="39">
        <f>IFERROR(CLASIF_Juvenil_F!$F$14,"")</f>
        <v/>
      </c>
      <c r="G1169" s="40" t="n"/>
      <c r="H1169" s="41" t="n"/>
      <c r="I1169" s="42">
        <f>IF($H1169="","",MAX(0,$H1169-N($E1169)))</f>
        <v/>
      </c>
      <c r="J1169" s="42">
        <f>IF($H1169="","",MAX(0,$H1169-N($G1169)))</f>
        <v/>
      </c>
    </row>
    <row r="1170" ht="19.5" customHeight="1" s="72">
      <c r="A1170" s="38" t="inlineStr">
        <is>
          <t>JuvenilF-OCT-P08-SBA</t>
        </is>
      </c>
      <c r="B1170" s="38" t="inlineStr">
        <is>
          <t>Octavas</t>
        </is>
      </c>
      <c r="C1170" s="38" t="inlineStr">
        <is>
          <t>São Bento da Abadá</t>
        </is>
      </c>
      <c r="D1170" s="39">
        <f>IFERROR(CLASIF_Juvenil_F!$F$12,"")</f>
        <v/>
      </c>
      <c r="E1170" s="40" t="n"/>
      <c r="F1170" s="39">
        <f>IFERROR(CLASIF_Juvenil_F!$F$13,"")</f>
        <v/>
      </c>
      <c r="G1170" s="40" t="n"/>
      <c r="H1170" s="41" t="n"/>
      <c r="I1170" s="42">
        <f>IF($H1170="","",MAX(0,$H1170-N($E1170)))</f>
        <v/>
      </c>
      <c r="J1170" s="42">
        <f>IF($H1170="","",MAX(0,$H1170-N($G1170)))</f>
        <v/>
      </c>
    </row>
    <row r="1171" ht="19.5" customHeight="1" s="72">
      <c r="A1171" s="38" t="inlineStr">
        <is>
          <t>JuvenilF-OCT-P08-BEN</t>
        </is>
      </c>
      <c r="B1171" s="38" t="inlineStr">
        <is>
          <t>Octavas</t>
        </is>
      </c>
      <c r="C1171" s="38" t="inlineStr">
        <is>
          <t>Benguela</t>
        </is>
      </c>
      <c r="D1171" s="39">
        <f>IFERROR(CLASIF_Juvenil_F!$F$12,"")</f>
        <v/>
      </c>
      <c r="E1171" s="40" t="n"/>
      <c r="F1171" s="39">
        <f>IFERROR(CLASIF_Juvenil_F!$F$13,"")</f>
        <v/>
      </c>
      <c r="G1171" s="40" t="n"/>
      <c r="H1171" s="41" t="n"/>
      <c r="I1171" s="42">
        <f>IF($H1171="","",MAX(0,$H1171-N($E1171)))</f>
        <v/>
      </c>
      <c r="J1171" s="42">
        <f>IF($H1171="","",MAX(0,$H1171-N($G1171)))</f>
        <v/>
      </c>
    </row>
    <row r="1172" ht="19.5" customHeight="1" s="72">
      <c r="A1172" s="38" t="inlineStr">
        <is>
          <t>JuvenilF-SEM-P01-SBA</t>
        </is>
      </c>
      <c r="B1172" s="38" t="inlineStr">
        <is>
          <t>Semifinal</t>
        </is>
      </c>
      <c r="C1172" s="38" t="inlineStr">
        <is>
          <t>São Bento da Abadá</t>
        </is>
      </c>
      <c r="D1172" s="39">
        <f>IFERROR(CLASIF_Juvenil_F!$O$5,"")</f>
        <v/>
      </c>
      <c r="E1172" s="40" t="n"/>
      <c r="F1172" s="39">
        <f>IFERROR(CLASIF_Juvenil_F!$O$12,"")</f>
        <v/>
      </c>
      <c r="G1172" s="40" t="n"/>
      <c r="H1172" s="41" t="n"/>
      <c r="I1172" s="42">
        <f>IF($H1172="","",MAX(0,$H1172-N($E1172)))</f>
        <v/>
      </c>
      <c r="J1172" s="42">
        <f>IF($H1172="","",MAX(0,$H1172-N($G1172)))</f>
        <v/>
      </c>
    </row>
    <row r="1173" ht="19.5" customHeight="1" s="72">
      <c r="A1173" s="38" t="inlineStr">
        <is>
          <t>JuvenilF-SEM-P01-BEN</t>
        </is>
      </c>
      <c r="B1173" s="38" t="inlineStr">
        <is>
          <t>Semifinal</t>
        </is>
      </c>
      <c r="C1173" s="38" t="inlineStr">
        <is>
          <t>Benguela</t>
        </is>
      </c>
      <c r="D1173" s="39">
        <f>IFERROR(CLASIF_Juvenil_F!$O$5,"")</f>
        <v/>
      </c>
      <c r="E1173" s="40" t="n"/>
      <c r="F1173" s="39">
        <f>IFERROR(CLASIF_Juvenil_F!$O$12,"")</f>
        <v/>
      </c>
      <c r="G1173" s="40" t="n"/>
      <c r="H1173" s="41" t="n"/>
      <c r="I1173" s="42">
        <f>IF($H1173="","",MAX(0,$H1173-N($E1173)))</f>
        <v/>
      </c>
      <c r="J1173" s="42">
        <f>IF($H1173="","",MAX(0,$H1173-N($G1173)))</f>
        <v/>
      </c>
    </row>
    <row r="1174" ht="19.5" customHeight="1" s="72">
      <c r="A1174" s="38" t="inlineStr">
        <is>
          <t>JuvenilF-SEM-P02-SBA</t>
        </is>
      </c>
      <c r="B1174" s="38" t="inlineStr">
        <is>
          <t>Semifinal</t>
        </is>
      </c>
      <c r="C1174" s="38" t="inlineStr">
        <is>
          <t>São Bento da Abadá</t>
        </is>
      </c>
      <c r="D1174" s="39">
        <f>IFERROR(CLASIF_Juvenil_F!$O$6,"")</f>
        <v/>
      </c>
      <c r="E1174" s="40" t="n"/>
      <c r="F1174" s="39">
        <f>IFERROR(CLASIF_Juvenil_F!$O$11,"")</f>
        <v/>
      </c>
      <c r="G1174" s="40" t="n"/>
      <c r="H1174" s="41" t="n"/>
      <c r="I1174" s="42">
        <f>IF($H1174="","",MAX(0,$H1174-N($E1174)))</f>
        <v/>
      </c>
      <c r="J1174" s="42">
        <f>IF($H1174="","",MAX(0,$H1174-N($G1174)))</f>
        <v/>
      </c>
    </row>
    <row r="1175" ht="19.5" customHeight="1" s="72">
      <c r="A1175" s="38" t="inlineStr">
        <is>
          <t>JuvenilF-SEM-P02-BEN</t>
        </is>
      </c>
      <c r="B1175" s="38" t="inlineStr">
        <is>
          <t>Semifinal</t>
        </is>
      </c>
      <c r="C1175" s="38" t="inlineStr">
        <is>
          <t>Benguela</t>
        </is>
      </c>
      <c r="D1175" s="39">
        <f>IFERROR(CLASIF_Juvenil_F!$O$6,"")</f>
        <v/>
      </c>
      <c r="E1175" s="40" t="n"/>
      <c r="F1175" s="39">
        <f>IFERROR(CLASIF_Juvenil_F!$O$11,"")</f>
        <v/>
      </c>
      <c r="G1175" s="40" t="n"/>
      <c r="H1175" s="41" t="n"/>
      <c r="I1175" s="42">
        <f>IF($H1175="","",MAX(0,$H1175-N($E1175)))</f>
        <v/>
      </c>
      <c r="J1175" s="42">
        <f>IF($H1175="","",MAX(0,$H1175-N($G1175)))</f>
        <v/>
      </c>
    </row>
    <row r="1176" ht="19.5" customHeight="1" s="72">
      <c r="A1176" s="38" t="inlineStr">
        <is>
          <t>JuvenilF-SEM-P03-SBA</t>
        </is>
      </c>
      <c r="B1176" s="38" t="inlineStr">
        <is>
          <t>Semifinal</t>
        </is>
      </c>
      <c r="C1176" s="38" t="inlineStr">
        <is>
          <t>São Bento da Abadá</t>
        </is>
      </c>
      <c r="D1176" s="39">
        <f>IFERROR(CLASIF_Juvenil_F!$O$7,"")</f>
        <v/>
      </c>
      <c r="E1176" s="40" t="n"/>
      <c r="F1176" s="39">
        <f>IFERROR(CLASIF_Juvenil_F!$O$10,"")</f>
        <v/>
      </c>
      <c r="G1176" s="40" t="n"/>
      <c r="H1176" s="41" t="n"/>
      <c r="I1176" s="42">
        <f>IF($H1176="","",MAX(0,$H1176-N($E1176)))</f>
        <v/>
      </c>
      <c r="J1176" s="42">
        <f>IF($H1176="","",MAX(0,$H1176-N($G1176)))</f>
        <v/>
      </c>
    </row>
    <row r="1177" ht="19.5" customHeight="1" s="72">
      <c r="A1177" s="38" t="inlineStr">
        <is>
          <t>JuvenilF-SEM-P03-BEN</t>
        </is>
      </c>
      <c r="B1177" s="38" t="inlineStr">
        <is>
          <t>Semifinal</t>
        </is>
      </c>
      <c r="C1177" s="38" t="inlineStr">
        <is>
          <t>Benguela</t>
        </is>
      </c>
      <c r="D1177" s="39">
        <f>IFERROR(CLASIF_Juvenil_F!$O$7,"")</f>
        <v/>
      </c>
      <c r="E1177" s="40" t="n"/>
      <c r="F1177" s="39">
        <f>IFERROR(CLASIF_Juvenil_F!$O$10,"")</f>
        <v/>
      </c>
      <c r="G1177" s="40" t="n"/>
      <c r="H1177" s="41" t="n"/>
      <c r="I1177" s="42">
        <f>IF($H1177="","",MAX(0,$H1177-N($E1177)))</f>
        <v/>
      </c>
      <c r="J1177" s="42">
        <f>IF($H1177="","",MAX(0,$H1177-N($G1177)))</f>
        <v/>
      </c>
    </row>
    <row r="1178" ht="19.5" customHeight="1" s="72">
      <c r="A1178" s="38" t="inlineStr">
        <is>
          <t>JuvenilF-SEM-P04-SBA</t>
        </is>
      </c>
      <c r="B1178" s="38" t="inlineStr">
        <is>
          <t>Semifinal</t>
        </is>
      </c>
      <c r="C1178" s="38" t="inlineStr">
        <is>
          <t>São Bento da Abadá</t>
        </is>
      </c>
      <c r="D1178" s="39">
        <f>IFERROR(CLASIF_Juvenil_F!$O$8,"")</f>
        <v/>
      </c>
      <c r="E1178" s="40" t="n"/>
      <c r="F1178" s="39">
        <f>IFERROR(CLASIF_Juvenil_F!$O$9,"")</f>
        <v/>
      </c>
      <c r="G1178" s="40" t="n"/>
      <c r="H1178" s="41" t="n"/>
      <c r="I1178" s="42">
        <f>IF($H1178="","",MAX(0,$H1178-N($E1178)))</f>
        <v/>
      </c>
      <c r="J1178" s="42">
        <f>IF($H1178="","",MAX(0,$H1178-N($G1178)))</f>
        <v/>
      </c>
    </row>
    <row r="1179" ht="19.5" customHeight="1" s="72">
      <c r="A1179" s="38" t="inlineStr">
        <is>
          <t>JuvenilF-SEM-P04-BEN</t>
        </is>
      </c>
      <c r="B1179" s="38" t="inlineStr">
        <is>
          <t>Semifinal</t>
        </is>
      </c>
      <c r="C1179" s="38" t="inlineStr">
        <is>
          <t>Benguela</t>
        </is>
      </c>
      <c r="D1179" s="39">
        <f>IFERROR(CLASIF_Juvenil_F!$O$8,"")</f>
        <v/>
      </c>
      <c r="E1179" s="40" t="n"/>
      <c r="F1179" s="39">
        <f>IFERROR(CLASIF_Juvenil_F!$O$9,"")</f>
        <v/>
      </c>
      <c r="G1179" s="40" t="n"/>
      <c r="H1179" s="41" t="n"/>
      <c r="I1179" s="42">
        <f>IF($H1179="","",MAX(0,$H1179-N($E1179)))</f>
        <v/>
      </c>
      <c r="J1179" s="42">
        <f>IF($H1179="","",MAX(0,$H1179-N($G1179)))</f>
        <v/>
      </c>
    </row>
    <row r="1180" ht="19.5" customHeight="1" s="72">
      <c r="A1180" s="38" t="inlineStr">
        <is>
          <t>JuvenilF-FIN-P01-SBA</t>
        </is>
      </c>
      <c r="B1180" s="38" t="inlineStr">
        <is>
          <t>Final</t>
        </is>
      </c>
      <c r="C1180" s="38" t="inlineStr">
        <is>
          <t>São Bento da Abadá</t>
        </is>
      </c>
      <c r="D1180" s="39">
        <f>IFERROR(CLASIF_Juvenil_F!$X$5,"")</f>
        <v/>
      </c>
      <c r="E1180" s="40" t="n"/>
      <c r="F1180" s="39">
        <f>IFERROR(CLASIF_Juvenil_F!$X$8,"")</f>
        <v/>
      </c>
      <c r="G1180" s="40" t="n"/>
      <c r="H1180" s="41" t="n"/>
      <c r="I1180" s="42">
        <f>IF($H1180="","",MAX(0,$H1180-N($E1180)))</f>
        <v/>
      </c>
      <c r="J1180" s="42">
        <f>IF($H1180="","",MAX(0,$H1180-N($G1180)))</f>
        <v/>
      </c>
    </row>
    <row r="1181" ht="19.5" customHeight="1" s="72">
      <c r="A1181" s="38" t="inlineStr">
        <is>
          <t>JuvenilF-FIN-P01-BEN</t>
        </is>
      </c>
      <c r="B1181" s="38" t="inlineStr">
        <is>
          <t>Final</t>
        </is>
      </c>
      <c r="C1181" s="38" t="inlineStr">
        <is>
          <t>Benguela</t>
        </is>
      </c>
      <c r="D1181" s="39">
        <f>IFERROR(CLASIF_Juvenil_F!$X$5,"")</f>
        <v/>
      </c>
      <c r="E1181" s="40" t="n"/>
      <c r="F1181" s="39">
        <f>IFERROR(CLASIF_Juvenil_F!$X$8,"")</f>
        <v/>
      </c>
      <c r="G1181" s="40" t="n"/>
      <c r="H1181" s="41" t="n"/>
      <c r="I1181" s="42">
        <f>IF($H1181="","",MAX(0,$H1181-N($E1181)))</f>
        <v/>
      </c>
      <c r="J1181" s="42">
        <f>IF($H1181="","",MAX(0,$H1181-N($G1181)))</f>
        <v/>
      </c>
    </row>
    <row r="1182" ht="19.5" customHeight="1" s="72">
      <c r="A1182" s="38" t="inlineStr">
        <is>
          <t>JuvenilF-FIN-P02-SBA</t>
        </is>
      </c>
      <c r="B1182" s="38" t="inlineStr">
        <is>
          <t>Final</t>
        </is>
      </c>
      <c r="C1182" s="38" t="inlineStr">
        <is>
          <t>São Bento da Abadá</t>
        </is>
      </c>
      <c r="D1182" s="39">
        <f>IFERROR(CLASIF_Juvenil_F!$X$6,"")</f>
        <v/>
      </c>
      <c r="E1182" s="40" t="n"/>
      <c r="F1182" s="39">
        <f>IFERROR(CLASIF_Juvenil_F!$X$7,"")</f>
        <v/>
      </c>
      <c r="G1182" s="40" t="n"/>
      <c r="H1182" s="41" t="n"/>
      <c r="I1182" s="42">
        <f>IF($H1182="","",MAX(0,$H1182-N($E1182)))</f>
        <v/>
      </c>
      <c r="J1182" s="42">
        <f>IF($H1182="","",MAX(0,$H1182-N($G1182)))</f>
        <v/>
      </c>
    </row>
    <row r="1183" ht="19.5" customHeight="1" s="72">
      <c r="A1183" s="38" t="inlineStr">
        <is>
          <t>JuvenilF-FIN-P02-BEN</t>
        </is>
      </c>
      <c r="B1183" s="38" t="inlineStr">
        <is>
          <t>Final</t>
        </is>
      </c>
      <c r="C1183" s="38" t="inlineStr">
        <is>
          <t>Benguela</t>
        </is>
      </c>
      <c r="D1183" s="39">
        <f>IFERROR(CLASIF_Juvenil_F!$X$6,"")</f>
        <v/>
      </c>
      <c r="E1183" s="40" t="n"/>
      <c r="F1183" s="39">
        <f>IFERROR(CLASIF_Juvenil_F!$X$7,"")</f>
        <v/>
      </c>
      <c r="G1183" s="40" t="n"/>
      <c r="H1183" s="41" t="n"/>
      <c r="I1183" s="42">
        <f>IF($H1183="","",MAX(0,$H1183-N($E1183)))</f>
        <v/>
      </c>
      <c r="J1183" s="42">
        <f>IF($H1183="","",MAX(0,$H1183-N($G1183)))</f>
        <v/>
      </c>
    </row>
    <row r="1184" ht="19.5" customHeight="1" s="72">
      <c r="A1184" s="43" t="n"/>
      <c r="B1184" s="43" t="n"/>
      <c r="C1184" s="43" t="n"/>
      <c r="D1184" s="43" t="n"/>
      <c r="E1184" s="43" t="n"/>
      <c r="F1184" s="43" t="n"/>
      <c r="G1184" s="43" t="n"/>
      <c r="H1184" s="44" t="n"/>
      <c r="I1184" s="43">
        <f>IF($H1184="","",MAX(0,$H1184-N($E1184)))</f>
        <v/>
      </c>
      <c r="J1184" s="43">
        <f>IF($H1184="","",MAX(0,$H1184-N($G1184)))</f>
        <v/>
      </c>
    </row>
    <row r="1185" ht="19.5" customHeight="1" s="72">
      <c r="A1185" s="87" t="inlineStr">
        <is>
          <t>═══ CATEGORÍA General · Masculino · Todas · Toques: Benguela, São Bento da Abadá, Siriuna ═══</t>
        </is>
      </c>
    </row>
    <row r="1186" ht="19.5" customHeight="1" s="72">
      <c r="A1186" s="8" t="inlineStr">
        <is>
          <t>Jogo</t>
        </is>
      </c>
      <c r="B1186" s="8" t="inlineStr">
        <is>
          <t>Fase</t>
        </is>
      </c>
      <c r="C1186" s="8" t="inlineStr">
        <is>
          <t>Toque</t>
        </is>
      </c>
      <c r="D1186" s="8" t="inlineStr">
        <is>
          <t>Jugador A</t>
        </is>
      </c>
      <c r="E1186" s="8" t="inlineStr">
        <is>
          <t>Quita A</t>
        </is>
      </c>
      <c r="F1186" s="8" t="inlineStr">
        <is>
          <t>Jugador B</t>
        </is>
      </c>
      <c r="G1186" s="8" t="inlineStr">
        <is>
          <t>Quita B</t>
        </is>
      </c>
      <c r="H1186" s="8" t="inlineStr">
        <is>
          <t>NOTA (0-5)</t>
        </is>
      </c>
      <c r="I1186" s="8">
        <f>IF($H1186="","",MAX(0,$H1186-N($E1186)))</f>
        <v/>
      </c>
      <c r="J1186" s="8">
        <f>IF($H1186="","",MAX(0,$H1186-N($G1186)))</f>
        <v/>
      </c>
    </row>
    <row r="1187" ht="19.5" customHeight="1" s="72">
      <c r="A1187" s="38" t="inlineStr">
        <is>
          <t>GeneralM-32-P01-BEN</t>
        </is>
      </c>
      <c r="B1187" s="38" t="inlineStr">
        <is>
          <t>Fase 32</t>
        </is>
      </c>
      <c r="C1187" s="38" t="inlineStr">
        <is>
          <t>Benguela</t>
        </is>
      </c>
      <c r="D1187" s="39" t="inlineStr">
        <is>
          <t>A_General_M_32_P1</t>
        </is>
      </c>
      <c r="E1187" s="40" t="n"/>
      <c r="F1187" s="39" t="inlineStr">
        <is>
          <t>B_General_M_32_P1</t>
        </is>
      </c>
      <c r="G1187" s="40" t="n"/>
      <c r="H1187" s="41" t="n"/>
      <c r="I1187" s="42">
        <f>IF($H1187="","",MAX(0,$H1187-N($E1187)))</f>
        <v/>
      </c>
      <c r="J1187" s="42">
        <f>IF($H1187="","",MAX(0,$H1187-N($G1187)))</f>
        <v/>
      </c>
    </row>
    <row r="1188" ht="19.5" customHeight="1" s="72">
      <c r="A1188" s="38" t="inlineStr">
        <is>
          <t>GeneralM-32-P01-SBA</t>
        </is>
      </c>
      <c r="B1188" s="38" t="inlineStr">
        <is>
          <t>Fase 32</t>
        </is>
      </c>
      <c r="C1188" s="38" t="inlineStr">
        <is>
          <t>São Bento da Abadá</t>
        </is>
      </c>
      <c r="D1188" s="39" t="inlineStr">
        <is>
          <t>A_General_M_32_P1</t>
        </is>
      </c>
      <c r="E1188" s="40" t="n"/>
      <c r="F1188" s="39" t="inlineStr">
        <is>
          <t>B_General_M_32_P1</t>
        </is>
      </c>
      <c r="G1188" s="40" t="n"/>
      <c r="H1188" s="41" t="n"/>
      <c r="I1188" s="42">
        <f>IF($H1188="","",MAX(0,$H1188-N($E1188)))</f>
        <v/>
      </c>
      <c r="J1188" s="42">
        <f>IF($H1188="","",MAX(0,$H1188-N($G1188)))</f>
        <v/>
      </c>
    </row>
    <row r="1189" ht="19.5" customHeight="1" s="72">
      <c r="A1189" s="38" t="inlineStr">
        <is>
          <t>GeneralM-32-P01-SIR</t>
        </is>
      </c>
      <c r="B1189" s="38" t="inlineStr">
        <is>
          <t>Fase 32</t>
        </is>
      </c>
      <c r="C1189" s="38" t="inlineStr">
        <is>
          <t>Siriuna</t>
        </is>
      </c>
      <c r="D1189" s="39" t="inlineStr">
        <is>
          <t>A_General_M_32_P1</t>
        </is>
      </c>
      <c r="E1189" s="40" t="n"/>
      <c r="F1189" s="39" t="inlineStr">
        <is>
          <t>B_General_M_32_P1</t>
        </is>
      </c>
      <c r="G1189" s="40" t="n"/>
      <c r="H1189" s="41" t="n"/>
      <c r="I1189" s="42">
        <f>IF($H1189="","",MAX(0,$H1189-N($E1189)))</f>
        <v/>
      </c>
      <c r="J1189" s="42">
        <f>IF($H1189="","",MAX(0,$H1189-N($G1189)))</f>
        <v/>
      </c>
    </row>
    <row r="1190" ht="19.5" customHeight="1" s="72">
      <c r="A1190" s="38" t="inlineStr">
        <is>
          <t>GeneralM-32-P02-BEN</t>
        </is>
      </c>
      <c r="B1190" s="38" t="inlineStr">
        <is>
          <t>Fase 32</t>
        </is>
      </c>
      <c r="C1190" s="38" t="inlineStr">
        <is>
          <t>Benguela</t>
        </is>
      </c>
      <c r="D1190" s="39" t="inlineStr">
        <is>
          <t>A_General_M_32_P2</t>
        </is>
      </c>
      <c r="E1190" s="40" t="n"/>
      <c r="F1190" s="39" t="inlineStr">
        <is>
          <t>B_General_M_32_P2</t>
        </is>
      </c>
      <c r="G1190" s="40" t="n"/>
      <c r="H1190" s="41" t="n"/>
      <c r="I1190" s="42">
        <f>IF($H1190="","",MAX(0,$H1190-N($E1190)))</f>
        <v/>
      </c>
      <c r="J1190" s="42">
        <f>IF($H1190="","",MAX(0,$H1190-N($G1190)))</f>
        <v/>
      </c>
    </row>
    <row r="1191" ht="19.5" customHeight="1" s="72">
      <c r="A1191" s="38" t="inlineStr">
        <is>
          <t>GeneralM-32-P02-SBA</t>
        </is>
      </c>
      <c r="B1191" s="38" t="inlineStr">
        <is>
          <t>Fase 32</t>
        </is>
      </c>
      <c r="C1191" s="38" t="inlineStr">
        <is>
          <t>São Bento da Abadá</t>
        </is>
      </c>
      <c r="D1191" s="39" t="inlineStr">
        <is>
          <t>A_General_M_32_P2</t>
        </is>
      </c>
      <c r="E1191" s="40" t="n"/>
      <c r="F1191" s="39" t="inlineStr">
        <is>
          <t>B_General_M_32_P2</t>
        </is>
      </c>
      <c r="G1191" s="40" t="n"/>
      <c r="H1191" s="41" t="n"/>
      <c r="I1191" s="42">
        <f>IF($H1191="","",MAX(0,$H1191-N($E1191)))</f>
        <v/>
      </c>
      <c r="J1191" s="42">
        <f>IF($H1191="","",MAX(0,$H1191-N($G1191)))</f>
        <v/>
      </c>
    </row>
    <row r="1192" ht="19.5" customHeight="1" s="72">
      <c r="A1192" s="38" t="inlineStr">
        <is>
          <t>GeneralM-32-P02-SIR</t>
        </is>
      </c>
      <c r="B1192" s="38" t="inlineStr">
        <is>
          <t>Fase 32</t>
        </is>
      </c>
      <c r="C1192" s="38" t="inlineStr">
        <is>
          <t>Siriuna</t>
        </is>
      </c>
      <c r="D1192" s="39" t="inlineStr">
        <is>
          <t>A_General_M_32_P2</t>
        </is>
      </c>
      <c r="E1192" s="40" t="n"/>
      <c r="F1192" s="39" t="inlineStr">
        <is>
          <t>B_General_M_32_P2</t>
        </is>
      </c>
      <c r="G1192" s="40" t="n"/>
      <c r="H1192" s="41" t="n"/>
      <c r="I1192" s="42">
        <f>IF($H1192="","",MAX(0,$H1192-N($E1192)))</f>
        <v/>
      </c>
      <c r="J1192" s="42">
        <f>IF($H1192="","",MAX(0,$H1192-N($G1192)))</f>
        <v/>
      </c>
    </row>
    <row r="1193" ht="19.5" customHeight="1" s="72">
      <c r="A1193" s="38" t="inlineStr">
        <is>
          <t>GeneralM-32-P03-BEN</t>
        </is>
      </c>
      <c r="B1193" s="38" t="inlineStr">
        <is>
          <t>Fase 32</t>
        </is>
      </c>
      <c r="C1193" s="38" t="inlineStr">
        <is>
          <t>Benguela</t>
        </is>
      </c>
      <c r="D1193" s="39" t="inlineStr">
        <is>
          <t>A_General_M_32_P3</t>
        </is>
      </c>
      <c r="E1193" s="40" t="n"/>
      <c r="F1193" s="39" t="inlineStr">
        <is>
          <t>B_General_M_32_P3</t>
        </is>
      </c>
      <c r="G1193" s="40" t="n"/>
      <c r="H1193" s="41" t="n"/>
      <c r="I1193" s="42">
        <f>IF($H1193="","",MAX(0,$H1193-N($E1193)))</f>
        <v/>
      </c>
      <c r="J1193" s="42">
        <f>IF($H1193="","",MAX(0,$H1193-N($G1193)))</f>
        <v/>
      </c>
    </row>
    <row r="1194" ht="19.5" customHeight="1" s="72">
      <c r="A1194" s="38" t="inlineStr">
        <is>
          <t>GeneralM-32-P03-SBA</t>
        </is>
      </c>
      <c r="B1194" s="38" t="inlineStr">
        <is>
          <t>Fase 32</t>
        </is>
      </c>
      <c r="C1194" s="38" t="inlineStr">
        <is>
          <t>São Bento da Abadá</t>
        </is>
      </c>
      <c r="D1194" s="39" t="inlineStr">
        <is>
          <t>A_General_M_32_P3</t>
        </is>
      </c>
      <c r="E1194" s="40" t="n"/>
      <c r="F1194" s="39" t="inlineStr">
        <is>
          <t>B_General_M_32_P3</t>
        </is>
      </c>
      <c r="G1194" s="40" t="n"/>
      <c r="H1194" s="41" t="n"/>
      <c r="I1194" s="42">
        <f>IF($H1194="","",MAX(0,$H1194-N($E1194)))</f>
        <v/>
      </c>
      <c r="J1194" s="42">
        <f>IF($H1194="","",MAX(0,$H1194-N($G1194)))</f>
        <v/>
      </c>
    </row>
    <row r="1195" ht="19.5" customHeight="1" s="72">
      <c r="A1195" s="38" t="inlineStr">
        <is>
          <t>GeneralM-32-P03-SIR</t>
        </is>
      </c>
      <c r="B1195" s="38" t="inlineStr">
        <is>
          <t>Fase 32</t>
        </is>
      </c>
      <c r="C1195" s="38" t="inlineStr">
        <is>
          <t>Siriuna</t>
        </is>
      </c>
      <c r="D1195" s="39" t="inlineStr">
        <is>
          <t>A_General_M_32_P3</t>
        </is>
      </c>
      <c r="E1195" s="40" t="n"/>
      <c r="F1195" s="39" t="inlineStr">
        <is>
          <t>B_General_M_32_P3</t>
        </is>
      </c>
      <c r="G1195" s="40" t="n"/>
      <c r="H1195" s="41" t="n"/>
      <c r="I1195" s="42">
        <f>IF($H1195="","",MAX(0,$H1195-N($E1195)))</f>
        <v/>
      </c>
      <c r="J1195" s="42">
        <f>IF($H1195="","",MAX(0,$H1195-N($G1195)))</f>
        <v/>
      </c>
    </row>
    <row r="1196" ht="19.5" customHeight="1" s="72">
      <c r="A1196" s="38" t="inlineStr">
        <is>
          <t>GeneralM-32-P04-BEN</t>
        </is>
      </c>
      <c r="B1196" s="38" t="inlineStr">
        <is>
          <t>Fase 32</t>
        </is>
      </c>
      <c r="C1196" s="38" t="inlineStr">
        <is>
          <t>Benguela</t>
        </is>
      </c>
      <c r="D1196" s="39" t="inlineStr">
        <is>
          <t>A_General_M_32_P4</t>
        </is>
      </c>
      <c r="E1196" s="40" t="n"/>
      <c r="F1196" s="39" t="inlineStr">
        <is>
          <t>B_General_M_32_P4</t>
        </is>
      </c>
      <c r="G1196" s="40" t="n"/>
      <c r="H1196" s="41" t="n"/>
      <c r="I1196" s="42">
        <f>IF($H1196="","",MAX(0,$H1196-N($E1196)))</f>
        <v/>
      </c>
      <c r="J1196" s="42">
        <f>IF($H1196="","",MAX(0,$H1196-N($G1196)))</f>
        <v/>
      </c>
    </row>
    <row r="1197" ht="19.5" customHeight="1" s="72">
      <c r="A1197" s="38" t="inlineStr">
        <is>
          <t>GeneralM-32-P04-SBA</t>
        </is>
      </c>
      <c r="B1197" s="38" t="inlineStr">
        <is>
          <t>Fase 32</t>
        </is>
      </c>
      <c r="C1197" s="38" t="inlineStr">
        <is>
          <t>São Bento da Abadá</t>
        </is>
      </c>
      <c r="D1197" s="39" t="inlineStr">
        <is>
          <t>A_General_M_32_P4</t>
        </is>
      </c>
      <c r="E1197" s="40" t="n"/>
      <c r="F1197" s="39" t="inlineStr">
        <is>
          <t>B_General_M_32_P4</t>
        </is>
      </c>
      <c r="G1197" s="40" t="n"/>
      <c r="H1197" s="41" t="n"/>
      <c r="I1197" s="42">
        <f>IF($H1197="","",MAX(0,$H1197-N($E1197)))</f>
        <v/>
      </c>
      <c r="J1197" s="42">
        <f>IF($H1197="","",MAX(0,$H1197-N($G1197)))</f>
        <v/>
      </c>
    </row>
    <row r="1198" ht="19.5" customHeight="1" s="72">
      <c r="A1198" s="38" t="inlineStr">
        <is>
          <t>GeneralM-32-P04-SIR</t>
        </is>
      </c>
      <c r="B1198" s="38" t="inlineStr">
        <is>
          <t>Fase 32</t>
        </is>
      </c>
      <c r="C1198" s="38" t="inlineStr">
        <is>
          <t>Siriuna</t>
        </is>
      </c>
      <c r="D1198" s="39" t="inlineStr">
        <is>
          <t>A_General_M_32_P4</t>
        </is>
      </c>
      <c r="E1198" s="40" t="n"/>
      <c r="F1198" s="39" t="inlineStr">
        <is>
          <t>B_General_M_32_P4</t>
        </is>
      </c>
      <c r="G1198" s="40" t="n"/>
      <c r="H1198" s="41" t="n"/>
      <c r="I1198" s="42">
        <f>IF($H1198="","",MAX(0,$H1198-N($E1198)))</f>
        <v/>
      </c>
      <c r="J1198" s="42">
        <f>IF($H1198="","",MAX(0,$H1198-N($G1198)))</f>
        <v/>
      </c>
    </row>
    <row r="1199" ht="19.5" customHeight="1" s="72">
      <c r="A1199" s="38" t="inlineStr">
        <is>
          <t>GeneralM-32-P05-BEN</t>
        </is>
      </c>
      <c r="B1199" s="38" t="inlineStr">
        <is>
          <t>Fase 32</t>
        </is>
      </c>
      <c r="C1199" s="38" t="inlineStr">
        <is>
          <t>Benguela</t>
        </is>
      </c>
      <c r="D1199" s="39" t="inlineStr">
        <is>
          <t>A_General_M_32_P5</t>
        </is>
      </c>
      <c r="E1199" s="40" t="n"/>
      <c r="F1199" s="39" t="inlineStr">
        <is>
          <t>B_General_M_32_P5</t>
        </is>
      </c>
      <c r="G1199" s="40" t="n"/>
      <c r="H1199" s="41" t="n"/>
      <c r="I1199" s="42">
        <f>IF($H1199="","",MAX(0,$H1199-N($E1199)))</f>
        <v/>
      </c>
      <c r="J1199" s="42">
        <f>IF($H1199="","",MAX(0,$H1199-N($G1199)))</f>
        <v/>
      </c>
    </row>
    <row r="1200" ht="19.5" customHeight="1" s="72">
      <c r="A1200" s="38" t="inlineStr">
        <is>
          <t>GeneralM-32-P05-SBA</t>
        </is>
      </c>
      <c r="B1200" s="38" t="inlineStr">
        <is>
          <t>Fase 32</t>
        </is>
      </c>
      <c r="C1200" s="38" t="inlineStr">
        <is>
          <t>São Bento da Abadá</t>
        </is>
      </c>
      <c r="D1200" s="39" t="inlineStr">
        <is>
          <t>A_General_M_32_P5</t>
        </is>
      </c>
      <c r="E1200" s="40" t="n"/>
      <c r="F1200" s="39" t="inlineStr">
        <is>
          <t>B_General_M_32_P5</t>
        </is>
      </c>
      <c r="G1200" s="40" t="n"/>
      <c r="H1200" s="41" t="n"/>
      <c r="I1200" s="42">
        <f>IF($H1200="","",MAX(0,$H1200-N($E1200)))</f>
        <v/>
      </c>
      <c r="J1200" s="42">
        <f>IF($H1200="","",MAX(0,$H1200-N($G1200)))</f>
        <v/>
      </c>
    </row>
    <row r="1201" ht="19.5" customHeight="1" s="72">
      <c r="A1201" s="38" t="inlineStr">
        <is>
          <t>GeneralM-32-P05-SIR</t>
        </is>
      </c>
      <c r="B1201" s="38" t="inlineStr">
        <is>
          <t>Fase 32</t>
        </is>
      </c>
      <c r="C1201" s="38" t="inlineStr">
        <is>
          <t>Siriuna</t>
        </is>
      </c>
      <c r="D1201" s="39" t="inlineStr">
        <is>
          <t>A_General_M_32_P5</t>
        </is>
      </c>
      <c r="E1201" s="40" t="n"/>
      <c r="F1201" s="39" t="inlineStr">
        <is>
          <t>B_General_M_32_P5</t>
        </is>
      </c>
      <c r="G1201" s="40" t="n"/>
      <c r="H1201" s="41" t="n"/>
      <c r="I1201" s="42">
        <f>IF($H1201="","",MAX(0,$H1201-N($E1201)))</f>
        <v/>
      </c>
      <c r="J1201" s="42">
        <f>IF($H1201="","",MAX(0,$H1201-N($G1201)))</f>
        <v/>
      </c>
    </row>
    <row r="1202" ht="19.5" customHeight="1" s="72">
      <c r="A1202" s="38" t="inlineStr">
        <is>
          <t>GeneralM-32-P06-BEN</t>
        </is>
      </c>
      <c r="B1202" s="38" t="inlineStr">
        <is>
          <t>Fase 32</t>
        </is>
      </c>
      <c r="C1202" s="38" t="inlineStr">
        <is>
          <t>Benguela</t>
        </is>
      </c>
      <c r="D1202" s="39" t="inlineStr">
        <is>
          <t>A_General_M_32_P6</t>
        </is>
      </c>
      <c r="E1202" s="40" t="n"/>
      <c r="F1202" s="39" t="inlineStr">
        <is>
          <t>B_General_M_32_P6</t>
        </is>
      </c>
      <c r="G1202" s="40" t="n"/>
      <c r="H1202" s="41" t="n"/>
      <c r="I1202" s="42">
        <f>IF($H1202="","",MAX(0,$H1202-N($E1202)))</f>
        <v/>
      </c>
      <c r="J1202" s="42">
        <f>IF($H1202="","",MAX(0,$H1202-N($G1202)))</f>
        <v/>
      </c>
    </row>
    <row r="1203" ht="19.5" customHeight="1" s="72">
      <c r="A1203" s="38" t="inlineStr">
        <is>
          <t>GeneralM-32-P06-SBA</t>
        </is>
      </c>
      <c r="B1203" s="38" t="inlineStr">
        <is>
          <t>Fase 32</t>
        </is>
      </c>
      <c r="C1203" s="38" t="inlineStr">
        <is>
          <t>São Bento da Abadá</t>
        </is>
      </c>
      <c r="D1203" s="39" t="inlineStr">
        <is>
          <t>A_General_M_32_P6</t>
        </is>
      </c>
      <c r="E1203" s="40" t="n"/>
      <c r="F1203" s="39" t="inlineStr">
        <is>
          <t>B_General_M_32_P6</t>
        </is>
      </c>
      <c r="G1203" s="40" t="n"/>
      <c r="H1203" s="41" t="n"/>
      <c r="I1203" s="42">
        <f>IF($H1203="","",MAX(0,$H1203-N($E1203)))</f>
        <v/>
      </c>
      <c r="J1203" s="42">
        <f>IF($H1203="","",MAX(0,$H1203-N($G1203)))</f>
        <v/>
      </c>
    </row>
    <row r="1204" ht="19.5" customHeight="1" s="72">
      <c r="A1204" s="38" t="inlineStr">
        <is>
          <t>GeneralM-32-P06-SIR</t>
        </is>
      </c>
      <c r="B1204" s="38" t="inlineStr">
        <is>
          <t>Fase 32</t>
        </is>
      </c>
      <c r="C1204" s="38" t="inlineStr">
        <is>
          <t>Siriuna</t>
        </is>
      </c>
      <c r="D1204" s="39" t="inlineStr">
        <is>
          <t>A_General_M_32_P6</t>
        </is>
      </c>
      <c r="E1204" s="40" t="n"/>
      <c r="F1204" s="39" t="inlineStr">
        <is>
          <t>B_General_M_32_P6</t>
        </is>
      </c>
      <c r="G1204" s="40" t="n"/>
      <c r="H1204" s="41" t="n"/>
      <c r="I1204" s="42">
        <f>IF($H1204="","",MAX(0,$H1204-N($E1204)))</f>
        <v/>
      </c>
      <c r="J1204" s="42">
        <f>IF($H1204="","",MAX(0,$H1204-N($G1204)))</f>
        <v/>
      </c>
    </row>
    <row r="1205" ht="19.5" customHeight="1" s="72">
      <c r="A1205" s="38" t="inlineStr">
        <is>
          <t>GeneralM-32-P07-BEN</t>
        </is>
      </c>
      <c r="B1205" s="38" t="inlineStr">
        <is>
          <t>Fase 32</t>
        </is>
      </c>
      <c r="C1205" s="38" t="inlineStr">
        <is>
          <t>Benguela</t>
        </is>
      </c>
      <c r="D1205" s="39" t="inlineStr">
        <is>
          <t>A_General_M_32_P7</t>
        </is>
      </c>
      <c r="E1205" s="40" t="n"/>
      <c r="F1205" s="39" t="inlineStr">
        <is>
          <t>B_General_M_32_P7</t>
        </is>
      </c>
      <c r="G1205" s="40" t="n"/>
      <c r="H1205" s="41" t="n"/>
      <c r="I1205" s="42">
        <f>IF($H1205="","",MAX(0,$H1205-N($E1205)))</f>
        <v/>
      </c>
      <c r="J1205" s="42">
        <f>IF($H1205="","",MAX(0,$H1205-N($G1205)))</f>
        <v/>
      </c>
    </row>
    <row r="1206" ht="19.5" customHeight="1" s="72">
      <c r="A1206" s="38" t="inlineStr">
        <is>
          <t>GeneralM-32-P07-SBA</t>
        </is>
      </c>
      <c r="B1206" s="38" t="inlineStr">
        <is>
          <t>Fase 32</t>
        </is>
      </c>
      <c r="C1206" s="38" t="inlineStr">
        <is>
          <t>São Bento da Abadá</t>
        </is>
      </c>
      <c r="D1206" s="39" t="inlineStr">
        <is>
          <t>A_General_M_32_P7</t>
        </is>
      </c>
      <c r="E1206" s="40" t="n"/>
      <c r="F1206" s="39" t="inlineStr">
        <is>
          <t>B_General_M_32_P7</t>
        </is>
      </c>
      <c r="G1206" s="40" t="n"/>
      <c r="H1206" s="41" t="n"/>
      <c r="I1206" s="42">
        <f>IF($H1206="","",MAX(0,$H1206-N($E1206)))</f>
        <v/>
      </c>
      <c r="J1206" s="42">
        <f>IF($H1206="","",MAX(0,$H1206-N($G1206)))</f>
        <v/>
      </c>
    </row>
    <row r="1207" ht="19.5" customHeight="1" s="72">
      <c r="A1207" s="38" t="inlineStr">
        <is>
          <t>GeneralM-32-P07-SIR</t>
        </is>
      </c>
      <c r="B1207" s="38" t="inlineStr">
        <is>
          <t>Fase 32</t>
        </is>
      </c>
      <c r="C1207" s="38" t="inlineStr">
        <is>
          <t>Siriuna</t>
        </is>
      </c>
      <c r="D1207" s="39" t="inlineStr">
        <is>
          <t>A_General_M_32_P7</t>
        </is>
      </c>
      <c r="E1207" s="40" t="n"/>
      <c r="F1207" s="39" t="inlineStr">
        <is>
          <t>B_General_M_32_P7</t>
        </is>
      </c>
      <c r="G1207" s="40" t="n"/>
      <c r="H1207" s="41" t="n"/>
      <c r="I1207" s="42">
        <f>IF($H1207="","",MAX(0,$H1207-N($E1207)))</f>
        <v/>
      </c>
      <c r="J1207" s="42">
        <f>IF($H1207="","",MAX(0,$H1207-N($G1207)))</f>
        <v/>
      </c>
    </row>
    <row r="1208" ht="19.5" customHeight="1" s="72">
      <c r="A1208" s="38" t="inlineStr">
        <is>
          <t>GeneralM-32-P08-BEN</t>
        </is>
      </c>
      <c r="B1208" s="38" t="inlineStr">
        <is>
          <t>Fase 32</t>
        </is>
      </c>
      <c r="C1208" s="38" t="inlineStr">
        <is>
          <t>Benguela</t>
        </is>
      </c>
      <c r="D1208" s="39" t="inlineStr">
        <is>
          <t>A_General_M_32_P8</t>
        </is>
      </c>
      <c r="E1208" s="40" t="n"/>
      <c r="F1208" s="39" t="inlineStr">
        <is>
          <t>B_General_M_32_P8</t>
        </is>
      </c>
      <c r="G1208" s="40" t="n"/>
      <c r="H1208" s="41" t="n"/>
      <c r="I1208" s="42">
        <f>IF($H1208="","",MAX(0,$H1208-N($E1208)))</f>
        <v/>
      </c>
      <c r="J1208" s="42">
        <f>IF($H1208="","",MAX(0,$H1208-N($G1208)))</f>
        <v/>
      </c>
    </row>
    <row r="1209" ht="19.5" customHeight="1" s="72">
      <c r="A1209" s="38" t="inlineStr">
        <is>
          <t>GeneralM-32-P08-SBA</t>
        </is>
      </c>
      <c r="B1209" s="38" t="inlineStr">
        <is>
          <t>Fase 32</t>
        </is>
      </c>
      <c r="C1209" s="38" t="inlineStr">
        <is>
          <t>São Bento da Abadá</t>
        </is>
      </c>
      <c r="D1209" s="39" t="inlineStr">
        <is>
          <t>A_General_M_32_P8</t>
        </is>
      </c>
      <c r="E1209" s="40" t="n"/>
      <c r="F1209" s="39" t="inlineStr">
        <is>
          <t>B_General_M_32_P8</t>
        </is>
      </c>
      <c r="G1209" s="40" t="n"/>
      <c r="H1209" s="41" t="n"/>
      <c r="I1209" s="42">
        <f>IF($H1209="","",MAX(0,$H1209-N($E1209)))</f>
        <v/>
      </c>
      <c r="J1209" s="42">
        <f>IF($H1209="","",MAX(0,$H1209-N($G1209)))</f>
        <v/>
      </c>
    </row>
    <row r="1210" ht="19.5" customHeight="1" s="72">
      <c r="A1210" s="38" t="inlineStr">
        <is>
          <t>GeneralM-32-P08-SIR</t>
        </is>
      </c>
      <c r="B1210" s="38" t="inlineStr">
        <is>
          <t>Fase 32</t>
        </is>
      </c>
      <c r="C1210" s="38" t="inlineStr">
        <is>
          <t>Siriuna</t>
        </is>
      </c>
      <c r="D1210" s="39" t="inlineStr">
        <is>
          <t>A_General_M_32_P8</t>
        </is>
      </c>
      <c r="E1210" s="40" t="n"/>
      <c r="F1210" s="39" t="inlineStr">
        <is>
          <t>B_General_M_32_P8</t>
        </is>
      </c>
      <c r="G1210" s="40" t="n"/>
      <c r="H1210" s="41" t="n"/>
      <c r="I1210" s="42">
        <f>IF($H1210="","",MAX(0,$H1210-N($E1210)))</f>
        <v/>
      </c>
      <c r="J1210" s="42">
        <f>IF($H1210="","",MAX(0,$H1210-N($G1210)))</f>
        <v/>
      </c>
    </row>
    <row r="1211" ht="19.5" customHeight="1" s="72">
      <c r="A1211" s="38" t="inlineStr">
        <is>
          <t>GeneralM-32-P09-BEN</t>
        </is>
      </c>
      <c r="B1211" s="38" t="inlineStr">
        <is>
          <t>Fase 32</t>
        </is>
      </c>
      <c r="C1211" s="38" t="inlineStr">
        <is>
          <t>Benguela</t>
        </is>
      </c>
      <c r="D1211" s="39" t="inlineStr">
        <is>
          <t>A_General_M_32_P9</t>
        </is>
      </c>
      <c r="E1211" s="40" t="n"/>
      <c r="F1211" s="39" t="inlineStr">
        <is>
          <t>B_General_M_32_P9</t>
        </is>
      </c>
      <c r="G1211" s="40" t="n"/>
      <c r="H1211" s="41" t="n"/>
      <c r="I1211" s="42">
        <f>IF($H1211="","",MAX(0,$H1211-N($E1211)))</f>
        <v/>
      </c>
      <c r="J1211" s="42">
        <f>IF($H1211="","",MAX(0,$H1211-N($G1211)))</f>
        <v/>
      </c>
    </row>
    <row r="1212" ht="19.5" customHeight="1" s="72">
      <c r="A1212" s="38" t="inlineStr">
        <is>
          <t>GeneralM-32-P09-SBA</t>
        </is>
      </c>
      <c r="B1212" s="38" t="inlineStr">
        <is>
          <t>Fase 32</t>
        </is>
      </c>
      <c r="C1212" s="38" t="inlineStr">
        <is>
          <t>São Bento da Abadá</t>
        </is>
      </c>
      <c r="D1212" s="39" t="inlineStr">
        <is>
          <t>A_General_M_32_P9</t>
        </is>
      </c>
      <c r="E1212" s="40" t="n"/>
      <c r="F1212" s="39" t="inlineStr">
        <is>
          <t>B_General_M_32_P9</t>
        </is>
      </c>
      <c r="G1212" s="40" t="n"/>
      <c r="H1212" s="41" t="n"/>
      <c r="I1212" s="42">
        <f>IF($H1212="","",MAX(0,$H1212-N($E1212)))</f>
        <v/>
      </c>
      <c r="J1212" s="42">
        <f>IF($H1212="","",MAX(0,$H1212-N($G1212)))</f>
        <v/>
      </c>
    </row>
    <row r="1213" ht="19.5" customHeight="1" s="72">
      <c r="A1213" s="38" t="inlineStr">
        <is>
          <t>GeneralM-32-P09-SIR</t>
        </is>
      </c>
      <c r="B1213" s="38" t="inlineStr">
        <is>
          <t>Fase 32</t>
        </is>
      </c>
      <c r="C1213" s="38" t="inlineStr">
        <is>
          <t>Siriuna</t>
        </is>
      </c>
      <c r="D1213" s="39" t="inlineStr">
        <is>
          <t>A_General_M_32_P9</t>
        </is>
      </c>
      <c r="E1213" s="40" t="n"/>
      <c r="F1213" s="39" t="inlineStr">
        <is>
          <t>B_General_M_32_P9</t>
        </is>
      </c>
      <c r="G1213" s="40" t="n"/>
      <c r="H1213" s="41" t="n"/>
      <c r="I1213" s="42">
        <f>IF($H1213="","",MAX(0,$H1213-N($E1213)))</f>
        <v/>
      </c>
      <c r="J1213" s="42">
        <f>IF($H1213="","",MAX(0,$H1213-N($G1213)))</f>
        <v/>
      </c>
    </row>
    <row r="1214" ht="19.5" customHeight="1" s="72">
      <c r="A1214" s="38" t="inlineStr">
        <is>
          <t>GeneralM-32-P10-BEN</t>
        </is>
      </c>
      <c r="B1214" s="38" t="inlineStr">
        <is>
          <t>Fase 32</t>
        </is>
      </c>
      <c r="C1214" s="38" t="inlineStr">
        <is>
          <t>Benguela</t>
        </is>
      </c>
      <c r="D1214" s="39" t="inlineStr">
        <is>
          <t>A_General_M_32_P10</t>
        </is>
      </c>
      <c r="E1214" s="40" t="n"/>
      <c r="F1214" s="39" t="inlineStr">
        <is>
          <t>B_General_M_32_P10</t>
        </is>
      </c>
      <c r="G1214" s="40" t="n"/>
      <c r="H1214" s="41" t="n"/>
      <c r="I1214" s="42">
        <f>IF($H1214="","",MAX(0,$H1214-N($E1214)))</f>
        <v/>
      </c>
      <c r="J1214" s="42">
        <f>IF($H1214="","",MAX(0,$H1214-N($G1214)))</f>
        <v/>
      </c>
    </row>
    <row r="1215" ht="19.5" customHeight="1" s="72">
      <c r="A1215" s="38" t="inlineStr">
        <is>
          <t>GeneralM-32-P10-SBA</t>
        </is>
      </c>
      <c r="B1215" s="38" t="inlineStr">
        <is>
          <t>Fase 32</t>
        </is>
      </c>
      <c r="C1215" s="38" t="inlineStr">
        <is>
          <t>São Bento da Abadá</t>
        </is>
      </c>
      <c r="D1215" s="39" t="inlineStr">
        <is>
          <t>A_General_M_32_P10</t>
        </is>
      </c>
      <c r="E1215" s="40" t="n"/>
      <c r="F1215" s="39" t="inlineStr">
        <is>
          <t>B_General_M_32_P10</t>
        </is>
      </c>
      <c r="G1215" s="40" t="n"/>
      <c r="H1215" s="41" t="n"/>
      <c r="I1215" s="42">
        <f>IF($H1215="","",MAX(0,$H1215-N($E1215)))</f>
        <v/>
      </c>
      <c r="J1215" s="42">
        <f>IF($H1215="","",MAX(0,$H1215-N($G1215)))</f>
        <v/>
      </c>
    </row>
    <row r="1216" ht="19.5" customHeight="1" s="72">
      <c r="A1216" s="38" t="inlineStr">
        <is>
          <t>GeneralM-32-P10-SIR</t>
        </is>
      </c>
      <c r="B1216" s="38" t="inlineStr">
        <is>
          <t>Fase 32</t>
        </is>
      </c>
      <c r="C1216" s="38" t="inlineStr">
        <is>
          <t>Siriuna</t>
        </is>
      </c>
      <c r="D1216" s="39" t="inlineStr">
        <is>
          <t>A_General_M_32_P10</t>
        </is>
      </c>
      <c r="E1216" s="40" t="n"/>
      <c r="F1216" s="39" t="inlineStr">
        <is>
          <t>B_General_M_32_P10</t>
        </is>
      </c>
      <c r="G1216" s="40" t="n"/>
      <c r="H1216" s="41" t="n"/>
      <c r="I1216" s="42">
        <f>IF($H1216="","",MAX(0,$H1216-N($E1216)))</f>
        <v/>
      </c>
      <c r="J1216" s="42">
        <f>IF($H1216="","",MAX(0,$H1216-N($G1216)))</f>
        <v/>
      </c>
    </row>
    <row r="1217" ht="19.5" customHeight="1" s="72">
      <c r="A1217" s="38" t="inlineStr">
        <is>
          <t>GeneralM-32-P11-BEN</t>
        </is>
      </c>
      <c r="B1217" s="38" t="inlineStr">
        <is>
          <t>Fase 32</t>
        </is>
      </c>
      <c r="C1217" s="38" t="inlineStr">
        <is>
          <t>Benguela</t>
        </is>
      </c>
      <c r="D1217" s="39" t="inlineStr">
        <is>
          <t>A_General_M_32_P11</t>
        </is>
      </c>
      <c r="E1217" s="40" t="n"/>
      <c r="F1217" s="39" t="inlineStr">
        <is>
          <t>B_General_M_32_P11</t>
        </is>
      </c>
      <c r="G1217" s="40" t="n"/>
      <c r="H1217" s="41" t="n"/>
      <c r="I1217" s="42">
        <f>IF($H1217="","",MAX(0,$H1217-N($E1217)))</f>
        <v/>
      </c>
      <c r="J1217" s="42">
        <f>IF($H1217="","",MAX(0,$H1217-N($G1217)))</f>
        <v/>
      </c>
    </row>
    <row r="1218" ht="19.5" customHeight="1" s="72">
      <c r="A1218" s="38" t="inlineStr">
        <is>
          <t>GeneralM-32-P11-SBA</t>
        </is>
      </c>
      <c r="B1218" s="38" t="inlineStr">
        <is>
          <t>Fase 32</t>
        </is>
      </c>
      <c r="C1218" s="38" t="inlineStr">
        <is>
          <t>São Bento da Abadá</t>
        </is>
      </c>
      <c r="D1218" s="39" t="inlineStr">
        <is>
          <t>A_General_M_32_P11</t>
        </is>
      </c>
      <c r="E1218" s="40" t="n"/>
      <c r="F1218" s="39" t="inlineStr">
        <is>
          <t>B_General_M_32_P11</t>
        </is>
      </c>
      <c r="G1218" s="40" t="n"/>
      <c r="H1218" s="41" t="n"/>
      <c r="I1218" s="42">
        <f>IF($H1218="","",MAX(0,$H1218-N($E1218)))</f>
        <v/>
      </c>
      <c r="J1218" s="42">
        <f>IF($H1218="","",MAX(0,$H1218-N($G1218)))</f>
        <v/>
      </c>
    </row>
    <row r="1219" ht="19.5" customHeight="1" s="72">
      <c r="A1219" s="38" t="inlineStr">
        <is>
          <t>GeneralM-32-P11-SIR</t>
        </is>
      </c>
      <c r="B1219" s="38" t="inlineStr">
        <is>
          <t>Fase 32</t>
        </is>
      </c>
      <c r="C1219" s="38" t="inlineStr">
        <is>
          <t>Siriuna</t>
        </is>
      </c>
      <c r="D1219" s="39" t="inlineStr">
        <is>
          <t>A_General_M_32_P11</t>
        </is>
      </c>
      <c r="E1219" s="40" t="n"/>
      <c r="F1219" s="39" t="inlineStr">
        <is>
          <t>B_General_M_32_P11</t>
        </is>
      </c>
      <c r="G1219" s="40" t="n"/>
      <c r="H1219" s="41" t="n"/>
      <c r="I1219" s="42">
        <f>IF($H1219="","",MAX(0,$H1219-N($E1219)))</f>
        <v/>
      </c>
      <c r="J1219" s="42">
        <f>IF($H1219="","",MAX(0,$H1219-N($G1219)))</f>
        <v/>
      </c>
    </row>
    <row r="1220" ht="19.5" customHeight="1" s="72">
      <c r="A1220" s="38" t="inlineStr">
        <is>
          <t>GeneralM-32-P12-BEN</t>
        </is>
      </c>
      <c r="B1220" s="38" t="inlineStr">
        <is>
          <t>Fase 32</t>
        </is>
      </c>
      <c r="C1220" s="38" t="inlineStr">
        <is>
          <t>Benguela</t>
        </is>
      </c>
      <c r="D1220" s="39" t="inlineStr">
        <is>
          <t>A_General_M_32_P12</t>
        </is>
      </c>
      <c r="E1220" s="40" t="n"/>
      <c r="F1220" s="39" t="inlineStr">
        <is>
          <t>B_General_M_32_P12</t>
        </is>
      </c>
      <c r="G1220" s="40" t="n"/>
      <c r="H1220" s="41" t="n"/>
      <c r="I1220" s="42">
        <f>IF($H1220="","",MAX(0,$H1220-N($E1220)))</f>
        <v/>
      </c>
      <c r="J1220" s="42">
        <f>IF($H1220="","",MAX(0,$H1220-N($G1220)))</f>
        <v/>
      </c>
    </row>
    <row r="1221" ht="19.5" customHeight="1" s="72">
      <c r="A1221" s="38" t="inlineStr">
        <is>
          <t>GeneralM-32-P12-SBA</t>
        </is>
      </c>
      <c r="B1221" s="38" t="inlineStr">
        <is>
          <t>Fase 32</t>
        </is>
      </c>
      <c r="C1221" s="38" t="inlineStr">
        <is>
          <t>São Bento da Abadá</t>
        </is>
      </c>
      <c r="D1221" s="39" t="inlineStr">
        <is>
          <t>A_General_M_32_P12</t>
        </is>
      </c>
      <c r="E1221" s="40" t="n"/>
      <c r="F1221" s="39" t="inlineStr">
        <is>
          <t>B_General_M_32_P12</t>
        </is>
      </c>
      <c r="G1221" s="40" t="n"/>
      <c r="H1221" s="41" t="n"/>
      <c r="I1221" s="42">
        <f>IF($H1221="","",MAX(0,$H1221-N($E1221)))</f>
        <v/>
      </c>
      <c r="J1221" s="42">
        <f>IF($H1221="","",MAX(0,$H1221-N($G1221)))</f>
        <v/>
      </c>
    </row>
    <row r="1222" ht="19.5" customHeight="1" s="72">
      <c r="A1222" s="38" t="inlineStr">
        <is>
          <t>GeneralM-32-P12-SIR</t>
        </is>
      </c>
      <c r="B1222" s="38" t="inlineStr">
        <is>
          <t>Fase 32</t>
        </is>
      </c>
      <c r="C1222" s="38" t="inlineStr">
        <is>
          <t>Siriuna</t>
        </is>
      </c>
      <c r="D1222" s="39" t="inlineStr">
        <is>
          <t>A_General_M_32_P12</t>
        </is>
      </c>
      <c r="E1222" s="40" t="n"/>
      <c r="F1222" s="39" t="inlineStr">
        <is>
          <t>B_General_M_32_P12</t>
        </is>
      </c>
      <c r="G1222" s="40" t="n"/>
      <c r="H1222" s="41" t="n"/>
      <c r="I1222" s="42">
        <f>IF($H1222="","",MAX(0,$H1222-N($E1222)))</f>
        <v/>
      </c>
      <c r="J1222" s="42">
        <f>IF($H1222="","",MAX(0,$H1222-N($G1222)))</f>
        <v/>
      </c>
    </row>
    <row r="1223" ht="19.5" customHeight="1" s="72">
      <c r="A1223" s="38" t="inlineStr">
        <is>
          <t>GeneralM-32-P13-BEN</t>
        </is>
      </c>
      <c r="B1223" s="38" t="inlineStr">
        <is>
          <t>Fase 32</t>
        </is>
      </c>
      <c r="C1223" s="38" t="inlineStr">
        <is>
          <t>Benguela</t>
        </is>
      </c>
      <c r="D1223" s="39" t="inlineStr">
        <is>
          <t>A_General_M_32_P13</t>
        </is>
      </c>
      <c r="E1223" s="40" t="n"/>
      <c r="F1223" s="39" t="inlineStr">
        <is>
          <t>B_General_M_32_P13</t>
        </is>
      </c>
      <c r="G1223" s="40" t="n"/>
      <c r="H1223" s="41" t="n"/>
      <c r="I1223" s="42">
        <f>IF($H1223="","",MAX(0,$H1223-N($E1223)))</f>
        <v/>
      </c>
      <c r="J1223" s="42">
        <f>IF($H1223="","",MAX(0,$H1223-N($G1223)))</f>
        <v/>
      </c>
    </row>
    <row r="1224" ht="19.5" customHeight="1" s="72">
      <c r="A1224" s="38" t="inlineStr">
        <is>
          <t>GeneralM-32-P13-SBA</t>
        </is>
      </c>
      <c r="B1224" s="38" t="inlineStr">
        <is>
          <t>Fase 32</t>
        </is>
      </c>
      <c r="C1224" s="38" t="inlineStr">
        <is>
          <t>São Bento da Abadá</t>
        </is>
      </c>
      <c r="D1224" s="39" t="inlineStr">
        <is>
          <t>A_General_M_32_P13</t>
        </is>
      </c>
      <c r="E1224" s="40" t="n"/>
      <c r="F1224" s="39" t="inlineStr">
        <is>
          <t>B_General_M_32_P13</t>
        </is>
      </c>
      <c r="G1224" s="40" t="n"/>
      <c r="H1224" s="41" t="n"/>
      <c r="I1224" s="42">
        <f>IF($H1224="","",MAX(0,$H1224-N($E1224)))</f>
        <v/>
      </c>
      <c r="J1224" s="42">
        <f>IF($H1224="","",MAX(0,$H1224-N($G1224)))</f>
        <v/>
      </c>
    </row>
    <row r="1225" ht="19.5" customHeight="1" s="72">
      <c r="A1225" s="38" t="inlineStr">
        <is>
          <t>GeneralM-32-P13-SIR</t>
        </is>
      </c>
      <c r="B1225" s="38" t="inlineStr">
        <is>
          <t>Fase 32</t>
        </is>
      </c>
      <c r="C1225" s="38" t="inlineStr">
        <is>
          <t>Siriuna</t>
        </is>
      </c>
      <c r="D1225" s="39" t="inlineStr">
        <is>
          <t>A_General_M_32_P13</t>
        </is>
      </c>
      <c r="E1225" s="40" t="n"/>
      <c r="F1225" s="39" t="inlineStr">
        <is>
          <t>B_General_M_32_P13</t>
        </is>
      </c>
      <c r="G1225" s="40" t="n"/>
      <c r="H1225" s="41" t="n"/>
      <c r="I1225" s="42">
        <f>IF($H1225="","",MAX(0,$H1225-N($E1225)))</f>
        <v/>
      </c>
      <c r="J1225" s="42">
        <f>IF($H1225="","",MAX(0,$H1225-N($G1225)))</f>
        <v/>
      </c>
    </row>
    <row r="1226" ht="19.5" customHeight="1" s="72">
      <c r="A1226" s="38" t="inlineStr">
        <is>
          <t>GeneralM-32-P14-BEN</t>
        </is>
      </c>
      <c r="B1226" s="38" t="inlineStr">
        <is>
          <t>Fase 32</t>
        </is>
      </c>
      <c r="C1226" s="38" t="inlineStr">
        <is>
          <t>Benguela</t>
        </is>
      </c>
      <c r="D1226" s="39" t="inlineStr">
        <is>
          <t>A_General_M_32_P14</t>
        </is>
      </c>
      <c r="E1226" s="40" t="n"/>
      <c r="F1226" s="39" t="inlineStr">
        <is>
          <t>B_General_M_32_P14</t>
        </is>
      </c>
      <c r="G1226" s="40" t="n"/>
      <c r="H1226" s="41" t="n"/>
      <c r="I1226" s="42">
        <f>IF($H1226="","",MAX(0,$H1226-N($E1226)))</f>
        <v/>
      </c>
      <c r="J1226" s="42">
        <f>IF($H1226="","",MAX(0,$H1226-N($G1226)))</f>
        <v/>
      </c>
    </row>
    <row r="1227" ht="19.5" customHeight="1" s="72">
      <c r="A1227" s="38" t="inlineStr">
        <is>
          <t>GeneralM-32-P14-SBA</t>
        </is>
      </c>
      <c r="B1227" s="38" t="inlineStr">
        <is>
          <t>Fase 32</t>
        </is>
      </c>
      <c r="C1227" s="38" t="inlineStr">
        <is>
          <t>São Bento da Abadá</t>
        </is>
      </c>
      <c r="D1227" s="39" t="inlineStr">
        <is>
          <t>A_General_M_32_P14</t>
        </is>
      </c>
      <c r="E1227" s="40" t="n"/>
      <c r="F1227" s="39" t="inlineStr">
        <is>
          <t>B_General_M_32_P14</t>
        </is>
      </c>
      <c r="G1227" s="40" t="n"/>
      <c r="H1227" s="41" t="n"/>
      <c r="I1227" s="42">
        <f>IF($H1227="","",MAX(0,$H1227-N($E1227)))</f>
        <v/>
      </c>
      <c r="J1227" s="42">
        <f>IF($H1227="","",MAX(0,$H1227-N($G1227)))</f>
        <v/>
      </c>
    </row>
    <row r="1228" ht="19.5" customHeight="1" s="72">
      <c r="A1228" s="38" t="inlineStr">
        <is>
          <t>GeneralM-32-P14-SIR</t>
        </is>
      </c>
      <c r="B1228" s="38" t="inlineStr">
        <is>
          <t>Fase 32</t>
        </is>
      </c>
      <c r="C1228" s="38" t="inlineStr">
        <is>
          <t>Siriuna</t>
        </is>
      </c>
      <c r="D1228" s="39" t="inlineStr">
        <is>
          <t>A_General_M_32_P14</t>
        </is>
      </c>
      <c r="E1228" s="40" t="n"/>
      <c r="F1228" s="39" t="inlineStr">
        <is>
          <t>B_General_M_32_P14</t>
        </is>
      </c>
      <c r="G1228" s="40" t="n"/>
      <c r="H1228" s="41" t="n"/>
      <c r="I1228" s="42">
        <f>IF($H1228="","",MAX(0,$H1228-N($E1228)))</f>
        <v/>
      </c>
      <c r="J1228" s="42">
        <f>IF($H1228="","",MAX(0,$H1228-N($G1228)))</f>
        <v/>
      </c>
    </row>
    <row r="1229" ht="19.5" customHeight="1" s="72">
      <c r="A1229" s="38" t="inlineStr">
        <is>
          <t>GeneralM-32-P15-BEN</t>
        </is>
      </c>
      <c r="B1229" s="38" t="inlineStr">
        <is>
          <t>Fase 32</t>
        </is>
      </c>
      <c r="C1229" s="38" t="inlineStr">
        <is>
          <t>Benguela</t>
        </is>
      </c>
      <c r="D1229" s="39" t="inlineStr">
        <is>
          <t>A_General_M_32_P15</t>
        </is>
      </c>
      <c r="E1229" s="40" t="n"/>
      <c r="F1229" s="39" t="inlineStr">
        <is>
          <t>B_General_M_32_P15</t>
        </is>
      </c>
      <c r="G1229" s="40" t="n"/>
      <c r="H1229" s="41" t="n"/>
      <c r="I1229" s="42">
        <f>IF($H1229="","",MAX(0,$H1229-N($E1229)))</f>
        <v/>
      </c>
      <c r="J1229" s="42">
        <f>IF($H1229="","",MAX(0,$H1229-N($G1229)))</f>
        <v/>
      </c>
    </row>
    <row r="1230" ht="19.5" customHeight="1" s="72">
      <c r="A1230" s="38" t="inlineStr">
        <is>
          <t>GeneralM-32-P15-SBA</t>
        </is>
      </c>
      <c r="B1230" s="38" t="inlineStr">
        <is>
          <t>Fase 32</t>
        </is>
      </c>
      <c r="C1230" s="38" t="inlineStr">
        <is>
          <t>São Bento da Abadá</t>
        </is>
      </c>
      <c r="D1230" s="39" t="inlineStr">
        <is>
          <t>A_General_M_32_P15</t>
        </is>
      </c>
      <c r="E1230" s="40" t="n"/>
      <c r="F1230" s="39" t="inlineStr">
        <is>
          <t>B_General_M_32_P15</t>
        </is>
      </c>
      <c r="G1230" s="40" t="n"/>
      <c r="H1230" s="41" t="n"/>
      <c r="I1230" s="42">
        <f>IF($H1230="","",MAX(0,$H1230-N($E1230)))</f>
        <v/>
      </c>
      <c r="J1230" s="42">
        <f>IF($H1230="","",MAX(0,$H1230-N($G1230)))</f>
        <v/>
      </c>
    </row>
    <row r="1231" ht="19.5" customHeight="1" s="72">
      <c r="A1231" s="38" t="inlineStr">
        <is>
          <t>GeneralM-32-P15-SIR</t>
        </is>
      </c>
      <c r="B1231" s="38" t="inlineStr">
        <is>
          <t>Fase 32</t>
        </is>
      </c>
      <c r="C1231" s="38" t="inlineStr">
        <is>
          <t>Siriuna</t>
        </is>
      </c>
      <c r="D1231" s="39" t="inlineStr">
        <is>
          <t>A_General_M_32_P15</t>
        </is>
      </c>
      <c r="E1231" s="40" t="n"/>
      <c r="F1231" s="39" t="inlineStr">
        <is>
          <t>B_General_M_32_P15</t>
        </is>
      </c>
      <c r="G1231" s="40" t="n"/>
      <c r="H1231" s="41" t="n"/>
      <c r="I1231" s="42">
        <f>IF($H1231="","",MAX(0,$H1231-N($E1231)))</f>
        <v/>
      </c>
      <c r="J1231" s="42">
        <f>IF($H1231="","",MAX(0,$H1231-N($G1231)))</f>
        <v/>
      </c>
    </row>
    <row r="1232" ht="19.5" customHeight="1" s="72">
      <c r="A1232" s="38" t="inlineStr">
        <is>
          <t>GeneralM-32-P16-BEN</t>
        </is>
      </c>
      <c r="B1232" s="38" t="inlineStr">
        <is>
          <t>Fase 32</t>
        </is>
      </c>
      <c r="C1232" s="38" t="inlineStr">
        <is>
          <t>Benguela</t>
        </is>
      </c>
      <c r="D1232" s="39" t="inlineStr">
        <is>
          <t>A_General_M_32_P16</t>
        </is>
      </c>
      <c r="E1232" s="40" t="n"/>
      <c r="F1232" s="39" t="inlineStr">
        <is>
          <t>B_General_M_32_P16</t>
        </is>
      </c>
      <c r="G1232" s="40" t="n"/>
      <c r="H1232" s="41" t="n"/>
      <c r="I1232" s="42">
        <f>IF($H1232="","",MAX(0,$H1232-N($E1232)))</f>
        <v/>
      </c>
      <c r="J1232" s="42">
        <f>IF($H1232="","",MAX(0,$H1232-N($G1232)))</f>
        <v/>
      </c>
    </row>
    <row r="1233" ht="19.5" customHeight="1" s="72">
      <c r="A1233" s="38" t="inlineStr">
        <is>
          <t>GeneralM-32-P16-SBA</t>
        </is>
      </c>
      <c r="B1233" s="38" t="inlineStr">
        <is>
          <t>Fase 32</t>
        </is>
      </c>
      <c r="C1233" s="38" t="inlineStr">
        <is>
          <t>São Bento da Abadá</t>
        </is>
      </c>
      <c r="D1233" s="39" t="inlineStr">
        <is>
          <t>A_General_M_32_P16</t>
        </is>
      </c>
      <c r="E1233" s="40" t="n"/>
      <c r="F1233" s="39" t="inlineStr">
        <is>
          <t>B_General_M_32_P16</t>
        </is>
      </c>
      <c r="G1233" s="40" t="n"/>
      <c r="H1233" s="41" t="n"/>
      <c r="I1233" s="42">
        <f>IF($H1233="","",MAX(0,$H1233-N($E1233)))</f>
        <v/>
      </c>
      <c r="J1233" s="42">
        <f>IF($H1233="","",MAX(0,$H1233-N($G1233)))</f>
        <v/>
      </c>
    </row>
    <row r="1234" ht="19.5" customHeight="1" s="72">
      <c r="A1234" s="38" t="inlineStr">
        <is>
          <t>GeneralM-32-P16-SIR</t>
        </is>
      </c>
      <c r="B1234" s="38" t="inlineStr">
        <is>
          <t>Fase 32</t>
        </is>
      </c>
      <c r="C1234" s="38" t="inlineStr">
        <is>
          <t>Siriuna</t>
        </is>
      </c>
      <c r="D1234" s="39" t="inlineStr">
        <is>
          <t>A_General_M_32_P16</t>
        </is>
      </c>
      <c r="E1234" s="40" t="n"/>
      <c r="F1234" s="39" t="inlineStr">
        <is>
          <t>B_General_M_32_P16</t>
        </is>
      </c>
      <c r="G1234" s="40" t="n"/>
      <c r="H1234" s="41" t="n"/>
      <c r="I1234" s="42">
        <f>IF($H1234="","",MAX(0,$H1234-N($E1234)))</f>
        <v/>
      </c>
      <c r="J1234" s="42">
        <f>IF($H1234="","",MAX(0,$H1234-N($G1234)))</f>
        <v/>
      </c>
    </row>
    <row r="1235" ht="19.5" customHeight="1" s="72">
      <c r="A1235" s="38" t="inlineStr">
        <is>
          <t>GeneralM-OCT-P01-BEN</t>
        </is>
      </c>
      <c r="B1235" s="38" t="inlineStr">
        <is>
          <t>Octavas</t>
        </is>
      </c>
      <c r="C1235" s="38" t="inlineStr">
        <is>
          <t>Benguela</t>
        </is>
      </c>
      <c r="D1235" s="39">
        <f>IFERROR(CLASIF_General_M!$F$5,"")</f>
        <v/>
      </c>
      <c r="E1235" s="40" t="n"/>
      <c r="F1235" s="39">
        <f>IFERROR(CLASIF_General_M!$F$20,"")</f>
        <v/>
      </c>
      <c r="G1235" s="40" t="n"/>
      <c r="H1235" s="41" t="n"/>
      <c r="I1235" s="42">
        <f>IF($H1235="","",MAX(0,$H1235-N($E1235)))</f>
        <v/>
      </c>
      <c r="J1235" s="42">
        <f>IF($H1235="","",MAX(0,$H1235-N($G1235)))</f>
        <v/>
      </c>
    </row>
    <row r="1236" ht="19.5" customHeight="1" s="72">
      <c r="A1236" s="38" t="inlineStr">
        <is>
          <t>GeneralM-OCT-P01-SBA</t>
        </is>
      </c>
      <c r="B1236" s="38" t="inlineStr">
        <is>
          <t>Octavas</t>
        </is>
      </c>
      <c r="C1236" s="38" t="inlineStr">
        <is>
          <t>São Bento da Abadá</t>
        </is>
      </c>
      <c r="D1236" s="39">
        <f>IFERROR(CLASIF_General_M!$F$5,"")</f>
        <v/>
      </c>
      <c r="E1236" s="40" t="n"/>
      <c r="F1236" s="39">
        <f>IFERROR(CLASIF_General_M!$F$20,"")</f>
        <v/>
      </c>
      <c r="G1236" s="40" t="n"/>
      <c r="H1236" s="41" t="n"/>
      <c r="I1236" s="42">
        <f>IF($H1236="","",MAX(0,$H1236-N($E1236)))</f>
        <v/>
      </c>
      <c r="J1236" s="42">
        <f>IF($H1236="","",MAX(0,$H1236-N($G1236)))</f>
        <v/>
      </c>
    </row>
    <row r="1237" ht="19.5" customHeight="1" s="72">
      <c r="A1237" s="38" t="inlineStr">
        <is>
          <t>GeneralM-OCT-P01-SIR</t>
        </is>
      </c>
      <c r="B1237" s="38" t="inlineStr">
        <is>
          <t>Octavas</t>
        </is>
      </c>
      <c r="C1237" s="38" t="inlineStr">
        <is>
          <t>Siriuna</t>
        </is>
      </c>
      <c r="D1237" s="39">
        <f>IFERROR(CLASIF_General_M!$F$5,"")</f>
        <v/>
      </c>
      <c r="E1237" s="40" t="n"/>
      <c r="F1237" s="39">
        <f>IFERROR(CLASIF_General_M!$F$20,"")</f>
        <v/>
      </c>
      <c r="G1237" s="40" t="n"/>
      <c r="H1237" s="41" t="n"/>
      <c r="I1237" s="42">
        <f>IF($H1237="","",MAX(0,$H1237-N($E1237)))</f>
        <v/>
      </c>
      <c r="J1237" s="42">
        <f>IF($H1237="","",MAX(0,$H1237-N($G1237)))</f>
        <v/>
      </c>
    </row>
    <row r="1238" ht="19.5" customHeight="1" s="72">
      <c r="A1238" s="38" t="inlineStr">
        <is>
          <t>GeneralM-OCT-P02-BEN</t>
        </is>
      </c>
      <c r="B1238" s="38" t="inlineStr">
        <is>
          <t>Octavas</t>
        </is>
      </c>
      <c r="C1238" s="38" t="inlineStr">
        <is>
          <t>Benguela</t>
        </is>
      </c>
      <c r="D1238" s="39">
        <f>IFERROR(CLASIF_General_M!$F$6,"")</f>
        <v/>
      </c>
      <c r="E1238" s="40" t="n"/>
      <c r="F1238" s="39">
        <f>IFERROR(CLASIF_General_M!$F$19,"")</f>
        <v/>
      </c>
      <c r="G1238" s="40" t="n"/>
      <c r="H1238" s="41" t="n"/>
      <c r="I1238" s="42">
        <f>IF($H1238="","",MAX(0,$H1238-N($E1238)))</f>
        <v/>
      </c>
      <c r="J1238" s="42">
        <f>IF($H1238="","",MAX(0,$H1238-N($G1238)))</f>
        <v/>
      </c>
    </row>
    <row r="1239" ht="19.5" customHeight="1" s="72">
      <c r="A1239" s="38" t="inlineStr">
        <is>
          <t>GeneralM-OCT-P02-SBA</t>
        </is>
      </c>
      <c r="B1239" s="38" t="inlineStr">
        <is>
          <t>Octavas</t>
        </is>
      </c>
      <c r="C1239" s="38" t="inlineStr">
        <is>
          <t>São Bento da Abadá</t>
        </is>
      </c>
      <c r="D1239" s="39">
        <f>IFERROR(CLASIF_General_M!$F$6,"")</f>
        <v/>
      </c>
      <c r="E1239" s="40" t="n"/>
      <c r="F1239" s="39">
        <f>IFERROR(CLASIF_General_M!$F$19,"")</f>
        <v/>
      </c>
      <c r="G1239" s="40" t="n"/>
      <c r="H1239" s="41" t="n"/>
      <c r="I1239" s="42">
        <f>IF($H1239="","",MAX(0,$H1239-N($E1239)))</f>
        <v/>
      </c>
      <c r="J1239" s="42">
        <f>IF($H1239="","",MAX(0,$H1239-N($G1239)))</f>
        <v/>
      </c>
    </row>
    <row r="1240" ht="19.5" customHeight="1" s="72">
      <c r="A1240" s="38" t="inlineStr">
        <is>
          <t>GeneralM-OCT-P02-SIR</t>
        </is>
      </c>
      <c r="B1240" s="38" t="inlineStr">
        <is>
          <t>Octavas</t>
        </is>
      </c>
      <c r="C1240" s="38" t="inlineStr">
        <is>
          <t>Siriuna</t>
        </is>
      </c>
      <c r="D1240" s="39">
        <f>IFERROR(CLASIF_General_M!$F$6,"")</f>
        <v/>
      </c>
      <c r="E1240" s="40" t="n"/>
      <c r="F1240" s="39">
        <f>IFERROR(CLASIF_General_M!$F$19,"")</f>
        <v/>
      </c>
      <c r="G1240" s="40" t="n"/>
      <c r="H1240" s="41" t="n"/>
      <c r="I1240" s="42">
        <f>IF($H1240="","",MAX(0,$H1240-N($E1240)))</f>
        <v/>
      </c>
      <c r="J1240" s="42">
        <f>IF($H1240="","",MAX(0,$H1240-N($G1240)))</f>
        <v/>
      </c>
    </row>
    <row r="1241" ht="19.5" customHeight="1" s="72">
      <c r="A1241" s="38" t="inlineStr">
        <is>
          <t>GeneralM-OCT-P03-BEN</t>
        </is>
      </c>
      <c r="B1241" s="38" t="inlineStr">
        <is>
          <t>Octavas</t>
        </is>
      </c>
      <c r="C1241" s="38" t="inlineStr">
        <is>
          <t>Benguela</t>
        </is>
      </c>
      <c r="D1241" s="39">
        <f>IFERROR(CLASIF_General_M!$F$7,"")</f>
        <v/>
      </c>
      <c r="E1241" s="40" t="n"/>
      <c r="F1241" s="39">
        <f>IFERROR(CLASIF_General_M!$F$18,"")</f>
        <v/>
      </c>
      <c r="G1241" s="40" t="n"/>
      <c r="H1241" s="41" t="n"/>
      <c r="I1241" s="42">
        <f>IF($H1241="","",MAX(0,$H1241-N($E1241)))</f>
        <v/>
      </c>
      <c r="J1241" s="42">
        <f>IF($H1241="","",MAX(0,$H1241-N($G1241)))</f>
        <v/>
      </c>
    </row>
    <row r="1242" ht="19.5" customHeight="1" s="72">
      <c r="A1242" s="38" t="inlineStr">
        <is>
          <t>GeneralM-OCT-P03-SBA</t>
        </is>
      </c>
      <c r="B1242" s="38" t="inlineStr">
        <is>
          <t>Octavas</t>
        </is>
      </c>
      <c r="C1242" s="38" t="inlineStr">
        <is>
          <t>São Bento da Abadá</t>
        </is>
      </c>
      <c r="D1242" s="39">
        <f>IFERROR(CLASIF_General_M!$F$7,"")</f>
        <v/>
      </c>
      <c r="E1242" s="40" t="n"/>
      <c r="F1242" s="39">
        <f>IFERROR(CLASIF_General_M!$F$18,"")</f>
        <v/>
      </c>
      <c r="G1242" s="40" t="n"/>
      <c r="H1242" s="41" t="n"/>
      <c r="I1242" s="42">
        <f>IF($H1242="","",MAX(0,$H1242-N($E1242)))</f>
        <v/>
      </c>
      <c r="J1242" s="42">
        <f>IF($H1242="","",MAX(0,$H1242-N($G1242)))</f>
        <v/>
      </c>
    </row>
    <row r="1243" ht="19.5" customHeight="1" s="72">
      <c r="A1243" s="38" t="inlineStr">
        <is>
          <t>GeneralM-OCT-P03-SIR</t>
        </is>
      </c>
      <c r="B1243" s="38" t="inlineStr">
        <is>
          <t>Octavas</t>
        </is>
      </c>
      <c r="C1243" s="38" t="inlineStr">
        <is>
          <t>Siriuna</t>
        </is>
      </c>
      <c r="D1243" s="39">
        <f>IFERROR(CLASIF_General_M!$F$7,"")</f>
        <v/>
      </c>
      <c r="E1243" s="40" t="n"/>
      <c r="F1243" s="39">
        <f>IFERROR(CLASIF_General_M!$F$18,"")</f>
        <v/>
      </c>
      <c r="G1243" s="40" t="n"/>
      <c r="H1243" s="41" t="n"/>
      <c r="I1243" s="42">
        <f>IF($H1243="","",MAX(0,$H1243-N($E1243)))</f>
        <v/>
      </c>
      <c r="J1243" s="42">
        <f>IF($H1243="","",MAX(0,$H1243-N($G1243)))</f>
        <v/>
      </c>
    </row>
    <row r="1244" ht="19.5" customHeight="1" s="72">
      <c r="A1244" s="38" t="inlineStr">
        <is>
          <t>GeneralM-OCT-P04-BEN</t>
        </is>
      </c>
      <c r="B1244" s="38" t="inlineStr">
        <is>
          <t>Octavas</t>
        </is>
      </c>
      <c r="C1244" s="38" t="inlineStr">
        <is>
          <t>Benguela</t>
        </is>
      </c>
      <c r="D1244" s="39">
        <f>IFERROR(CLASIF_General_M!$F$8,"")</f>
        <v/>
      </c>
      <c r="E1244" s="40" t="n"/>
      <c r="F1244" s="39">
        <f>IFERROR(CLASIF_General_M!$F$17,"")</f>
        <v/>
      </c>
      <c r="G1244" s="40" t="n"/>
      <c r="H1244" s="41" t="n"/>
      <c r="I1244" s="42">
        <f>IF($H1244="","",MAX(0,$H1244-N($E1244)))</f>
        <v/>
      </c>
      <c r="J1244" s="42">
        <f>IF($H1244="","",MAX(0,$H1244-N($G1244)))</f>
        <v/>
      </c>
    </row>
    <row r="1245" ht="19.5" customHeight="1" s="72">
      <c r="A1245" s="38" t="inlineStr">
        <is>
          <t>GeneralM-OCT-P04-SBA</t>
        </is>
      </c>
      <c r="B1245" s="38" t="inlineStr">
        <is>
          <t>Octavas</t>
        </is>
      </c>
      <c r="C1245" s="38" t="inlineStr">
        <is>
          <t>São Bento da Abadá</t>
        </is>
      </c>
      <c r="D1245" s="39">
        <f>IFERROR(CLASIF_General_M!$F$8,"")</f>
        <v/>
      </c>
      <c r="E1245" s="40" t="n"/>
      <c r="F1245" s="39">
        <f>IFERROR(CLASIF_General_M!$F$17,"")</f>
        <v/>
      </c>
      <c r="G1245" s="40" t="n"/>
      <c r="H1245" s="41" t="n"/>
      <c r="I1245" s="42">
        <f>IF($H1245="","",MAX(0,$H1245-N($E1245)))</f>
        <v/>
      </c>
      <c r="J1245" s="42">
        <f>IF($H1245="","",MAX(0,$H1245-N($G1245)))</f>
        <v/>
      </c>
    </row>
    <row r="1246" ht="19.5" customHeight="1" s="72">
      <c r="A1246" s="38" t="inlineStr">
        <is>
          <t>GeneralM-OCT-P04-SIR</t>
        </is>
      </c>
      <c r="B1246" s="38" t="inlineStr">
        <is>
          <t>Octavas</t>
        </is>
      </c>
      <c r="C1246" s="38" t="inlineStr">
        <is>
          <t>Siriuna</t>
        </is>
      </c>
      <c r="D1246" s="39">
        <f>IFERROR(CLASIF_General_M!$F$8,"")</f>
        <v/>
      </c>
      <c r="E1246" s="40" t="n"/>
      <c r="F1246" s="39">
        <f>IFERROR(CLASIF_General_M!$F$17,"")</f>
        <v/>
      </c>
      <c r="G1246" s="40" t="n"/>
      <c r="H1246" s="41" t="n"/>
      <c r="I1246" s="42">
        <f>IF($H1246="","",MAX(0,$H1246-N($E1246)))</f>
        <v/>
      </c>
      <c r="J1246" s="42">
        <f>IF($H1246="","",MAX(0,$H1246-N($G1246)))</f>
        <v/>
      </c>
    </row>
    <row r="1247" ht="19.5" customHeight="1" s="72">
      <c r="A1247" s="38" t="inlineStr">
        <is>
          <t>GeneralM-OCT-P05-BEN</t>
        </is>
      </c>
      <c r="B1247" s="38" t="inlineStr">
        <is>
          <t>Octavas</t>
        </is>
      </c>
      <c r="C1247" s="38" t="inlineStr">
        <is>
          <t>Benguela</t>
        </is>
      </c>
      <c r="D1247" s="39">
        <f>IFERROR(CLASIF_General_M!$F$9,"")</f>
        <v/>
      </c>
      <c r="E1247" s="40" t="n"/>
      <c r="F1247" s="39">
        <f>IFERROR(CLASIF_General_M!$F$16,"")</f>
        <v/>
      </c>
      <c r="G1247" s="40" t="n"/>
      <c r="H1247" s="41" t="n"/>
      <c r="I1247" s="42">
        <f>IF($H1247="","",MAX(0,$H1247-N($E1247)))</f>
        <v/>
      </c>
      <c r="J1247" s="42">
        <f>IF($H1247="","",MAX(0,$H1247-N($G1247)))</f>
        <v/>
      </c>
    </row>
    <row r="1248" ht="19.5" customHeight="1" s="72">
      <c r="A1248" s="38" t="inlineStr">
        <is>
          <t>GeneralM-OCT-P05-SBA</t>
        </is>
      </c>
      <c r="B1248" s="38" t="inlineStr">
        <is>
          <t>Octavas</t>
        </is>
      </c>
      <c r="C1248" s="38" t="inlineStr">
        <is>
          <t>São Bento da Abadá</t>
        </is>
      </c>
      <c r="D1248" s="39">
        <f>IFERROR(CLASIF_General_M!$F$9,"")</f>
        <v/>
      </c>
      <c r="E1248" s="40" t="n"/>
      <c r="F1248" s="39">
        <f>IFERROR(CLASIF_General_M!$F$16,"")</f>
        <v/>
      </c>
      <c r="G1248" s="40" t="n"/>
      <c r="H1248" s="41" t="n"/>
      <c r="I1248" s="42">
        <f>IF($H1248="","",MAX(0,$H1248-N($E1248)))</f>
        <v/>
      </c>
      <c r="J1248" s="42">
        <f>IF($H1248="","",MAX(0,$H1248-N($G1248)))</f>
        <v/>
      </c>
    </row>
    <row r="1249" ht="19.5" customHeight="1" s="72">
      <c r="A1249" s="38" t="inlineStr">
        <is>
          <t>GeneralM-OCT-P05-SIR</t>
        </is>
      </c>
      <c r="B1249" s="38" t="inlineStr">
        <is>
          <t>Octavas</t>
        </is>
      </c>
      <c r="C1249" s="38" t="inlineStr">
        <is>
          <t>Siriuna</t>
        </is>
      </c>
      <c r="D1249" s="39">
        <f>IFERROR(CLASIF_General_M!$F$9,"")</f>
        <v/>
      </c>
      <c r="E1249" s="40" t="n"/>
      <c r="F1249" s="39">
        <f>IFERROR(CLASIF_General_M!$F$16,"")</f>
        <v/>
      </c>
      <c r="G1249" s="40" t="n"/>
      <c r="H1249" s="41" t="n"/>
      <c r="I1249" s="42">
        <f>IF($H1249="","",MAX(0,$H1249-N($E1249)))</f>
        <v/>
      </c>
      <c r="J1249" s="42">
        <f>IF($H1249="","",MAX(0,$H1249-N($G1249)))</f>
        <v/>
      </c>
    </row>
    <row r="1250" ht="19.5" customHeight="1" s="72">
      <c r="A1250" s="38" t="inlineStr">
        <is>
          <t>GeneralM-OCT-P06-BEN</t>
        </is>
      </c>
      <c r="B1250" s="38" t="inlineStr">
        <is>
          <t>Octavas</t>
        </is>
      </c>
      <c r="C1250" s="38" t="inlineStr">
        <is>
          <t>Benguela</t>
        </is>
      </c>
      <c r="D1250" s="39">
        <f>IFERROR(CLASIF_General_M!$F$10,"")</f>
        <v/>
      </c>
      <c r="E1250" s="40" t="n"/>
      <c r="F1250" s="39">
        <f>IFERROR(CLASIF_General_M!$F$15,"")</f>
        <v/>
      </c>
      <c r="G1250" s="40" t="n"/>
      <c r="H1250" s="41" t="n"/>
      <c r="I1250" s="42">
        <f>IF($H1250="","",MAX(0,$H1250-N($E1250)))</f>
        <v/>
      </c>
      <c r="J1250" s="42">
        <f>IF($H1250="","",MAX(0,$H1250-N($G1250)))</f>
        <v/>
      </c>
    </row>
    <row r="1251" ht="19.5" customHeight="1" s="72">
      <c r="A1251" s="38" t="inlineStr">
        <is>
          <t>GeneralM-OCT-P06-SBA</t>
        </is>
      </c>
      <c r="B1251" s="38" t="inlineStr">
        <is>
          <t>Octavas</t>
        </is>
      </c>
      <c r="C1251" s="38" t="inlineStr">
        <is>
          <t>São Bento da Abadá</t>
        </is>
      </c>
      <c r="D1251" s="39">
        <f>IFERROR(CLASIF_General_M!$F$10,"")</f>
        <v/>
      </c>
      <c r="E1251" s="40" t="n"/>
      <c r="F1251" s="39">
        <f>IFERROR(CLASIF_General_M!$F$15,"")</f>
        <v/>
      </c>
      <c r="G1251" s="40" t="n"/>
      <c r="H1251" s="41" t="n"/>
      <c r="I1251" s="42">
        <f>IF($H1251="","",MAX(0,$H1251-N($E1251)))</f>
        <v/>
      </c>
      <c r="J1251" s="42">
        <f>IF($H1251="","",MAX(0,$H1251-N($G1251)))</f>
        <v/>
      </c>
    </row>
    <row r="1252" ht="19.5" customHeight="1" s="72">
      <c r="A1252" s="38" t="inlineStr">
        <is>
          <t>GeneralM-OCT-P06-SIR</t>
        </is>
      </c>
      <c r="B1252" s="38" t="inlineStr">
        <is>
          <t>Octavas</t>
        </is>
      </c>
      <c r="C1252" s="38" t="inlineStr">
        <is>
          <t>Siriuna</t>
        </is>
      </c>
      <c r="D1252" s="39">
        <f>IFERROR(CLASIF_General_M!$F$10,"")</f>
        <v/>
      </c>
      <c r="E1252" s="40" t="n"/>
      <c r="F1252" s="39">
        <f>IFERROR(CLASIF_General_M!$F$15,"")</f>
        <v/>
      </c>
      <c r="G1252" s="40" t="n"/>
      <c r="H1252" s="41" t="n"/>
      <c r="I1252" s="42">
        <f>IF($H1252="","",MAX(0,$H1252-N($E1252)))</f>
        <v/>
      </c>
      <c r="J1252" s="42">
        <f>IF($H1252="","",MAX(0,$H1252-N($G1252)))</f>
        <v/>
      </c>
    </row>
    <row r="1253" ht="19.5" customHeight="1" s="72">
      <c r="A1253" s="38" t="inlineStr">
        <is>
          <t>GeneralM-OCT-P07-BEN</t>
        </is>
      </c>
      <c r="B1253" s="38" t="inlineStr">
        <is>
          <t>Octavas</t>
        </is>
      </c>
      <c r="C1253" s="38" t="inlineStr">
        <is>
          <t>Benguela</t>
        </is>
      </c>
      <c r="D1253" s="39">
        <f>IFERROR(CLASIF_General_M!$F$11,"")</f>
        <v/>
      </c>
      <c r="E1253" s="40" t="n"/>
      <c r="F1253" s="39">
        <f>IFERROR(CLASIF_General_M!$F$14,"")</f>
        <v/>
      </c>
      <c r="G1253" s="40" t="n"/>
      <c r="H1253" s="41" t="n"/>
      <c r="I1253" s="42">
        <f>IF($H1253="","",MAX(0,$H1253-N($E1253)))</f>
        <v/>
      </c>
      <c r="J1253" s="42">
        <f>IF($H1253="","",MAX(0,$H1253-N($G1253)))</f>
        <v/>
      </c>
    </row>
    <row r="1254" ht="19.5" customHeight="1" s="72">
      <c r="A1254" s="38" t="inlineStr">
        <is>
          <t>GeneralM-OCT-P07-SBA</t>
        </is>
      </c>
      <c r="B1254" s="38" t="inlineStr">
        <is>
          <t>Octavas</t>
        </is>
      </c>
      <c r="C1254" s="38" t="inlineStr">
        <is>
          <t>São Bento da Abadá</t>
        </is>
      </c>
      <c r="D1254" s="39">
        <f>IFERROR(CLASIF_General_M!$F$11,"")</f>
        <v/>
      </c>
      <c r="E1254" s="40" t="n"/>
      <c r="F1254" s="39">
        <f>IFERROR(CLASIF_General_M!$F$14,"")</f>
        <v/>
      </c>
      <c r="G1254" s="40" t="n"/>
      <c r="H1254" s="41" t="n"/>
      <c r="I1254" s="42">
        <f>IF($H1254="","",MAX(0,$H1254-N($E1254)))</f>
        <v/>
      </c>
      <c r="J1254" s="42">
        <f>IF($H1254="","",MAX(0,$H1254-N($G1254)))</f>
        <v/>
      </c>
    </row>
    <row r="1255" ht="19.5" customHeight="1" s="72">
      <c r="A1255" s="38" t="inlineStr">
        <is>
          <t>GeneralM-OCT-P07-SIR</t>
        </is>
      </c>
      <c r="B1255" s="38" t="inlineStr">
        <is>
          <t>Octavas</t>
        </is>
      </c>
      <c r="C1255" s="38" t="inlineStr">
        <is>
          <t>Siriuna</t>
        </is>
      </c>
      <c r="D1255" s="39">
        <f>IFERROR(CLASIF_General_M!$F$11,"")</f>
        <v/>
      </c>
      <c r="E1255" s="40" t="n"/>
      <c r="F1255" s="39">
        <f>IFERROR(CLASIF_General_M!$F$14,"")</f>
        <v/>
      </c>
      <c r="G1255" s="40" t="n"/>
      <c r="H1255" s="41" t="n"/>
      <c r="I1255" s="42">
        <f>IF($H1255="","",MAX(0,$H1255-N($E1255)))</f>
        <v/>
      </c>
      <c r="J1255" s="42">
        <f>IF($H1255="","",MAX(0,$H1255-N($G1255)))</f>
        <v/>
      </c>
    </row>
    <row r="1256" ht="19.5" customHeight="1" s="72">
      <c r="A1256" s="38" t="inlineStr">
        <is>
          <t>GeneralM-OCT-P08-BEN</t>
        </is>
      </c>
      <c r="B1256" s="38" t="inlineStr">
        <is>
          <t>Octavas</t>
        </is>
      </c>
      <c r="C1256" s="38" t="inlineStr">
        <is>
          <t>Benguela</t>
        </is>
      </c>
      <c r="D1256" s="39">
        <f>IFERROR(CLASIF_General_M!$F$12,"")</f>
        <v/>
      </c>
      <c r="E1256" s="40" t="n"/>
      <c r="F1256" s="39">
        <f>IFERROR(CLASIF_General_M!$F$13,"")</f>
        <v/>
      </c>
      <c r="G1256" s="40" t="n"/>
      <c r="H1256" s="41" t="n"/>
      <c r="I1256" s="42">
        <f>IF($H1256="","",MAX(0,$H1256-N($E1256)))</f>
        <v/>
      </c>
      <c r="J1256" s="42">
        <f>IF($H1256="","",MAX(0,$H1256-N($G1256)))</f>
        <v/>
      </c>
    </row>
    <row r="1257" ht="19.5" customHeight="1" s="72">
      <c r="A1257" s="38" t="inlineStr">
        <is>
          <t>GeneralM-OCT-P08-SBA</t>
        </is>
      </c>
      <c r="B1257" s="38" t="inlineStr">
        <is>
          <t>Octavas</t>
        </is>
      </c>
      <c r="C1257" s="38" t="inlineStr">
        <is>
          <t>São Bento da Abadá</t>
        </is>
      </c>
      <c r="D1257" s="39">
        <f>IFERROR(CLASIF_General_M!$F$12,"")</f>
        <v/>
      </c>
      <c r="E1257" s="40" t="n"/>
      <c r="F1257" s="39">
        <f>IFERROR(CLASIF_General_M!$F$13,"")</f>
        <v/>
      </c>
      <c r="G1257" s="40" t="n"/>
      <c r="H1257" s="41" t="n"/>
      <c r="I1257" s="42">
        <f>IF($H1257="","",MAX(0,$H1257-N($E1257)))</f>
        <v/>
      </c>
      <c r="J1257" s="42">
        <f>IF($H1257="","",MAX(0,$H1257-N($G1257)))</f>
        <v/>
      </c>
    </row>
    <row r="1258" ht="19.5" customHeight="1" s="72">
      <c r="A1258" s="38" t="inlineStr">
        <is>
          <t>GeneralM-OCT-P08-SIR</t>
        </is>
      </c>
      <c r="B1258" s="38" t="inlineStr">
        <is>
          <t>Octavas</t>
        </is>
      </c>
      <c r="C1258" s="38" t="inlineStr">
        <is>
          <t>Siriuna</t>
        </is>
      </c>
      <c r="D1258" s="39">
        <f>IFERROR(CLASIF_General_M!$F$12,"")</f>
        <v/>
      </c>
      <c r="E1258" s="40" t="n"/>
      <c r="F1258" s="39">
        <f>IFERROR(CLASIF_General_M!$F$13,"")</f>
        <v/>
      </c>
      <c r="G1258" s="40" t="n"/>
      <c r="H1258" s="41" t="n"/>
      <c r="I1258" s="42">
        <f>IF($H1258="","",MAX(0,$H1258-N($E1258)))</f>
        <v/>
      </c>
      <c r="J1258" s="42">
        <f>IF($H1258="","",MAX(0,$H1258-N($G1258)))</f>
        <v/>
      </c>
    </row>
    <row r="1259" ht="19.5" customHeight="1" s="72">
      <c r="A1259" s="38" t="inlineStr">
        <is>
          <t>GeneralM-SEM-P01-BEN</t>
        </is>
      </c>
      <c r="B1259" s="38" t="inlineStr">
        <is>
          <t>Semifinal</t>
        </is>
      </c>
      <c r="C1259" s="38" t="inlineStr">
        <is>
          <t>Benguela</t>
        </is>
      </c>
      <c r="D1259" s="39">
        <f>IFERROR(CLASIF_General_M!$O$5,"")</f>
        <v/>
      </c>
      <c r="E1259" s="40" t="n"/>
      <c r="F1259" s="39">
        <f>IFERROR(CLASIF_General_M!$O$12,"")</f>
        <v/>
      </c>
      <c r="G1259" s="40" t="n"/>
      <c r="H1259" s="41" t="n"/>
      <c r="I1259" s="42">
        <f>IF($H1259="","",MAX(0,$H1259-N($E1259)))</f>
        <v/>
      </c>
      <c r="J1259" s="42">
        <f>IF($H1259="","",MAX(0,$H1259-N($G1259)))</f>
        <v/>
      </c>
    </row>
    <row r="1260" ht="19.5" customHeight="1" s="72">
      <c r="A1260" s="38" t="inlineStr">
        <is>
          <t>GeneralM-SEM-P01-SBA</t>
        </is>
      </c>
      <c r="B1260" s="38" t="inlineStr">
        <is>
          <t>Semifinal</t>
        </is>
      </c>
      <c r="C1260" s="38" t="inlineStr">
        <is>
          <t>São Bento da Abadá</t>
        </is>
      </c>
      <c r="D1260" s="39">
        <f>IFERROR(CLASIF_General_M!$O$5,"")</f>
        <v/>
      </c>
      <c r="E1260" s="40" t="n"/>
      <c r="F1260" s="39">
        <f>IFERROR(CLASIF_General_M!$O$12,"")</f>
        <v/>
      </c>
      <c r="G1260" s="40" t="n"/>
      <c r="H1260" s="41" t="n"/>
      <c r="I1260" s="42">
        <f>IF($H1260="","",MAX(0,$H1260-N($E1260)))</f>
        <v/>
      </c>
      <c r="J1260" s="42">
        <f>IF($H1260="","",MAX(0,$H1260-N($G1260)))</f>
        <v/>
      </c>
    </row>
    <row r="1261" ht="19.5" customHeight="1" s="72">
      <c r="A1261" s="38" t="inlineStr">
        <is>
          <t>GeneralM-SEM-P01-SIR</t>
        </is>
      </c>
      <c r="B1261" s="38" t="inlineStr">
        <is>
          <t>Semifinal</t>
        </is>
      </c>
      <c r="C1261" s="38" t="inlineStr">
        <is>
          <t>Siriuna</t>
        </is>
      </c>
      <c r="D1261" s="39">
        <f>IFERROR(CLASIF_General_M!$O$5,"")</f>
        <v/>
      </c>
      <c r="E1261" s="40" t="n"/>
      <c r="F1261" s="39">
        <f>IFERROR(CLASIF_General_M!$O$12,"")</f>
        <v/>
      </c>
      <c r="G1261" s="40" t="n"/>
      <c r="H1261" s="41" t="n"/>
      <c r="I1261" s="42">
        <f>IF($H1261="","",MAX(0,$H1261-N($E1261)))</f>
        <v/>
      </c>
      <c r="J1261" s="42">
        <f>IF($H1261="","",MAX(0,$H1261-N($G1261)))</f>
        <v/>
      </c>
    </row>
    <row r="1262" ht="19.5" customHeight="1" s="72">
      <c r="A1262" s="38" t="inlineStr">
        <is>
          <t>GeneralM-SEM-P02-BEN</t>
        </is>
      </c>
      <c r="B1262" s="38" t="inlineStr">
        <is>
          <t>Semifinal</t>
        </is>
      </c>
      <c r="C1262" s="38" t="inlineStr">
        <is>
          <t>Benguela</t>
        </is>
      </c>
      <c r="D1262" s="39">
        <f>IFERROR(CLASIF_General_M!$O$6,"")</f>
        <v/>
      </c>
      <c r="E1262" s="40" t="n"/>
      <c r="F1262" s="39">
        <f>IFERROR(CLASIF_General_M!$O$11,"")</f>
        <v/>
      </c>
      <c r="G1262" s="40" t="n"/>
      <c r="H1262" s="41" t="n"/>
      <c r="I1262" s="42">
        <f>IF($H1262="","",MAX(0,$H1262-N($E1262)))</f>
        <v/>
      </c>
      <c r="J1262" s="42">
        <f>IF($H1262="","",MAX(0,$H1262-N($G1262)))</f>
        <v/>
      </c>
    </row>
    <row r="1263" ht="19.5" customHeight="1" s="72">
      <c r="A1263" s="38" t="inlineStr">
        <is>
          <t>GeneralM-SEM-P02-SBA</t>
        </is>
      </c>
      <c r="B1263" s="38" t="inlineStr">
        <is>
          <t>Semifinal</t>
        </is>
      </c>
      <c r="C1263" s="38" t="inlineStr">
        <is>
          <t>São Bento da Abadá</t>
        </is>
      </c>
      <c r="D1263" s="39">
        <f>IFERROR(CLASIF_General_M!$O$6,"")</f>
        <v/>
      </c>
      <c r="E1263" s="40" t="n"/>
      <c r="F1263" s="39">
        <f>IFERROR(CLASIF_General_M!$O$11,"")</f>
        <v/>
      </c>
      <c r="G1263" s="40" t="n"/>
      <c r="H1263" s="41" t="n"/>
      <c r="I1263" s="42">
        <f>IF($H1263="","",MAX(0,$H1263-N($E1263)))</f>
        <v/>
      </c>
      <c r="J1263" s="42">
        <f>IF($H1263="","",MAX(0,$H1263-N($G1263)))</f>
        <v/>
      </c>
    </row>
    <row r="1264" ht="19.5" customHeight="1" s="72">
      <c r="A1264" s="38" t="inlineStr">
        <is>
          <t>GeneralM-SEM-P02-SIR</t>
        </is>
      </c>
      <c r="B1264" s="38" t="inlineStr">
        <is>
          <t>Semifinal</t>
        </is>
      </c>
      <c r="C1264" s="38" t="inlineStr">
        <is>
          <t>Siriuna</t>
        </is>
      </c>
      <c r="D1264" s="39">
        <f>IFERROR(CLASIF_General_M!$O$6,"")</f>
        <v/>
      </c>
      <c r="E1264" s="40" t="n"/>
      <c r="F1264" s="39">
        <f>IFERROR(CLASIF_General_M!$O$11,"")</f>
        <v/>
      </c>
      <c r="G1264" s="40" t="n"/>
      <c r="H1264" s="41" t="n"/>
      <c r="I1264" s="42">
        <f>IF($H1264="","",MAX(0,$H1264-N($E1264)))</f>
        <v/>
      </c>
      <c r="J1264" s="42">
        <f>IF($H1264="","",MAX(0,$H1264-N($G1264)))</f>
        <v/>
      </c>
    </row>
    <row r="1265" ht="19.5" customHeight="1" s="72">
      <c r="A1265" s="38" t="inlineStr">
        <is>
          <t>GeneralM-SEM-P03-BEN</t>
        </is>
      </c>
      <c r="B1265" s="38" t="inlineStr">
        <is>
          <t>Semifinal</t>
        </is>
      </c>
      <c r="C1265" s="38" t="inlineStr">
        <is>
          <t>Benguela</t>
        </is>
      </c>
      <c r="D1265" s="39">
        <f>IFERROR(CLASIF_General_M!$O$7,"")</f>
        <v/>
      </c>
      <c r="E1265" s="40" t="n"/>
      <c r="F1265" s="39">
        <f>IFERROR(CLASIF_General_M!$O$10,"")</f>
        <v/>
      </c>
      <c r="G1265" s="40" t="n"/>
      <c r="H1265" s="41" t="n"/>
      <c r="I1265" s="42">
        <f>IF($H1265="","",MAX(0,$H1265-N($E1265)))</f>
        <v/>
      </c>
      <c r="J1265" s="42">
        <f>IF($H1265="","",MAX(0,$H1265-N($G1265)))</f>
        <v/>
      </c>
    </row>
    <row r="1266" ht="19.5" customHeight="1" s="72">
      <c r="A1266" s="38" t="inlineStr">
        <is>
          <t>GeneralM-SEM-P03-SBA</t>
        </is>
      </c>
      <c r="B1266" s="38" t="inlineStr">
        <is>
          <t>Semifinal</t>
        </is>
      </c>
      <c r="C1266" s="38" t="inlineStr">
        <is>
          <t>São Bento da Abadá</t>
        </is>
      </c>
      <c r="D1266" s="39">
        <f>IFERROR(CLASIF_General_M!$O$7,"")</f>
        <v/>
      </c>
      <c r="E1266" s="40" t="n"/>
      <c r="F1266" s="39">
        <f>IFERROR(CLASIF_General_M!$O$10,"")</f>
        <v/>
      </c>
      <c r="G1266" s="40" t="n"/>
      <c r="H1266" s="41" t="n"/>
      <c r="I1266" s="42">
        <f>IF($H1266="","",MAX(0,$H1266-N($E1266)))</f>
        <v/>
      </c>
      <c r="J1266" s="42">
        <f>IF($H1266="","",MAX(0,$H1266-N($G1266)))</f>
        <v/>
      </c>
    </row>
    <row r="1267" ht="19.5" customHeight="1" s="72">
      <c r="A1267" s="38" t="inlineStr">
        <is>
          <t>GeneralM-SEM-P03-SIR</t>
        </is>
      </c>
      <c r="B1267" s="38" t="inlineStr">
        <is>
          <t>Semifinal</t>
        </is>
      </c>
      <c r="C1267" s="38" t="inlineStr">
        <is>
          <t>Siriuna</t>
        </is>
      </c>
      <c r="D1267" s="39">
        <f>IFERROR(CLASIF_General_M!$O$7,"")</f>
        <v/>
      </c>
      <c r="E1267" s="40" t="n"/>
      <c r="F1267" s="39">
        <f>IFERROR(CLASIF_General_M!$O$10,"")</f>
        <v/>
      </c>
      <c r="G1267" s="40" t="n"/>
      <c r="H1267" s="41" t="n"/>
      <c r="I1267" s="42">
        <f>IF($H1267="","",MAX(0,$H1267-N($E1267)))</f>
        <v/>
      </c>
      <c r="J1267" s="42">
        <f>IF($H1267="","",MAX(0,$H1267-N($G1267)))</f>
        <v/>
      </c>
    </row>
    <row r="1268" ht="19.5" customHeight="1" s="72">
      <c r="A1268" s="38" t="inlineStr">
        <is>
          <t>GeneralM-SEM-P04-BEN</t>
        </is>
      </c>
      <c r="B1268" s="38" t="inlineStr">
        <is>
          <t>Semifinal</t>
        </is>
      </c>
      <c r="C1268" s="38" t="inlineStr">
        <is>
          <t>Benguela</t>
        </is>
      </c>
      <c r="D1268" s="39">
        <f>IFERROR(CLASIF_General_M!$O$8,"")</f>
        <v/>
      </c>
      <c r="E1268" s="40" t="n"/>
      <c r="F1268" s="39">
        <f>IFERROR(CLASIF_General_M!$O$9,"")</f>
        <v/>
      </c>
      <c r="G1268" s="40" t="n"/>
      <c r="H1268" s="41" t="n"/>
      <c r="I1268" s="42">
        <f>IF($H1268="","",MAX(0,$H1268-N($E1268)))</f>
        <v/>
      </c>
      <c r="J1268" s="42">
        <f>IF($H1268="","",MAX(0,$H1268-N($G1268)))</f>
        <v/>
      </c>
    </row>
    <row r="1269" ht="19.5" customHeight="1" s="72">
      <c r="A1269" s="38" t="inlineStr">
        <is>
          <t>GeneralM-SEM-P04-SBA</t>
        </is>
      </c>
      <c r="B1269" s="38" t="inlineStr">
        <is>
          <t>Semifinal</t>
        </is>
      </c>
      <c r="C1269" s="38" t="inlineStr">
        <is>
          <t>São Bento da Abadá</t>
        </is>
      </c>
      <c r="D1269" s="39">
        <f>IFERROR(CLASIF_General_M!$O$8,"")</f>
        <v/>
      </c>
      <c r="E1269" s="40" t="n"/>
      <c r="F1269" s="39">
        <f>IFERROR(CLASIF_General_M!$O$9,"")</f>
        <v/>
      </c>
      <c r="G1269" s="40" t="n"/>
      <c r="H1269" s="41" t="n"/>
      <c r="I1269" s="42">
        <f>IF($H1269="","",MAX(0,$H1269-N($E1269)))</f>
        <v/>
      </c>
      <c r="J1269" s="42">
        <f>IF($H1269="","",MAX(0,$H1269-N($G1269)))</f>
        <v/>
      </c>
    </row>
    <row r="1270" ht="19.5" customHeight="1" s="72">
      <c r="A1270" s="38" t="inlineStr">
        <is>
          <t>GeneralM-SEM-P04-SIR</t>
        </is>
      </c>
      <c r="B1270" s="38" t="inlineStr">
        <is>
          <t>Semifinal</t>
        </is>
      </c>
      <c r="C1270" s="38" t="inlineStr">
        <is>
          <t>Siriuna</t>
        </is>
      </c>
      <c r="D1270" s="39">
        <f>IFERROR(CLASIF_General_M!$O$8,"")</f>
        <v/>
      </c>
      <c r="E1270" s="40" t="n"/>
      <c r="F1270" s="39">
        <f>IFERROR(CLASIF_General_M!$O$9,"")</f>
        <v/>
      </c>
      <c r="G1270" s="40" t="n"/>
      <c r="H1270" s="41" t="n"/>
      <c r="I1270" s="42">
        <f>IF($H1270="","",MAX(0,$H1270-N($E1270)))</f>
        <v/>
      </c>
      <c r="J1270" s="42">
        <f>IF($H1270="","",MAX(0,$H1270-N($G1270)))</f>
        <v/>
      </c>
    </row>
    <row r="1271" ht="19.5" customHeight="1" s="72">
      <c r="A1271" s="38" t="inlineStr">
        <is>
          <t>GeneralM-FIN-P01-BEN</t>
        </is>
      </c>
      <c r="B1271" s="38" t="inlineStr">
        <is>
          <t>Final</t>
        </is>
      </c>
      <c r="C1271" s="38" t="inlineStr">
        <is>
          <t>Benguela</t>
        </is>
      </c>
      <c r="D1271" s="39">
        <f>IFERROR(CLASIF_General_M!$X$5,"")</f>
        <v/>
      </c>
      <c r="E1271" s="40" t="n"/>
      <c r="F1271" s="39">
        <f>IFERROR(CLASIF_General_M!$X$8,"")</f>
        <v/>
      </c>
      <c r="G1271" s="40" t="n"/>
      <c r="H1271" s="41" t="n"/>
      <c r="I1271" s="42">
        <f>IF($H1271="","",MAX(0,$H1271-N($E1271)))</f>
        <v/>
      </c>
      <c r="J1271" s="42">
        <f>IF($H1271="","",MAX(0,$H1271-N($G1271)))</f>
        <v/>
      </c>
    </row>
    <row r="1272" ht="19.5" customHeight="1" s="72">
      <c r="A1272" s="38" t="inlineStr">
        <is>
          <t>GeneralM-FIN-P01-SBA</t>
        </is>
      </c>
      <c r="B1272" s="38" t="inlineStr">
        <is>
          <t>Final</t>
        </is>
      </c>
      <c r="C1272" s="38" t="inlineStr">
        <is>
          <t>São Bento da Abadá</t>
        </is>
      </c>
      <c r="D1272" s="39">
        <f>IFERROR(CLASIF_General_M!$X$5,"")</f>
        <v/>
      </c>
      <c r="E1272" s="40" t="n"/>
      <c r="F1272" s="39">
        <f>IFERROR(CLASIF_General_M!$X$8,"")</f>
        <v/>
      </c>
      <c r="G1272" s="40" t="n"/>
      <c r="H1272" s="41" t="n"/>
      <c r="I1272" s="42">
        <f>IF($H1272="","",MAX(0,$H1272-N($E1272)))</f>
        <v/>
      </c>
      <c r="J1272" s="42">
        <f>IF($H1272="","",MAX(0,$H1272-N($G1272)))</f>
        <v/>
      </c>
    </row>
    <row r="1273" ht="19.5" customHeight="1" s="72">
      <c r="A1273" s="38" t="inlineStr">
        <is>
          <t>GeneralM-FIN-P01-SIR</t>
        </is>
      </c>
      <c r="B1273" s="38" t="inlineStr">
        <is>
          <t>Final</t>
        </is>
      </c>
      <c r="C1273" s="38" t="inlineStr">
        <is>
          <t>Siriuna</t>
        </is>
      </c>
      <c r="D1273" s="39">
        <f>IFERROR(CLASIF_General_M!$X$5,"")</f>
        <v/>
      </c>
      <c r="E1273" s="40" t="n"/>
      <c r="F1273" s="39">
        <f>IFERROR(CLASIF_General_M!$X$8,"")</f>
        <v/>
      </c>
      <c r="G1273" s="40" t="n"/>
      <c r="H1273" s="41" t="n"/>
      <c r="I1273" s="42">
        <f>IF($H1273="","",MAX(0,$H1273-N($E1273)))</f>
        <v/>
      </c>
      <c r="J1273" s="42">
        <f>IF($H1273="","",MAX(0,$H1273-N($G1273)))</f>
        <v/>
      </c>
    </row>
    <row r="1274" ht="19.5" customHeight="1" s="72">
      <c r="A1274" s="38" t="inlineStr">
        <is>
          <t>GeneralM-FIN-P02-BEN</t>
        </is>
      </c>
      <c r="B1274" s="38" t="inlineStr">
        <is>
          <t>Final</t>
        </is>
      </c>
      <c r="C1274" s="38" t="inlineStr">
        <is>
          <t>Benguela</t>
        </is>
      </c>
      <c r="D1274" s="39">
        <f>IFERROR(CLASIF_General_M!$X$6,"")</f>
        <v/>
      </c>
      <c r="E1274" s="40" t="n"/>
      <c r="F1274" s="39">
        <f>IFERROR(CLASIF_General_M!$X$7,"")</f>
        <v/>
      </c>
      <c r="G1274" s="40" t="n"/>
      <c r="H1274" s="41" t="n"/>
      <c r="I1274" s="42">
        <f>IF($H1274="","",MAX(0,$H1274-N($E1274)))</f>
        <v/>
      </c>
      <c r="J1274" s="42">
        <f>IF($H1274="","",MAX(0,$H1274-N($G1274)))</f>
        <v/>
      </c>
    </row>
    <row r="1275" ht="19.5" customHeight="1" s="72">
      <c r="A1275" s="38" t="inlineStr">
        <is>
          <t>GeneralM-FIN-P02-SBA</t>
        </is>
      </c>
      <c r="B1275" s="38" t="inlineStr">
        <is>
          <t>Final</t>
        </is>
      </c>
      <c r="C1275" s="38" t="inlineStr">
        <is>
          <t>São Bento da Abadá</t>
        </is>
      </c>
      <c r="D1275" s="39">
        <f>IFERROR(CLASIF_General_M!$X$6,"")</f>
        <v/>
      </c>
      <c r="E1275" s="40" t="n"/>
      <c r="F1275" s="39">
        <f>IFERROR(CLASIF_General_M!$X$7,"")</f>
        <v/>
      </c>
      <c r="G1275" s="40" t="n"/>
      <c r="H1275" s="41" t="n"/>
      <c r="I1275" s="42">
        <f>IF($H1275="","",MAX(0,$H1275-N($E1275)))</f>
        <v/>
      </c>
      <c r="J1275" s="42">
        <f>IF($H1275="","",MAX(0,$H1275-N($G1275)))</f>
        <v/>
      </c>
    </row>
    <row r="1276" ht="19.5" customHeight="1" s="72">
      <c r="A1276" s="38" t="inlineStr">
        <is>
          <t>GeneralM-FIN-P02-SIR</t>
        </is>
      </c>
      <c r="B1276" s="38" t="inlineStr">
        <is>
          <t>Final</t>
        </is>
      </c>
      <c r="C1276" s="38" t="inlineStr">
        <is>
          <t>Siriuna</t>
        </is>
      </c>
      <c r="D1276" s="39">
        <f>IFERROR(CLASIF_General_M!$X$6,"")</f>
        <v/>
      </c>
      <c r="E1276" s="40" t="n"/>
      <c r="F1276" s="39">
        <f>IFERROR(CLASIF_General_M!$X$7,"")</f>
        <v/>
      </c>
      <c r="G1276" s="40" t="n"/>
      <c r="H1276" s="41" t="n"/>
      <c r="I1276" s="42">
        <f>IF($H1276="","",MAX(0,$H1276-N($E1276)))</f>
        <v/>
      </c>
      <c r="J1276" s="42">
        <f>IF($H1276="","",MAX(0,$H1276-N($G1276)))</f>
        <v/>
      </c>
    </row>
    <row r="1277" ht="19.5" customHeight="1" s="72">
      <c r="A1277" s="43" t="n"/>
      <c r="B1277" s="43" t="n"/>
      <c r="C1277" s="43" t="n"/>
      <c r="D1277" s="43" t="n"/>
      <c r="E1277" s="43" t="n"/>
      <c r="F1277" s="43" t="n"/>
      <c r="G1277" s="43" t="n"/>
      <c r="H1277" s="44" t="n"/>
      <c r="I1277" s="43">
        <f>IF($H1277="","",MAX(0,$H1277-N($E1277)))</f>
        <v/>
      </c>
      <c r="J1277" s="43">
        <f>IF($H1277="","",MAX(0,$H1277-N($G1277)))</f>
        <v/>
      </c>
    </row>
    <row r="1278" ht="19.5" customHeight="1" s="72">
      <c r="A1278" s="87" t="inlineStr">
        <is>
          <t>═══ CATEGORÍA General · Femenino · Todas · Toques: Benguela, São Bento da Abadá, Siriuna ═══</t>
        </is>
      </c>
    </row>
    <row r="1279" ht="19.5" customHeight="1" s="72">
      <c r="A1279" s="45" t="inlineStr">
        <is>
          <t>Jogo</t>
        </is>
      </c>
      <c r="B1279" s="45" t="inlineStr">
        <is>
          <t>Fase</t>
        </is>
      </c>
      <c r="C1279" s="45" t="inlineStr">
        <is>
          <t>Toque</t>
        </is>
      </c>
      <c r="D1279" s="45" t="inlineStr">
        <is>
          <t>Jugador A</t>
        </is>
      </c>
      <c r="E1279" s="45" t="inlineStr">
        <is>
          <t>Quita A</t>
        </is>
      </c>
      <c r="F1279" s="45" t="inlineStr">
        <is>
          <t>Jugador B</t>
        </is>
      </c>
      <c r="G1279" s="45" t="inlineStr">
        <is>
          <t>Quita B</t>
        </is>
      </c>
      <c r="H1279" s="45" t="inlineStr">
        <is>
          <t>NOTA (0-5)</t>
        </is>
      </c>
      <c r="I1279" s="45">
        <f>IF($H1279="","",MAX(0,$H1279-N($E1279)))</f>
        <v/>
      </c>
      <c r="J1279" s="45">
        <f>IF($H1279="","",MAX(0,$H1279-N($G1279)))</f>
        <v/>
      </c>
    </row>
    <row r="1280" ht="19.5" customHeight="1" s="72">
      <c r="A1280" s="38" t="inlineStr">
        <is>
          <t>GeneralF-32-P01-BEN</t>
        </is>
      </c>
      <c r="B1280" s="38" t="inlineStr">
        <is>
          <t>Fase 32</t>
        </is>
      </c>
      <c r="C1280" s="38" t="inlineStr">
        <is>
          <t>Benguela</t>
        </is>
      </c>
      <c r="D1280" s="39" t="inlineStr">
        <is>
          <t>A_General_F_32_P1</t>
        </is>
      </c>
      <c r="E1280" s="40" t="n"/>
      <c r="F1280" s="39" t="inlineStr">
        <is>
          <t>B_General_F_32_P1</t>
        </is>
      </c>
      <c r="G1280" s="40" t="n"/>
      <c r="H1280" s="41" t="n"/>
      <c r="I1280" s="42">
        <f>IF($H1280="","",MAX(0,$H1280-N($E1280)))</f>
        <v/>
      </c>
      <c r="J1280" s="42">
        <f>IF($H1280="","",MAX(0,$H1280-N($G1280)))</f>
        <v/>
      </c>
    </row>
    <row r="1281" ht="19.5" customHeight="1" s="72">
      <c r="A1281" s="38" t="inlineStr">
        <is>
          <t>GeneralF-32-P01-SBA</t>
        </is>
      </c>
      <c r="B1281" s="38" t="inlineStr">
        <is>
          <t>Fase 32</t>
        </is>
      </c>
      <c r="C1281" s="38" t="inlineStr">
        <is>
          <t>São Bento da Abadá</t>
        </is>
      </c>
      <c r="D1281" s="39" t="inlineStr">
        <is>
          <t>A_General_F_32_P1</t>
        </is>
      </c>
      <c r="E1281" s="40" t="n"/>
      <c r="F1281" s="39" t="inlineStr">
        <is>
          <t>B_General_F_32_P1</t>
        </is>
      </c>
      <c r="G1281" s="40" t="n"/>
      <c r="H1281" s="41" t="n"/>
      <c r="I1281" s="42">
        <f>IF($H1281="","",MAX(0,$H1281-N($E1281)))</f>
        <v/>
      </c>
      <c r="J1281" s="42">
        <f>IF($H1281="","",MAX(0,$H1281-N($G1281)))</f>
        <v/>
      </c>
    </row>
    <row r="1282" ht="19.5" customHeight="1" s="72">
      <c r="A1282" s="38" t="inlineStr">
        <is>
          <t>GeneralF-32-P01-SIR</t>
        </is>
      </c>
      <c r="B1282" s="38" t="inlineStr">
        <is>
          <t>Fase 32</t>
        </is>
      </c>
      <c r="C1282" s="38" t="inlineStr">
        <is>
          <t>Siriuna</t>
        </is>
      </c>
      <c r="D1282" s="39" t="inlineStr">
        <is>
          <t>A_General_F_32_P1</t>
        </is>
      </c>
      <c r="E1282" s="40" t="n"/>
      <c r="F1282" s="39" t="inlineStr">
        <is>
          <t>B_General_F_32_P1</t>
        </is>
      </c>
      <c r="G1282" s="40" t="n"/>
      <c r="H1282" s="41" t="n"/>
      <c r="I1282" s="42">
        <f>IF($H1282="","",MAX(0,$H1282-N($E1282)))</f>
        <v/>
      </c>
      <c r="J1282" s="42">
        <f>IF($H1282="","",MAX(0,$H1282-N($G1282)))</f>
        <v/>
      </c>
    </row>
    <row r="1283" ht="19.5" customHeight="1" s="72">
      <c r="A1283" s="38" t="inlineStr">
        <is>
          <t>GeneralF-32-P02-BEN</t>
        </is>
      </c>
      <c r="B1283" s="38" t="inlineStr">
        <is>
          <t>Fase 32</t>
        </is>
      </c>
      <c r="C1283" s="38" t="inlineStr">
        <is>
          <t>Benguela</t>
        </is>
      </c>
      <c r="D1283" s="39" t="inlineStr">
        <is>
          <t>A_General_F_32_P2</t>
        </is>
      </c>
      <c r="E1283" s="40" t="n"/>
      <c r="F1283" s="39" t="inlineStr">
        <is>
          <t>B_General_F_32_P2</t>
        </is>
      </c>
      <c r="G1283" s="40" t="n"/>
      <c r="H1283" s="41" t="n"/>
      <c r="I1283" s="42">
        <f>IF($H1283="","",MAX(0,$H1283-N($E1283)))</f>
        <v/>
      </c>
      <c r="J1283" s="42">
        <f>IF($H1283="","",MAX(0,$H1283-N($G1283)))</f>
        <v/>
      </c>
    </row>
    <row r="1284" ht="19.5" customHeight="1" s="72">
      <c r="A1284" s="38" t="inlineStr">
        <is>
          <t>GeneralF-32-P02-SBA</t>
        </is>
      </c>
      <c r="B1284" s="38" t="inlineStr">
        <is>
          <t>Fase 32</t>
        </is>
      </c>
      <c r="C1284" s="38" t="inlineStr">
        <is>
          <t>São Bento da Abadá</t>
        </is>
      </c>
      <c r="D1284" s="39" t="inlineStr">
        <is>
          <t>A_General_F_32_P2</t>
        </is>
      </c>
      <c r="E1284" s="40" t="n"/>
      <c r="F1284" s="39" t="inlineStr">
        <is>
          <t>B_General_F_32_P2</t>
        </is>
      </c>
      <c r="G1284" s="40" t="n"/>
      <c r="H1284" s="41" t="n"/>
      <c r="I1284" s="42">
        <f>IF($H1284="","",MAX(0,$H1284-N($E1284)))</f>
        <v/>
      </c>
      <c r="J1284" s="42">
        <f>IF($H1284="","",MAX(0,$H1284-N($G1284)))</f>
        <v/>
      </c>
    </row>
    <row r="1285" ht="19.5" customHeight="1" s="72">
      <c r="A1285" s="38" t="inlineStr">
        <is>
          <t>GeneralF-32-P02-SIR</t>
        </is>
      </c>
      <c r="B1285" s="38" t="inlineStr">
        <is>
          <t>Fase 32</t>
        </is>
      </c>
      <c r="C1285" s="38" t="inlineStr">
        <is>
          <t>Siriuna</t>
        </is>
      </c>
      <c r="D1285" s="39" t="inlineStr">
        <is>
          <t>A_General_F_32_P2</t>
        </is>
      </c>
      <c r="E1285" s="40" t="n"/>
      <c r="F1285" s="39" t="inlineStr">
        <is>
          <t>B_General_F_32_P2</t>
        </is>
      </c>
      <c r="G1285" s="40" t="n"/>
      <c r="H1285" s="41" t="n"/>
      <c r="I1285" s="42">
        <f>IF($H1285="","",MAX(0,$H1285-N($E1285)))</f>
        <v/>
      </c>
      <c r="J1285" s="42">
        <f>IF($H1285="","",MAX(0,$H1285-N($G1285)))</f>
        <v/>
      </c>
    </row>
    <row r="1286" ht="19.5" customHeight="1" s="72">
      <c r="A1286" s="38" t="inlineStr">
        <is>
          <t>GeneralF-32-P03-BEN</t>
        </is>
      </c>
      <c r="B1286" s="38" t="inlineStr">
        <is>
          <t>Fase 32</t>
        </is>
      </c>
      <c r="C1286" s="38" t="inlineStr">
        <is>
          <t>Benguela</t>
        </is>
      </c>
      <c r="D1286" s="39" t="inlineStr">
        <is>
          <t>A_General_F_32_P3</t>
        </is>
      </c>
      <c r="E1286" s="40" t="n"/>
      <c r="F1286" s="39" t="inlineStr">
        <is>
          <t>B_General_F_32_P3</t>
        </is>
      </c>
      <c r="G1286" s="40" t="n"/>
      <c r="H1286" s="41" t="n"/>
      <c r="I1286" s="42">
        <f>IF($H1286="","",MAX(0,$H1286-N($E1286)))</f>
        <v/>
      </c>
      <c r="J1286" s="42">
        <f>IF($H1286="","",MAX(0,$H1286-N($G1286)))</f>
        <v/>
      </c>
    </row>
    <row r="1287" ht="19.5" customHeight="1" s="72">
      <c r="A1287" s="38" t="inlineStr">
        <is>
          <t>GeneralF-32-P03-SBA</t>
        </is>
      </c>
      <c r="B1287" s="38" t="inlineStr">
        <is>
          <t>Fase 32</t>
        </is>
      </c>
      <c r="C1287" s="38" t="inlineStr">
        <is>
          <t>São Bento da Abadá</t>
        </is>
      </c>
      <c r="D1287" s="39" t="inlineStr">
        <is>
          <t>A_General_F_32_P3</t>
        </is>
      </c>
      <c r="E1287" s="40" t="n"/>
      <c r="F1287" s="39" t="inlineStr">
        <is>
          <t>B_General_F_32_P3</t>
        </is>
      </c>
      <c r="G1287" s="40" t="n"/>
      <c r="H1287" s="41" t="n"/>
      <c r="I1287" s="42">
        <f>IF($H1287="","",MAX(0,$H1287-N($E1287)))</f>
        <v/>
      </c>
      <c r="J1287" s="42">
        <f>IF($H1287="","",MAX(0,$H1287-N($G1287)))</f>
        <v/>
      </c>
    </row>
    <row r="1288" ht="19.5" customHeight="1" s="72">
      <c r="A1288" s="38" t="inlineStr">
        <is>
          <t>GeneralF-32-P03-SIR</t>
        </is>
      </c>
      <c r="B1288" s="38" t="inlineStr">
        <is>
          <t>Fase 32</t>
        </is>
      </c>
      <c r="C1288" s="38" t="inlineStr">
        <is>
          <t>Siriuna</t>
        </is>
      </c>
      <c r="D1288" s="39" t="inlineStr">
        <is>
          <t>A_General_F_32_P3</t>
        </is>
      </c>
      <c r="E1288" s="40" t="n"/>
      <c r="F1288" s="39" t="inlineStr">
        <is>
          <t>B_General_F_32_P3</t>
        </is>
      </c>
      <c r="G1288" s="40" t="n"/>
      <c r="H1288" s="41" t="n"/>
      <c r="I1288" s="42">
        <f>IF($H1288="","",MAX(0,$H1288-N($E1288)))</f>
        <v/>
      </c>
      <c r="J1288" s="42">
        <f>IF($H1288="","",MAX(0,$H1288-N($G1288)))</f>
        <v/>
      </c>
    </row>
    <row r="1289" ht="19.5" customHeight="1" s="72">
      <c r="A1289" s="38" t="inlineStr">
        <is>
          <t>GeneralF-32-P04-BEN</t>
        </is>
      </c>
      <c r="B1289" s="38" t="inlineStr">
        <is>
          <t>Fase 32</t>
        </is>
      </c>
      <c r="C1289" s="38" t="inlineStr">
        <is>
          <t>Benguela</t>
        </is>
      </c>
      <c r="D1289" s="39" t="inlineStr">
        <is>
          <t>A_General_F_32_P4</t>
        </is>
      </c>
      <c r="E1289" s="40" t="n"/>
      <c r="F1289" s="39" t="inlineStr">
        <is>
          <t>B_General_F_32_P4</t>
        </is>
      </c>
      <c r="G1289" s="40" t="n"/>
      <c r="H1289" s="41" t="n"/>
      <c r="I1289" s="42">
        <f>IF($H1289="","",MAX(0,$H1289-N($E1289)))</f>
        <v/>
      </c>
      <c r="J1289" s="42">
        <f>IF($H1289="","",MAX(0,$H1289-N($G1289)))</f>
        <v/>
      </c>
    </row>
    <row r="1290" ht="19.5" customHeight="1" s="72">
      <c r="A1290" s="38" t="inlineStr">
        <is>
          <t>GeneralF-32-P04-SBA</t>
        </is>
      </c>
      <c r="B1290" s="38" t="inlineStr">
        <is>
          <t>Fase 32</t>
        </is>
      </c>
      <c r="C1290" s="38" t="inlineStr">
        <is>
          <t>São Bento da Abadá</t>
        </is>
      </c>
      <c r="D1290" s="39" t="inlineStr">
        <is>
          <t>A_General_F_32_P4</t>
        </is>
      </c>
      <c r="E1290" s="40" t="n"/>
      <c r="F1290" s="39" t="inlineStr">
        <is>
          <t>B_General_F_32_P4</t>
        </is>
      </c>
      <c r="G1290" s="40" t="n"/>
      <c r="H1290" s="41" t="n"/>
      <c r="I1290" s="42">
        <f>IF($H1290="","",MAX(0,$H1290-N($E1290)))</f>
        <v/>
      </c>
      <c r="J1290" s="42">
        <f>IF($H1290="","",MAX(0,$H1290-N($G1290)))</f>
        <v/>
      </c>
    </row>
    <row r="1291" ht="19.5" customHeight="1" s="72">
      <c r="A1291" s="38" t="inlineStr">
        <is>
          <t>GeneralF-32-P04-SIR</t>
        </is>
      </c>
      <c r="B1291" s="38" t="inlineStr">
        <is>
          <t>Fase 32</t>
        </is>
      </c>
      <c r="C1291" s="38" t="inlineStr">
        <is>
          <t>Siriuna</t>
        </is>
      </c>
      <c r="D1291" s="39" t="inlineStr">
        <is>
          <t>A_General_F_32_P4</t>
        </is>
      </c>
      <c r="E1291" s="40" t="n"/>
      <c r="F1291" s="39" t="inlineStr">
        <is>
          <t>B_General_F_32_P4</t>
        </is>
      </c>
      <c r="G1291" s="40" t="n"/>
      <c r="H1291" s="41" t="n"/>
      <c r="I1291" s="42">
        <f>IF($H1291="","",MAX(0,$H1291-N($E1291)))</f>
        <v/>
      </c>
      <c r="J1291" s="42">
        <f>IF($H1291="","",MAX(0,$H1291-N($G1291)))</f>
        <v/>
      </c>
    </row>
    <row r="1292" ht="19.5" customHeight="1" s="72">
      <c r="A1292" s="38" t="inlineStr">
        <is>
          <t>GeneralF-32-P05-BEN</t>
        </is>
      </c>
      <c r="B1292" s="38" t="inlineStr">
        <is>
          <t>Fase 32</t>
        </is>
      </c>
      <c r="C1292" s="38" t="inlineStr">
        <is>
          <t>Benguela</t>
        </is>
      </c>
      <c r="D1292" s="39" t="inlineStr">
        <is>
          <t>A_General_F_32_P5</t>
        </is>
      </c>
      <c r="E1292" s="40" t="n"/>
      <c r="F1292" s="39" t="inlineStr">
        <is>
          <t>B_General_F_32_P5</t>
        </is>
      </c>
      <c r="G1292" s="40" t="n"/>
      <c r="H1292" s="41" t="n"/>
      <c r="I1292" s="42">
        <f>IF($H1292="","",MAX(0,$H1292-N($E1292)))</f>
        <v/>
      </c>
      <c r="J1292" s="42">
        <f>IF($H1292="","",MAX(0,$H1292-N($G1292)))</f>
        <v/>
      </c>
    </row>
    <row r="1293" ht="19.5" customHeight="1" s="72">
      <c r="A1293" s="38" t="inlineStr">
        <is>
          <t>GeneralF-32-P05-SBA</t>
        </is>
      </c>
      <c r="B1293" s="38" t="inlineStr">
        <is>
          <t>Fase 32</t>
        </is>
      </c>
      <c r="C1293" s="38" t="inlineStr">
        <is>
          <t>São Bento da Abadá</t>
        </is>
      </c>
      <c r="D1293" s="39" t="inlineStr">
        <is>
          <t>A_General_F_32_P5</t>
        </is>
      </c>
      <c r="E1293" s="40" t="n"/>
      <c r="F1293" s="39" t="inlineStr">
        <is>
          <t>B_General_F_32_P5</t>
        </is>
      </c>
      <c r="G1293" s="40" t="n"/>
      <c r="H1293" s="41" t="n"/>
      <c r="I1293" s="42">
        <f>IF($H1293="","",MAX(0,$H1293-N($E1293)))</f>
        <v/>
      </c>
      <c r="J1293" s="42">
        <f>IF($H1293="","",MAX(0,$H1293-N($G1293)))</f>
        <v/>
      </c>
    </row>
    <row r="1294" ht="19.5" customHeight="1" s="72">
      <c r="A1294" s="38" t="inlineStr">
        <is>
          <t>GeneralF-32-P05-SIR</t>
        </is>
      </c>
      <c r="B1294" s="38" t="inlineStr">
        <is>
          <t>Fase 32</t>
        </is>
      </c>
      <c r="C1294" s="38" t="inlineStr">
        <is>
          <t>Siriuna</t>
        </is>
      </c>
      <c r="D1294" s="39" t="inlineStr">
        <is>
          <t>A_General_F_32_P5</t>
        </is>
      </c>
      <c r="E1294" s="40" t="n"/>
      <c r="F1294" s="39" t="inlineStr">
        <is>
          <t>B_General_F_32_P5</t>
        </is>
      </c>
      <c r="G1294" s="40" t="n"/>
      <c r="H1294" s="41" t="n"/>
      <c r="I1294" s="42">
        <f>IF($H1294="","",MAX(0,$H1294-N($E1294)))</f>
        <v/>
      </c>
      <c r="J1294" s="42">
        <f>IF($H1294="","",MAX(0,$H1294-N($G1294)))</f>
        <v/>
      </c>
    </row>
    <row r="1295" ht="19.5" customHeight="1" s="72">
      <c r="A1295" s="38" t="inlineStr">
        <is>
          <t>GeneralF-32-P06-BEN</t>
        </is>
      </c>
      <c r="B1295" s="38" t="inlineStr">
        <is>
          <t>Fase 32</t>
        </is>
      </c>
      <c r="C1295" s="38" t="inlineStr">
        <is>
          <t>Benguela</t>
        </is>
      </c>
      <c r="D1295" s="39" t="inlineStr">
        <is>
          <t>A_General_F_32_P6</t>
        </is>
      </c>
      <c r="E1295" s="40" t="n"/>
      <c r="F1295" s="39" t="inlineStr">
        <is>
          <t>B_General_F_32_P6</t>
        </is>
      </c>
      <c r="G1295" s="40" t="n"/>
      <c r="H1295" s="41" t="n"/>
      <c r="I1295" s="42">
        <f>IF($H1295="","",MAX(0,$H1295-N($E1295)))</f>
        <v/>
      </c>
      <c r="J1295" s="42">
        <f>IF($H1295="","",MAX(0,$H1295-N($G1295)))</f>
        <v/>
      </c>
    </row>
    <row r="1296" ht="19.5" customHeight="1" s="72">
      <c r="A1296" s="38" t="inlineStr">
        <is>
          <t>GeneralF-32-P06-SBA</t>
        </is>
      </c>
      <c r="B1296" s="38" t="inlineStr">
        <is>
          <t>Fase 32</t>
        </is>
      </c>
      <c r="C1296" s="38" t="inlineStr">
        <is>
          <t>São Bento da Abadá</t>
        </is>
      </c>
      <c r="D1296" s="39" t="inlineStr">
        <is>
          <t>A_General_F_32_P6</t>
        </is>
      </c>
      <c r="E1296" s="40" t="n"/>
      <c r="F1296" s="39" t="inlineStr">
        <is>
          <t>B_General_F_32_P6</t>
        </is>
      </c>
      <c r="G1296" s="40" t="n"/>
      <c r="H1296" s="41" t="n"/>
      <c r="I1296" s="42">
        <f>IF($H1296="","",MAX(0,$H1296-N($E1296)))</f>
        <v/>
      </c>
      <c r="J1296" s="42">
        <f>IF($H1296="","",MAX(0,$H1296-N($G1296)))</f>
        <v/>
      </c>
    </row>
    <row r="1297" ht="19.5" customHeight="1" s="72">
      <c r="A1297" s="38" t="inlineStr">
        <is>
          <t>GeneralF-32-P06-SIR</t>
        </is>
      </c>
      <c r="B1297" s="38" t="inlineStr">
        <is>
          <t>Fase 32</t>
        </is>
      </c>
      <c r="C1297" s="38" t="inlineStr">
        <is>
          <t>Siriuna</t>
        </is>
      </c>
      <c r="D1297" s="39" t="inlineStr">
        <is>
          <t>A_General_F_32_P6</t>
        </is>
      </c>
      <c r="E1297" s="40" t="n"/>
      <c r="F1297" s="39" t="inlineStr">
        <is>
          <t>B_General_F_32_P6</t>
        </is>
      </c>
      <c r="G1297" s="40" t="n"/>
      <c r="H1297" s="41" t="n"/>
      <c r="I1297" s="42">
        <f>IF($H1297="","",MAX(0,$H1297-N($E1297)))</f>
        <v/>
      </c>
      <c r="J1297" s="42">
        <f>IF($H1297="","",MAX(0,$H1297-N($G1297)))</f>
        <v/>
      </c>
    </row>
    <row r="1298" ht="19.5" customHeight="1" s="72">
      <c r="A1298" s="38" t="inlineStr">
        <is>
          <t>GeneralF-32-P07-BEN</t>
        </is>
      </c>
      <c r="B1298" s="38" t="inlineStr">
        <is>
          <t>Fase 32</t>
        </is>
      </c>
      <c r="C1298" s="38" t="inlineStr">
        <is>
          <t>Benguela</t>
        </is>
      </c>
      <c r="D1298" s="39" t="inlineStr">
        <is>
          <t>A_General_F_32_P7</t>
        </is>
      </c>
      <c r="E1298" s="40" t="n"/>
      <c r="F1298" s="39" t="inlineStr">
        <is>
          <t>B_General_F_32_P7</t>
        </is>
      </c>
      <c r="G1298" s="40" t="n"/>
      <c r="H1298" s="41" t="n"/>
      <c r="I1298" s="42">
        <f>IF($H1298="","",MAX(0,$H1298-N($E1298)))</f>
        <v/>
      </c>
      <c r="J1298" s="42">
        <f>IF($H1298="","",MAX(0,$H1298-N($G1298)))</f>
        <v/>
      </c>
    </row>
    <row r="1299" ht="19.5" customHeight="1" s="72">
      <c r="A1299" s="38" t="inlineStr">
        <is>
          <t>GeneralF-32-P07-SBA</t>
        </is>
      </c>
      <c r="B1299" s="38" t="inlineStr">
        <is>
          <t>Fase 32</t>
        </is>
      </c>
      <c r="C1299" s="38" t="inlineStr">
        <is>
          <t>São Bento da Abadá</t>
        </is>
      </c>
      <c r="D1299" s="39" t="inlineStr">
        <is>
          <t>A_General_F_32_P7</t>
        </is>
      </c>
      <c r="E1299" s="40" t="n"/>
      <c r="F1299" s="39" t="inlineStr">
        <is>
          <t>B_General_F_32_P7</t>
        </is>
      </c>
      <c r="G1299" s="40" t="n"/>
      <c r="H1299" s="41" t="n"/>
      <c r="I1299" s="42">
        <f>IF($H1299="","",MAX(0,$H1299-N($E1299)))</f>
        <v/>
      </c>
      <c r="J1299" s="42">
        <f>IF($H1299="","",MAX(0,$H1299-N($G1299)))</f>
        <v/>
      </c>
    </row>
    <row r="1300" ht="19.5" customHeight="1" s="72">
      <c r="A1300" s="38" t="inlineStr">
        <is>
          <t>GeneralF-32-P07-SIR</t>
        </is>
      </c>
      <c r="B1300" s="38" t="inlineStr">
        <is>
          <t>Fase 32</t>
        </is>
      </c>
      <c r="C1300" s="38" t="inlineStr">
        <is>
          <t>Siriuna</t>
        </is>
      </c>
      <c r="D1300" s="39" t="inlineStr">
        <is>
          <t>A_General_F_32_P7</t>
        </is>
      </c>
      <c r="E1300" s="40" t="n"/>
      <c r="F1300" s="39" t="inlineStr">
        <is>
          <t>B_General_F_32_P7</t>
        </is>
      </c>
      <c r="G1300" s="40" t="n"/>
      <c r="H1300" s="41" t="n"/>
      <c r="I1300" s="42">
        <f>IF($H1300="","",MAX(0,$H1300-N($E1300)))</f>
        <v/>
      </c>
      <c r="J1300" s="42">
        <f>IF($H1300="","",MAX(0,$H1300-N($G1300)))</f>
        <v/>
      </c>
    </row>
    <row r="1301" ht="19.5" customHeight="1" s="72">
      <c r="A1301" s="38" t="inlineStr">
        <is>
          <t>GeneralF-32-P08-BEN</t>
        </is>
      </c>
      <c r="B1301" s="38" t="inlineStr">
        <is>
          <t>Fase 32</t>
        </is>
      </c>
      <c r="C1301" s="38" t="inlineStr">
        <is>
          <t>Benguela</t>
        </is>
      </c>
      <c r="D1301" s="39" t="inlineStr">
        <is>
          <t>A_General_F_32_P8</t>
        </is>
      </c>
      <c r="E1301" s="40" t="n"/>
      <c r="F1301" s="39" t="inlineStr">
        <is>
          <t>B_General_F_32_P8</t>
        </is>
      </c>
      <c r="G1301" s="40" t="n"/>
      <c r="H1301" s="41" t="n"/>
      <c r="I1301" s="42">
        <f>IF($H1301="","",MAX(0,$H1301-N($E1301)))</f>
        <v/>
      </c>
      <c r="J1301" s="42">
        <f>IF($H1301="","",MAX(0,$H1301-N($G1301)))</f>
        <v/>
      </c>
    </row>
    <row r="1302" ht="19.5" customHeight="1" s="72">
      <c r="A1302" s="38" t="inlineStr">
        <is>
          <t>GeneralF-32-P08-SBA</t>
        </is>
      </c>
      <c r="B1302" s="38" t="inlineStr">
        <is>
          <t>Fase 32</t>
        </is>
      </c>
      <c r="C1302" s="38" t="inlineStr">
        <is>
          <t>São Bento da Abadá</t>
        </is>
      </c>
      <c r="D1302" s="39" t="inlineStr">
        <is>
          <t>A_General_F_32_P8</t>
        </is>
      </c>
      <c r="E1302" s="40" t="n"/>
      <c r="F1302" s="39" t="inlineStr">
        <is>
          <t>B_General_F_32_P8</t>
        </is>
      </c>
      <c r="G1302" s="40" t="n"/>
      <c r="H1302" s="41" t="n"/>
      <c r="I1302" s="42">
        <f>IF($H1302="","",MAX(0,$H1302-N($E1302)))</f>
        <v/>
      </c>
      <c r="J1302" s="42">
        <f>IF($H1302="","",MAX(0,$H1302-N($G1302)))</f>
        <v/>
      </c>
    </row>
    <row r="1303" ht="19.5" customHeight="1" s="72">
      <c r="A1303" s="38" t="inlineStr">
        <is>
          <t>GeneralF-32-P08-SIR</t>
        </is>
      </c>
      <c r="B1303" s="38" t="inlineStr">
        <is>
          <t>Fase 32</t>
        </is>
      </c>
      <c r="C1303" s="38" t="inlineStr">
        <is>
          <t>Siriuna</t>
        </is>
      </c>
      <c r="D1303" s="39" t="inlineStr">
        <is>
          <t>A_General_F_32_P8</t>
        </is>
      </c>
      <c r="E1303" s="40" t="n"/>
      <c r="F1303" s="39" t="inlineStr">
        <is>
          <t>B_General_F_32_P8</t>
        </is>
      </c>
      <c r="G1303" s="40" t="n"/>
      <c r="H1303" s="41" t="n"/>
      <c r="I1303" s="42">
        <f>IF($H1303="","",MAX(0,$H1303-N($E1303)))</f>
        <v/>
      </c>
      <c r="J1303" s="42">
        <f>IF($H1303="","",MAX(0,$H1303-N($G1303)))</f>
        <v/>
      </c>
    </row>
    <row r="1304" ht="19.5" customHeight="1" s="72">
      <c r="A1304" s="38" t="inlineStr">
        <is>
          <t>GeneralF-32-P09-BEN</t>
        </is>
      </c>
      <c r="B1304" s="38" t="inlineStr">
        <is>
          <t>Fase 32</t>
        </is>
      </c>
      <c r="C1304" s="38" t="inlineStr">
        <is>
          <t>Benguela</t>
        </is>
      </c>
      <c r="D1304" s="39" t="inlineStr">
        <is>
          <t>A_General_F_32_P9</t>
        </is>
      </c>
      <c r="E1304" s="40" t="n"/>
      <c r="F1304" s="39" t="inlineStr">
        <is>
          <t>B_General_F_32_P9</t>
        </is>
      </c>
      <c r="G1304" s="40" t="n"/>
      <c r="H1304" s="41" t="n"/>
      <c r="I1304" s="42">
        <f>IF($H1304="","",MAX(0,$H1304-N($E1304)))</f>
        <v/>
      </c>
      <c r="J1304" s="42">
        <f>IF($H1304="","",MAX(0,$H1304-N($G1304)))</f>
        <v/>
      </c>
    </row>
    <row r="1305" ht="19.5" customHeight="1" s="72">
      <c r="A1305" s="38" t="inlineStr">
        <is>
          <t>GeneralF-32-P09-SBA</t>
        </is>
      </c>
      <c r="B1305" s="38" t="inlineStr">
        <is>
          <t>Fase 32</t>
        </is>
      </c>
      <c r="C1305" s="38" t="inlineStr">
        <is>
          <t>São Bento da Abadá</t>
        </is>
      </c>
      <c r="D1305" s="39" t="inlineStr">
        <is>
          <t>A_General_F_32_P9</t>
        </is>
      </c>
      <c r="E1305" s="40" t="n"/>
      <c r="F1305" s="39" t="inlineStr">
        <is>
          <t>B_General_F_32_P9</t>
        </is>
      </c>
      <c r="G1305" s="40" t="n"/>
      <c r="H1305" s="41" t="n"/>
      <c r="I1305" s="42">
        <f>IF($H1305="","",MAX(0,$H1305-N($E1305)))</f>
        <v/>
      </c>
      <c r="J1305" s="42">
        <f>IF($H1305="","",MAX(0,$H1305-N($G1305)))</f>
        <v/>
      </c>
    </row>
    <row r="1306" ht="19.5" customHeight="1" s="72">
      <c r="A1306" s="38" t="inlineStr">
        <is>
          <t>GeneralF-32-P09-SIR</t>
        </is>
      </c>
      <c r="B1306" s="38" t="inlineStr">
        <is>
          <t>Fase 32</t>
        </is>
      </c>
      <c r="C1306" s="38" t="inlineStr">
        <is>
          <t>Siriuna</t>
        </is>
      </c>
      <c r="D1306" s="39" t="inlineStr">
        <is>
          <t>A_General_F_32_P9</t>
        </is>
      </c>
      <c r="E1306" s="40" t="n"/>
      <c r="F1306" s="39" t="inlineStr">
        <is>
          <t>B_General_F_32_P9</t>
        </is>
      </c>
      <c r="G1306" s="40" t="n"/>
      <c r="H1306" s="41" t="n"/>
      <c r="I1306" s="42">
        <f>IF($H1306="","",MAX(0,$H1306-N($E1306)))</f>
        <v/>
      </c>
      <c r="J1306" s="42">
        <f>IF($H1306="","",MAX(0,$H1306-N($G1306)))</f>
        <v/>
      </c>
    </row>
    <row r="1307" ht="19.5" customHeight="1" s="72">
      <c r="A1307" s="38" t="inlineStr">
        <is>
          <t>GeneralF-32-P10-BEN</t>
        </is>
      </c>
      <c r="B1307" s="38" t="inlineStr">
        <is>
          <t>Fase 32</t>
        </is>
      </c>
      <c r="C1307" s="38" t="inlineStr">
        <is>
          <t>Benguela</t>
        </is>
      </c>
      <c r="D1307" s="39" t="inlineStr">
        <is>
          <t>A_General_F_32_P10</t>
        </is>
      </c>
      <c r="E1307" s="40" t="n"/>
      <c r="F1307" s="39" t="inlineStr">
        <is>
          <t>B_General_F_32_P10</t>
        </is>
      </c>
      <c r="G1307" s="40" t="n"/>
      <c r="H1307" s="41" t="n"/>
      <c r="I1307" s="42">
        <f>IF($H1307="","",MAX(0,$H1307-N($E1307)))</f>
        <v/>
      </c>
      <c r="J1307" s="42">
        <f>IF($H1307="","",MAX(0,$H1307-N($G1307)))</f>
        <v/>
      </c>
    </row>
    <row r="1308" ht="19.5" customHeight="1" s="72">
      <c r="A1308" s="38" t="inlineStr">
        <is>
          <t>GeneralF-32-P10-SBA</t>
        </is>
      </c>
      <c r="B1308" s="38" t="inlineStr">
        <is>
          <t>Fase 32</t>
        </is>
      </c>
      <c r="C1308" s="38" t="inlineStr">
        <is>
          <t>São Bento da Abadá</t>
        </is>
      </c>
      <c r="D1308" s="39" t="inlineStr">
        <is>
          <t>A_General_F_32_P10</t>
        </is>
      </c>
      <c r="E1308" s="40" t="n"/>
      <c r="F1308" s="39" t="inlineStr">
        <is>
          <t>B_General_F_32_P10</t>
        </is>
      </c>
      <c r="G1308" s="40" t="n"/>
      <c r="H1308" s="41" t="n"/>
      <c r="I1308" s="42">
        <f>IF($H1308="","",MAX(0,$H1308-N($E1308)))</f>
        <v/>
      </c>
      <c r="J1308" s="42">
        <f>IF($H1308="","",MAX(0,$H1308-N($G1308)))</f>
        <v/>
      </c>
    </row>
    <row r="1309" ht="19.5" customHeight="1" s="72">
      <c r="A1309" s="38" t="inlineStr">
        <is>
          <t>GeneralF-32-P10-SIR</t>
        </is>
      </c>
      <c r="B1309" s="38" t="inlineStr">
        <is>
          <t>Fase 32</t>
        </is>
      </c>
      <c r="C1309" s="38" t="inlineStr">
        <is>
          <t>Siriuna</t>
        </is>
      </c>
      <c r="D1309" s="39" t="inlineStr">
        <is>
          <t>A_General_F_32_P10</t>
        </is>
      </c>
      <c r="E1309" s="40" t="n"/>
      <c r="F1309" s="39" t="inlineStr">
        <is>
          <t>B_General_F_32_P10</t>
        </is>
      </c>
      <c r="G1309" s="40" t="n"/>
      <c r="H1309" s="41" t="n"/>
      <c r="I1309" s="42">
        <f>IF($H1309="","",MAX(0,$H1309-N($E1309)))</f>
        <v/>
      </c>
      <c r="J1309" s="42">
        <f>IF($H1309="","",MAX(0,$H1309-N($G1309)))</f>
        <v/>
      </c>
    </row>
    <row r="1310" ht="19.5" customHeight="1" s="72">
      <c r="A1310" s="38" t="inlineStr">
        <is>
          <t>GeneralF-32-P11-BEN</t>
        </is>
      </c>
      <c r="B1310" s="38" t="inlineStr">
        <is>
          <t>Fase 32</t>
        </is>
      </c>
      <c r="C1310" s="38" t="inlineStr">
        <is>
          <t>Benguela</t>
        </is>
      </c>
      <c r="D1310" s="39" t="inlineStr">
        <is>
          <t>A_General_F_32_P11</t>
        </is>
      </c>
      <c r="E1310" s="40" t="n"/>
      <c r="F1310" s="39" t="inlineStr">
        <is>
          <t>B_General_F_32_P11</t>
        </is>
      </c>
      <c r="G1310" s="40" t="n"/>
      <c r="H1310" s="41" t="n"/>
      <c r="I1310" s="42">
        <f>IF($H1310="","",MAX(0,$H1310-N($E1310)))</f>
        <v/>
      </c>
      <c r="J1310" s="42">
        <f>IF($H1310="","",MAX(0,$H1310-N($G1310)))</f>
        <v/>
      </c>
    </row>
    <row r="1311" ht="19.5" customHeight="1" s="72">
      <c r="A1311" s="38" t="inlineStr">
        <is>
          <t>GeneralF-32-P11-SBA</t>
        </is>
      </c>
      <c r="B1311" s="38" t="inlineStr">
        <is>
          <t>Fase 32</t>
        </is>
      </c>
      <c r="C1311" s="38" t="inlineStr">
        <is>
          <t>São Bento da Abadá</t>
        </is>
      </c>
      <c r="D1311" s="39" t="inlineStr">
        <is>
          <t>A_General_F_32_P11</t>
        </is>
      </c>
      <c r="E1311" s="40" t="n"/>
      <c r="F1311" s="39" t="inlineStr">
        <is>
          <t>B_General_F_32_P11</t>
        </is>
      </c>
      <c r="G1311" s="40" t="n"/>
      <c r="H1311" s="41" t="n"/>
      <c r="I1311" s="42">
        <f>IF($H1311="","",MAX(0,$H1311-N($E1311)))</f>
        <v/>
      </c>
      <c r="J1311" s="42">
        <f>IF($H1311="","",MAX(0,$H1311-N($G1311)))</f>
        <v/>
      </c>
    </row>
    <row r="1312" ht="19.5" customHeight="1" s="72">
      <c r="A1312" s="38" t="inlineStr">
        <is>
          <t>GeneralF-32-P11-SIR</t>
        </is>
      </c>
      <c r="B1312" s="38" t="inlineStr">
        <is>
          <t>Fase 32</t>
        </is>
      </c>
      <c r="C1312" s="38" t="inlineStr">
        <is>
          <t>Siriuna</t>
        </is>
      </c>
      <c r="D1312" s="39" t="inlineStr">
        <is>
          <t>A_General_F_32_P11</t>
        </is>
      </c>
      <c r="E1312" s="40" t="n"/>
      <c r="F1312" s="39" t="inlineStr">
        <is>
          <t>B_General_F_32_P11</t>
        </is>
      </c>
      <c r="G1312" s="40" t="n"/>
      <c r="H1312" s="41" t="n"/>
      <c r="I1312" s="42">
        <f>IF($H1312="","",MAX(0,$H1312-N($E1312)))</f>
        <v/>
      </c>
      <c r="J1312" s="42">
        <f>IF($H1312="","",MAX(0,$H1312-N($G1312)))</f>
        <v/>
      </c>
    </row>
    <row r="1313" ht="19.5" customHeight="1" s="72">
      <c r="A1313" s="38" t="inlineStr">
        <is>
          <t>GeneralF-32-P12-BEN</t>
        </is>
      </c>
      <c r="B1313" s="38" t="inlineStr">
        <is>
          <t>Fase 32</t>
        </is>
      </c>
      <c r="C1313" s="38" t="inlineStr">
        <is>
          <t>Benguela</t>
        </is>
      </c>
      <c r="D1313" s="39" t="inlineStr">
        <is>
          <t>A_General_F_32_P12</t>
        </is>
      </c>
      <c r="E1313" s="40" t="n"/>
      <c r="F1313" s="39" t="inlineStr">
        <is>
          <t>B_General_F_32_P12</t>
        </is>
      </c>
      <c r="G1313" s="40" t="n"/>
      <c r="H1313" s="41" t="n"/>
      <c r="I1313" s="42">
        <f>IF($H1313="","",MAX(0,$H1313-N($E1313)))</f>
        <v/>
      </c>
      <c r="J1313" s="42">
        <f>IF($H1313="","",MAX(0,$H1313-N($G1313)))</f>
        <v/>
      </c>
    </row>
    <row r="1314" ht="19.5" customHeight="1" s="72">
      <c r="A1314" s="38" t="inlineStr">
        <is>
          <t>GeneralF-32-P12-SBA</t>
        </is>
      </c>
      <c r="B1314" s="38" t="inlineStr">
        <is>
          <t>Fase 32</t>
        </is>
      </c>
      <c r="C1314" s="38" t="inlineStr">
        <is>
          <t>São Bento da Abadá</t>
        </is>
      </c>
      <c r="D1314" s="39" t="inlineStr">
        <is>
          <t>A_General_F_32_P12</t>
        </is>
      </c>
      <c r="E1314" s="40" t="n"/>
      <c r="F1314" s="39" t="inlineStr">
        <is>
          <t>B_General_F_32_P12</t>
        </is>
      </c>
      <c r="G1314" s="40" t="n"/>
      <c r="H1314" s="41" t="n"/>
      <c r="I1314" s="42">
        <f>IF($H1314="","",MAX(0,$H1314-N($E1314)))</f>
        <v/>
      </c>
      <c r="J1314" s="42">
        <f>IF($H1314="","",MAX(0,$H1314-N($G1314)))</f>
        <v/>
      </c>
    </row>
    <row r="1315" ht="19.5" customHeight="1" s="72">
      <c r="A1315" s="38" t="inlineStr">
        <is>
          <t>GeneralF-32-P12-SIR</t>
        </is>
      </c>
      <c r="B1315" s="38" t="inlineStr">
        <is>
          <t>Fase 32</t>
        </is>
      </c>
      <c r="C1315" s="38" t="inlineStr">
        <is>
          <t>Siriuna</t>
        </is>
      </c>
      <c r="D1315" s="39" t="inlineStr">
        <is>
          <t>A_General_F_32_P12</t>
        </is>
      </c>
      <c r="E1315" s="40" t="n"/>
      <c r="F1315" s="39" t="inlineStr">
        <is>
          <t>B_General_F_32_P12</t>
        </is>
      </c>
      <c r="G1315" s="40" t="n"/>
      <c r="H1315" s="41" t="n"/>
      <c r="I1315" s="42">
        <f>IF($H1315="","",MAX(0,$H1315-N($E1315)))</f>
        <v/>
      </c>
      <c r="J1315" s="42">
        <f>IF($H1315="","",MAX(0,$H1315-N($G1315)))</f>
        <v/>
      </c>
    </row>
    <row r="1316" ht="19.5" customHeight="1" s="72">
      <c r="A1316" s="38" t="inlineStr">
        <is>
          <t>GeneralF-32-P13-BEN</t>
        </is>
      </c>
      <c r="B1316" s="38" t="inlineStr">
        <is>
          <t>Fase 32</t>
        </is>
      </c>
      <c r="C1316" s="38" t="inlineStr">
        <is>
          <t>Benguela</t>
        </is>
      </c>
      <c r="D1316" s="39" t="inlineStr">
        <is>
          <t>A_General_F_32_P13</t>
        </is>
      </c>
      <c r="E1316" s="40" t="n"/>
      <c r="F1316" s="39" t="inlineStr">
        <is>
          <t>B_General_F_32_P13</t>
        </is>
      </c>
      <c r="G1316" s="40" t="n"/>
      <c r="H1316" s="41" t="n"/>
      <c r="I1316" s="42">
        <f>IF($H1316="","",MAX(0,$H1316-N($E1316)))</f>
        <v/>
      </c>
      <c r="J1316" s="42">
        <f>IF($H1316="","",MAX(0,$H1316-N($G1316)))</f>
        <v/>
      </c>
    </row>
    <row r="1317" ht="19.5" customHeight="1" s="72">
      <c r="A1317" s="38" t="inlineStr">
        <is>
          <t>GeneralF-32-P13-SBA</t>
        </is>
      </c>
      <c r="B1317" s="38" t="inlineStr">
        <is>
          <t>Fase 32</t>
        </is>
      </c>
      <c r="C1317" s="38" t="inlineStr">
        <is>
          <t>São Bento da Abadá</t>
        </is>
      </c>
      <c r="D1317" s="39" t="inlineStr">
        <is>
          <t>A_General_F_32_P13</t>
        </is>
      </c>
      <c r="E1317" s="40" t="n"/>
      <c r="F1317" s="39" t="inlineStr">
        <is>
          <t>B_General_F_32_P13</t>
        </is>
      </c>
      <c r="G1317" s="40" t="n"/>
      <c r="H1317" s="41" t="n"/>
      <c r="I1317" s="42">
        <f>IF($H1317="","",MAX(0,$H1317-N($E1317)))</f>
        <v/>
      </c>
      <c r="J1317" s="42">
        <f>IF($H1317="","",MAX(0,$H1317-N($G1317)))</f>
        <v/>
      </c>
    </row>
    <row r="1318" ht="19.5" customHeight="1" s="72">
      <c r="A1318" s="38" t="inlineStr">
        <is>
          <t>GeneralF-32-P13-SIR</t>
        </is>
      </c>
      <c r="B1318" s="38" t="inlineStr">
        <is>
          <t>Fase 32</t>
        </is>
      </c>
      <c r="C1318" s="38" t="inlineStr">
        <is>
          <t>Siriuna</t>
        </is>
      </c>
      <c r="D1318" s="39" t="inlineStr">
        <is>
          <t>A_General_F_32_P13</t>
        </is>
      </c>
      <c r="E1318" s="40" t="n"/>
      <c r="F1318" s="39" t="inlineStr">
        <is>
          <t>B_General_F_32_P13</t>
        </is>
      </c>
      <c r="G1318" s="40" t="n"/>
      <c r="H1318" s="41" t="n"/>
      <c r="I1318" s="42">
        <f>IF($H1318="","",MAX(0,$H1318-N($E1318)))</f>
        <v/>
      </c>
      <c r="J1318" s="42">
        <f>IF($H1318="","",MAX(0,$H1318-N($G1318)))</f>
        <v/>
      </c>
    </row>
    <row r="1319" ht="19.5" customHeight="1" s="72">
      <c r="A1319" s="38" t="inlineStr">
        <is>
          <t>GeneralF-32-P14-BEN</t>
        </is>
      </c>
      <c r="B1319" s="38" t="inlineStr">
        <is>
          <t>Fase 32</t>
        </is>
      </c>
      <c r="C1319" s="38" t="inlineStr">
        <is>
          <t>Benguela</t>
        </is>
      </c>
      <c r="D1319" s="39" t="inlineStr">
        <is>
          <t>A_General_F_32_P14</t>
        </is>
      </c>
      <c r="E1319" s="40" t="n"/>
      <c r="F1319" s="39" t="inlineStr">
        <is>
          <t>B_General_F_32_P14</t>
        </is>
      </c>
      <c r="G1319" s="40" t="n"/>
      <c r="H1319" s="41" t="n"/>
      <c r="I1319" s="42">
        <f>IF($H1319="","",MAX(0,$H1319-N($E1319)))</f>
        <v/>
      </c>
      <c r="J1319" s="42">
        <f>IF($H1319="","",MAX(0,$H1319-N($G1319)))</f>
        <v/>
      </c>
    </row>
    <row r="1320" ht="19.5" customHeight="1" s="72">
      <c r="A1320" s="38" t="inlineStr">
        <is>
          <t>GeneralF-32-P14-SBA</t>
        </is>
      </c>
      <c r="B1320" s="38" t="inlineStr">
        <is>
          <t>Fase 32</t>
        </is>
      </c>
      <c r="C1320" s="38" t="inlineStr">
        <is>
          <t>São Bento da Abadá</t>
        </is>
      </c>
      <c r="D1320" s="39" t="inlineStr">
        <is>
          <t>A_General_F_32_P14</t>
        </is>
      </c>
      <c r="E1320" s="40" t="n"/>
      <c r="F1320" s="39" t="inlineStr">
        <is>
          <t>B_General_F_32_P14</t>
        </is>
      </c>
      <c r="G1320" s="40" t="n"/>
      <c r="H1320" s="41" t="n"/>
      <c r="I1320" s="42">
        <f>IF($H1320="","",MAX(0,$H1320-N($E1320)))</f>
        <v/>
      </c>
      <c r="J1320" s="42">
        <f>IF($H1320="","",MAX(0,$H1320-N($G1320)))</f>
        <v/>
      </c>
    </row>
    <row r="1321" ht="19.5" customHeight="1" s="72">
      <c r="A1321" s="38" t="inlineStr">
        <is>
          <t>GeneralF-32-P14-SIR</t>
        </is>
      </c>
      <c r="B1321" s="38" t="inlineStr">
        <is>
          <t>Fase 32</t>
        </is>
      </c>
      <c r="C1321" s="38" t="inlineStr">
        <is>
          <t>Siriuna</t>
        </is>
      </c>
      <c r="D1321" s="39" t="inlineStr">
        <is>
          <t>A_General_F_32_P14</t>
        </is>
      </c>
      <c r="E1321" s="40" t="n"/>
      <c r="F1321" s="39" t="inlineStr">
        <is>
          <t>B_General_F_32_P14</t>
        </is>
      </c>
      <c r="G1321" s="40" t="n"/>
      <c r="H1321" s="41" t="n"/>
      <c r="I1321" s="42">
        <f>IF($H1321="","",MAX(0,$H1321-N($E1321)))</f>
        <v/>
      </c>
      <c r="J1321" s="42">
        <f>IF($H1321="","",MAX(0,$H1321-N($G1321)))</f>
        <v/>
      </c>
    </row>
    <row r="1322" ht="19.5" customHeight="1" s="72">
      <c r="A1322" s="38" t="inlineStr">
        <is>
          <t>GeneralF-32-P15-BEN</t>
        </is>
      </c>
      <c r="B1322" s="38" t="inlineStr">
        <is>
          <t>Fase 32</t>
        </is>
      </c>
      <c r="C1322" s="38" t="inlineStr">
        <is>
          <t>Benguela</t>
        </is>
      </c>
      <c r="D1322" s="39" t="inlineStr">
        <is>
          <t>A_General_F_32_P15</t>
        </is>
      </c>
      <c r="E1322" s="40" t="n"/>
      <c r="F1322" s="39" t="inlineStr">
        <is>
          <t>B_General_F_32_P15</t>
        </is>
      </c>
      <c r="G1322" s="40" t="n"/>
      <c r="H1322" s="41" t="n"/>
      <c r="I1322" s="42">
        <f>IF($H1322="","",MAX(0,$H1322-N($E1322)))</f>
        <v/>
      </c>
      <c r="J1322" s="42">
        <f>IF($H1322="","",MAX(0,$H1322-N($G1322)))</f>
        <v/>
      </c>
    </row>
    <row r="1323" ht="19.5" customHeight="1" s="72">
      <c r="A1323" s="38" t="inlineStr">
        <is>
          <t>GeneralF-32-P15-SBA</t>
        </is>
      </c>
      <c r="B1323" s="38" t="inlineStr">
        <is>
          <t>Fase 32</t>
        </is>
      </c>
      <c r="C1323" s="38" t="inlineStr">
        <is>
          <t>São Bento da Abadá</t>
        </is>
      </c>
      <c r="D1323" s="39" t="inlineStr">
        <is>
          <t>A_General_F_32_P15</t>
        </is>
      </c>
      <c r="E1323" s="40" t="n"/>
      <c r="F1323" s="39" t="inlineStr">
        <is>
          <t>B_General_F_32_P15</t>
        </is>
      </c>
      <c r="G1323" s="40" t="n"/>
      <c r="H1323" s="41" t="n"/>
      <c r="I1323" s="42">
        <f>IF($H1323="","",MAX(0,$H1323-N($E1323)))</f>
        <v/>
      </c>
      <c r="J1323" s="42">
        <f>IF($H1323="","",MAX(0,$H1323-N($G1323)))</f>
        <v/>
      </c>
    </row>
    <row r="1324" ht="19.5" customHeight="1" s="72">
      <c r="A1324" s="38" t="inlineStr">
        <is>
          <t>GeneralF-32-P15-SIR</t>
        </is>
      </c>
      <c r="B1324" s="38" t="inlineStr">
        <is>
          <t>Fase 32</t>
        </is>
      </c>
      <c r="C1324" s="38" t="inlineStr">
        <is>
          <t>Siriuna</t>
        </is>
      </c>
      <c r="D1324" s="39" t="inlineStr">
        <is>
          <t>A_General_F_32_P15</t>
        </is>
      </c>
      <c r="E1324" s="40" t="n"/>
      <c r="F1324" s="39" t="inlineStr">
        <is>
          <t>B_General_F_32_P15</t>
        </is>
      </c>
      <c r="G1324" s="40" t="n"/>
      <c r="H1324" s="41" t="n"/>
      <c r="I1324" s="42">
        <f>IF($H1324="","",MAX(0,$H1324-N($E1324)))</f>
        <v/>
      </c>
      <c r="J1324" s="42">
        <f>IF($H1324="","",MAX(0,$H1324-N($G1324)))</f>
        <v/>
      </c>
    </row>
    <row r="1325" ht="19.5" customHeight="1" s="72">
      <c r="A1325" s="38" t="inlineStr">
        <is>
          <t>GeneralF-32-P16-BEN</t>
        </is>
      </c>
      <c r="B1325" s="38" t="inlineStr">
        <is>
          <t>Fase 32</t>
        </is>
      </c>
      <c r="C1325" s="38" t="inlineStr">
        <is>
          <t>Benguela</t>
        </is>
      </c>
      <c r="D1325" s="39" t="inlineStr">
        <is>
          <t>A_General_F_32_P16</t>
        </is>
      </c>
      <c r="E1325" s="40" t="n"/>
      <c r="F1325" s="39" t="inlineStr">
        <is>
          <t>B_General_F_32_P16</t>
        </is>
      </c>
      <c r="G1325" s="40" t="n"/>
      <c r="H1325" s="41" t="n"/>
      <c r="I1325" s="42">
        <f>IF($H1325="","",MAX(0,$H1325-N($E1325)))</f>
        <v/>
      </c>
      <c r="J1325" s="42">
        <f>IF($H1325="","",MAX(0,$H1325-N($G1325)))</f>
        <v/>
      </c>
    </row>
    <row r="1326" ht="19.5" customHeight="1" s="72">
      <c r="A1326" s="38" t="inlineStr">
        <is>
          <t>GeneralF-32-P16-SBA</t>
        </is>
      </c>
      <c r="B1326" s="38" t="inlineStr">
        <is>
          <t>Fase 32</t>
        </is>
      </c>
      <c r="C1326" s="38" t="inlineStr">
        <is>
          <t>São Bento da Abadá</t>
        </is>
      </c>
      <c r="D1326" s="39" t="inlineStr">
        <is>
          <t>A_General_F_32_P16</t>
        </is>
      </c>
      <c r="E1326" s="40" t="n"/>
      <c r="F1326" s="39" t="inlineStr">
        <is>
          <t>B_General_F_32_P16</t>
        </is>
      </c>
      <c r="G1326" s="40" t="n"/>
      <c r="H1326" s="41" t="n"/>
      <c r="I1326" s="42">
        <f>IF($H1326="","",MAX(0,$H1326-N($E1326)))</f>
        <v/>
      </c>
      <c r="J1326" s="42">
        <f>IF($H1326="","",MAX(0,$H1326-N($G1326)))</f>
        <v/>
      </c>
    </row>
    <row r="1327" ht="19.5" customHeight="1" s="72">
      <c r="A1327" s="38" t="inlineStr">
        <is>
          <t>GeneralF-32-P16-SIR</t>
        </is>
      </c>
      <c r="B1327" s="38" t="inlineStr">
        <is>
          <t>Fase 32</t>
        </is>
      </c>
      <c r="C1327" s="38" t="inlineStr">
        <is>
          <t>Siriuna</t>
        </is>
      </c>
      <c r="D1327" s="39" t="inlineStr">
        <is>
          <t>A_General_F_32_P16</t>
        </is>
      </c>
      <c r="E1327" s="40" t="n"/>
      <c r="F1327" s="39" t="inlineStr">
        <is>
          <t>B_General_F_32_P16</t>
        </is>
      </c>
      <c r="G1327" s="40" t="n"/>
      <c r="H1327" s="41" t="n"/>
      <c r="I1327" s="42">
        <f>IF($H1327="","",MAX(0,$H1327-N($E1327)))</f>
        <v/>
      </c>
      <c r="J1327" s="42">
        <f>IF($H1327="","",MAX(0,$H1327-N($G1327)))</f>
        <v/>
      </c>
    </row>
    <row r="1328" ht="19.5" customHeight="1" s="72">
      <c r="A1328" s="38" t="inlineStr">
        <is>
          <t>GeneralF-OCT-P01-BEN</t>
        </is>
      </c>
      <c r="B1328" s="38" t="inlineStr">
        <is>
          <t>Octavas</t>
        </is>
      </c>
      <c r="C1328" s="38" t="inlineStr">
        <is>
          <t>Benguela</t>
        </is>
      </c>
      <c r="D1328" s="39">
        <f>IFERROR(CLASIF_General_F!$F$5,"")</f>
        <v/>
      </c>
      <c r="E1328" s="40" t="n"/>
      <c r="F1328" s="39">
        <f>IFERROR(CLASIF_General_F!$F$20,"")</f>
        <v/>
      </c>
      <c r="G1328" s="40" t="n"/>
      <c r="H1328" s="41" t="n"/>
      <c r="I1328" s="42">
        <f>IF($H1328="","",MAX(0,$H1328-N($E1328)))</f>
        <v/>
      </c>
      <c r="J1328" s="42">
        <f>IF($H1328="","",MAX(0,$H1328-N($G1328)))</f>
        <v/>
      </c>
    </row>
    <row r="1329" ht="19.5" customHeight="1" s="72">
      <c r="A1329" s="38" t="inlineStr">
        <is>
          <t>GeneralF-OCT-P01-SBA</t>
        </is>
      </c>
      <c r="B1329" s="38" t="inlineStr">
        <is>
          <t>Octavas</t>
        </is>
      </c>
      <c r="C1329" s="38" t="inlineStr">
        <is>
          <t>São Bento da Abadá</t>
        </is>
      </c>
      <c r="D1329" s="39">
        <f>IFERROR(CLASIF_General_F!$F$5,"")</f>
        <v/>
      </c>
      <c r="E1329" s="40" t="n"/>
      <c r="F1329" s="39">
        <f>IFERROR(CLASIF_General_F!$F$20,"")</f>
        <v/>
      </c>
      <c r="G1329" s="40" t="n"/>
      <c r="H1329" s="41" t="n"/>
      <c r="I1329" s="42">
        <f>IF($H1329="","",MAX(0,$H1329-N($E1329)))</f>
        <v/>
      </c>
      <c r="J1329" s="42">
        <f>IF($H1329="","",MAX(0,$H1329-N($G1329)))</f>
        <v/>
      </c>
    </row>
    <row r="1330" ht="19.5" customHeight="1" s="72">
      <c r="A1330" s="38" t="inlineStr">
        <is>
          <t>GeneralF-OCT-P01-SIR</t>
        </is>
      </c>
      <c r="B1330" s="38" t="inlineStr">
        <is>
          <t>Octavas</t>
        </is>
      </c>
      <c r="C1330" s="38" t="inlineStr">
        <is>
          <t>Siriuna</t>
        </is>
      </c>
      <c r="D1330" s="39">
        <f>IFERROR(CLASIF_General_F!$F$5,"")</f>
        <v/>
      </c>
      <c r="E1330" s="40" t="n"/>
      <c r="F1330" s="39">
        <f>IFERROR(CLASIF_General_F!$F$20,"")</f>
        <v/>
      </c>
      <c r="G1330" s="40" t="n"/>
      <c r="H1330" s="41" t="n"/>
      <c r="I1330" s="42">
        <f>IF($H1330="","",MAX(0,$H1330-N($E1330)))</f>
        <v/>
      </c>
      <c r="J1330" s="42">
        <f>IF($H1330="","",MAX(0,$H1330-N($G1330)))</f>
        <v/>
      </c>
    </row>
    <row r="1331" ht="19.5" customHeight="1" s="72">
      <c r="A1331" s="38" t="inlineStr">
        <is>
          <t>GeneralF-OCT-P02-BEN</t>
        </is>
      </c>
      <c r="B1331" s="38" t="inlineStr">
        <is>
          <t>Octavas</t>
        </is>
      </c>
      <c r="C1331" s="38" t="inlineStr">
        <is>
          <t>Benguela</t>
        </is>
      </c>
      <c r="D1331" s="39">
        <f>IFERROR(CLASIF_General_F!$F$6,"")</f>
        <v/>
      </c>
      <c r="E1331" s="40" t="n"/>
      <c r="F1331" s="39">
        <f>IFERROR(CLASIF_General_F!$F$19,"")</f>
        <v/>
      </c>
      <c r="G1331" s="40" t="n"/>
      <c r="H1331" s="41" t="n"/>
      <c r="I1331" s="42">
        <f>IF($H1331="","",MAX(0,$H1331-N($E1331)))</f>
        <v/>
      </c>
      <c r="J1331" s="42">
        <f>IF($H1331="","",MAX(0,$H1331-N($G1331)))</f>
        <v/>
      </c>
    </row>
    <row r="1332" ht="19.5" customHeight="1" s="72">
      <c r="A1332" s="38" t="inlineStr">
        <is>
          <t>GeneralF-OCT-P02-SBA</t>
        </is>
      </c>
      <c r="B1332" s="38" t="inlineStr">
        <is>
          <t>Octavas</t>
        </is>
      </c>
      <c r="C1332" s="38" t="inlineStr">
        <is>
          <t>São Bento da Abadá</t>
        </is>
      </c>
      <c r="D1332" s="39">
        <f>IFERROR(CLASIF_General_F!$F$6,"")</f>
        <v/>
      </c>
      <c r="E1332" s="40" t="n"/>
      <c r="F1332" s="39">
        <f>IFERROR(CLASIF_General_F!$F$19,"")</f>
        <v/>
      </c>
      <c r="G1332" s="40" t="n"/>
      <c r="H1332" s="41" t="n"/>
      <c r="I1332" s="42">
        <f>IF($H1332="","",MAX(0,$H1332-N($E1332)))</f>
        <v/>
      </c>
      <c r="J1332" s="42">
        <f>IF($H1332="","",MAX(0,$H1332-N($G1332)))</f>
        <v/>
      </c>
    </row>
    <row r="1333" ht="19.5" customHeight="1" s="72">
      <c r="A1333" s="38" t="inlineStr">
        <is>
          <t>GeneralF-OCT-P02-SIR</t>
        </is>
      </c>
      <c r="B1333" s="38" t="inlineStr">
        <is>
          <t>Octavas</t>
        </is>
      </c>
      <c r="C1333" s="38" t="inlineStr">
        <is>
          <t>Siriuna</t>
        </is>
      </c>
      <c r="D1333" s="39">
        <f>IFERROR(CLASIF_General_F!$F$6,"")</f>
        <v/>
      </c>
      <c r="E1333" s="40" t="n"/>
      <c r="F1333" s="39">
        <f>IFERROR(CLASIF_General_F!$F$19,"")</f>
        <v/>
      </c>
      <c r="G1333" s="40" t="n"/>
      <c r="H1333" s="41" t="n"/>
      <c r="I1333" s="42">
        <f>IF($H1333="","",MAX(0,$H1333-N($E1333)))</f>
        <v/>
      </c>
      <c r="J1333" s="42">
        <f>IF($H1333="","",MAX(0,$H1333-N($G1333)))</f>
        <v/>
      </c>
    </row>
    <row r="1334" ht="19.5" customHeight="1" s="72">
      <c r="A1334" s="38" t="inlineStr">
        <is>
          <t>GeneralF-OCT-P03-BEN</t>
        </is>
      </c>
      <c r="B1334" s="38" t="inlineStr">
        <is>
          <t>Octavas</t>
        </is>
      </c>
      <c r="C1334" s="38" t="inlineStr">
        <is>
          <t>Benguela</t>
        </is>
      </c>
      <c r="D1334" s="39">
        <f>IFERROR(CLASIF_General_F!$F$7,"")</f>
        <v/>
      </c>
      <c r="E1334" s="40" t="n"/>
      <c r="F1334" s="39">
        <f>IFERROR(CLASIF_General_F!$F$18,"")</f>
        <v/>
      </c>
      <c r="G1334" s="40" t="n"/>
      <c r="H1334" s="41" t="n"/>
      <c r="I1334" s="42">
        <f>IF($H1334="","",MAX(0,$H1334-N($E1334)))</f>
        <v/>
      </c>
      <c r="J1334" s="42">
        <f>IF($H1334="","",MAX(0,$H1334-N($G1334)))</f>
        <v/>
      </c>
    </row>
    <row r="1335" ht="19.5" customHeight="1" s="72">
      <c r="A1335" s="38" t="inlineStr">
        <is>
          <t>GeneralF-OCT-P03-SBA</t>
        </is>
      </c>
      <c r="B1335" s="38" t="inlineStr">
        <is>
          <t>Octavas</t>
        </is>
      </c>
      <c r="C1335" s="38" t="inlineStr">
        <is>
          <t>São Bento da Abadá</t>
        </is>
      </c>
      <c r="D1335" s="39">
        <f>IFERROR(CLASIF_General_F!$F$7,"")</f>
        <v/>
      </c>
      <c r="E1335" s="40" t="n"/>
      <c r="F1335" s="39">
        <f>IFERROR(CLASIF_General_F!$F$18,"")</f>
        <v/>
      </c>
      <c r="G1335" s="40" t="n"/>
      <c r="H1335" s="41" t="n"/>
      <c r="I1335" s="42">
        <f>IF($H1335="","",MAX(0,$H1335-N($E1335)))</f>
        <v/>
      </c>
      <c r="J1335" s="42">
        <f>IF($H1335="","",MAX(0,$H1335-N($G1335)))</f>
        <v/>
      </c>
    </row>
    <row r="1336" ht="19.5" customHeight="1" s="72">
      <c r="A1336" s="38" t="inlineStr">
        <is>
          <t>GeneralF-OCT-P03-SIR</t>
        </is>
      </c>
      <c r="B1336" s="38" t="inlineStr">
        <is>
          <t>Octavas</t>
        </is>
      </c>
      <c r="C1336" s="38" t="inlineStr">
        <is>
          <t>Siriuna</t>
        </is>
      </c>
      <c r="D1336" s="39">
        <f>IFERROR(CLASIF_General_F!$F$7,"")</f>
        <v/>
      </c>
      <c r="E1336" s="40" t="n"/>
      <c r="F1336" s="39">
        <f>IFERROR(CLASIF_General_F!$F$18,"")</f>
        <v/>
      </c>
      <c r="G1336" s="40" t="n"/>
      <c r="H1336" s="41" t="n"/>
      <c r="I1336" s="42">
        <f>IF($H1336="","",MAX(0,$H1336-N($E1336)))</f>
        <v/>
      </c>
      <c r="J1336" s="42">
        <f>IF($H1336="","",MAX(0,$H1336-N($G1336)))</f>
        <v/>
      </c>
    </row>
    <row r="1337" ht="19.5" customHeight="1" s="72">
      <c r="A1337" s="38" t="inlineStr">
        <is>
          <t>GeneralF-OCT-P04-BEN</t>
        </is>
      </c>
      <c r="B1337" s="38" t="inlineStr">
        <is>
          <t>Octavas</t>
        </is>
      </c>
      <c r="C1337" s="38" t="inlineStr">
        <is>
          <t>Benguela</t>
        </is>
      </c>
      <c r="D1337" s="39">
        <f>IFERROR(CLASIF_General_F!$F$8,"")</f>
        <v/>
      </c>
      <c r="E1337" s="40" t="n"/>
      <c r="F1337" s="39">
        <f>IFERROR(CLASIF_General_F!$F$17,"")</f>
        <v/>
      </c>
      <c r="G1337" s="40" t="n"/>
      <c r="H1337" s="41" t="n"/>
      <c r="I1337" s="42">
        <f>IF($H1337="","",MAX(0,$H1337-N($E1337)))</f>
        <v/>
      </c>
      <c r="J1337" s="42">
        <f>IF($H1337="","",MAX(0,$H1337-N($G1337)))</f>
        <v/>
      </c>
    </row>
    <row r="1338" ht="19.5" customHeight="1" s="72">
      <c r="A1338" s="38" t="inlineStr">
        <is>
          <t>GeneralF-OCT-P04-SBA</t>
        </is>
      </c>
      <c r="B1338" s="38" t="inlineStr">
        <is>
          <t>Octavas</t>
        </is>
      </c>
      <c r="C1338" s="38" t="inlineStr">
        <is>
          <t>São Bento da Abadá</t>
        </is>
      </c>
      <c r="D1338" s="39">
        <f>IFERROR(CLASIF_General_F!$F$8,"")</f>
        <v/>
      </c>
      <c r="E1338" s="40" t="n"/>
      <c r="F1338" s="39">
        <f>IFERROR(CLASIF_General_F!$F$17,"")</f>
        <v/>
      </c>
      <c r="G1338" s="40" t="n"/>
      <c r="H1338" s="41" t="n"/>
      <c r="I1338" s="42">
        <f>IF($H1338="","",MAX(0,$H1338-N($E1338)))</f>
        <v/>
      </c>
      <c r="J1338" s="42">
        <f>IF($H1338="","",MAX(0,$H1338-N($G1338)))</f>
        <v/>
      </c>
    </row>
    <row r="1339" ht="19.5" customHeight="1" s="72">
      <c r="A1339" s="38" t="inlineStr">
        <is>
          <t>GeneralF-OCT-P04-SIR</t>
        </is>
      </c>
      <c r="B1339" s="38" t="inlineStr">
        <is>
          <t>Octavas</t>
        </is>
      </c>
      <c r="C1339" s="38" t="inlineStr">
        <is>
          <t>Siriuna</t>
        </is>
      </c>
      <c r="D1339" s="39">
        <f>IFERROR(CLASIF_General_F!$F$8,"")</f>
        <v/>
      </c>
      <c r="E1339" s="40" t="n"/>
      <c r="F1339" s="39">
        <f>IFERROR(CLASIF_General_F!$F$17,"")</f>
        <v/>
      </c>
      <c r="G1339" s="40" t="n"/>
      <c r="H1339" s="41" t="n"/>
      <c r="I1339" s="42">
        <f>IF($H1339="","",MAX(0,$H1339-N($E1339)))</f>
        <v/>
      </c>
      <c r="J1339" s="42">
        <f>IF($H1339="","",MAX(0,$H1339-N($G1339)))</f>
        <v/>
      </c>
    </row>
    <row r="1340" ht="19.5" customHeight="1" s="72">
      <c r="A1340" s="38" t="inlineStr">
        <is>
          <t>GeneralF-OCT-P05-BEN</t>
        </is>
      </c>
      <c r="B1340" s="38" t="inlineStr">
        <is>
          <t>Octavas</t>
        </is>
      </c>
      <c r="C1340" s="38" t="inlineStr">
        <is>
          <t>Benguela</t>
        </is>
      </c>
      <c r="D1340" s="39">
        <f>IFERROR(CLASIF_General_F!$F$9,"")</f>
        <v/>
      </c>
      <c r="E1340" s="40" t="n"/>
      <c r="F1340" s="39">
        <f>IFERROR(CLASIF_General_F!$F$16,"")</f>
        <v/>
      </c>
      <c r="G1340" s="40" t="n"/>
      <c r="H1340" s="41" t="n"/>
      <c r="I1340" s="42">
        <f>IF($H1340="","",MAX(0,$H1340-N($E1340)))</f>
        <v/>
      </c>
      <c r="J1340" s="42">
        <f>IF($H1340="","",MAX(0,$H1340-N($G1340)))</f>
        <v/>
      </c>
    </row>
    <row r="1341" ht="19.5" customHeight="1" s="72">
      <c r="A1341" s="38" t="inlineStr">
        <is>
          <t>GeneralF-OCT-P05-SBA</t>
        </is>
      </c>
      <c r="B1341" s="38" t="inlineStr">
        <is>
          <t>Octavas</t>
        </is>
      </c>
      <c r="C1341" s="38" t="inlineStr">
        <is>
          <t>São Bento da Abadá</t>
        </is>
      </c>
      <c r="D1341" s="39">
        <f>IFERROR(CLASIF_General_F!$F$9,"")</f>
        <v/>
      </c>
      <c r="E1341" s="40" t="n"/>
      <c r="F1341" s="39">
        <f>IFERROR(CLASIF_General_F!$F$16,"")</f>
        <v/>
      </c>
      <c r="G1341" s="40" t="n"/>
      <c r="H1341" s="41" t="n"/>
      <c r="I1341" s="42">
        <f>IF($H1341="","",MAX(0,$H1341-N($E1341)))</f>
        <v/>
      </c>
      <c r="J1341" s="42">
        <f>IF($H1341="","",MAX(0,$H1341-N($G1341)))</f>
        <v/>
      </c>
    </row>
    <row r="1342" ht="19.5" customHeight="1" s="72">
      <c r="A1342" s="38" t="inlineStr">
        <is>
          <t>GeneralF-OCT-P05-SIR</t>
        </is>
      </c>
      <c r="B1342" s="38" t="inlineStr">
        <is>
          <t>Octavas</t>
        </is>
      </c>
      <c r="C1342" s="38" t="inlineStr">
        <is>
          <t>Siriuna</t>
        </is>
      </c>
      <c r="D1342" s="39">
        <f>IFERROR(CLASIF_General_F!$F$9,"")</f>
        <v/>
      </c>
      <c r="E1342" s="40" t="n"/>
      <c r="F1342" s="39">
        <f>IFERROR(CLASIF_General_F!$F$16,"")</f>
        <v/>
      </c>
      <c r="G1342" s="40" t="n"/>
      <c r="H1342" s="41" t="n"/>
      <c r="I1342" s="42">
        <f>IF($H1342="","",MAX(0,$H1342-N($E1342)))</f>
        <v/>
      </c>
      <c r="J1342" s="42">
        <f>IF($H1342="","",MAX(0,$H1342-N($G1342)))</f>
        <v/>
      </c>
    </row>
    <row r="1343" ht="19.5" customHeight="1" s="72">
      <c r="A1343" s="38" t="inlineStr">
        <is>
          <t>GeneralF-OCT-P06-BEN</t>
        </is>
      </c>
      <c r="B1343" s="38" t="inlineStr">
        <is>
          <t>Octavas</t>
        </is>
      </c>
      <c r="C1343" s="38" t="inlineStr">
        <is>
          <t>Benguela</t>
        </is>
      </c>
      <c r="D1343" s="39">
        <f>IFERROR(CLASIF_General_F!$F$10,"")</f>
        <v/>
      </c>
      <c r="E1343" s="40" t="n"/>
      <c r="F1343" s="39">
        <f>IFERROR(CLASIF_General_F!$F$15,"")</f>
        <v/>
      </c>
      <c r="G1343" s="40" t="n"/>
      <c r="H1343" s="41" t="n"/>
      <c r="I1343" s="42">
        <f>IF($H1343="","",MAX(0,$H1343-N($E1343)))</f>
        <v/>
      </c>
      <c r="J1343" s="42">
        <f>IF($H1343="","",MAX(0,$H1343-N($G1343)))</f>
        <v/>
      </c>
    </row>
    <row r="1344" ht="19.5" customHeight="1" s="72">
      <c r="A1344" s="38" t="inlineStr">
        <is>
          <t>GeneralF-OCT-P06-SBA</t>
        </is>
      </c>
      <c r="B1344" s="38" t="inlineStr">
        <is>
          <t>Octavas</t>
        </is>
      </c>
      <c r="C1344" s="38" t="inlineStr">
        <is>
          <t>São Bento da Abadá</t>
        </is>
      </c>
      <c r="D1344" s="39">
        <f>IFERROR(CLASIF_General_F!$F$10,"")</f>
        <v/>
      </c>
      <c r="E1344" s="40" t="n"/>
      <c r="F1344" s="39">
        <f>IFERROR(CLASIF_General_F!$F$15,"")</f>
        <v/>
      </c>
      <c r="G1344" s="40" t="n"/>
      <c r="H1344" s="41" t="n"/>
      <c r="I1344" s="42">
        <f>IF($H1344="","",MAX(0,$H1344-N($E1344)))</f>
        <v/>
      </c>
      <c r="J1344" s="42">
        <f>IF($H1344="","",MAX(0,$H1344-N($G1344)))</f>
        <v/>
      </c>
    </row>
    <row r="1345" ht="19.5" customHeight="1" s="72">
      <c r="A1345" s="38" t="inlineStr">
        <is>
          <t>GeneralF-OCT-P06-SIR</t>
        </is>
      </c>
      <c r="B1345" s="38" t="inlineStr">
        <is>
          <t>Octavas</t>
        </is>
      </c>
      <c r="C1345" s="38" t="inlineStr">
        <is>
          <t>Siriuna</t>
        </is>
      </c>
      <c r="D1345" s="39">
        <f>IFERROR(CLASIF_General_F!$F$10,"")</f>
        <v/>
      </c>
      <c r="E1345" s="40" t="n"/>
      <c r="F1345" s="39">
        <f>IFERROR(CLASIF_General_F!$F$15,"")</f>
        <v/>
      </c>
      <c r="G1345" s="40" t="n"/>
      <c r="H1345" s="41" t="n"/>
      <c r="I1345" s="42">
        <f>IF($H1345="","",MAX(0,$H1345-N($E1345)))</f>
        <v/>
      </c>
      <c r="J1345" s="42">
        <f>IF($H1345="","",MAX(0,$H1345-N($G1345)))</f>
        <v/>
      </c>
    </row>
    <row r="1346" ht="19.5" customHeight="1" s="72">
      <c r="A1346" s="38" t="inlineStr">
        <is>
          <t>GeneralF-OCT-P07-BEN</t>
        </is>
      </c>
      <c r="B1346" s="38" t="inlineStr">
        <is>
          <t>Octavas</t>
        </is>
      </c>
      <c r="C1346" s="38" t="inlineStr">
        <is>
          <t>Benguela</t>
        </is>
      </c>
      <c r="D1346" s="39">
        <f>IFERROR(CLASIF_General_F!$F$11,"")</f>
        <v/>
      </c>
      <c r="E1346" s="40" t="n"/>
      <c r="F1346" s="39">
        <f>IFERROR(CLASIF_General_F!$F$14,"")</f>
        <v/>
      </c>
      <c r="G1346" s="40" t="n"/>
      <c r="H1346" s="41" t="n"/>
      <c r="I1346" s="42">
        <f>IF($H1346="","",MAX(0,$H1346-N($E1346)))</f>
        <v/>
      </c>
      <c r="J1346" s="42">
        <f>IF($H1346="","",MAX(0,$H1346-N($G1346)))</f>
        <v/>
      </c>
    </row>
    <row r="1347" ht="19.5" customHeight="1" s="72">
      <c r="A1347" s="38" t="inlineStr">
        <is>
          <t>GeneralF-OCT-P07-SBA</t>
        </is>
      </c>
      <c r="B1347" s="38" t="inlineStr">
        <is>
          <t>Octavas</t>
        </is>
      </c>
      <c r="C1347" s="38" t="inlineStr">
        <is>
          <t>São Bento da Abadá</t>
        </is>
      </c>
      <c r="D1347" s="39">
        <f>IFERROR(CLASIF_General_F!$F$11,"")</f>
        <v/>
      </c>
      <c r="E1347" s="40" t="n"/>
      <c r="F1347" s="39">
        <f>IFERROR(CLASIF_General_F!$F$14,"")</f>
        <v/>
      </c>
      <c r="G1347" s="40" t="n"/>
      <c r="H1347" s="41" t="n"/>
      <c r="I1347" s="42">
        <f>IF($H1347="","",MAX(0,$H1347-N($E1347)))</f>
        <v/>
      </c>
      <c r="J1347" s="42">
        <f>IF($H1347="","",MAX(0,$H1347-N($G1347)))</f>
        <v/>
      </c>
    </row>
    <row r="1348" ht="19.5" customHeight="1" s="72">
      <c r="A1348" s="38" t="inlineStr">
        <is>
          <t>GeneralF-OCT-P07-SIR</t>
        </is>
      </c>
      <c r="B1348" s="38" t="inlineStr">
        <is>
          <t>Octavas</t>
        </is>
      </c>
      <c r="C1348" s="38" t="inlineStr">
        <is>
          <t>Siriuna</t>
        </is>
      </c>
      <c r="D1348" s="39">
        <f>IFERROR(CLASIF_General_F!$F$11,"")</f>
        <v/>
      </c>
      <c r="E1348" s="40" t="n"/>
      <c r="F1348" s="39">
        <f>IFERROR(CLASIF_General_F!$F$14,"")</f>
        <v/>
      </c>
      <c r="G1348" s="40" t="n"/>
      <c r="H1348" s="41" t="n"/>
      <c r="I1348" s="42">
        <f>IF($H1348="","",MAX(0,$H1348-N($E1348)))</f>
        <v/>
      </c>
      <c r="J1348" s="42">
        <f>IF($H1348="","",MAX(0,$H1348-N($G1348)))</f>
        <v/>
      </c>
    </row>
    <row r="1349" ht="19.5" customHeight="1" s="72">
      <c r="A1349" s="38" t="inlineStr">
        <is>
          <t>GeneralF-OCT-P08-BEN</t>
        </is>
      </c>
      <c r="B1349" s="38" t="inlineStr">
        <is>
          <t>Octavas</t>
        </is>
      </c>
      <c r="C1349" s="38" t="inlineStr">
        <is>
          <t>Benguela</t>
        </is>
      </c>
      <c r="D1349" s="39">
        <f>IFERROR(CLASIF_General_F!$F$12,"")</f>
        <v/>
      </c>
      <c r="E1349" s="40" t="n"/>
      <c r="F1349" s="39">
        <f>IFERROR(CLASIF_General_F!$F$13,"")</f>
        <v/>
      </c>
      <c r="G1349" s="40" t="n"/>
      <c r="H1349" s="41" t="n"/>
      <c r="I1349" s="42">
        <f>IF($H1349="","",MAX(0,$H1349-N($E1349)))</f>
        <v/>
      </c>
      <c r="J1349" s="42">
        <f>IF($H1349="","",MAX(0,$H1349-N($G1349)))</f>
        <v/>
      </c>
    </row>
    <row r="1350" ht="19.5" customHeight="1" s="72">
      <c r="A1350" s="38" t="inlineStr">
        <is>
          <t>GeneralF-OCT-P08-SBA</t>
        </is>
      </c>
      <c r="B1350" s="38" t="inlineStr">
        <is>
          <t>Octavas</t>
        </is>
      </c>
      <c r="C1350" s="38" t="inlineStr">
        <is>
          <t>São Bento da Abadá</t>
        </is>
      </c>
      <c r="D1350" s="39">
        <f>IFERROR(CLASIF_General_F!$F$12,"")</f>
        <v/>
      </c>
      <c r="E1350" s="40" t="n"/>
      <c r="F1350" s="39">
        <f>IFERROR(CLASIF_General_F!$F$13,"")</f>
        <v/>
      </c>
      <c r="G1350" s="40" t="n"/>
      <c r="H1350" s="41" t="n"/>
      <c r="I1350" s="42">
        <f>IF($H1350="","",MAX(0,$H1350-N($E1350)))</f>
        <v/>
      </c>
      <c r="J1350" s="42">
        <f>IF($H1350="","",MAX(0,$H1350-N($G1350)))</f>
        <v/>
      </c>
    </row>
    <row r="1351" ht="19.5" customHeight="1" s="72">
      <c r="A1351" s="38" t="inlineStr">
        <is>
          <t>GeneralF-OCT-P08-SIR</t>
        </is>
      </c>
      <c r="B1351" s="38" t="inlineStr">
        <is>
          <t>Octavas</t>
        </is>
      </c>
      <c r="C1351" s="38" t="inlineStr">
        <is>
          <t>Siriuna</t>
        </is>
      </c>
      <c r="D1351" s="39">
        <f>IFERROR(CLASIF_General_F!$F$12,"")</f>
        <v/>
      </c>
      <c r="E1351" s="40" t="n"/>
      <c r="F1351" s="39">
        <f>IFERROR(CLASIF_General_F!$F$13,"")</f>
        <v/>
      </c>
      <c r="G1351" s="40" t="n"/>
      <c r="H1351" s="41" t="n"/>
      <c r="I1351" s="42">
        <f>IF($H1351="","",MAX(0,$H1351-N($E1351)))</f>
        <v/>
      </c>
      <c r="J1351" s="42">
        <f>IF($H1351="","",MAX(0,$H1351-N($G1351)))</f>
        <v/>
      </c>
    </row>
    <row r="1352" ht="19.5" customHeight="1" s="72">
      <c r="A1352" s="38" t="inlineStr">
        <is>
          <t>GeneralF-SEM-P01-BEN</t>
        </is>
      </c>
      <c r="B1352" s="38" t="inlineStr">
        <is>
          <t>Semifinal</t>
        </is>
      </c>
      <c r="C1352" s="38" t="inlineStr">
        <is>
          <t>Benguela</t>
        </is>
      </c>
      <c r="D1352" s="39">
        <f>IFERROR(CLASIF_General_F!$O$5,"")</f>
        <v/>
      </c>
      <c r="E1352" s="40" t="n"/>
      <c r="F1352" s="39">
        <f>IFERROR(CLASIF_General_F!$O$12,"")</f>
        <v/>
      </c>
      <c r="G1352" s="40" t="n"/>
      <c r="H1352" s="41" t="n"/>
      <c r="I1352" s="42">
        <f>IF($H1352="","",MAX(0,$H1352-N($E1352)))</f>
        <v/>
      </c>
      <c r="J1352" s="42">
        <f>IF($H1352="","",MAX(0,$H1352-N($G1352)))</f>
        <v/>
      </c>
    </row>
    <row r="1353" ht="19.5" customHeight="1" s="72">
      <c r="A1353" s="38" t="inlineStr">
        <is>
          <t>GeneralF-SEM-P01-SBA</t>
        </is>
      </c>
      <c r="B1353" s="38" t="inlineStr">
        <is>
          <t>Semifinal</t>
        </is>
      </c>
      <c r="C1353" s="38" t="inlineStr">
        <is>
          <t>São Bento da Abadá</t>
        </is>
      </c>
      <c r="D1353" s="39">
        <f>IFERROR(CLASIF_General_F!$O$5,"")</f>
        <v/>
      </c>
      <c r="E1353" s="40" t="n"/>
      <c r="F1353" s="39">
        <f>IFERROR(CLASIF_General_F!$O$12,"")</f>
        <v/>
      </c>
      <c r="G1353" s="40" t="n"/>
      <c r="H1353" s="41" t="n"/>
      <c r="I1353" s="42">
        <f>IF($H1353="","",MAX(0,$H1353-N($E1353)))</f>
        <v/>
      </c>
      <c r="J1353" s="42">
        <f>IF($H1353="","",MAX(0,$H1353-N($G1353)))</f>
        <v/>
      </c>
    </row>
    <row r="1354" ht="19.5" customHeight="1" s="72">
      <c r="A1354" s="38" t="inlineStr">
        <is>
          <t>GeneralF-SEM-P01-SIR</t>
        </is>
      </c>
      <c r="B1354" s="38" t="inlineStr">
        <is>
          <t>Semifinal</t>
        </is>
      </c>
      <c r="C1354" s="38" t="inlineStr">
        <is>
          <t>Siriuna</t>
        </is>
      </c>
      <c r="D1354" s="39">
        <f>IFERROR(CLASIF_General_F!$O$5,"")</f>
        <v/>
      </c>
      <c r="E1354" s="40" t="n"/>
      <c r="F1354" s="39">
        <f>IFERROR(CLASIF_General_F!$O$12,"")</f>
        <v/>
      </c>
      <c r="G1354" s="40" t="n"/>
      <c r="H1354" s="41" t="n"/>
      <c r="I1354" s="42">
        <f>IF($H1354="","",MAX(0,$H1354-N($E1354)))</f>
        <v/>
      </c>
      <c r="J1354" s="42">
        <f>IF($H1354="","",MAX(0,$H1354-N($G1354)))</f>
        <v/>
      </c>
    </row>
    <row r="1355" ht="19.5" customHeight="1" s="72">
      <c r="A1355" s="38" t="inlineStr">
        <is>
          <t>GeneralF-SEM-P02-BEN</t>
        </is>
      </c>
      <c r="B1355" s="38" t="inlineStr">
        <is>
          <t>Semifinal</t>
        </is>
      </c>
      <c r="C1355" s="38" t="inlineStr">
        <is>
          <t>Benguela</t>
        </is>
      </c>
      <c r="D1355" s="39">
        <f>IFERROR(CLASIF_General_F!$O$6,"")</f>
        <v/>
      </c>
      <c r="E1355" s="40" t="n"/>
      <c r="F1355" s="39">
        <f>IFERROR(CLASIF_General_F!$O$11,"")</f>
        <v/>
      </c>
      <c r="G1355" s="40" t="n"/>
      <c r="H1355" s="41" t="n"/>
      <c r="I1355" s="42">
        <f>IF($H1355="","",MAX(0,$H1355-N($E1355)))</f>
        <v/>
      </c>
      <c r="J1355" s="42">
        <f>IF($H1355="","",MAX(0,$H1355-N($G1355)))</f>
        <v/>
      </c>
    </row>
    <row r="1356" ht="19.5" customHeight="1" s="72">
      <c r="A1356" s="38" t="inlineStr">
        <is>
          <t>GeneralF-SEM-P02-SBA</t>
        </is>
      </c>
      <c r="B1356" s="38" t="inlineStr">
        <is>
          <t>Semifinal</t>
        </is>
      </c>
      <c r="C1356" s="38" t="inlineStr">
        <is>
          <t>São Bento da Abadá</t>
        </is>
      </c>
      <c r="D1356" s="39">
        <f>IFERROR(CLASIF_General_F!$O$6,"")</f>
        <v/>
      </c>
      <c r="E1356" s="40" t="n"/>
      <c r="F1356" s="39">
        <f>IFERROR(CLASIF_General_F!$O$11,"")</f>
        <v/>
      </c>
      <c r="G1356" s="40" t="n"/>
      <c r="H1356" s="41" t="n"/>
      <c r="I1356" s="42">
        <f>IF($H1356="","",MAX(0,$H1356-N($E1356)))</f>
        <v/>
      </c>
      <c r="J1356" s="42">
        <f>IF($H1356="","",MAX(0,$H1356-N($G1356)))</f>
        <v/>
      </c>
    </row>
    <row r="1357" ht="19.5" customHeight="1" s="72">
      <c r="A1357" s="38" t="inlineStr">
        <is>
          <t>GeneralF-SEM-P02-SIR</t>
        </is>
      </c>
      <c r="B1357" s="38" t="inlineStr">
        <is>
          <t>Semifinal</t>
        </is>
      </c>
      <c r="C1357" s="38" t="inlineStr">
        <is>
          <t>Siriuna</t>
        </is>
      </c>
      <c r="D1357" s="39">
        <f>IFERROR(CLASIF_General_F!$O$6,"")</f>
        <v/>
      </c>
      <c r="E1357" s="40" t="n"/>
      <c r="F1357" s="39">
        <f>IFERROR(CLASIF_General_F!$O$11,"")</f>
        <v/>
      </c>
      <c r="G1357" s="40" t="n"/>
      <c r="H1357" s="41" t="n"/>
      <c r="I1357" s="42">
        <f>IF($H1357="","",MAX(0,$H1357-N($E1357)))</f>
        <v/>
      </c>
      <c r="J1357" s="42">
        <f>IF($H1357="","",MAX(0,$H1357-N($G1357)))</f>
        <v/>
      </c>
    </row>
    <row r="1358" ht="19.5" customHeight="1" s="72">
      <c r="A1358" s="38" t="inlineStr">
        <is>
          <t>GeneralF-SEM-P03-BEN</t>
        </is>
      </c>
      <c r="B1358" s="38" t="inlineStr">
        <is>
          <t>Semifinal</t>
        </is>
      </c>
      <c r="C1358" s="38" t="inlineStr">
        <is>
          <t>Benguela</t>
        </is>
      </c>
      <c r="D1358" s="39">
        <f>IFERROR(CLASIF_General_F!$O$7,"")</f>
        <v/>
      </c>
      <c r="E1358" s="40" t="n"/>
      <c r="F1358" s="39">
        <f>IFERROR(CLASIF_General_F!$O$10,"")</f>
        <v/>
      </c>
      <c r="G1358" s="40" t="n"/>
      <c r="H1358" s="41" t="n"/>
      <c r="I1358" s="42">
        <f>IF($H1358="","",MAX(0,$H1358-N($E1358)))</f>
        <v/>
      </c>
      <c r="J1358" s="42">
        <f>IF($H1358="","",MAX(0,$H1358-N($G1358)))</f>
        <v/>
      </c>
    </row>
    <row r="1359" ht="19.5" customHeight="1" s="72">
      <c r="A1359" s="38" t="inlineStr">
        <is>
          <t>GeneralF-SEM-P03-SBA</t>
        </is>
      </c>
      <c r="B1359" s="38" t="inlineStr">
        <is>
          <t>Semifinal</t>
        </is>
      </c>
      <c r="C1359" s="38" t="inlineStr">
        <is>
          <t>São Bento da Abadá</t>
        </is>
      </c>
      <c r="D1359" s="39">
        <f>IFERROR(CLASIF_General_F!$O$7,"")</f>
        <v/>
      </c>
      <c r="E1359" s="40" t="n"/>
      <c r="F1359" s="39">
        <f>IFERROR(CLASIF_General_F!$O$10,"")</f>
        <v/>
      </c>
      <c r="G1359" s="40" t="n"/>
      <c r="H1359" s="41" t="n"/>
      <c r="I1359" s="42">
        <f>IF($H1359="","",MAX(0,$H1359-N($E1359)))</f>
        <v/>
      </c>
      <c r="J1359" s="42">
        <f>IF($H1359="","",MAX(0,$H1359-N($G1359)))</f>
        <v/>
      </c>
    </row>
    <row r="1360" ht="19.5" customHeight="1" s="72">
      <c r="A1360" s="38" t="inlineStr">
        <is>
          <t>GeneralF-SEM-P03-SIR</t>
        </is>
      </c>
      <c r="B1360" s="38" t="inlineStr">
        <is>
          <t>Semifinal</t>
        </is>
      </c>
      <c r="C1360" s="38" t="inlineStr">
        <is>
          <t>Siriuna</t>
        </is>
      </c>
      <c r="D1360" s="39">
        <f>IFERROR(CLASIF_General_F!$O$7,"")</f>
        <v/>
      </c>
      <c r="E1360" s="40" t="n"/>
      <c r="F1360" s="39">
        <f>IFERROR(CLASIF_General_F!$O$10,"")</f>
        <v/>
      </c>
      <c r="G1360" s="40" t="n"/>
      <c r="H1360" s="41" t="n"/>
      <c r="I1360" s="42">
        <f>IF($H1360="","",MAX(0,$H1360-N($E1360)))</f>
        <v/>
      </c>
      <c r="J1360" s="42">
        <f>IF($H1360="","",MAX(0,$H1360-N($G1360)))</f>
        <v/>
      </c>
    </row>
    <row r="1361" ht="19.5" customHeight="1" s="72">
      <c r="A1361" s="38" t="inlineStr">
        <is>
          <t>GeneralF-SEM-P04-BEN</t>
        </is>
      </c>
      <c r="B1361" s="38" t="inlineStr">
        <is>
          <t>Semifinal</t>
        </is>
      </c>
      <c r="C1361" s="38" t="inlineStr">
        <is>
          <t>Benguela</t>
        </is>
      </c>
      <c r="D1361" s="39">
        <f>IFERROR(CLASIF_General_F!$O$8,"")</f>
        <v/>
      </c>
      <c r="E1361" s="40" t="n"/>
      <c r="F1361" s="39">
        <f>IFERROR(CLASIF_General_F!$O$9,"")</f>
        <v/>
      </c>
      <c r="G1361" s="40" t="n"/>
      <c r="H1361" s="41" t="n"/>
      <c r="I1361" s="42">
        <f>IF($H1361="","",MAX(0,$H1361-N($E1361)))</f>
        <v/>
      </c>
      <c r="J1361" s="42">
        <f>IF($H1361="","",MAX(0,$H1361-N($G1361)))</f>
        <v/>
      </c>
    </row>
    <row r="1362" ht="19.5" customHeight="1" s="72">
      <c r="A1362" s="38" t="inlineStr">
        <is>
          <t>GeneralF-SEM-P04-SBA</t>
        </is>
      </c>
      <c r="B1362" s="38" t="inlineStr">
        <is>
          <t>Semifinal</t>
        </is>
      </c>
      <c r="C1362" s="38" t="inlineStr">
        <is>
          <t>São Bento da Abadá</t>
        </is>
      </c>
      <c r="D1362" s="39">
        <f>IFERROR(CLASIF_General_F!$O$8,"")</f>
        <v/>
      </c>
      <c r="E1362" s="40" t="n"/>
      <c r="F1362" s="39">
        <f>IFERROR(CLASIF_General_F!$O$9,"")</f>
        <v/>
      </c>
      <c r="G1362" s="40" t="n"/>
      <c r="H1362" s="41" t="n"/>
      <c r="I1362" s="42">
        <f>IF($H1362="","",MAX(0,$H1362-N($E1362)))</f>
        <v/>
      </c>
      <c r="J1362" s="42">
        <f>IF($H1362="","",MAX(0,$H1362-N($G1362)))</f>
        <v/>
      </c>
    </row>
    <row r="1363" ht="19.5" customHeight="1" s="72">
      <c r="A1363" s="38" t="inlineStr">
        <is>
          <t>GeneralF-SEM-P04-SIR</t>
        </is>
      </c>
      <c r="B1363" s="38" t="inlineStr">
        <is>
          <t>Semifinal</t>
        </is>
      </c>
      <c r="C1363" s="38" t="inlineStr">
        <is>
          <t>Siriuna</t>
        </is>
      </c>
      <c r="D1363" s="39">
        <f>IFERROR(CLASIF_General_F!$O$8,"")</f>
        <v/>
      </c>
      <c r="E1363" s="40" t="n"/>
      <c r="F1363" s="39">
        <f>IFERROR(CLASIF_General_F!$O$9,"")</f>
        <v/>
      </c>
      <c r="G1363" s="40" t="n"/>
      <c r="H1363" s="41" t="n"/>
      <c r="I1363" s="42">
        <f>IF($H1363="","",MAX(0,$H1363-N($E1363)))</f>
        <v/>
      </c>
      <c r="J1363" s="42">
        <f>IF($H1363="","",MAX(0,$H1363-N($G1363)))</f>
        <v/>
      </c>
    </row>
    <row r="1364" ht="19.5" customHeight="1" s="72">
      <c r="A1364" s="38" t="inlineStr">
        <is>
          <t>GeneralF-FIN-P01-BEN</t>
        </is>
      </c>
      <c r="B1364" s="38" t="inlineStr">
        <is>
          <t>Final</t>
        </is>
      </c>
      <c r="C1364" s="38" t="inlineStr">
        <is>
          <t>Benguela</t>
        </is>
      </c>
      <c r="D1364" s="39">
        <f>IFERROR(CLASIF_General_F!$X$5,"")</f>
        <v/>
      </c>
      <c r="E1364" s="40" t="n"/>
      <c r="F1364" s="39">
        <f>IFERROR(CLASIF_General_F!$X$8,"")</f>
        <v/>
      </c>
      <c r="G1364" s="40" t="n"/>
      <c r="H1364" s="41" t="n"/>
      <c r="I1364" s="42">
        <f>IF($H1364="","",MAX(0,$H1364-N($E1364)))</f>
        <v/>
      </c>
      <c r="J1364" s="42">
        <f>IF($H1364="","",MAX(0,$H1364-N($G1364)))</f>
        <v/>
      </c>
    </row>
    <row r="1365" ht="19.5" customHeight="1" s="72">
      <c r="A1365" s="38" t="inlineStr">
        <is>
          <t>GeneralF-FIN-P01-SBA</t>
        </is>
      </c>
      <c r="B1365" s="38" t="inlineStr">
        <is>
          <t>Final</t>
        </is>
      </c>
      <c r="C1365" s="38" t="inlineStr">
        <is>
          <t>São Bento da Abadá</t>
        </is>
      </c>
      <c r="D1365" s="39">
        <f>IFERROR(CLASIF_General_F!$X$5,"")</f>
        <v/>
      </c>
      <c r="E1365" s="40" t="n"/>
      <c r="F1365" s="39">
        <f>IFERROR(CLASIF_General_F!$X$8,"")</f>
        <v/>
      </c>
      <c r="G1365" s="40" t="n"/>
      <c r="H1365" s="41" t="n"/>
      <c r="I1365" s="42">
        <f>IF($H1365="","",MAX(0,$H1365-N($E1365)))</f>
        <v/>
      </c>
      <c r="J1365" s="42">
        <f>IF($H1365="","",MAX(0,$H1365-N($G1365)))</f>
        <v/>
      </c>
    </row>
    <row r="1366" ht="19.5" customHeight="1" s="72">
      <c r="A1366" s="38" t="inlineStr">
        <is>
          <t>GeneralF-FIN-P01-SIR</t>
        </is>
      </c>
      <c r="B1366" s="38" t="inlineStr">
        <is>
          <t>Final</t>
        </is>
      </c>
      <c r="C1366" s="38" t="inlineStr">
        <is>
          <t>Siriuna</t>
        </is>
      </c>
      <c r="D1366" s="39">
        <f>IFERROR(CLASIF_General_F!$X$5,"")</f>
        <v/>
      </c>
      <c r="E1366" s="40" t="n"/>
      <c r="F1366" s="39">
        <f>IFERROR(CLASIF_General_F!$X$8,"")</f>
        <v/>
      </c>
      <c r="G1366" s="40" t="n"/>
      <c r="H1366" s="41" t="n"/>
      <c r="I1366" s="42">
        <f>IF($H1366="","",MAX(0,$H1366-N($E1366)))</f>
        <v/>
      </c>
      <c r="J1366" s="42">
        <f>IF($H1366="","",MAX(0,$H1366-N($G1366)))</f>
        <v/>
      </c>
    </row>
    <row r="1367" ht="19.5" customHeight="1" s="72">
      <c r="A1367" s="38" t="inlineStr">
        <is>
          <t>GeneralF-FIN-P02-BEN</t>
        </is>
      </c>
      <c r="B1367" s="38" t="inlineStr">
        <is>
          <t>Final</t>
        </is>
      </c>
      <c r="C1367" s="38" t="inlineStr">
        <is>
          <t>Benguela</t>
        </is>
      </c>
      <c r="D1367" s="39">
        <f>IFERROR(CLASIF_General_F!$X$6,"")</f>
        <v/>
      </c>
      <c r="E1367" s="40" t="n"/>
      <c r="F1367" s="39">
        <f>IFERROR(CLASIF_General_F!$X$7,"")</f>
        <v/>
      </c>
      <c r="G1367" s="40" t="n"/>
      <c r="H1367" s="41" t="n"/>
      <c r="I1367" s="42">
        <f>IF($H1367="","",MAX(0,$H1367-N($E1367)))</f>
        <v/>
      </c>
      <c r="J1367" s="42">
        <f>IF($H1367="","",MAX(0,$H1367-N($G1367)))</f>
        <v/>
      </c>
    </row>
    <row r="1368" ht="19.5" customHeight="1" s="72">
      <c r="A1368" s="38" t="inlineStr">
        <is>
          <t>GeneralF-FIN-P02-SBA</t>
        </is>
      </c>
      <c r="B1368" s="38" t="inlineStr">
        <is>
          <t>Final</t>
        </is>
      </c>
      <c r="C1368" s="38" t="inlineStr">
        <is>
          <t>São Bento da Abadá</t>
        </is>
      </c>
      <c r="D1368" s="39">
        <f>IFERROR(CLASIF_General_F!$X$6,"")</f>
        <v/>
      </c>
      <c r="E1368" s="40" t="n"/>
      <c r="F1368" s="39">
        <f>IFERROR(CLASIF_General_F!$X$7,"")</f>
        <v/>
      </c>
      <c r="G1368" s="40" t="n"/>
      <c r="H1368" s="41" t="n"/>
      <c r="I1368" s="42">
        <f>IF($H1368="","",MAX(0,$H1368-N($E1368)))</f>
        <v/>
      </c>
      <c r="J1368" s="42">
        <f>IF($H1368="","",MAX(0,$H1368-N($G1368)))</f>
        <v/>
      </c>
    </row>
    <row r="1369" ht="19.5" customHeight="1" s="72">
      <c r="A1369" s="38" t="inlineStr">
        <is>
          <t>GeneralF-FIN-P02-SIR</t>
        </is>
      </c>
      <c r="B1369" s="38" t="inlineStr">
        <is>
          <t>Final</t>
        </is>
      </c>
      <c r="C1369" s="38" t="inlineStr">
        <is>
          <t>Siriuna</t>
        </is>
      </c>
      <c r="D1369" s="39">
        <f>IFERROR(CLASIF_General_F!$X$6,"")</f>
        <v/>
      </c>
      <c r="E1369" s="40" t="n"/>
      <c r="F1369" s="39">
        <f>IFERROR(CLASIF_General_F!$X$7,"")</f>
        <v/>
      </c>
      <c r="G1369" s="40" t="n"/>
      <c r="H1369" s="41" t="n"/>
      <c r="I1369" s="42">
        <f>IF($H1369="","",MAX(0,$H1369-N($E1369)))</f>
        <v/>
      </c>
      <c r="J1369" s="42">
        <f>IF($H1369="","",MAX(0,$H1369-N($G1369)))</f>
        <v/>
      </c>
    </row>
    <row r="1370" ht="19.5" customHeight="1" s="72"/>
    <row r="1371" ht="19.5" customHeight="1" s="72">
      <c r="A1371" s="88" t="inlineStr">
        <is>
          <t>═══ INFANTIL · Mixto · Rueda · Toque: São Bento da Abadá ═══</t>
        </is>
      </c>
    </row>
    <row r="1372" ht="19.5" customHeight="1" s="72">
      <c r="A1372" s="8" t="inlineStr">
        <is>
          <t>Nº</t>
        </is>
      </c>
      <c r="B1372" s="8" t="n"/>
      <c r="C1372" s="8" t="inlineStr">
        <is>
          <t>Toque</t>
        </is>
      </c>
      <c r="D1372" s="8" t="inlineStr">
        <is>
          <t>Participante</t>
        </is>
      </c>
      <c r="E1372" s="8" t="n"/>
      <c r="F1372" s="8" t="n"/>
      <c r="G1372" s="8" t="n"/>
      <c r="H1372" s="8" t="inlineStr">
        <is>
          <t>NOTA (0-5)</t>
        </is>
      </c>
      <c r="I1372" s="8" t="n"/>
      <c r="J1372" s="8" t="n"/>
    </row>
    <row r="1373" ht="19.5" customHeight="1" s="72">
      <c r="A1373" s="38" t="n">
        <v>1</v>
      </c>
      <c r="B1373" s="38" t="inlineStr">
        <is>
          <t>Rueda</t>
        </is>
      </c>
      <c r="C1373" s="38" t="inlineStr">
        <is>
          <t>São Bento da Abadá</t>
        </is>
      </c>
      <c r="D1373" s="54" t="inlineStr">
        <is>
          <t>INF_1</t>
        </is>
      </c>
      <c r="E1373" s="11" t="n"/>
      <c r="F1373" s="11" t="n"/>
      <c r="G1373" s="11" t="n"/>
      <c r="H1373" s="41" t="n"/>
      <c r="I1373" s="11" t="n"/>
      <c r="J1373" s="11" t="n"/>
    </row>
    <row r="1374" ht="19.5" customHeight="1" s="72">
      <c r="A1374" s="38" t="n">
        <v>2</v>
      </c>
      <c r="B1374" s="38" t="inlineStr">
        <is>
          <t>Rueda</t>
        </is>
      </c>
      <c r="C1374" s="38" t="inlineStr">
        <is>
          <t>São Bento da Abadá</t>
        </is>
      </c>
      <c r="D1374" s="54" t="inlineStr">
        <is>
          <t>INF_2</t>
        </is>
      </c>
      <c r="E1374" s="11" t="n"/>
      <c r="F1374" s="11" t="n"/>
      <c r="G1374" s="11" t="n"/>
      <c r="H1374" s="41" t="n"/>
      <c r="I1374" s="11" t="n"/>
      <c r="J1374" s="11" t="n"/>
    </row>
    <row r="1375" ht="19.5" customHeight="1" s="72">
      <c r="A1375" s="38" t="n">
        <v>3</v>
      </c>
      <c r="B1375" s="38" t="inlineStr">
        <is>
          <t>Rueda</t>
        </is>
      </c>
      <c r="C1375" s="38" t="inlineStr">
        <is>
          <t>São Bento da Abadá</t>
        </is>
      </c>
      <c r="D1375" s="54" t="inlineStr">
        <is>
          <t>INF_3</t>
        </is>
      </c>
      <c r="E1375" s="11" t="n"/>
      <c r="F1375" s="11" t="n"/>
      <c r="G1375" s="11" t="n"/>
      <c r="H1375" s="41" t="n"/>
      <c r="I1375" s="11" t="n"/>
      <c r="J1375" s="11" t="n"/>
    </row>
    <row r="1376" ht="19.5" customHeight="1" s="72">
      <c r="A1376" s="38" t="n">
        <v>4</v>
      </c>
      <c r="B1376" s="38" t="inlineStr">
        <is>
          <t>Rueda</t>
        </is>
      </c>
      <c r="C1376" s="38" t="inlineStr">
        <is>
          <t>São Bento da Abadá</t>
        </is>
      </c>
      <c r="D1376" s="54" t="inlineStr">
        <is>
          <t>INF_4</t>
        </is>
      </c>
      <c r="E1376" s="11" t="n"/>
      <c r="F1376" s="11" t="n"/>
      <c r="G1376" s="11" t="n"/>
      <c r="H1376" s="41" t="n"/>
      <c r="I1376" s="11" t="n"/>
      <c r="J1376" s="11" t="n"/>
    </row>
    <row r="1377" ht="19.5" customHeight="1" s="72">
      <c r="A1377" s="38" t="n">
        <v>5</v>
      </c>
      <c r="B1377" s="38" t="inlineStr">
        <is>
          <t>Rueda</t>
        </is>
      </c>
      <c r="C1377" s="38" t="inlineStr">
        <is>
          <t>São Bento da Abadá</t>
        </is>
      </c>
      <c r="D1377" s="54" t="inlineStr">
        <is>
          <t>INF_5</t>
        </is>
      </c>
      <c r="E1377" s="11" t="n"/>
      <c r="F1377" s="11" t="n"/>
      <c r="G1377" s="11" t="n"/>
      <c r="H1377" s="41" t="n"/>
      <c r="I1377" s="11" t="n"/>
      <c r="J1377" s="11" t="n"/>
    </row>
    <row r="1378" ht="19.5" customHeight="1" s="72">
      <c r="A1378" s="38" t="n">
        <v>6</v>
      </c>
      <c r="B1378" s="38" t="inlineStr">
        <is>
          <t>Rueda</t>
        </is>
      </c>
      <c r="C1378" s="38" t="inlineStr">
        <is>
          <t>São Bento da Abadá</t>
        </is>
      </c>
      <c r="D1378" s="54" t="inlineStr">
        <is>
          <t>INF_6</t>
        </is>
      </c>
      <c r="E1378" s="11" t="n"/>
      <c r="F1378" s="11" t="n"/>
      <c r="G1378" s="11" t="n"/>
      <c r="H1378" s="41" t="n"/>
      <c r="I1378" s="11" t="n"/>
      <c r="J1378" s="11" t="n"/>
    </row>
    <row r="1379" ht="19.5" customHeight="1" s="72">
      <c r="A1379" s="38" t="n">
        <v>7</v>
      </c>
      <c r="B1379" s="38" t="inlineStr">
        <is>
          <t>Rueda</t>
        </is>
      </c>
      <c r="C1379" s="38" t="inlineStr">
        <is>
          <t>São Bento da Abadá</t>
        </is>
      </c>
      <c r="D1379" s="54" t="inlineStr">
        <is>
          <t>INF_7</t>
        </is>
      </c>
      <c r="E1379" s="11" t="n"/>
      <c r="F1379" s="11" t="n"/>
      <c r="G1379" s="11" t="n"/>
      <c r="H1379" s="41" t="n"/>
      <c r="I1379" s="11" t="n"/>
      <c r="J1379" s="11" t="n"/>
    </row>
    <row r="1380" ht="19.5" customHeight="1" s="72">
      <c r="A1380" s="38" t="n">
        <v>8</v>
      </c>
      <c r="B1380" s="38" t="inlineStr">
        <is>
          <t>Rueda</t>
        </is>
      </c>
      <c r="C1380" s="38" t="inlineStr">
        <is>
          <t>São Bento da Abadá</t>
        </is>
      </c>
      <c r="D1380" s="54" t="inlineStr">
        <is>
          <t>INF_8</t>
        </is>
      </c>
      <c r="E1380" s="11" t="n"/>
      <c r="F1380" s="11" t="n"/>
      <c r="G1380" s="11" t="n"/>
      <c r="H1380" s="41" t="n"/>
      <c r="I1380" s="11" t="n"/>
      <c r="J1380" s="11" t="n"/>
    </row>
    <row r="1381" ht="19.5" customHeight="1" s="72">
      <c r="A1381" s="38" t="n">
        <v>9</v>
      </c>
      <c r="B1381" s="38" t="inlineStr">
        <is>
          <t>Rueda</t>
        </is>
      </c>
      <c r="C1381" s="38" t="inlineStr">
        <is>
          <t>São Bento da Abadá</t>
        </is>
      </c>
      <c r="D1381" s="54" t="inlineStr">
        <is>
          <t>INF_9</t>
        </is>
      </c>
      <c r="E1381" s="11" t="n"/>
      <c r="F1381" s="11" t="n"/>
      <c r="G1381" s="11" t="n"/>
      <c r="H1381" s="41" t="n"/>
      <c r="I1381" s="11" t="n"/>
      <c r="J1381" s="11" t="n"/>
    </row>
    <row r="1382" ht="19.5" customHeight="1" s="72">
      <c r="A1382" s="38" t="n">
        <v>10</v>
      </c>
      <c r="B1382" s="38" t="inlineStr">
        <is>
          <t>Rueda</t>
        </is>
      </c>
      <c r="C1382" s="38" t="inlineStr">
        <is>
          <t>São Bento da Abadá</t>
        </is>
      </c>
      <c r="D1382" s="54" t="inlineStr">
        <is>
          <t>INF_10</t>
        </is>
      </c>
      <c r="E1382" s="11" t="n"/>
      <c r="F1382" s="11" t="n"/>
      <c r="G1382" s="11" t="n"/>
      <c r="H1382" s="41" t="n"/>
      <c r="I1382" s="11" t="n"/>
      <c r="J1382" s="11" t="n"/>
    </row>
    <row r="1383" ht="19.5" customHeight="1" s="72">
      <c r="A1383" s="38" t="n">
        <v>11</v>
      </c>
      <c r="B1383" s="38" t="inlineStr">
        <is>
          <t>Rueda</t>
        </is>
      </c>
      <c r="C1383" s="38" t="inlineStr">
        <is>
          <t>São Bento da Abadá</t>
        </is>
      </c>
      <c r="D1383" s="54" t="inlineStr">
        <is>
          <t>INF_11</t>
        </is>
      </c>
      <c r="E1383" s="11" t="n"/>
      <c r="F1383" s="11" t="n"/>
      <c r="G1383" s="11" t="n"/>
      <c r="H1383" s="41" t="n"/>
      <c r="I1383" s="11" t="n"/>
      <c r="J1383" s="11" t="n"/>
    </row>
    <row r="1384" ht="19.5" customHeight="1" s="72">
      <c r="A1384" s="38" t="n">
        <v>12</v>
      </c>
      <c r="B1384" s="38" t="inlineStr">
        <is>
          <t>Rueda</t>
        </is>
      </c>
      <c r="C1384" s="38" t="inlineStr">
        <is>
          <t>São Bento da Abadá</t>
        </is>
      </c>
      <c r="D1384" s="54" t="inlineStr">
        <is>
          <t>INF_12</t>
        </is>
      </c>
      <c r="E1384" s="11" t="n"/>
      <c r="F1384" s="11" t="n"/>
      <c r="G1384" s="11" t="n"/>
      <c r="H1384" s="41" t="n"/>
      <c r="I1384" s="11" t="n"/>
      <c r="J1384" s="11" t="n"/>
    </row>
    <row r="1385" ht="19.5" customHeight="1" s="72">
      <c r="A1385" s="38" t="n">
        <v>13</v>
      </c>
      <c r="B1385" s="38" t="inlineStr">
        <is>
          <t>Rueda</t>
        </is>
      </c>
      <c r="C1385" s="38" t="inlineStr">
        <is>
          <t>São Bento da Abadá</t>
        </is>
      </c>
      <c r="D1385" s="54" t="inlineStr">
        <is>
          <t>INF_13</t>
        </is>
      </c>
      <c r="E1385" s="11" t="n"/>
      <c r="F1385" s="11" t="n"/>
      <c r="G1385" s="11" t="n"/>
      <c r="H1385" s="41" t="n"/>
      <c r="I1385" s="11" t="n"/>
      <c r="J1385" s="11" t="n"/>
    </row>
    <row r="1386" ht="19.5" customHeight="1" s="72">
      <c r="A1386" s="38" t="n">
        <v>14</v>
      </c>
      <c r="B1386" s="38" t="inlineStr">
        <is>
          <t>Rueda</t>
        </is>
      </c>
      <c r="C1386" s="38" t="inlineStr">
        <is>
          <t>São Bento da Abadá</t>
        </is>
      </c>
      <c r="D1386" s="54" t="inlineStr">
        <is>
          <t>INF_14</t>
        </is>
      </c>
      <c r="E1386" s="11" t="n"/>
      <c r="F1386" s="11" t="n"/>
      <c r="G1386" s="11" t="n"/>
      <c r="H1386" s="41" t="n"/>
      <c r="I1386" s="11" t="n"/>
      <c r="J1386" s="11" t="n"/>
    </row>
    <row r="1387" ht="19.5" customHeight="1" s="72">
      <c r="A1387" s="38" t="n">
        <v>15</v>
      </c>
      <c r="B1387" s="38" t="inlineStr">
        <is>
          <t>Rueda</t>
        </is>
      </c>
      <c r="C1387" s="38" t="inlineStr">
        <is>
          <t>São Bento da Abadá</t>
        </is>
      </c>
      <c r="D1387" s="54" t="inlineStr">
        <is>
          <t>INF_15</t>
        </is>
      </c>
      <c r="E1387" s="11" t="n"/>
      <c r="F1387" s="11" t="n"/>
      <c r="G1387" s="11" t="n"/>
      <c r="H1387" s="41" t="n"/>
      <c r="I1387" s="11" t="n"/>
      <c r="J1387" s="11" t="n"/>
    </row>
    <row r="1388" ht="19.5" customHeight="1" s="72">
      <c r="A1388" s="38" t="n">
        <v>16</v>
      </c>
      <c r="B1388" s="38" t="inlineStr">
        <is>
          <t>Rueda</t>
        </is>
      </c>
      <c r="C1388" s="38" t="inlineStr">
        <is>
          <t>São Bento da Abadá</t>
        </is>
      </c>
      <c r="D1388" s="54" t="inlineStr">
        <is>
          <t>INF_16</t>
        </is>
      </c>
      <c r="E1388" s="11" t="n"/>
      <c r="F1388" s="11" t="n"/>
      <c r="G1388" s="11" t="n"/>
      <c r="H1388" s="41" t="n"/>
      <c r="I1388" s="11" t="n"/>
      <c r="J1388" s="11" t="n"/>
    </row>
    <row r="1389" ht="19.5" customHeight="1" s="72">
      <c r="A1389" s="38" t="n">
        <v>17</v>
      </c>
      <c r="B1389" s="38" t="inlineStr">
        <is>
          <t>Rueda</t>
        </is>
      </c>
      <c r="C1389" s="38" t="inlineStr">
        <is>
          <t>São Bento da Abadá</t>
        </is>
      </c>
      <c r="D1389" s="54" t="inlineStr">
        <is>
          <t>INF_17</t>
        </is>
      </c>
      <c r="E1389" s="11" t="n"/>
      <c r="F1389" s="11" t="n"/>
      <c r="G1389" s="11" t="n"/>
      <c r="H1389" s="41" t="n"/>
      <c r="I1389" s="11" t="n"/>
      <c r="J1389" s="11" t="n"/>
    </row>
    <row r="1390" ht="19.5" customHeight="1" s="72">
      <c r="A1390" s="38" t="n">
        <v>18</v>
      </c>
      <c r="B1390" s="38" t="inlineStr">
        <is>
          <t>Rueda</t>
        </is>
      </c>
      <c r="C1390" s="38" t="inlineStr">
        <is>
          <t>São Bento da Abadá</t>
        </is>
      </c>
      <c r="D1390" s="54" t="inlineStr">
        <is>
          <t>INF_18</t>
        </is>
      </c>
      <c r="E1390" s="11" t="n"/>
      <c r="F1390" s="11" t="n"/>
      <c r="G1390" s="11" t="n"/>
      <c r="H1390" s="41" t="n"/>
      <c r="I1390" s="11" t="n"/>
      <c r="J1390" s="11" t="n"/>
    </row>
    <row r="1391" ht="19.5" customHeight="1" s="72">
      <c r="A1391" s="38" t="n">
        <v>19</v>
      </c>
      <c r="B1391" s="38" t="inlineStr">
        <is>
          <t>Rueda</t>
        </is>
      </c>
      <c r="C1391" s="38" t="inlineStr">
        <is>
          <t>São Bento da Abadá</t>
        </is>
      </c>
      <c r="D1391" s="54" t="inlineStr">
        <is>
          <t>INF_19</t>
        </is>
      </c>
      <c r="E1391" s="11" t="n"/>
      <c r="F1391" s="11" t="n"/>
      <c r="G1391" s="11" t="n"/>
      <c r="H1391" s="41" t="n"/>
      <c r="I1391" s="11" t="n"/>
      <c r="J1391" s="11" t="n"/>
    </row>
    <row r="1392" ht="19.5" customHeight="1" s="72">
      <c r="A1392" s="38" t="n">
        <v>20</v>
      </c>
      <c r="B1392" s="38" t="inlineStr">
        <is>
          <t>Rueda</t>
        </is>
      </c>
      <c r="C1392" s="38" t="inlineStr">
        <is>
          <t>São Bento da Abadá</t>
        </is>
      </c>
      <c r="D1392" s="54" t="inlineStr">
        <is>
          <t>INF_20</t>
        </is>
      </c>
      <c r="E1392" s="11" t="n"/>
      <c r="F1392" s="11" t="n"/>
      <c r="G1392" s="11" t="n"/>
      <c r="H1392" s="41" t="n"/>
      <c r="I1392" s="11" t="n"/>
      <c r="J1392" s="11" t="n"/>
    </row>
    <row r="1393" ht="19.5" customHeight="1" s="72">
      <c r="A1393" s="38" t="n">
        <v>21</v>
      </c>
      <c r="B1393" s="38" t="inlineStr">
        <is>
          <t>Rueda</t>
        </is>
      </c>
      <c r="C1393" s="38" t="inlineStr">
        <is>
          <t>São Bento da Abadá</t>
        </is>
      </c>
      <c r="D1393" s="54" t="inlineStr">
        <is>
          <t>INF_21</t>
        </is>
      </c>
      <c r="E1393" s="11" t="n"/>
      <c r="F1393" s="11" t="n"/>
      <c r="G1393" s="11" t="n"/>
      <c r="H1393" s="41" t="n"/>
      <c r="I1393" s="11" t="n"/>
      <c r="J1393" s="11" t="n"/>
    </row>
    <row r="1394" ht="19.5" customHeight="1" s="72">
      <c r="A1394" s="38" t="n">
        <v>22</v>
      </c>
      <c r="B1394" s="38" t="inlineStr">
        <is>
          <t>Rueda</t>
        </is>
      </c>
      <c r="C1394" s="38" t="inlineStr">
        <is>
          <t>São Bento da Abadá</t>
        </is>
      </c>
      <c r="D1394" s="54" t="inlineStr">
        <is>
          <t>INF_22</t>
        </is>
      </c>
      <c r="E1394" s="11" t="n"/>
      <c r="F1394" s="11" t="n"/>
      <c r="G1394" s="11" t="n"/>
      <c r="H1394" s="41" t="n"/>
      <c r="I1394" s="11" t="n"/>
      <c r="J1394" s="11" t="n"/>
    </row>
    <row r="1395" ht="19.5" customHeight="1" s="72">
      <c r="A1395" s="38" t="n">
        <v>23</v>
      </c>
      <c r="B1395" s="38" t="inlineStr">
        <is>
          <t>Rueda</t>
        </is>
      </c>
      <c r="C1395" s="38" t="inlineStr">
        <is>
          <t>São Bento da Abadá</t>
        </is>
      </c>
      <c r="D1395" s="54" t="inlineStr">
        <is>
          <t>INF_23</t>
        </is>
      </c>
      <c r="E1395" s="11" t="n"/>
      <c r="F1395" s="11" t="n"/>
      <c r="G1395" s="11" t="n"/>
      <c r="H1395" s="41" t="n"/>
      <c r="I1395" s="11" t="n"/>
      <c r="J1395" s="11" t="n"/>
    </row>
    <row r="1396" ht="19.5" customHeight="1" s="72">
      <c r="A1396" s="38" t="n">
        <v>24</v>
      </c>
      <c r="B1396" s="38" t="inlineStr">
        <is>
          <t>Rueda</t>
        </is>
      </c>
      <c r="C1396" s="38" t="inlineStr">
        <is>
          <t>São Bento da Abadá</t>
        </is>
      </c>
      <c r="D1396" s="54" t="inlineStr">
        <is>
          <t>INF_24</t>
        </is>
      </c>
      <c r="E1396" s="11" t="n"/>
      <c r="F1396" s="11" t="n"/>
      <c r="G1396" s="11" t="n"/>
      <c r="H1396" s="41" t="n"/>
      <c r="I1396" s="11" t="n"/>
      <c r="J1396" s="11" t="n"/>
    </row>
    <row r="1397" ht="19.5" customHeight="1" s="72">
      <c r="A1397" s="38" t="n">
        <v>25</v>
      </c>
      <c r="B1397" s="38" t="inlineStr">
        <is>
          <t>Rueda</t>
        </is>
      </c>
      <c r="C1397" s="38" t="inlineStr">
        <is>
          <t>São Bento da Abadá</t>
        </is>
      </c>
      <c r="D1397" s="54" t="inlineStr">
        <is>
          <t>INF_25</t>
        </is>
      </c>
      <c r="E1397" s="11" t="n"/>
      <c r="F1397" s="11" t="n"/>
      <c r="G1397" s="11" t="n"/>
      <c r="H1397" s="41" t="n"/>
      <c r="I1397" s="11" t="n"/>
      <c r="J1397" s="11" t="n"/>
    </row>
    <row r="1398" ht="19.5" customHeight="1" s="72">
      <c r="A1398" s="38" t="n">
        <v>26</v>
      </c>
      <c r="B1398" s="38" t="inlineStr">
        <is>
          <t>Rueda</t>
        </is>
      </c>
      <c r="C1398" s="38" t="inlineStr">
        <is>
          <t>São Bento da Abadá</t>
        </is>
      </c>
      <c r="D1398" s="54" t="inlineStr">
        <is>
          <t>INF_26</t>
        </is>
      </c>
      <c r="E1398" s="11" t="n"/>
      <c r="F1398" s="11" t="n"/>
      <c r="G1398" s="11" t="n"/>
      <c r="H1398" s="41" t="n"/>
      <c r="I1398" s="11" t="n"/>
      <c r="J1398" s="11" t="n"/>
    </row>
    <row r="1399" ht="19.5" customHeight="1" s="72">
      <c r="A1399" s="38" t="n">
        <v>27</v>
      </c>
      <c r="B1399" s="38" t="inlineStr">
        <is>
          <t>Rueda</t>
        </is>
      </c>
      <c r="C1399" s="38" t="inlineStr">
        <is>
          <t>São Bento da Abadá</t>
        </is>
      </c>
      <c r="D1399" s="54" t="inlineStr">
        <is>
          <t>INF_27</t>
        </is>
      </c>
      <c r="E1399" s="11" t="n"/>
      <c r="F1399" s="11" t="n"/>
      <c r="G1399" s="11" t="n"/>
      <c r="H1399" s="41" t="n"/>
      <c r="I1399" s="11" t="n"/>
      <c r="J1399" s="11" t="n"/>
    </row>
    <row r="1400" ht="19.5" customHeight="1" s="72">
      <c r="A1400" s="38" t="n">
        <v>28</v>
      </c>
      <c r="B1400" s="38" t="inlineStr">
        <is>
          <t>Rueda</t>
        </is>
      </c>
      <c r="C1400" s="38" t="inlineStr">
        <is>
          <t>São Bento da Abadá</t>
        </is>
      </c>
      <c r="D1400" s="54" t="inlineStr">
        <is>
          <t>INF_28</t>
        </is>
      </c>
      <c r="E1400" s="11" t="n"/>
      <c r="F1400" s="11" t="n"/>
      <c r="G1400" s="11" t="n"/>
      <c r="H1400" s="41" t="n"/>
      <c r="I1400" s="11" t="n"/>
      <c r="J1400" s="11" t="n"/>
    </row>
    <row r="1401" ht="19.5" customHeight="1" s="72">
      <c r="A1401" s="38" t="n">
        <v>29</v>
      </c>
      <c r="B1401" s="38" t="inlineStr">
        <is>
          <t>Rueda</t>
        </is>
      </c>
      <c r="C1401" s="38" t="inlineStr">
        <is>
          <t>São Bento da Abadá</t>
        </is>
      </c>
      <c r="D1401" s="54" t="inlineStr">
        <is>
          <t>INF_29</t>
        </is>
      </c>
      <c r="E1401" s="11" t="n"/>
      <c r="F1401" s="11" t="n"/>
      <c r="G1401" s="11" t="n"/>
      <c r="H1401" s="41" t="n"/>
      <c r="I1401" s="11" t="n"/>
      <c r="J1401" s="11" t="n"/>
    </row>
    <row r="1402" ht="19.5" customHeight="1" s="72">
      <c r="A1402" s="38" t="n">
        <v>30</v>
      </c>
      <c r="B1402" s="38" t="inlineStr">
        <is>
          <t>Rueda</t>
        </is>
      </c>
      <c r="C1402" s="38" t="inlineStr">
        <is>
          <t>São Bento da Abadá</t>
        </is>
      </c>
      <c r="D1402" s="54" t="inlineStr">
        <is>
          <t>INF_30</t>
        </is>
      </c>
      <c r="E1402" s="11" t="n"/>
      <c r="F1402" s="11" t="n"/>
      <c r="G1402" s="11" t="n"/>
      <c r="H1402" s="41" t="n"/>
      <c r="I1402" s="11" t="n"/>
      <c r="J1402" s="11" t="n"/>
    </row>
    <row r="1403" ht="19.5" customHeight="1" s="72">
      <c r="A1403" s="38" t="n">
        <v>31</v>
      </c>
      <c r="B1403" s="38" t="inlineStr">
        <is>
          <t>Rueda</t>
        </is>
      </c>
      <c r="C1403" s="38" t="inlineStr">
        <is>
          <t>São Bento da Abadá</t>
        </is>
      </c>
      <c r="D1403" s="54" t="inlineStr">
        <is>
          <t>INF_31</t>
        </is>
      </c>
      <c r="E1403" s="11" t="n"/>
      <c r="F1403" s="11" t="n"/>
      <c r="G1403" s="11" t="n"/>
      <c r="H1403" s="41" t="n"/>
      <c r="I1403" s="11" t="n"/>
      <c r="J1403" s="11" t="n"/>
    </row>
    <row r="1404" ht="19.5" customHeight="1" s="72">
      <c r="A1404" s="38" t="n">
        <v>32</v>
      </c>
      <c r="B1404" s="38" t="inlineStr">
        <is>
          <t>Rueda</t>
        </is>
      </c>
      <c r="C1404" s="38" t="inlineStr">
        <is>
          <t>São Bento da Abadá</t>
        </is>
      </c>
      <c r="D1404" s="54" t="inlineStr">
        <is>
          <t>INF_32</t>
        </is>
      </c>
      <c r="E1404" s="11" t="n"/>
      <c r="F1404" s="11" t="n"/>
      <c r="G1404" s="11" t="n"/>
      <c r="H1404" s="41" t="n"/>
      <c r="I1404" s="11" t="n"/>
      <c r="J1404" s="11" t="n"/>
    </row>
    <row r="1405" ht="19.5" customHeight="1" s="72">
      <c r="A1405" s="38" t="n">
        <v>33</v>
      </c>
      <c r="B1405" s="38" t="inlineStr">
        <is>
          <t>Rueda</t>
        </is>
      </c>
      <c r="C1405" s="38" t="inlineStr">
        <is>
          <t>São Bento da Abadá</t>
        </is>
      </c>
      <c r="D1405" s="54" t="inlineStr">
        <is>
          <t>INF_33</t>
        </is>
      </c>
      <c r="E1405" s="11" t="n"/>
      <c r="F1405" s="11" t="n"/>
      <c r="G1405" s="11" t="n"/>
      <c r="H1405" s="41" t="n"/>
      <c r="I1405" s="11" t="n"/>
      <c r="J1405" s="11" t="n"/>
    </row>
    <row r="1406" ht="19.5" customHeight="1" s="72">
      <c r="A1406" s="38" t="n">
        <v>34</v>
      </c>
      <c r="B1406" s="38" t="inlineStr">
        <is>
          <t>Rueda</t>
        </is>
      </c>
      <c r="C1406" s="38" t="inlineStr">
        <is>
          <t>São Bento da Abadá</t>
        </is>
      </c>
      <c r="D1406" s="54" t="inlineStr">
        <is>
          <t>INF_34</t>
        </is>
      </c>
      <c r="E1406" s="11" t="n"/>
      <c r="F1406" s="11" t="n"/>
      <c r="G1406" s="11" t="n"/>
      <c r="H1406" s="41" t="n"/>
      <c r="I1406" s="11" t="n"/>
      <c r="J1406" s="11" t="n"/>
    </row>
    <row r="1407" ht="19.5" customHeight="1" s="72">
      <c r="A1407" s="38" t="n">
        <v>35</v>
      </c>
      <c r="B1407" s="38" t="inlineStr">
        <is>
          <t>Rueda</t>
        </is>
      </c>
      <c r="C1407" s="38" t="inlineStr">
        <is>
          <t>São Bento da Abadá</t>
        </is>
      </c>
      <c r="D1407" s="54" t="inlineStr">
        <is>
          <t>INF_35</t>
        </is>
      </c>
      <c r="E1407" s="11" t="n"/>
      <c r="F1407" s="11" t="n"/>
      <c r="G1407" s="11" t="n"/>
      <c r="H1407" s="41" t="n"/>
      <c r="I1407" s="11" t="n"/>
      <c r="J1407" s="11" t="n"/>
    </row>
    <row r="1408" ht="19.5" customHeight="1" s="72">
      <c r="A1408" s="38" t="n">
        <v>36</v>
      </c>
      <c r="B1408" s="38" t="inlineStr">
        <is>
          <t>Rueda</t>
        </is>
      </c>
      <c r="C1408" s="38" t="inlineStr">
        <is>
          <t>São Bento da Abadá</t>
        </is>
      </c>
      <c r="D1408" s="54" t="inlineStr">
        <is>
          <t>INF_36</t>
        </is>
      </c>
      <c r="E1408" s="11" t="n"/>
      <c r="F1408" s="11" t="n"/>
      <c r="G1408" s="11" t="n"/>
      <c r="H1408" s="41" t="n"/>
      <c r="I1408" s="11" t="n"/>
      <c r="J1408" s="11" t="n"/>
    </row>
    <row r="1409" ht="19.5" customHeight="1" s="72">
      <c r="A1409" s="38" t="n">
        <v>37</v>
      </c>
      <c r="B1409" s="38" t="inlineStr">
        <is>
          <t>Rueda</t>
        </is>
      </c>
      <c r="C1409" s="38" t="inlineStr">
        <is>
          <t>São Bento da Abadá</t>
        </is>
      </c>
      <c r="D1409" s="54" t="inlineStr">
        <is>
          <t>INF_37</t>
        </is>
      </c>
      <c r="E1409" s="11" t="n"/>
      <c r="F1409" s="11" t="n"/>
      <c r="G1409" s="11" t="n"/>
      <c r="H1409" s="41" t="n"/>
      <c r="I1409" s="11" t="n"/>
      <c r="J1409" s="11" t="n"/>
    </row>
    <row r="1410" ht="19.5" customHeight="1" s="72">
      <c r="A1410" s="38" t="n">
        <v>38</v>
      </c>
      <c r="B1410" s="38" t="inlineStr">
        <is>
          <t>Rueda</t>
        </is>
      </c>
      <c r="C1410" s="38" t="inlineStr">
        <is>
          <t>São Bento da Abadá</t>
        </is>
      </c>
      <c r="D1410" s="54" t="inlineStr">
        <is>
          <t>INF_38</t>
        </is>
      </c>
      <c r="E1410" s="11" t="n"/>
      <c r="F1410" s="11" t="n"/>
      <c r="G1410" s="11" t="n"/>
      <c r="H1410" s="41" t="n"/>
      <c r="I1410" s="11" t="n"/>
      <c r="J1410" s="11" t="n"/>
    </row>
    <row r="1411" ht="19.5" customHeight="1" s="72">
      <c r="A1411" s="38" t="n">
        <v>39</v>
      </c>
      <c r="B1411" s="38" t="inlineStr">
        <is>
          <t>Rueda</t>
        </is>
      </c>
      <c r="C1411" s="38" t="inlineStr">
        <is>
          <t>São Bento da Abadá</t>
        </is>
      </c>
      <c r="D1411" s="54" t="inlineStr">
        <is>
          <t>INF_39</t>
        </is>
      </c>
      <c r="E1411" s="11" t="n"/>
      <c r="F1411" s="11" t="n"/>
      <c r="G1411" s="11" t="n"/>
      <c r="H1411" s="41" t="n"/>
      <c r="I1411" s="11" t="n"/>
      <c r="J1411" s="11" t="n"/>
    </row>
    <row r="1412" ht="19.5" customHeight="1" s="72">
      <c r="A1412" s="38" t="n">
        <v>40</v>
      </c>
      <c r="B1412" s="38" t="inlineStr">
        <is>
          <t>Rueda</t>
        </is>
      </c>
      <c r="C1412" s="38" t="inlineStr">
        <is>
          <t>São Bento da Abadá</t>
        </is>
      </c>
      <c r="D1412" s="54" t="inlineStr">
        <is>
          <t>INF_40</t>
        </is>
      </c>
      <c r="E1412" s="11" t="n"/>
      <c r="F1412" s="11" t="n"/>
      <c r="G1412" s="11" t="n"/>
      <c r="H1412" s="41" t="n"/>
      <c r="I1412" s="11" t="n"/>
      <c r="J1412" s="11" t="n"/>
    </row>
  </sheetData>
  <mergeCells count="18">
    <mergeCell ref="A1:J1"/>
    <mergeCell ref="A966:J966"/>
    <mergeCell ref="A1185:J1185"/>
    <mergeCell ref="A1278:J1278"/>
    <mergeCell ref="A375:J375"/>
    <mergeCell ref="A282:J282"/>
    <mergeCell ref="A561:J561"/>
    <mergeCell ref="A468:J468"/>
    <mergeCell ref="A189:J189"/>
    <mergeCell ref="A873:J873"/>
    <mergeCell ref="A3:J3"/>
    <mergeCell ref="A654:J654"/>
    <mergeCell ref="A747:J747"/>
    <mergeCell ref="A96:J96"/>
    <mergeCell ref="A1059:J1059"/>
    <mergeCell ref="A1122:J1122"/>
    <mergeCell ref="A1371:J1371"/>
    <mergeCell ref="A810:J810"/>
  </mergeCell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1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.14" customWidth="1" style="72" min="1" max="1"/>
    <col width="11.14" customWidth="1" style="72" min="2" max="2"/>
    <col width="24.14" customWidth="1" style="72" min="3" max="3"/>
    <col width="17.57" customWidth="1" style="72" min="4" max="4"/>
    <col width="10.29" customWidth="1" style="72" min="5" max="5"/>
    <col width="17.57" customWidth="1" style="72" min="6" max="6"/>
    <col width="10.29" customWidth="1" style="72" min="7" max="7"/>
    <col width="15.71" customWidth="1" style="72" min="8" max="8"/>
    <col width="12" customWidth="1" style="72" min="9" max="10"/>
    <col width="8.710000000000001" customWidth="1" style="72" min="11" max="26"/>
  </cols>
  <sheetData>
    <row r="1" ht="25.5" customHeight="1" s="72">
      <c r="A1" s="73" t="inlineStr">
        <is>
          <t>JUEZ 3 · EVENTO COMPLETO · Rellena NOTA y puntos a quitar por jugador en cada jogo</t>
        </is>
      </c>
    </row>
    <row r="2" ht="14.25" customHeight="1" s="72"/>
    <row r="3" ht="14.25" customHeight="1" s="72">
      <c r="A3" s="80" t="inlineStr">
        <is>
          <t>═══ CATEGORÍA A · Masculino · Marrón (Profesores) · Toques: Benguela, São Bento da Abadá, Siriuna ═══</t>
        </is>
      </c>
    </row>
    <row r="4" ht="14.25" customHeight="1" s="72">
      <c r="A4" s="8" t="inlineStr">
        <is>
          <t>Jogo</t>
        </is>
      </c>
      <c r="B4" s="8" t="inlineStr">
        <is>
          <t>Fase</t>
        </is>
      </c>
      <c r="C4" s="8" t="inlineStr">
        <is>
          <t>Toque</t>
        </is>
      </c>
      <c r="D4" s="8" t="inlineStr">
        <is>
          <t>Jugador A</t>
        </is>
      </c>
      <c r="E4" s="8" t="inlineStr">
        <is>
          <t>Quita A</t>
        </is>
      </c>
      <c r="F4" s="8" t="inlineStr">
        <is>
          <t>Jugador B</t>
        </is>
      </c>
      <c r="G4" s="8" t="inlineStr">
        <is>
          <t>Quita B</t>
        </is>
      </c>
      <c r="H4" s="8" t="inlineStr">
        <is>
          <t>NOTA (0-5)</t>
        </is>
      </c>
      <c r="I4" s="8" t="inlineStr">
        <is>
          <t>Final A</t>
        </is>
      </c>
      <c r="J4" s="8" t="inlineStr">
        <is>
          <t>Final B</t>
        </is>
      </c>
    </row>
    <row r="5" ht="19.5" customHeight="1" s="72">
      <c r="A5" s="38" t="inlineStr">
        <is>
          <t>AM-32-P01-BEN</t>
        </is>
      </c>
      <c r="B5" s="38" t="inlineStr">
        <is>
          <t>Fase 32</t>
        </is>
      </c>
      <c r="C5" s="38" t="inlineStr">
        <is>
          <t>Benguela</t>
        </is>
      </c>
      <c r="D5" s="39" t="inlineStr">
        <is>
          <t>A_A_M_32_P1</t>
        </is>
      </c>
      <c r="E5" s="40" t="n"/>
      <c r="F5" s="39" t="inlineStr">
        <is>
          <t>B_A_M_32_P1</t>
        </is>
      </c>
      <c r="G5" s="40" t="n"/>
      <c r="H5" s="41" t="n"/>
      <c r="I5" s="42">
        <f>IF($H5="","",MAX(0,$H5-N($E5)))</f>
        <v/>
      </c>
      <c r="J5" s="42">
        <f>IF($H5="","",MAX(0,$H5-N($G5)))</f>
        <v/>
      </c>
    </row>
    <row r="6" ht="19.5" customHeight="1" s="72">
      <c r="A6" s="38" t="inlineStr">
        <is>
          <t>AM-32-P01-SBA</t>
        </is>
      </c>
      <c r="B6" s="38" t="inlineStr">
        <is>
          <t>Fase 32</t>
        </is>
      </c>
      <c r="C6" s="38" t="inlineStr">
        <is>
          <t>São Bento da Abadá</t>
        </is>
      </c>
      <c r="D6" s="39" t="inlineStr">
        <is>
          <t>A_A_M_32_P1</t>
        </is>
      </c>
      <c r="E6" s="40" t="n"/>
      <c r="F6" s="39" t="inlineStr">
        <is>
          <t>B_A_M_32_P1</t>
        </is>
      </c>
      <c r="G6" s="40" t="n"/>
      <c r="H6" s="41" t="n"/>
      <c r="I6" s="42">
        <f>IF($H6="","",MAX(0,$H6-N($E6)))</f>
        <v/>
      </c>
      <c r="J6" s="42">
        <f>IF($H6="","",MAX(0,$H6-N($G6)))</f>
        <v/>
      </c>
    </row>
    <row r="7" ht="19.5" customHeight="1" s="72">
      <c r="A7" s="38" t="inlineStr">
        <is>
          <t>AM-32-P01-SIR</t>
        </is>
      </c>
      <c r="B7" s="38" t="inlineStr">
        <is>
          <t>Fase 32</t>
        </is>
      </c>
      <c r="C7" s="38" t="inlineStr">
        <is>
          <t>Siriuna</t>
        </is>
      </c>
      <c r="D7" s="39" t="inlineStr">
        <is>
          <t>A_A_M_32_P1</t>
        </is>
      </c>
      <c r="E7" s="40" t="n"/>
      <c r="F7" s="39" t="inlineStr">
        <is>
          <t>B_A_M_32_P1</t>
        </is>
      </c>
      <c r="G7" s="40" t="n"/>
      <c r="H7" s="41" t="n"/>
      <c r="I7" s="42">
        <f>IF($H7="","",MAX(0,$H7-N($E7)))</f>
        <v/>
      </c>
      <c r="J7" s="42">
        <f>IF($H7="","",MAX(0,$H7-N($G7)))</f>
        <v/>
      </c>
    </row>
    <row r="8" ht="19.5" customHeight="1" s="72">
      <c r="A8" s="38" t="inlineStr">
        <is>
          <t>AM-32-P02-BEN</t>
        </is>
      </c>
      <c r="B8" s="38" t="inlineStr">
        <is>
          <t>Fase 32</t>
        </is>
      </c>
      <c r="C8" s="38" t="inlineStr">
        <is>
          <t>Benguela</t>
        </is>
      </c>
      <c r="D8" s="39" t="inlineStr">
        <is>
          <t>A_A_M_32_P2</t>
        </is>
      </c>
      <c r="E8" s="40" t="n"/>
      <c r="F8" s="39" t="inlineStr">
        <is>
          <t>B_A_M_32_P2</t>
        </is>
      </c>
      <c r="G8" s="40" t="n"/>
      <c r="H8" s="41" t="n"/>
      <c r="I8" s="42">
        <f>IF($H8="","",MAX(0,$H8-N($E8)))</f>
        <v/>
      </c>
      <c r="J8" s="42">
        <f>IF($H8="","",MAX(0,$H8-N($G8)))</f>
        <v/>
      </c>
    </row>
    <row r="9" ht="19.5" customHeight="1" s="72">
      <c r="A9" s="38" t="inlineStr">
        <is>
          <t>AM-32-P02-SBA</t>
        </is>
      </c>
      <c r="B9" s="38" t="inlineStr">
        <is>
          <t>Fase 32</t>
        </is>
      </c>
      <c r="C9" s="38" t="inlineStr">
        <is>
          <t>São Bento da Abadá</t>
        </is>
      </c>
      <c r="D9" s="39" t="inlineStr">
        <is>
          <t>A_A_M_32_P2</t>
        </is>
      </c>
      <c r="E9" s="40" t="n"/>
      <c r="F9" s="39" t="inlineStr">
        <is>
          <t>B_A_M_32_P2</t>
        </is>
      </c>
      <c r="G9" s="40" t="n"/>
      <c r="H9" s="41" t="n"/>
      <c r="I9" s="42">
        <f>IF($H9="","",MAX(0,$H9-N($E9)))</f>
        <v/>
      </c>
      <c r="J9" s="42">
        <f>IF($H9="","",MAX(0,$H9-N($G9)))</f>
        <v/>
      </c>
    </row>
    <row r="10" ht="19.5" customHeight="1" s="72">
      <c r="A10" s="38" t="inlineStr">
        <is>
          <t>AM-32-P02-SIR</t>
        </is>
      </c>
      <c r="B10" s="38" t="inlineStr">
        <is>
          <t>Fase 32</t>
        </is>
      </c>
      <c r="C10" s="38" t="inlineStr">
        <is>
          <t>Siriuna</t>
        </is>
      </c>
      <c r="D10" s="39" t="inlineStr">
        <is>
          <t>A_A_M_32_P2</t>
        </is>
      </c>
      <c r="E10" s="40" t="n"/>
      <c r="F10" s="39" t="inlineStr">
        <is>
          <t>B_A_M_32_P2</t>
        </is>
      </c>
      <c r="G10" s="40" t="n"/>
      <c r="H10" s="41" t="n"/>
      <c r="I10" s="42">
        <f>IF($H10="","",MAX(0,$H10-N($E10)))</f>
        <v/>
      </c>
      <c r="J10" s="42">
        <f>IF($H10="","",MAX(0,$H10-N($G10)))</f>
        <v/>
      </c>
    </row>
    <row r="11" ht="19.5" customHeight="1" s="72">
      <c r="A11" s="38" t="inlineStr">
        <is>
          <t>AM-32-P03-BEN</t>
        </is>
      </c>
      <c r="B11" s="38" t="inlineStr">
        <is>
          <t>Fase 32</t>
        </is>
      </c>
      <c r="C11" s="38" t="inlineStr">
        <is>
          <t>Benguela</t>
        </is>
      </c>
      <c r="D11" s="39" t="inlineStr">
        <is>
          <t>A_A_M_32_P3</t>
        </is>
      </c>
      <c r="E11" s="40" t="n"/>
      <c r="F11" s="39" t="inlineStr">
        <is>
          <t>B_A_M_32_P3</t>
        </is>
      </c>
      <c r="G11" s="40" t="n"/>
      <c r="H11" s="41" t="n"/>
      <c r="I11" s="42">
        <f>IF($H11="","",MAX(0,$H11-N($E11)))</f>
        <v/>
      </c>
      <c r="J11" s="42">
        <f>IF($H11="","",MAX(0,$H11-N($G11)))</f>
        <v/>
      </c>
    </row>
    <row r="12" ht="19.5" customHeight="1" s="72">
      <c r="A12" s="38" t="inlineStr">
        <is>
          <t>AM-32-P03-SBA</t>
        </is>
      </c>
      <c r="B12" s="38" t="inlineStr">
        <is>
          <t>Fase 32</t>
        </is>
      </c>
      <c r="C12" s="38" t="inlineStr">
        <is>
          <t>São Bento da Abadá</t>
        </is>
      </c>
      <c r="D12" s="39" t="inlineStr">
        <is>
          <t>A_A_M_32_P3</t>
        </is>
      </c>
      <c r="E12" s="40" t="n"/>
      <c r="F12" s="39" t="inlineStr">
        <is>
          <t>B_A_M_32_P3</t>
        </is>
      </c>
      <c r="G12" s="40" t="n"/>
      <c r="H12" s="41" t="n"/>
      <c r="I12" s="42">
        <f>IF($H12="","",MAX(0,$H12-N($E12)))</f>
        <v/>
      </c>
      <c r="J12" s="42">
        <f>IF($H12="","",MAX(0,$H12-N($G12)))</f>
        <v/>
      </c>
    </row>
    <row r="13" ht="19.5" customHeight="1" s="72">
      <c r="A13" s="38" t="inlineStr">
        <is>
          <t>AM-32-P03-SIR</t>
        </is>
      </c>
      <c r="B13" s="38" t="inlineStr">
        <is>
          <t>Fase 32</t>
        </is>
      </c>
      <c r="C13" s="38" t="inlineStr">
        <is>
          <t>Siriuna</t>
        </is>
      </c>
      <c r="D13" s="39" t="inlineStr">
        <is>
          <t>A_A_M_32_P3</t>
        </is>
      </c>
      <c r="E13" s="40" t="n"/>
      <c r="F13" s="39" t="inlineStr">
        <is>
          <t>B_A_M_32_P3</t>
        </is>
      </c>
      <c r="G13" s="40" t="n"/>
      <c r="H13" s="41" t="n"/>
      <c r="I13" s="42">
        <f>IF($H13="","",MAX(0,$H13-N($E13)))</f>
        <v/>
      </c>
      <c r="J13" s="42">
        <f>IF($H13="","",MAX(0,$H13-N($G13)))</f>
        <v/>
      </c>
    </row>
    <row r="14" ht="19.5" customHeight="1" s="72">
      <c r="A14" s="38" t="inlineStr">
        <is>
          <t>AM-32-P04-BEN</t>
        </is>
      </c>
      <c r="B14" s="38" t="inlineStr">
        <is>
          <t>Fase 32</t>
        </is>
      </c>
      <c r="C14" s="38" t="inlineStr">
        <is>
          <t>Benguela</t>
        </is>
      </c>
      <c r="D14" s="39" t="inlineStr">
        <is>
          <t>A_A_M_32_P4</t>
        </is>
      </c>
      <c r="E14" s="40" t="n"/>
      <c r="F14" s="39" t="inlineStr">
        <is>
          <t>B_A_M_32_P4</t>
        </is>
      </c>
      <c r="G14" s="40" t="n"/>
      <c r="H14" s="41" t="n"/>
      <c r="I14" s="42">
        <f>IF($H14="","",MAX(0,$H14-N($E14)))</f>
        <v/>
      </c>
      <c r="J14" s="42">
        <f>IF($H14="","",MAX(0,$H14-N($G14)))</f>
        <v/>
      </c>
    </row>
    <row r="15" ht="19.5" customHeight="1" s="72">
      <c r="A15" s="38" t="inlineStr">
        <is>
          <t>AM-32-P04-SBA</t>
        </is>
      </c>
      <c r="B15" s="38" t="inlineStr">
        <is>
          <t>Fase 32</t>
        </is>
      </c>
      <c r="C15" s="38" t="inlineStr">
        <is>
          <t>São Bento da Abadá</t>
        </is>
      </c>
      <c r="D15" s="39" t="inlineStr">
        <is>
          <t>A_A_M_32_P4</t>
        </is>
      </c>
      <c r="E15" s="40" t="n"/>
      <c r="F15" s="39" t="inlineStr">
        <is>
          <t>B_A_M_32_P4</t>
        </is>
      </c>
      <c r="G15" s="40" t="n"/>
      <c r="H15" s="41" t="n"/>
      <c r="I15" s="42">
        <f>IF($H15="","",MAX(0,$H15-N($E15)))</f>
        <v/>
      </c>
      <c r="J15" s="42">
        <f>IF($H15="","",MAX(0,$H15-N($G15)))</f>
        <v/>
      </c>
    </row>
    <row r="16" ht="19.5" customHeight="1" s="72">
      <c r="A16" s="38" t="inlineStr">
        <is>
          <t>AM-32-P04-SIR</t>
        </is>
      </c>
      <c r="B16" s="38" t="inlineStr">
        <is>
          <t>Fase 32</t>
        </is>
      </c>
      <c r="C16" s="38" t="inlineStr">
        <is>
          <t>Siriuna</t>
        </is>
      </c>
      <c r="D16" s="39" t="inlineStr">
        <is>
          <t>A_A_M_32_P4</t>
        </is>
      </c>
      <c r="E16" s="40" t="n"/>
      <c r="F16" s="39" t="inlineStr">
        <is>
          <t>B_A_M_32_P4</t>
        </is>
      </c>
      <c r="G16" s="40" t="n"/>
      <c r="H16" s="41" t="n"/>
      <c r="I16" s="42">
        <f>IF($H16="","",MAX(0,$H16-N($E16)))</f>
        <v/>
      </c>
      <c r="J16" s="42">
        <f>IF($H16="","",MAX(0,$H16-N($G16)))</f>
        <v/>
      </c>
    </row>
    <row r="17" ht="19.5" customHeight="1" s="72">
      <c r="A17" s="38" t="inlineStr">
        <is>
          <t>AM-32-P05-BEN</t>
        </is>
      </c>
      <c r="B17" s="38" t="inlineStr">
        <is>
          <t>Fase 32</t>
        </is>
      </c>
      <c r="C17" s="38" t="inlineStr">
        <is>
          <t>Benguela</t>
        </is>
      </c>
      <c r="D17" s="39" t="inlineStr">
        <is>
          <t>A_A_M_32_P5</t>
        </is>
      </c>
      <c r="E17" s="40" t="n"/>
      <c r="F17" s="39" t="inlineStr">
        <is>
          <t>B_A_M_32_P5</t>
        </is>
      </c>
      <c r="G17" s="40" t="n"/>
      <c r="H17" s="41" t="n"/>
      <c r="I17" s="42">
        <f>IF($H17="","",MAX(0,$H17-N($E17)))</f>
        <v/>
      </c>
      <c r="J17" s="42">
        <f>IF($H17="","",MAX(0,$H17-N($G17)))</f>
        <v/>
      </c>
    </row>
    <row r="18" ht="19.5" customHeight="1" s="72">
      <c r="A18" s="38" t="inlineStr">
        <is>
          <t>AM-32-P05-SBA</t>
        </is>
      </c>
      <c r="B18" s="38" t="inlineStr">
        <is>
          <t>Fase 32</t>
        </is>
      </c>
      <c r="C18" s="38" t="inlineStr">
        <is>
          <t>São Bento da Abadá</t>
        </is>
      </c>
      <c r="D18" s="39" t="inlineStr">
        <is>
          <t>A_A_M_32_P5</t>
        </is>
      </c>
      <c r="E18" s="40" t="n"/>
      <c r="F18" s="39" t="inlineStr">
        <is>
          <t>B_A_M_32_P5</t>
        </is>
      </c>
      <c r="G18" s="40" t="n"/>
      <c r="H18" s="41" t="n"/>
      <c r="I18" s="42">
        <f>IF($H18="","",MAX(0,$H18-N($E18)))</f>
        <v/>
      </c>
      <c r="J18" s="42">
        <f>IF($H18="","",MAX(0,$H18-N($G18)))</f>
        <v/>
      </c>
    </row>
    <row r="19" ht="19.5" customHeight="1" s="72">
      <c r="A19" s="38" t="inlineStr">
        <is>
          <t>AM-32-P05-SIR</t>
        </is>
      </c>
      <c r="B19" s="38" t="inlineStr">
        <is>
          <t>Fase 32</t>
        </is>
      </c>
      <c r="C19" s="38" t="inlineStr">
        <is>
          <t>Siriuna</t>
        </is>
      </c>
      <c r="D19" s="39" t="inlineStr">
        <is>
          <t>A_A_M_32_P5</t>
        </is>
      </c>
      <c r="E19" s="40" t="n"/>
      <c r="F19" s="39" t="inlineStr">
        <is>
          <t>B_A_M_32_P5</t>
        </is>
      </c>
      <c r="G19" s="40" t="n"/>
      <c r="H19" s="41" t="n"/>
      <c r="I19" s="42">
        <f>IF($H19="","",MAX(0,$H19-N($E19)))</f>
        <v/>
      </c>
      <c r="J19" s="42">
        <f>IF($H19="","",MAX(0,$H19-N($G19)))</f>
        <v/>
      </c>
    </row>
    <row r="20" ht="19.5" customHeight="1" s="72">
      <c r="A20" s="38" t="inlineStr">
        <is>
          <t>AM-32-P06-BEN</t>
        </is>
      </c>
      <c r="B20" s="38" t="inlineStr">
        <is>
          <t>Fase 32</t>
        </is>
      </c>
      <c r="C20" s="38" t="inlineStr">
        <is>
          <t>Benguela</t>
        </is>
      </c>
      <c r="D20" s="39" t="inlineStr">
        <is>
          <t>A_A_M_32_P6</t>
        </is>
      </c>
      <c r="E20" s="40" t="n"/>
      <c r="F20" s="39" t="inlineStr">
        <is>
          <t>B_A_M_32_P6</t>
        </is>
      </c>
      <c r="G20" s="40" t="n"/>
      <c r="H20" s="41" t="n"/>
      <c r="I20" s="42">
        <f>IF($H20="","",MAX(0,$H20-N($E20)))</f>
        <v/>
      </c>
      <c r="J20" s="42">
        <f>IF($H20="","",MAX(0,$H20-N($G20)))</f>
        <v/>
      </c>
    </row>
    <row r="21" ht="19.5" customHeight="1" s="72">
      <c r="A21" s="38" t="inlineStr">
        <is>
          <t>AM-32-P06-SBA</t>
        </is>
      </c>
      <c r="B21" s="38" t="inlineStr">
        <is>
          <t>Fase 32</t>
        </is>
      </c>
      <c r="C21" s="38" t="inlineStr">
        <is>
          <t>São Bento da Abadá</t>
        </is>
      </c>
      <c r="D21" s="39" t="inlineStr">
        <is>
          <t>A_A_M_32_P6</t>
        </is>
      </c>
      <c r="E21" s="40" t="n"/>
      <c r="F21" s="39" t="inlineStr">
        <is>
          <t>B_A_M_32_P6</t>
        </is>
      </c>
      <c r="G21" s="40" t="n"/>
      <c r="H21" s="41" t="n"/>
      <c r="I21" s="42">
        <f>IF($H21="","",MAX(0,$H21-N($E21)))</f>
        <v/>
      </c>
      <c r="J21" s="42">
        <f>IF($H21="","",MAX(0,$H21-N($G21)))</f>
        <v/>
      </c>
    </row>
    <row r="22" ht="19.5" customHeight="1" s="72">
      <c r="A22" s="38" t="inlineStr">
        <is>
          <t>AM-32-P06-SIR</t>
        </is>
      </c>
      <c r="B22" s="38" t="inlineStr">
        <is>
          <t>Fase 32</t>
        </is>
      </c>
      <c r="C22" s="38" t="inlineStr">
        <is>
          <t>Siriuna</t>
        </is>
      </c>
      <c r="D22" s="39" t="inlineStr">
        <is>
          <t>A_A_M_32_P6</t>
        </is>
      </c>
      <c r="E22" s="40" t="n"/>
      <c r="F22" s="39" t="inlineStr">
        <is>
          <t>B_A_M_32_P6</t>
        </is>
      </c>
      <c r="G22" s="40" t="n"/>
      <c r="H22" s="41" t="n"/>
      <c r="I22" s="42">
        <f>IF($H22="","",MAX(0,$H22-N($E22)))</f>
        <v/>
      </c>
      <c r="J22" s="42">
        <f>IF($H22="","",MAX(0,$H22-N($G22)))</f>
        <v/>
      </c>
    </row>
    <row r="23" ht="19.5" customHeight="1" s="72">
      <c r="A23" s="38" t="inlineStr">
        <is>
          <t>AM-32-P07-BEN</t>
        </is>
      </c>
      <c r="B23" s="38" t="inlineStr">
        <is>
          <t>Fase 32</t>
        </is>
      </c>
      <c r="C23" s="38" t="inlineStr">
        <is>
          <t>Benguela</t>
        </is>
      </c>
      <c r="D23" s="39" t="inlineStr">
        <is>
          <t>A_A_M_32_P7</t>
        </is>
      </c>
      <c r="E23" s="40" t="n"/>
      <c r="F23" s="39" t="inlineStr">
        <is>
          <t>B_A_M_32_P7</t>
        </is>
      </c>
      <c r="G23" s="40" t="n"/>
      <c r="H23" s="41" t="n"/>
      <c r="I23" s="42">
        <f>IF($H23="","",MAX(0,$H23-N($E23)))</f>
        <v/>
      </c>
      <c r="J23" s="42">
        <f>IF($H23="","",MAX(0,$H23-N($G23)))</f>
        <v/>
      </c>
    </row>
    <row r="24" ht="19.5" customHeight="1" s="72">
      <c r="A24" s="38" t="inlineStr">
        <is>
          <t>AM-32-P07-SBA</t>
        </is>
      </c>
      <c r="B24" s="38" t="inlineStr">
        <is>
          <t>Fase 32</t>
        </is>
      </c>
      <c r="C24" s="38" t="inlineStr">
        <is>
          <t>São Bento da Abadá</t>
        </is>
      </c>
      <c r="D24" s="39" t="inlineStr">
        <is>
          <t>A_A_M_32_P7</t>
        </is>
      </c>
      <c r="E24" s="40" t="n"/>
      <c r="F24" s="39" t="inlineStr">
        <is>
          <t>B_A_M_32_P7</t>
        </is>
      </c>
      <c r="G24" s="40" t="n"/>
      <c r="H24" s="41" t="n"/>
      <c r="I24" s="42">
        <f>IF($H24="","",MAX(0,$H24-N($E24)))</f>
        <v/>
      </c>
      <c r="J24" s="42">
        <f>IF($H24="","",MAX(0,$H24-N($G24)))</f>
        <v/>
      </c>
    </row>
    <row r="25" ht="19.5" customHeight="1" s="72">
      <c r="A25" s="38" t="inlineStr">
        <is>
          <t>AM-32-P07-SIR</t>
        </is>
      </c>
      <c r="B25" s="38" t="inlineStr">
        <is>
          <t>Fase 32</t>
        </is>
      </c>
      <c r="C25" s="38" t="inlineStr">
        <is>
          <t>Siriuna</t>
        </is>
      </c>
      <c r="D25" s="39" t="inlineStr">
        <is>
          <t>A_A_M_32_P7</t>
        </is>
      </c>
      <c r="E25" s="40" t="n"/>
      <c r="F25" s="39" t="inlineStr">
        <is>
          <t>B_A_M_32_P7</t>
        </is>
      </c>
      <c r="G25" s="40" t="n"/>
      <c r="H25" s="41" t="n"/>
      <c r="I25" s="42">
        <f>IF($H25="","",MAX(0,$H25-N($E25)))</f>
        <v/>
      </c>
      <c r="J25" s="42">
        <f>IF($H25="","",MAX(0,$H25-N($G25)))</f>
        <v/>
      </c>
    </row>
    <row r="26" ht="19.5" customHeight="1" s="72">
      <c r="A26" s="38" t="inlineStr">
        <is>
          <t>AM-32-P08-BEN</t>
        </is>
      </c>
      <c r="B26" s="38" t="inlineStr">
        <is>
          <t>Fase 32</t>
        </is>
      </c>
      <c r="C26" s="38" t="inlineStr">
        <is>
          <t>Benguela</t>
        </is>
      </c>
      <c r="D26" s="39" t="inlineStr">
        <is>
          <t>A_A_M_32_P8</t>
        </is>
      </c>
      <c r="E26" s="40" t="n"/>
      <c r="F26" s="39" t="inlineStr">
        <is>
          <t>B_A_M_32_P8</t>
        </is>
      </c>
      <c r="G26" s="40" t="n"/>
      <c r="H26" s="41" t="n"/>
      <c r="I26" s="42">
        <f>IF($H26="","",MAX(0,$H26-N($E26)))</f>
        <v/>
      </c>
      <c r="J26" s="42">
        <f>IF($H26="","",MAX(0,$H26-N($G26)))</f>
        <v/>
      </c>
    </row>
    <row r="27" ht="19.5" customHeight="1" s="72">
      <c r="A27" s="38" t="inlineStr">
        <is>
          <t>AM-32-P08-SBA</t>
        </is>
      </c>
      <c r="B27" s="38" t="inlineStr">
        <is>
          <t>Fase 32</t>
        </is>
      </c>
      <c r="C27" s="38" t="inlineStr">
        <is>
          <t>São Bento da Abadá</t>
        </is>
      </c>
      <c r="D27" s="39" t="inlineStr">
        <is>
          <t>A_A_M_32_P8</t>
        </is>
      </c>
      <c r="E27" s="40" t="n"/>
      <c r="F27" s="39" t="inlineStr">
        <is>
          <t>B_A_M_32_P8</t>
        </is>
      </c>
      <c r="G27" s="40" t="n"/>
      <c r="H27" s="41" t="n"/>
      <c r="I27" s="42">
        <f>IF($H27="","",MAX(0,$H27-N($E27)))</f>
        <v/>
      </c>
      <c r="J27" s="42">
        <f>IF($H27="","",MAX(0,$H27-N($G27)))</f>
        <v/>
      </c>
    </row>
    <row r="28" ht="19.5" customHeight="1" s="72">
      <c r="A28" s="38" t="inlineStr">
        <is>
          <t>AM-32-P08-SIR</t>
        </is>
      </c>
      <c r="B28" s="38" t="inlineStr">
        <is>
          <t>Fase 32</t>
        </is>
      </c>
      <c r="C28" s="38" t="inlineStr">
        <is>
          <t>Siriuna</t>
        </is>
      </c>
      <c r="D28" s="39" t="inlineStr">
        <is>
          <t>A_A_M_32_P8</t>
        </is>
      </c>
      <c r="E28" s="40" t="n"/>
      <c r="F28" s="39" t="inlineStr">
        <is>
          <t>B_A_M_32_P8</t>
        </is>
      </c>
      <c r="G28" s="40" t="n"/>
      <c r="H28" s="41" t="n"/>
      <c r="I28" s="42">
        <f>IF($H28="","",MAX(0,$H28-N($E28)))</f>
        <v/>
      </c>
      <c r="J28" s="42">
        <f>IF($H28="","",MAX(0,$H28-N($G28)))</f>
        <v/>
      </c>
    </row>
    <row r="29" ht="19.5" customHeight="1" s="72">
      <c r="A29" s="38" t="inlineStr">
        <is>
          <t>AM-32-P09-BEN</t>
        </is>
      </c>
      <c r="B29" s="38" t="inlineStr">
        <is>
          <t>Fase 32</t>
        </is>
      </c>
      <c r="C29" s="38" t="inlineStr">
        <is>
          <t>Benguela</t>
        </is>
      </c>
      <c r="D29" s="39" t="inlineStr">
        <is>
          <t>A_A_M_32_P9</t>
        </is>
      </c>
      <c r="E29" s="40" t="n"/>
      <c r="F29" s="39" t="inlineStr">
        <is>
          <t>B_A_M_32_P9</t>
        </is>
      </c>
      <c r="G29" s="40" t="n"/>
      <c r="H29" s="41" t="n"/>
      <c r="I29" s="42">
        <f>IF($H29="","",MAX(0,$H29-N($E29)))</f>
        <v/>
      </c>
      <c r="J29" s="42">
        <f>IF($H29="","",MAX(0,$H29-N($G29)))</f>
        <v/>
      </c>
    </row>
    <row r="30" ht="19.5" customHeight="1" s="72">
      <c r="A30" s="38" t="inlineStr">
        <is>
          <t>AM-32-P09-SBA</t>
        </is>
      </c>
      <c r="B30" s="38" t="inlineStr">
        <is>
          <t>Fase 32</t>
        </is>
      </c>
      <c r="C30" s="38" t="inlineStr">
        <is>
          <t>São Bento da Abadá</t>
        </is>
      </c>
      <c r="D30" s="39" t="inlineStr">
        <is>
          <t>A_A_M_32_P9</t>
        </is>
      </c>
      <c r="E30" s="40" t="n"/>
      <c r="F30" s="39" t="inlineStr">
        <is>
          <t>B_A_M_32_P9</t>
        </is>
      </c>
      <c r="G30" s="40" t="n"/>
      <c r="H30" s="41" t="n"/>
      <c r="I30" s="42">
        <f>IF($H30="","",MAX(0,$H30-N($E30)))</f>
        <v/>
      </c>
      <c r="J30" s="42">
        <f>IF($H30="","",MAX(0,$H30-N($G30)))</f>
        <v/>
      </c>
    </row>
    <row r="31" ht="19.5" customHeight="1" s="72">
      <c r="A31" s="38" t="inlineStr">
        <is>
          <t>AM-32-P09-SIR</t>
        </is>
      </c>
      <c r="B31" s="38" t="inlineStr">
        <is>
          <t>Fase 32</t>
        </is>
      </c>
      <c r="C31" s="38" t="inlineStr">
        <is>
          <t>Siriuna</t>
        </is>
      </c>
      <c r="D31" s="39" t="inlineStr">
        <is>
          <t>A_A_M_32_P9</t>
        </is>
      </c>
      <c r="E31" s="40" t="n"/>
      <c r="F31" s="39" t="inlineStr">
        <is>
          <t>B_A_M_32_P9</t>
        </is>
      </c>
      <c r="G31" s="40" t="n"/>
      <c r="H31" s="41" t="n"/>
      <c r="I31" s="42">
        <f>IF($H31="","",MAX(0,$H31-N($E31)))</f>
        <v/>
      </c>
      <c r="J31" s="42">
        <f>IF($H31="","",MAX(0,$H31-N($G31)))</f>
        <v/>
      </c>
    </row>
    <row r="32" ht="19.5" customHeight="1" s="72">
      <c r="A32" s="38" t="inlineStr">
        <is>
          <t>AM-32-P10-BEN</t>
        </is>
      </c>
      <c r="B32" s="38" t="inlineStr">
        <is>
          <t>Fase 32</t>
        </is>
      </c>
      <c r="C32" s="38" t="inlineStr">
        <is>
          <t>Benguela</t>
        </is>
      </c>
      <c r="D32" s="39" t="inlineStr">
        <is>
          <t>A_A_M_32_P10</t>
        </is>
      </c>
      <c r="E32" s="40" t="n"/>
      <c r="F32" s="39" t="inlineStr">
        <is>
          <t>B_A_M_32_P10</t>
        </is>
      </c>
      <c r="G32" s="40" t="n"/>
      <c r="H32" s="41" t="n"/>
      <c r="I32" s="42">
        <f>IF($H32="","",MAX(0,$H32-N($E32)))</f>
        <v/>
      </c>
      <c r="J32" s="42">
        <f>IF($H32="","",MAX(0,$H32-N($G32)))</f>
        <v/>
      </c>
    </row>
    <row r="33" ht="19.5" customHeight="1" s="72">
      <c r="A33" s="38" t="inlineStr">
        <is>
          <t>AM-32-P10-SBA</t>
        </is>
      </c>
      <c r="B33" s="38" t="inlineStr">
        <is>
          <t>Fase 32</t>
        </is>
      </c>
      <c r="C33" s="38" t="inlineStr">
        <is>
          <t>São Bento da Abadá</t>
        </is>
      </c>
      <c r="D33" s="39" t="inlineStr">
        <is>
          <t>A_A_M_32_P10</t>
        </is>
      </c>
      <c r="E33" s="40" t="n"/>
      <c r="F33" s="39" t="inlineStr">
        <is>
          <t>B_A_M_32_P10</t>
        </is>
      </c>
      <c r="G33" s="40" t="n"/>
      <c r="H33" s="41" t="n"/>
      <c r="I33" s="42">
        <f>IF($H33="","",MAX(0,$H33-N($E33)))</f>
        <v/>
      </c>
      <c r="J33" s="42">
        <f>IF($H33="","",MAX(0,$H33-N($G33)))</f>
        <v/>
      </c>
    </row>
    <row r="34" ht="19.5" customHeight="1" s="72">
      <c r="A34" s="38" t="inlineStr">
        <is>
          <t>AM-32-P10-SIR</t>
        </is>
      </c>
      <c r="B34" s="38" t="inlineStr">
        <is>
          <t>Fase 32</t>
        </is>
      </c>
      <c r="C34" s="38" t="inlineStr">
        <is>
          <t>Siriuna</t>
        </is>
      </c>
      <c r="D34" s="39" t="inlineStr">
        <is>
          <t>A_A_M_32_P10</t>
        </is>
      </c>
      <c r="E34" s="40" t="n"/>
      <c r="F34" s="39" t="inlineStr">
        <is>
          <t>B_A_M_32_P10</t>
        </is>
      </c>
      <c r="G34" s="40" t="n"/>
      <c r="H34" s="41" t="n"/>
      <c r="I34" s="42">
        <f>IF($H34="","",MAX(0,$H34-N($E34)))</f>
        <v/>
      </c>
      <c r="J34" s="42">
        <f>IF($H34="","",MAX(0,$H34-N($G34)))</f>
        <v/>
      </c>
    </row>
    <row r="35" ht="19.5" customHeight="1" s="72">
      <c r="A35" s="38" t="inlineStr">
        <is>
          <t>AM-32-P11-BEN</t>
        </is>
      </c>
      <c r="B35" s="38" t="inlineStr">
        <is>
          <t>Fase 32</t>
        </is>
      </c>
      <c r="C35" s="38" t="inlineStr">
        <is>
          <t>Benguela</t>
        </is>
      </c>
      <c r="D35" s="39" t="inlineStr">
        <is>
          <t>A_A_M_32_P11</t>
        </is>
      </c>
      <c r="E35" s="40" t="n"/>
      <c r="F35" s="39" t="inlineStr">
        <is>
          <t>B_A_M_32_P11</t>
        </is>
      </c>
      <c r="G35" s="40" t="n"/>
      <c r="H35" s="41" t="n"/>
      <c r="I35" s="42">
        <f>IF($H35="","",MAX(0,$H35-N($E35)))</f>
        <v/>
      </c>
      <c r="J35" s="42">
        <f>IF($H35="","",MAX(0,$H35-N($G35)))</f>
        <v/>
      </c>
    </row>
    <row r="36" ht="19.5" customHeight="1" s="72">
      <c r="A36" s="38" t="inlineStr">
        <is>
          <t>AM-32-P11-SBA</t>
        </is>
      </c>
      <c r="B36" s="38" t="inlineStr">
        <is>
          <t>Fase 32</t>
        </is>
      </c>
      <c r="C36" s="38" t="inlineStr">
        <is>
          <t>São Bento da Abadá</t>
        </is>
      </c>
      <c r="D36" s="39" t="inlineStr">
        <is>
          <t>A_A_M_32_P11</t>
        </is>
      </c>
      <c r="E36" s="40" t="n"/>
      <c r="F36" s="39" t="inlineStr">
        <is>
          <t>B_A_M_32_P11</t>
        </is>
      </c>
      <c r="G36" s="40" t="n"/>
      <c r="H36" s="41" t="n"/>
      <c r="I36" s="42">
        <f>IF($H36="","",MAX(0,$H36-N($E36)))</f>
        <v/>
      </c>
      <c r="J36" s="42">
        <f>IF($H36="","",MAX(0,$H36-N($G36)))</f>
        <v/>
      </c>
    </row>
    <row r="37" ht="19.5" customHeight="1" s="72">
      <c r="A37" s="38" t="inlineStr">
        <is>
          <t>AM-32-P11-SIR</t>
        </is>
      </c>
      <c r="B37" s="38" t="inlineStr">
        <is>
          <t>Fase 32</t>
        </is>
      </c>
      <c r="C37" s="38" t="inlineStr">
        <is>
          <t>Siriuna</t>
        </is>
      </c>
      <c r="D37" s="39" t="inlineStr">
        <is>
          <t>A_A_M_32_P11</t>
        </is>
      </c>
      <c r="E37" s="40" t="n"/>
      <c r="F37" s="39" t="inlineStr">
        <is>
          <t>B_A_M_32_P11</t>
        </is>
      </c>
      <c r="G37" s="40" t="n"/>
      <c r="H37" s="41" t="n"/>
      <c r="I37" s="42">
        <f>IF($H37="","",MAX(0,$H37-N($E37)))</f>
        <v/>
      </c>
      <c r="J37" s="42">
        <f>IF($H37="","",MAX(0,$H37-N($G37)))</f>
        <v/>
      </c>
    </row>
    <row r="38" ht="19.5" customHeight="1" s="72">
      <c r="A38" s="38" t="inlineStr">
        <is>
          <t>AM-32-P12-BEN</t>
        </is>
      </c>
      <c r="B38" s="38" t="inlineStr">
        <is>
          <t>Fase 32</t>
        </is>
      </c>
      <c r="C38" s="38" t="inlineStr">
        <is>
          <t>Benguela</t>
        </is>
      </c>
      <c r="D38" s="39" t="inlineStr">
        <is>
          <t>A_A_M_32_P12</t>
        </is>
      </c>
      <c r="E38" s="40" t="n"/>
      <c r="F38" s="39" t="inlineStr">
        <is>
          <t>B_A_M_32_P12</t>
        </is>
      </c>
      <c r="G38" s="40" t="n"/>
      <c r="H38" s="41" t="n"/>
      <c r="I38" s="42">
        <f>IF($H38="","",MAX(0,$H38-N($E38)))</f>
        <v/>
      </c>
      <c r="J38" s="42">
        <f>IF($H38="","",MAX(0,$H38-N($G38)))</f>
        <v/>
      </c>
    </row>
    <row r="39" ht="19.5" customHeight="1" s="72">
      <c r="A39" s="38" t="inlineStr">
        <is>
          <t>AM-32-P12-SBA</t>
        </is>
      </c>
      <c r="B39" s="38" t="inlineStr">
        <is>
          <t>Fase 32</t>
        </is>
      </c>
      <c r="C39" s="38" t="inlineStr">
        <is>
          <t>São Bento da Abadá</t>
        </is>
      </c>
      <c r="D39" s="39" t="inlineStr">
        <is>
          <t>A_A_M_32_P12</t>
        </is>
      </c>
      <c r="E39" s="40" t="n"/>
      <c r="F39" s="39" t="inlineStr">
        <is>
          <t>B_A_M_32_P12</t>
        </is>
      </c>
      <c r="G39" s="40" t="n"/>
      <c r="H39" s="41" t="n"/>
      <c r="I39" s="42">
        <f>IF($H39="","",MAX(0,$H39-N($E39)))</f>
        <v/>
      </c>
      <c r="J39" s="42">
        <f>IF($H39="","",MAX(0,$H39-N($G39)))</f>
        <v/>
      </c>
    </row>
    <row r="40" ht="19.5" customHeight="1" s="72">
      <c r="A40" s="38" t="inlineStr">
        <is>
          <t>AM-32-P12-SIR</t>
        </is>
      </c>
      <c r="B40" s="38" t="inlineStr">
        <is>
          <t>Fase 32</t>
        </is>
      </c>
      <c r="C40" s="38" t="inlineStr">
        <is>
          <t>Siriuna</t>
        </is>
      </c>
      <c r="D40" s="39" t="inlineStr">
        <is>
          <t>A_A_M_32_P12</t>
        </is>
      </c>
      <c r="E40" s="40" t="n"/>
      <c r="F40" s="39" t="inlineStr">
        <is>
          <t>B_A_M_32_P12</t>
        </is>
      </c>
      <c r="G40" s="40" t="n"/>
      <c r="H40" s="41" t="n"/>
      <c r="I40" s="42">
        <f>IF($H40="","",MAX(0,$H40-N($E40)))</f>
        <v/>
      </c>
      <c r="J40" s="42">
        <f>IF($H40="","",MAX(0,$H40-N($G40)))</f>
        <v/>
      </c>
    </row>
    <row r="41" ht="19.5" customHeight="1" s="72">
      <c r="A41" s="38" t="inlineStr">
        <is>
          <t>AM-32-P13-BEN</t>
        </is>
      </c>
      <c r="B41" s="38" t="inlineStr">
        <is>
          <t>Fase 32</t>
        </is>
      </c>
      <c r="C41" s="38" t="inlineStr">
        <is>
          <t>Benguela</t>
        </is>
      </c>
      <c r="D41" s="39" t="inlineStr">
        <is>
          <t>A_A_M_32_P13</t>
        </is>
      </c>
      <c r="E41" s="40" t="n"/>
      <c r="F41" s="39" t="inlineStr">
        <is>
          <t>B_A_M_32_P13</t>
        </is>
      </c>
      <c r="G41" s="40" t="n"/>
      <c r="H41" s="41" t="n"/>
      <c r="I41" s="42">
        <f>IF($H41="","",MAX(0,$H41-N($E41)))</f>
        <v/>
      </c>
      <c r="J41" s="42">
        <f>IF($H41="","",MAX(0,$H41-N($G41)))</f>
        <v/>
      </c>
    </row>
    <row r="42" ht="19.5" customHeight="1" s="72">
      <c r="A42" s="38" t="inlineStr">
        <is>
          <t>AM-32-P13-SBA</t>
        </is>
      </c>
      <c r="B42" s="38" t="inlineStr">
        <is>
          <t>Fase 32</t>
        </is>
      </c>
      <c r="C42" s="38" t="inlineStr">
        <is>
          <t>São Bento da Abadá</t>
        </is>
      </c>
      <c r="D42" s="39" t="inlineStr">
        <is>
          <t>A_A_M_32_P13</t>
        </is>
      </c>
      <c r="E42" s="40" t="n"/>
      <c r="F42" s="39" t="inlineStr">
        <is>
          <t>B_A_M_32_P13</t>
        </is>
      </c>
      <c r="G42" s="40" t="n"/>
      <c r="H42" s="41" t="n"/>
      <c r="I42" s="42">
        <f>IF($H42="","",MAX(0,$H42-N($E42)))</f>
        <v/>
      </c>
      <c r="J42" s="42">
        <f>IF($H42="","",MAX(0,$H42-N($G42)))</f>
        <v/>
      </c>
    </row>
    <row r="43" ht="19.5" customHeight="1" s="72">
      <c r="A43" s="38" t="inlineStr">
        <is>
          <t>AM-32-P13-SIR</t>
        </is>
      </c>
      <c r="B43" s="38" t="inlineStr">
        <is>
          <t>Fase 32</t>
        </is>
      </c>
      <c r="C43" s="38" t="inlineStr">
        <is>
          <t>Siriuna</t>
        </is>
      </c>
      <c r="D43" s="39" t="inlineStr">
        <is>
          <t>A_A_M_32_P13</t>
        </is>
      </c>
      <c r="E43" s="40" t="n"/>
      <c r="F43" s="39" t="inlineStr">
        <is>
          <t>B_A_M_32_P13</t>
        </is>
      </c>
      <c r="G43" s="40" t="n"/>
      <c r="H43" s="41" t="n"/>
      <c r="I43" s="42">
        <f>IF($H43="","",MAX(0,$H43-N($E43)))</f>
        <v/>
      </c>
      <c r="J43" s="42">
        <f>IF($H43="","",MAX(0,$H43-N($G43)))</f>
        <v/>
      </c>
    </row>
    <row r="44" ht="19.5" customHeight="1" s="72">
      <c r="A44" s="38" t="inlineStr">
        <is>
          <t>AM-32-P14-BEN</t>
        </is>
      </c>
      <c r="B44" s="38" t="inlineStr">
        <is>
          <t>Fase 32</t>
        </is>
      </c>
      <c r="C44" s="38" t="inlineStr">
        <is>
          <t>Benguela</t>
        </is>
      </c>
      <c r="D44" s="39" t="inlineStr">
        <is>
          <t>A_A_M_32_P14</t>
        </is>
      </c>
      <c r="E44" s="40" t="n"/>
      <c r="F44" s="39" t="inlineStr">
        <is>
          <t>B_A_M_32_P14</t>
        </is>
      </c>
      <c r="G44" s="40" t="n"/>
      <c r="H44" s="41" t="n"/>
      <c r="I44" s="42">
        <f>IF($H44="","",MAX(0,$H44-N($E44)))</f>
        <v/>
      </c>
      <c r="J44" s="42">
        <f>IF($H44="","",MAX(0,$H44-N($G44)))</f>
        <v/>
      </c>
    </row>
    <row r="45" ht="19.5" customHeight="1" s="72">
      <c r="A45" s="38" t="inlineStr">
        <is>
          <t>AM-32-P14-SBA</t>
        </is>
      </c>
      <c r="B45" s="38" t="inlineStr">
        <is>
          <t>Fase 32</t>
        </is>
      </c>
      <c r="C45" s="38" t="inlineStr">
        <is>
          <t>São Bento da Abadá</t>
        </is>
      </c>
      <c r="D45" s="39" t="inlineStr">
        <is>
          <t>A_A_M_32_P14</t>
        </is>
      </c>
      <c r="E45" s="40" t="n"/>
      <c r="F45" s="39" t="inlineStr">
        <is>
          <t>B_A_M_32_P14</t>
        </is>
      </c>
      <c r="G45" s="40" t="n"/>
      <c r="H45" s="41" t="n"/>
      <c r="I45" s="42">
        <f>IF($H45="","",MAX(0,$H45-N($E45)))</f>
        <v/>
      </c>
      <c r="J45" s="42">
        <f>IF($H45="","",MAX(0,$H45-N($G45)))</f>
        <v/>
      </c>
    </row>
    <row r="46" ht="19.5" customHeight="1" s="72">
      <c r="A46" s="38" t="inlineStr">
        <is>
          <t>AM-32-P14-SIR</t>
        </is>
      </c>
      <c r="B46" s="38" t="inlineStr">
        <is>
          <t>Fase 32</t>
        </is>
      </c>
      <c r="C46" s="38" t="inlineStr">
        <is>
          <t>Siriuna</t>
        </is>
      </c>
      <c r="D46" s="39" t="inlineStr">
        <is>
          <t>A_A_M_32_P14</t>
        </is>
      </c>
      <c r="E46" s="40" t="n"/>
      <c r="F46" s="39" t="inlineStr">
        <is>
          <t>B_A_M_32_P14</t>
        </is>
      </c>
      <c r="G46" s="40" t="n"/>
      <c r="H46" s="41" t="n"/>
      <c r="I46" s="42">
        <f>IF($H46="","",MAX(0,$H46-N($E46)))</f>
        <v/>
      </c>
      <c r="J46" s="42">
        <f>IF($H46="","",MAX(0,$H46-N($G46)))</f>
        <v/>
      </c>
    </row>
    <row r="47" ht="19.5" customHeight="1" s="72">
      <c r="A47" s="38" t="inlineStr">
        <is>
          <t>AM-32-P15-BEN</t>
        </is>
      </c>
      <c r="B47" s="38" t="inlineStr">
        <is>
          <t>Fase 32</t>
        </is>
      </c>
      <c r="C47" s="38" t="inlineStr">
        <is>
          <t>Benguela</t>
        </is>
      </c>
      <c r="D47" s="39" t="inlineStr">
        <is>
          <t>A_A_M_32_P15</t>
        </is>
      </c>
      <c r="E47" s="40" t="n"/>
      <c r="F47" s="39" t="inlineStr">
        <is>
          <t>B_A_M_32_P15</t>
        </is>
      </c>
      <c r="G47" s="40" t="n"/>
      <c r="H47" s="41" t="n"/>
      <c r="I47" s="42">
        <f>IF($H47="","",MAX(0,$H47-N($E47)))</f>
        <v/>
      </c>
      <c r="J47" s="42">
        <f>IF($H47="","",MAX(0,$H47-N($G47)))</f>
        <v/>
      </c>
    </row>
    <row r="48" ht="19.5" customHeight="1" s="72">
      <c r="A48" s="38" t="inlineStr">
        <is>
          <t>AM-32-P15-SBA</t>
        </is>
      </c>
      <c r="B48" s="38" t="inlineStr">
        <is>
          <t>Fase 32</t>
        </is>
      </c>
      <c r="C48" s="38" t="inlineStr">
        <is>
          <t>São Bento da Abadá</t>
        </is>
      </c>
      <c r="D48" s="39" t="inlineStr">
        <is>
          <t>A_A_M_32_P15</t>
        </is>
      </c>
      <c r="E48" s="40" t="n"/>
      <c r="F48" s="39" t="inlineStr">
        <is>
          <t>B_A_M_32_P15</t>
        </is>
      </c>
      <c r="G48" s="40" t="n"/>
      <c r="H48" s="41" t="n"/>
      <c r="I48" s="42">
        <f>IF($H48="","",MAX(0,$H48-N($E48)))</f>
        <v/>
      </c>
      <c r="J48" s="42">
        <f>IF($H48="","",MAX(0,$H48-N($G48)))</f>
        <v/>
      </c>
    </row>
    <row r="49" ht="19.5" customHeight="1" s="72">
      <c r="A49" s="38" t="inlineStr">
        <is>
          <t>AM-32-P15-SIR</t>
        </is>
      </c>
      <c r="B49" s="38" t="inlineStr">
        <is>
          <t>Fase 32</t>
        </is>
      </c>
      <c r="C49" s="38" t="inlineStr">
        <is>
          <t>Siriuna</t>
        </is>
      </c>
      <c r="D49" s="39" t="inlineStr">
        <is>
          <t>A_A_M_32_P15</t>
        </is>
      </c>
      <c r="E49" s="40" t="n"/>
      <c r="F49" s="39" t="inlineStr">
        <is>
          <t>B_A_M_32_P15</t>
        </is>
      </c>
      <c r="G49" s="40" t="n"/>
      <c r="H49" s="41" t="n"/>
      <c r="I49" s="42">
        <f>IF($H49="","",MAX(0,$H49-N($E49)))</f>
        <v/>
      </c>
      <c r="J49" s="42">
        <f>IF($H49="","",MAX(0,$H49-N($G49)))</f>
        <v/>
      </c>
    </row>
    <row r="50" ht="19.5" customHeight="1" s="72">
      <c r="A50" s="38" t="inlineStr">
        <is>
          <t>AM-32-P16-BEN</t>
        </is>
      </c>
      <c r="B50" s="38" t="inlineStr">
        <is>
          <t>Fase 32</t>
        </is>
      </c>
      <c r="C50" s="38" t="inlineStr">
        <is>
          <t>Benguela</t>
        </is>
      </c>
      <c r="D50" s="39" t="inlineStr">
        <is>
          <t>A_A_M_32_P16</t>
        </is>
      </c>
      <c r="E50" s="40" t="n"/>
      <c r="F50" s="39" t="inlineStr">
        <is>
          <t>B_A_M_32_P16</t>
        </is>
      </c>
      <c r="G50" s="40" t="n"/>
      <c r="H50" s="41" t="n"/>
      <c r="I50" s="42">
        <f>IF($H50="","",MAX(0,$H50-N($E50)))</f>
        <v/>
      </c>
      <c r="J50" s="42">
        <f>IF($H50="","",MAX(0,$H50-N($G50)))</f>
        <v/>
      </c>
    </row>
    <row r="51" ht="19.5" customHeight="1" s="72">
      <c r="A51" s="38" t="inlineStr">
        <is>
          <t>AM-32-P16-SBA</t>
        </is>
      </c>
      <c r="B51" s="38" t="inlineStr">
        <is>
          <t>Fase 32</t>
        </is>
      </c>
      <c r="C51" s="38" t="inlineStr">
        <is>
          <t>São Bento da Abadá</t>
        </is>
      </c>
      <c r="D51" s="39" t="inlineStr">
        <is>
          <t>A_A_M_32_P16</t>
        </is>
      </c>
      <c r="E51" s="40" t="n"/>
      <c r="F51" s="39" t="inlineStr">
        <is>
          <t>B_A_M_32_P16</t>
        </is>
      </c>
      <c r="G51" s="40" t="n"/>
      <c r="H51" s="41" t="n"/>
      <c r="I51" s="42">
        <f>IF($H51="","",MAX(0,$H51-N($E51)))</f>
        <v/>
      </c>
      <c r="J51" s="42">
        <f>IF($H51="","",MAX(0,$H51-N($G51)))</f>
        <v/>
      </c>
    </row>
    <row r="52" ht="19.5" customHeight="1" s="72">
      <c r="A52" s="38" t="inlineStr">
        <is>
          <t>AM-32-P16-SIR</t>
        </is>
      </c>
      <c r="B52" s="38" t="inlineStr">
        <is>
          <t>Fase 32</t>
        </is>
      </c>
      <c r="C52" s="38" t="inlineStr">
        <is>
          <t>Siriuna</t>
        </is>
      </c>
      <c r="D52" s="39" t="inlineStr">
        <is>
          <t>A_A_M_32_P16</t>
        </is>
      </c>
      <c r="E52" s="40" t="n"/>
      <c r="F52" s="39" t="inlineStr">
        <is>
          <t>B_A_M_32_P16</t>
        </is>
      </c>
      <c r="G52" s="40" t="n"/>
      <c r="H52" s="41" t="n"/>
      <c r="I52" s="42">
        <f>IF($H52="","",MAX(0,$H52-N($E52)))</f>
        <v/>
      </c>
      <c r="J52" s="42">
        <f>IF($H52="","",MAX(0,$H52-N($G52)))</f>
        <v/>
      </c>
    </row>
    <row r="53" ht="19.5" customHeight="1" s="72">
      <c r="A53" s="38" t="inlineStr">
        <is>
          <t>AM-OCT-P01-BEN</t>
        </is>
      </c>
      <c r="B53" s="38" t="inlineStr">
        <is>
          <t>Octavas</t>
        </is>
      </c>
      <c r="C53" s="38" t="inlineStr">
        <is>
          <t>Benguela</t>
        </is>
      </c>
      <c r="D53" s="39">
        <f>IFERROR(CLASIF_A_M!$F$5,"")</f>
        <v/>
      </c>
      <c r="E53" s="40" t="n"/>
      <c r="F53" s="39">
        <f>IFERROR(CLASIF_A_M!$F$20,"")</f>
        <v/>
      </c>
      <c r="G53" s="40" t="n"/>
      <c r="H53" s="41" t="n"/>
      <c r="I53" s="42">
        <f>IF($H53="","",MAX(0,$H53-N($E53)))</f>
        <v/>
      </c>
      <c r="J53" s="42">
        <f>IF($H53="","",MAX(0,$H53-N($G53)))</f>
        <v/>
      </c>
    </row>
    <row r="54" ht="19.5" customHeight="1" s="72">
      <c r="A54" s="38" t="inlineStr">
        <is>
          <t>AM-OCT-P01-SBA</t>
        </is>
      </c>
      <c r="B54" s="38" t="inlineStr">
        <is>
          <t>Octavas</t>
        </is>
      </c>
      <c r="C54" s="38" t="inlineStr">
        <is>
          <t>São Bento da Abadá</t>
        </is>
      </c>
      <c r="D54" s="39">
        <f>IFERROR(CLASIF_A_M!$F$5,"")</f>
        <v/>
      </c>
      <c r="E54" s="40" t="n"/>
      <c r="F54" s="39">
        <f>IFERROR(CLASIF_A_M!$F$20,"")</f>
        <v/>
      </c>
      <c r="G54" s="40" t="n"/>
      <c r="H54" s="41" t="n"/>
      <c r="I54" s="42">
        <f>IF($H54="","",MAX(0,$H54-N($E54)))</f>
        <v/>
      </c>
      <c r="J54" s="42">
        <f>IF($H54="","",MAX(0,$H54-N($G54)))</f>
        <v/>
      </c>
    </row>
    <row r="55" ht="19.5" customHeight="1" s="72">
      <c r="A55" s="38" t="inlineStr">
        <is>
          <t>AM-OCT-P01-SIR</t>
        </is>
      </c>
      <c r="B55" s="38" t="inlineStr">
        <is>
          <t>Octavas</t>
        </is>
      </c>
      <c r="C55" s="38" t="inlineStr">
        <is>
          <t>Siriuna</t>
        </is>
      </c>
      <c r="D55" s="39">
        <f>IFERROR(CLASIF_A_M!$F$5,"")</f>
        <v/>
      </c>
      <c r="E55" s="40" t="n"/>
      <c r="F55" s="39">
        <f>IFERROR(CLASIF_A_M!$F$20,"")</f>
        <v/>
      </c>
      <c r="G55" s="40" t="n"/>
      <c r="H55" s="41" t="n"/>
      <c r="I55" s="42">
        <f>IF($H55="","",MAX(0,$H55-N($E55)))</f>
        <v/>
      </c>
      <c r="J55" s="42">
        <f>IF($H55="","",MAX(0,$H55-N($G55)))</f>
        <v/>
      </c>
    </row>
    <row r="56" ht="19.5" customHeight="1" s="72">
      <c r="A56" s="38" t="inlineStr">
        <is>
          <t>AM-OCT-P02-BEN</t>
        </is>
      </c>
      <c r="B56" s="38" t="inlineStr">
        <is>
          <t>Octavas</t>
        </is>
      </c>
      <c r="C56" s="38" t="inlineStr">
        <is>
          <t>Benguela</t>
        </is>
      </c>
      <c r="D56" s="39">
        <f>IFERROR(CLASIF_A_M!$F$6,"")</f>
        <v/>
      </c>
      <c r="E56" s="40" t="n"/>
      <c r="F56" s="39">
        <f>IFERROR(CLASIF_A_M!$F$19,"")</f>
        <v/>
      </c>
      <c r="G56" s="40" t="n"/>
      <c r="H56" s="41" t="n"/>
      <c r="I56" s="42">
        <f>IF($H56="","",MAX(0,$H56-N($E56)))</f>
        <v/>
      </c>
      <c r="J56" s="42">
        <f>IF($H56="","",MAX(0,$H56-N($G56)))</f>
        <v/>
      </c>
    </row>
    <row r="57" ht="19.5" customHeight="1" s="72">
      <c r="A57" s="38" t="inlineStr">
        <is>
          <t>AM-OCT-P02-SBA</t>
        </is>
      </c>
      <c r="B57" s="38" t="inlineStr">
        <is>
          <t>Octavas</t>
        </is>
      </c>
      <c r="C57" s="38" t="inlineStr">
        <is>
          <t>São Bento da Abadá</t>
        </is>
      </c>
      <c r="D57" s="39">
        <f>IFERROR(CLASIF_A_M!$F$6,"")</f>
        <v/>
      </c>
      <c r="E57" s="40" t="n"/>
      <c r="F57" s="39">
        <f>IFERROR(CLASIF_A_M!$F$19,"")</f>
        <v/>
      </c>
      <c r="G57" s="40" t="n"/>
      <c r="H57" s="41" t="n"/>
      <c r="I57" s="42">
        <f>IF($H57="","",MAX(0,$H57-N($E57)))</f>
        <v/>
      </c>
      <c r="J57" s="42">
        <f>IF($H57="","",MAX(0,$H57-N($G57)))</f>
        <v/>
      </c>
    </row>
    <row r="58" ht="19.5" customHeight="1" s="72">
      <c r="A58" s="38" t="inlineStr">
        <is>
          <t>AM-OCT-P02-SIR</t>
        </is>
      </c>
      <c r="B58" s="38" t="inlineStr">
        <is>
          <t>Octavas</t>
        </is>
      </c>
      <c r="C58" s="38" t="inlineStr">
        <is>
          <t>Siriuna</t>
        </is>
      </c>
      <c r="D58" s="39">
        <f>IFERROR(CLASIF_A_M!$F$6,"")</f>
        <v/>
      </c>
      <c r="E58" s="40" t="n"/>
      <c r="F58" s="39">
        <f>IFERROR(CLASIF_A_M!$F$19,"")</f>
        <v/>
      </c>
      <c r="G58" s="40" t="n"/>
      <c r="H58" s="41" t="n"/>
      <c r="I58" s="42">
        <f>IF($H58="","",MAX(0,$H58-N($E58)))</f>
        <v/>
      </c>
      <c r="J58" s="42">
        <f>IF($H58="","",MAX(0,$H58-N($G58)))</f>
        <v/>
      </c>
    </row>
    <row r="59" ht="19.5" customHeight="1" s="72">
      <c r="A59" s="38" t="inlineStr">
        <is>
          <t>AM-OCT-P03-BEN</t>
        </is>
      </c>
      <c r="B59" s="38" t="inlineStr">
        <is>
          <t>Octavas</t>
        </is>
      </c>
      <c r="C59" s="38" t="inlineStr">
        <is>
          <t>Benguela</t>
        </is>
      </c>
      <c r="D59" s="39">
        <f>IFERROR(CLASIF_A_M!$F$7,"")</f>
        <v/>
      </c>
      <c r="E59" s="40" t="n"/>
      <c r="F59" s="39">
        <f>IFERROR(CLASIF_A_M!$F$18,"")</f>
        <v/>
      </c>
      <c r="G59" s="40" t="n"/>
      <c r="H59" s="41" t="n"/>
      <c r="I59" s="42">
        <f>IF($H59="","",MAX(0,$H59-N($E59)))</f>
        <v/>
      </c>
      <c r="J59" s="42">
        <f>IF($H59="","",MAX(0,$H59-N($G59)))</f>
        <v/>
      </c>
    </row>
    <row r="60" ht="19.5" customHeight="1" s="72">
      <c r="A60" s="38" t="inlineStr">
        <is>
          <t>AM-OCT-P03-SBA</t>
        </is>
      </c>
      <c r="B60" s="38" t="inlineStr">
        <is>
          <t>Octavas</t>
        </is>
      </c>
      <c r="C60" s="38" t="inlineStr">
        <is>
          <t>São Bento da Abadá</t>
        </is>
      </c>
      <c r="D60" s="39">
        <f>IFERROR(CLASIF_A_M!$F$7,"")</f>
        <v/>
      </c>
      <c r="E60" s="40" t="n"/>
      <c r="F60" s="39">
        <f>IFERROR(CLASIF_A_M!$F$18,"")</f>
        <v/>
      </c>
      <c r="G60" s="40" t="n"/>
      <c r="H60" s="41" t="n"/>
      <c r="I60" s="42">
        <f>IF($H60="","",MAX(0,$H60-N($E60)))</f>
        <v/>
      </c>
      <c r="J60" s="42">
        <f>IF($H60="","",MAX(0,$H60-N($G60)))</f>
        <v/>
      </c>
    </row>
    <row r="61" ht="19.5" customHeight="1" s="72">
      <c r="A61" s="38" t="inlineStr">
        <is>
          <t>AM-OCT-P03-SIR</t>
        </is>
      </c>
      <c r="B61" s="38" t="inlineStr">
        <is>
          <t>Octavas</t>
        </is>
      </c>
      <c r="C61" s="38" t="inlineStr">
        <is>
          <t>Siriuna</t>
        </is>
      </c>
      <c r="D61" s="39">
        <f>IFERROR(CLASIF_A_M!$F$7,"")</f>
        <v/>
      </c>
      <c r="E61" s="40" t="n"/>
      <c r="F61" s="39">
        <f>IFERROR(CLASIF_A_M!$F$18,"")</f>
        <v/>
      </c>
      <c r="G61" s="40" t="n"/>
      <c r="H61" s="41" t="n"/>
      <c r="I61" s="42">
        <f>IF($H61="","",MAX(0,$H61-N($E61)))</f>
        <v/>
      </c>
      <c r="J61" s="42">
        <f>IF($H61="","",MAX(0,$H61-N($G61)))</f>
        <v/>
      </c>
    </row>
    <row r="62" ht="19.5" customHeight="1" s="72">
      <c r="A62" s="38" t="inlineStr">
        <is>
          <t>AM-OCT-P04-BEN</t>
        </is>
      </c>
      <c r="B62" s="38" t="inlineStr">
        <is>
          <t>Octavas</t>
        </is>
      </c>
      <c r="C62" s="38" t="inlineStr">
        <is>
          <t>Benguela</t>
        </is>
      </c>
      <c r="D62" s="39">
        <f>IFERROR(CLASIF_A_M!$F$8,"")</f>
        <v/>
      </c>
      <c r="E62" s="40" t="n"/>
      <c r="F62" s="39">
        <f>IFERROR(CLASIF_A_M!$F$17,"")</f>
        <v/>
      </c>
      <c r="G62" s="40" t="n"/>
      <c r="H62" s="41" t="n"/>
      <c r="I62" s="42">
        <f>IF($H62="","",MAX(0,$H62-N($E62)))</f>
        <v/>
      </c>
      <c r="J62" s="42">
        <f>IF($H62="","",MAX(0,$H62-N($G62)))</f>
        <v/>
      </c>
    </row>
    <row r="63" ht="19.5" customHeight="1" s="72">
      <c r="A63" s="38" t="inlineStr">
        <is>
          <t>AM-OCT-P04-SBA</t>
        </is>
      </c>
      <c r="B63" s="38" t="inlineStr">
        <is>
          <t>Octavas</t>
        </is>
      </c>
      <c r="C63" s="38" t="inlineStr">
        <is>
          <t>São Bento da Abadá</t>
        </is>
      </c>
      <c r="D63" s="39">
        <f>IFERROR(CLASIF_A_M!$F$8,"")</f>
        <v/>
      </c>
      <c r="E63" s="40" t="n"/>
      <c r="F63" s="39">
        <f>IFERROR(CLASIF_A_M!$F$17,"")</f>
        <v/>
      </c>
      <c r="G63" s="40" t="n"/>
      <c r="H63" s="41" t="n"/>
      <c r="I63" s="42">
        <f>IF($H63="","",MAX(0,$H63-N($E63)))</f>
        <v/>
      </c>
      <c r="J63" s="42">
        <f>IF($H63="","",MAX(0,$H63-N($G63)))</f>
        <v/>
      </c>
    </row>
    <row r="64" ht="19.5" customHeight="1" s="72">
      <c r="A64" s="38" t="inlineStr">
        <is>
          <t>AM-OCT-P04-SIR</t>
        </is>
      </c>
      <c r="B64" s="38" t="inlineStr">
        <is>
          <t>Octavas</t>
        </is>
      </c>
      <c r="C64" s="38" t="inlineStr">
        <is>
          <t>Siriuna</t>
        </is>
      </c>
      <c r="D64" s="39">
        <f>IFERROR(CLASIF_A_M!$F$8,"")</f>
        <v/>
      </c>
      <c r="E64" s="40" t="n"/>
      <c r="F64" s="39">
        <f>IFERROR(CLASIF_A_M!$F$17,"")</f>
        <v/>
      </c>
      <c r="G64" s="40" t="n"/>
      <c r="H64" s="41" t="n"/>
      <c r="I64" s="42">
        <f>IF($H64="","",MAX(0,$H64-N($E64)))</f>
        <v/>
      </c>
      <c r="J64" s="42">
        <f>IF($H64="","",MAX(0,$H64-N($G64)))</f>
        <v/>
      </c>
    </row>
    <row r="65" ht="19.5" customHeight="1" s="72">
      <c r="A65" s="38" t="inlineStr">
        <is>
          <t>AM-OCT-P05-BEN</t>
        </is>
      </c>
      <c r="B65" s="38" t="inlineStr">
        <is>
          <t>Octavas</t>
        </is>
      </c>
      <c r="C65" s="38" t="inlineStr">
        <is>
          <t>Benguela</t>
        </is>
      </c>
      <c r="D65" s="39">
        <f>IFERROR(CLASIF_A_M!$F$9,"")</f>
        <v/>
      </c>
      <c r="E65" s="40" t="n"/>
      <c r="F65" s="39">
        <f>IFERROR(CLASIF_A_M!$F$16,"")</f>
        <v/>
      </c>
      <c r="G65" s="40" t="n"/>
      <c r="H65" s="41" t="n"/>
      <c r="I65" s="42">
        <f>IF($H65="","",MAX(0,$H65-N($E65)))</f>
        <v/>
      </c>
      <c r="J65" s="42">
        <f>IF($H65="","",MAX(0,$H65-N($G65)))</f>
        <v/>
      </c>
    </row>
    <row r="66" ht="19.5" customHeight="1" s="72">
      <c r="A66" s="38" t="inlineStr">
        <is>
          <t>AM-OCT-P05-SBA</t>
        </is>
      </c>
      <c r="B66" s="38" t="inlineStr">
        <is>
          <t>Octavas</t>
        </is>
      </c>
      <c r="C66" s="38" t="inlineStr">
        <is>
          <t>São Bento da Abadá</t>
        </is>
      </c>
      <c r="D66" s="39">
        <f>IFERROR(CLASIF_A_M!$F$9,"")</f>
        <v/>
      </c>
      <c r="E66" s="40" t="n"/>
      <c r="F66" s="39">
        <f>IFERROR(CLASIF_A_M!$F$16,"")</f>
        <v/>
      </c>
      <c r="G66" s="40" t="n"/>
      <c r="H66" s="41" t="n"/>
      <c r="I66" s="42">
        <f>IF($H66="","",MAX(0,$H66-N($E66)))</f>
        <v/>
      </c>
      <c r="J66" s="42">
        <f>IF($H66="","",MAX(0,$H66-N($G66)))</f>
        <v/>
      </c>
    </row>
    <row r="67" ht="19.5" customHeight="1" s="72">
      <c r="A67" s="38" t="inlineStr">
        <is>
          <t>AM-OCT-P05-SIR</t>
        </is>
      </c>
      <c r="B67" s="38" t="inlineStr">
        <is>
          <t>Octavas</t>
        </is>
      </c>
      <c r="C67" s="38" t="inlineStr">
        <is>
          <t>Siriuna</t>
        </is>
      </c>
      <c r="D67" s="39">
        <f>IFERROR(CLASIF_A_M!$F$9,"")</f>
        <v/>
      </c>
      <c r="E67" s="40" t="n"/>
      <c r="F67" s="39">
        <f>IFERROR(CLASIF_A_M!$F$16,"")</f>
        <v/>
      </c>
      <c r="G67" s="40" t="n"/>
      <c r="H67" s="41" t="n"/>
      <c r="I67" s="42">
        <f>IF($H67="","",MAX(0,$H67-N($E67)))</f>
        <v/>
      </c>
      <c r="J67" s="42">
        <f>IF($H67="","",MAX(0,$H67-N($G67)))</f>
        <v/>
      </c>
    </row>
    <row r="68" ht="19.5" customHeight="1" s="72">
      <c r="A68" s="38" t="inlineStr">
        <is>
          <t>AM-OCT-P06-BEN</t>
        </is>
      </c>
      <c r="B68" s="38" t="inlineStr">
        <is>
          <t>Octavas</t>
        </is>
      </c>
      <c r="C68" s="38" t="inlineStr">
        <is>
          <t>Benguela</t>
        </is>
      </c>
      <c r="D68" s="39">
        <f>IFERROR(CLASIF_A_M!$F$10,"")</f>
        <v/>
      </c>
      <c r="E68" s="40" t="n"/>
      <c r="F68" s="39">
        <f>IFERROR(CLASIF_A_M!$F$15,"")</f>
        <v/>
      </c>
      <c r="G68" s="40" t="n"/>
      <c r="H68" s="41" t="n"/>
      <c r="I68" s="42">
        <f>IF($H68="","",MAX(0,$H68-N($E68)))</f>
        <v/>
      </c>
      <c r="J68" s="42">
        <f>IF($H68="","",MAX(0,$H68-N($G68)))</f>
        <v/>
      </c>
    </row>
    <row r="69" ht="19.5" customHeight="1" s="72">
      <c r="A69" s="38" t="inlineStr">
        <is>
          <t>AM-OCT-P06-SBA</t>
        </is>
      </c>
      <c r="B69" s="38" t="inlineStr">
        <is>
          <t>Octavas</t>
        </is>
      </c>
      <c r="C69" s="38" t="inlineStr">
        <is>
          <t>São Bento da Abadá</t>
        </is>
      </c>
      <c r="D69" s="39">
        <f>IFERROR(CLASIF_A_M!$F$10,"")</f>
        <v/>
      </c>
      <c r="E69" s="40" t="n"/>
      <c r="F69" s="39">
        <f>IFERROR(CLASIF_A_M!$F$15,"")</f>
        <v/>
      </c>
      <c r="G69" s="40" t="n"/>
      <c r="H69" s="41" t="n"/>
      <c r="I69" s="42">
        <f>IF($H69="","",MAX(0,$H69-N($E69)))</f>
        <v/>
      </c>
      <c r="J69" s="42">
        <f>IF($H69="","",MAX(0,$H69-N($G69)))</f>
        <v/>
      </c>
    </row>
    <row r="70" ht="19.5" customHeight="1" s="72">
      <c r="A70" s="38" t="inlineStr">
        <is>
          <t>AM-OCT-P06-SIR</t>
        </is>
      </c>
      <c r="B70" s="38" t="inlineStr">
        <is>
          <t>Octavas</t>
        </is>
      </c>
      <c r="C70" s="38" t="inlineStr">
        <is>
          <t>Siriuna</t>
        </is>
      </c>
      <c r="D70" s="39">
        <f>IFERROR(CLASIF_A_M!$F$10,"")</f>
        <v/>
      </c>
      <c r="E70" s="40" t="n"/>
      <c r="F70" s="39">
        <f>IFERROR(CLASIF_A_M!$F$15,"")</f>
        <v/>
      </c>
      <c r="G70" s="40" t="n"/>
      <c r="H70" s="41" t="n"/>
      <c r="I70" s="42">
        <f>IF($H70="","",MAX(0,$H70-N($E70)))</f>
        <v/>
      </c>
      <c r="J70" s="42">
        <f>IF($H70="","",MAX(0,$H70-N($G70)))</f>
        <v/>
      </c>
    </row>
    <row r="71" ht="19.5" customHeight="1" s="72">
      <c r="A71" s="38" t="inlineStr">
        <is>
          <t>AM-OCT-P07-BEN</t>
        </is>
      </c>
      <c r="B71" s="38" t="inlineStr">
        <is>
          <t>Octavas</t>
        </is>
      </c>
      <c r="C71" s="38" t="inlineStr">
        <is>
          <t>Benguela</t>
        </is>
      </c>
      <c r="D71" s="39">
        <f>IFERROR(CLASIF_A_M!$F$11,"")</f>
        <v/>
      </c>
      <c r="E71" s="40" t="n"/>
      <c r="F71" s="39">
        <f>IFERROR(CLASIF_A_M!$F$14,"")</f>
        <v/>
      </c>
      <c r="G71" s="40" t="n"/>
      <c r="H71" s="41" t="n"/>
      <c r="I71" s="42">
        <f>IF($H71="","",MAX(0,$H71-N($E71)))</f>
        <v/>
      </c>
      <c r="J71" s="42">
        <f>IF($H71="","",MAX(0,$H71-N($G71)))</f>
        <v/>
      </c>
    </row>
    <row r="72" ht="19.5" customHeight="1" s="72">
      <c r="A72" s="38" t="inlineStr">
        <is>
          <t>AM-OCT-P07-SBA</t>
        </is>
      </c>
      <c r="B72" s="38" t="inlineStr">
        <is>
          <t>Octavas</t>
        </is>
      </c>
      <c r="C72" s="38" t="inlineStr">
        <is>
          <t>São Bento da Abadá</t>
        </is>
      </c>
      <c r="D72" s="39">
        <f>IFERROR(CLASIF_A_M!$F$11,"")</f>
        <v/>
      </c>
      <c r="E72" s="40" t="n"/>
      <c r="F72" s="39">
        <f>IFERROR(CLASIF_A_M!$F$14,"")</f>
        <v/>
      </c>
      <c r="G72" s="40" t="n"/>
      <c r="H72" s="41" t="n"/>
      <c r="I72" s="42">
        <f>IF($H72="","",MAX(0,$H72-N($E72)))</f>
        <v/>
      </c>
      <c r="J72" s="42">
        <f>IF($H72="","",MAX(0,$H72-N($G72)))</f>
        <v/>
      </c>
    </row>
    <row r="73" ht="19.5" customHeight="1" s="72">
      <c r="A73" s="38" t="inlineStr">
        <is>
          <t>AM-OCT-P07-SIR</t>
        </is>
      </c>
      <c r="B73" s="38" t="inlineStr">
        <is>
          <t>Octavas</t>
        </is>
      </c>
      <c r="C73" s="38" t="inlineStr">
        <is>
          <t>Siriuna</t>
        </is>
      </c>
      <c r="D73" s="39">
        <f>IFERROR(CLASIF_A_M!$F$11,"")</f>
        <v/>
      </c>
      <c r="E73" s="40" t="n"/>
      <c r="F73" s="39">
        <f>IFERROR(CLASIF_A_M!$F$14,"")</f>
        <v/>
      </c>
      <c r="G73" s="40" t="n"/>
      <c r="H73" s="41" t="n"/>
      <c r="I73" s="42">
        <f>IF($H73="","",MAX(0,$H73-N($E73)))</f>
        <v/>
      </c>
      <c r="J73" s="42">
        <f>IF($H73="","",MAX(0,$H73-N($G73)))</f>
        <v/>
      </c>
    </row>
    <row r="74" ht="19.5" customHeight="1" s="72">
      <c r="A74" s="38" t="inlineStr">
        <is>
          <t>AM-OCT-P08-BEN</t>
        </is>
      </c>
      <c r="B74" s="38" t="inlineStr">
        <is>
          <t>Octavas</t>
        </is>
      </c>
      <c r="C74" s="38" t="inlineStr">
        <is>
          <t>Benguela</t>
        </is>
      </c>
      <c r="D74" s="39">
        <f>IFERROR(CLASIF_A_M!$F$12,"")</f>
        <v/>
      </c>
      <c r="E74" s="40" t="n"/>
      <c r="F74" s="39">
        <f>IFERROR(CLASIF_A_M!$F$13,"")</f>
        <v/>
      </c>
      <c r="G74" s="40" t="n"/>
      <c r="H74" s="41" t="n"/>
      <c r="I74" s="42">
        <f>IF($H74="","",MAX(0,$H74-N($E74)))</f>
        <v/>
      </c>
      <c r="J74" s="42">
        <f>IF($H74="","",MAX(0,$H74-N($G74)))</f>
        <v/>
      </c>
    </row>
    <row r="75" ht="19.5" customHeight="1" s="72">
      <c r="A75" s="38" t="inlineStr">
        <is>
          <t>AM-OCT-P08-SBA</t>
        </is>
      </c>
      <c r="B75" s="38" t="inlineStr">
        <is>
          <t>Octavas</t>
        </is>
      </c>
      <c r="C75" s="38" t="inlineStr">
        <is>
          <t>São Bento da Abadá</t>
        </is>
      </c>
      <c r="D75" s="39">
        <f>IFERROR(CLASIF_A_M!$F$12,"")</f>
        <v/>
      </c>
      <c r="E75" s="40" t="n"/>
      <c r="F75" s="39">
        <f>IFERROR(CLASIF_A_M!$F$13,"")</f>
        <v/>
      </c>
      <c r="G75" s="40" t="n"/>
      <c r="H75" s="41" t="n"/>
      <c r="I75" s="42">
        <f>IF($H75="","",MAX(0,$H75-N($E75)))</f>
        <v/>
      </c>
      <c r="J75" s="42">
        <f>IF($H75="","",MAX(0,$H75-N($G75)))</f>
        <v/>
      </c>
    </row>
    <row r="76" ht="19.5" customHeight="1" s="72">
      <c r="A76" s="38" t="inlineStr">
        <is>
          <t>AM-OCT-P08-SIR</t>
        </is>
      </c>
      <c r="B76" s="38" t="inlineStr">
        <is>
          <t>Octavas</t>
        </is>
      </c>
      <c r="C76" s="38" t="inlineStr">
        <is>
          <t>Siriuna</t>
        </is>
      </c>
      <c r="D76" s="39">
        <f>IFERROR(CLASIF_A_M!$F$12,"")</f>
        <v/>
      </c>
      <c r="E76" s="40" t="n"/>
      <c r="F76" s="39">
        <f>IFERROR(CLASIF_A_M!$F$13,"")</f>
        <v/>
      </c>
      <c r="G76" s="40" t="n"/>
      <c r="H76" s="41" t="n"/>
      <c r="I76" s="42">
        <f>IF($H76="","",MAX(0,$H76-N($E76)))</f>
        <v/>
      </c>
      <c r="J76" s="42">
        <f>IF($H76="","",MAX(0,$H76-N($G76)))</f>
        <v/>
      </c>
    </row>
    <row r="77" ht="19.5" customHeight="1" s="72">
      <c r="A77" s="38" t="inlineStr">
        <is>
          <t>AM-SEM-P01-BEN</t>
        </is>
      </c>
      <c r="B77" s="38" t="inlineStr">
        <is>
          <t>Semifinal</t>
        </is>
      </c>
      <c r="C77" s="38" t="inlineStr">
        <is>
          <t>Benguela</t>
        </is>
      </c>
      <c r="D77" s="39">
        <f>IFERROR(CLASIF_A_M!$O$5,"")</f>
        <v/>
      </c>
      <c r="E77" s="40" t="n"/>
      <c r="F77" s="39">
        <f>IFERROR(CLASIF_A_M!$O$12,"")</f>
        <v/>
      </c>
      <c r="G77" s="40" t="n"/>
      <c r="H77" s="41" t="n"/>
      <c r="I77" s="42">
        <f>IF($H77="","",MAX(0,$H77-N($E77)))</f>
        <v/>
      </c>
      <c r="J77" s="42">
        <f>IF($H77="","",MAX(0,$H77-N($G77)))</f>
        <v/>
      </c>
    </row>
    <row r="78" ht="19.5" customHeight="1" s="72">
      <c r="A78" s="38" t="inlineStr">
        <is>
          <t>AM-SEM-P01-SBA</t>
        </is>
      </c>
      <c r="B78" s="38" t="inlineStr">
        <is>
          <t>Semifinal</t>
        </is>
      </c>
      <c r="C78" s="38" t="inlineStr">
        <is>
          <t>São Bento da Abadá</t>
        </is>
      </c>
      <c r="D78" s="39">
        <f>IFERROR(CLASIF_A_M!$O$5,"")</f>
        <v/>
      </c>
      <c r="E78" s="40" t="n"/>
      <c r="F78" s="39">
        <f>IFERROR(CLASIF_A_M!$O$12,"")</f>
        <v/>
      </c>
      <c r="G78" s="40" t="n"/>
      <c r="H78" s="41" t="n"/>
      <c r="I78" s="42">
        <f>IF($H78="","",MAX(0,$H78-N($E78)))</f>
        <v/>
      </c>
      <c r="J78" s="42">
        <f>IF($H78="","",MAX(0,$H78-N($G78)))</f>
        <v/>
      </c>
    </row>
    <row r="79" ht="19.5" customHeight="1" s="72">
      <c r="A79" s="38" t="inlineStr">
        <is>
          <t>AM-SEM-P01-SIR</t>
        </is>
      </c>
      <c r="B79" s="38" t="inlineStr">
        <is>
          <t>Semifinal</t>
        </is>
      </c>
      <c r="C79" s="38" t="inlineStr">
        <is>
          <t>Siriuna</t>
        </is>
      </c>
      <c r="D79" s="39">
        <f>IFERROR(CLASIF_A_M!$O$5,"")</f>
        <v/>
      </c>
      <c r="E79" s="40" t="n"/>
      <c r="F79" s="39">
        <f>IFERROR(CLASIF_A_M!$O$12,"")</f>
        <v/>
      </c>
      <c r="G79" s="40" t="n"/>
      <c r="H79" s="41" t="n"/>
      <c r="I79" s="42">
        <f>IF($H79="","",MAX(0,$H79-N($E79)))</f>
        <v/>
      </c>
      <c r="J79" s="42">
        <f>IF($H79="","",MAX(0,$H79-N($G79)))</f>
        <v/>
      </c>
    </row>
    <row r="80" ht="19.5" customHeight="1" s="72">
      <c r="A80" s="38" t="inlineStr">
        <is>
          <t>AM-SEM-P02-BEN</t>
        </is>
      </c>
      <c r="B80" s="38" t="inlineStr">
        <is>
          <t>Semifinal</t>
        </is>
      </c>
      <c r="C80" s="38" t="inlineStr">
        <is>
          <t>Benguela</t>
        </is>
      </c>
      <c r="D80" s="39">
        <f>IFERROR(CLASIF_A_M!$O$6,"")</f>
        <v/>
      </c>
      <c r="E80" s="40" t="n"/>
      <c r="F80" s="39">
        <f>IFERROR(CLASIF_A_M!$O$11,"")</f>
        <v/>
      </c>
      <c r="G80" s="40" t="n"/>
      <c r="H80" s="41" t="n"/>
      <c r="I80" s="42">
        <f>IF($H80="","",MAX(0,$H80-N($E80)))</f>
        <v/>
      </c>
      <c r="J80" s="42">
        <f>IF($H80="","",MAX(0,$H80-N($G80)))</f>
        <v/>
      </c>
    </row>
    <row r="81" ht="19.5" customHeight="1" s="72">
      <c r="A81" s="38" t="inlineStr">
        <is>
          <t>AM-SEM-P02-SBA</t>
        </is>
      </c>
      <c r="B81" s="38" t="inlineStr">
        <is>
          <t>Semifinal</t>
        </is>
      </c>
      <c r="C81" s="38" t="inlineStr">
        <is>
          <t>São Bento da Abadá</t>
        </is>
      </c>
      <c r="D81" s="39">
        <f>IFERROR(CLASIF_A_M!$O$6,"")</f>
        <v/>
      </c>
      <c r="E81" s="40" t="n"/>
      <c r="F81" s="39">
        <f>IFERROR(CLASIF_A_M!$O$11,"")</f>
        <v/>
      </c>
      <c r="G81" s="40" t="n"/>
      <c r="H81" s="41" t="n"/>
      <c r="I81" s="42">
        <f>IF($H81="","",MAX(0,$H81-N($E81)))</f>
        <v/>
      </c>
      <c r="J81" s="42">
        <f>IF($H81="","",MAX(0,$H81-N($G81)))</f>
        <v/>
      </c>
    </row>
    <row r="82" ht="19.5" customHeight="1" s="72">
      <c r="A82" s="38" t="inlineStr">
        <is>
          <t>AM-SEM-P02-SIR</t>
        </is>
      </c>
      <c r="B82" s="38" t="inlineStr">
        <is>
          <t>Semifinal</t>
        </is>
      </c>
      <c r="C82" s="38" t="inlineStr">
        <is>
          <t>Siriuna</t>
        </is>
      </c>
      <c r="D82" s="39">
        <f>IFERROR(CLASIF_A_M!$O$6,"")</f>
        <v/>
      </c>
      <c r="E82" s="40" t="n"/>
      <c r="F82" s="39">
        <f>IFERROR(CLASIF_A_M!$O$11,"")</f>
        <v/>
      </c>
      <c r="G82" s="40" t="n"/>
      <c r="H82" s="41" t="n"/>
      <c r="I82" s="42">
        <f>IF($H82="","",MAX(0,$H82-N($E82)))</f>
        <v/>
      </c>
      <c r="J82" s="42">
        <f>IF($H82="","",MAX(0,$H82-N($G82)))</f>
        <v/>
      </c>
    </row>
    <row r="83" ht="19.5" customHeight="1" s="72">
      <c r="A83" s="38" t="inlineStr">
        <is>
          <t>AM-SEM-P03-BEN</t>
        </is>
      </c>
      <c r="B83" s="38" t="inlineStr">
        <is>
          <t>Semifinal</t>
        </is>
      </c>
      <c r="C83" s="38" t="inlineStr">
        <is>
          <t>Benguela</t>
        </is>
      </c>
      <c r="D83" s="39">
        <f>IFERROR(CLASIF_A_M!$O$7,"")</f>
        <v/>
      </c>
      <c r="E83" s="40" t="n"/>
      <c r="F83" s="39">
        <f>IFERROR(CLASIF_A_M!$O$10,"")</f>
        <v/>
      </c>
      <c r="G83" s="40" t="n"/>
      <c r="H83" s="41" t="n"/>
      <c r="I83" s="42">
        <f>IF($H83="","",MAX(0,$H83-N($E83)))</f>
        <v/>
      </c>
      <c r="J83" s="42">
        <f>IF($H83="","",MAX(0,$H83-N($G83)))</f>
        <v/>
      </c>
    </row>
    <row r="84" ht="19.5" customHeight="1" s="72">
      <c r="A84" s="38" t="inlineStr">
        <is>
          <t>AM-SEM-P03-SBA</t>
        </is>
      </c>
      <c r="B84" s="38" t="inlineStr">
        <is>
          <t>Semifinal</t>
        </is>
      </c>
      <c r="C84" s="38" t="inlineStr">
        <is>
          <t>São Bento da Abadá</t>
        </is>
      </c>
      <c r="D84" s="39">
        <f>IFERROR(CLASIF_A_M!$O$7,"")</f>
        <v/>
      </c>
      <c r="E84" s="40" t="n"/>
      <c r="F84" s="39">
        <f>IFERROR(CLASIF_A_M!$O$10,"")</f>
        <v/>
      </c>
      <c r="G84" s="40" t="n"/>
      <c r="H84" s="41" t="n"/>
      <c r="I84" s="42">
        <f>IF($H84="","",MAX(0,$H84-N($E84)))</f>
        <v/>
      </c>
      <c r="J84" s="42">
        <f>IF($H84="","",MAX(0,$H84-N($G84)))</f>
        <v/>
      </c>
    </row>
    <row r="85" ht="19.5" customHeight="1" s="72">
      <c r="A85" s="38" t="inlineStr">
        <is>
          <t>AM-SEM-P03-SIR</t>
        </is>
      </c>
      <c r="B85" s="38" t="inlineStr">
        <is>
          <t>Semifinal</t>
        </is>
      </c>
      <c r="C85" s="38" t="inlineStr">
        <is>
          <t>Siriuna</t>
        </is>
      </c>
      <c r="D85" s="39">
        <f>IFERROR(CLASIF_A_M!$O$7,"")</f>
        <v/>
      </c>
      <c r="E85" s="40" t="n"/>
      <c r="F85" s="39">
        <f>IFERROR(CLASIF_A_M!$O$10,"")</f>
        <v/>
      </c>
      <c r="G85" s="40" t="n"/>
      <c r="H85" s="41" t="n"/>
      <c r="I85" s="42">
        <f>IF($H85="","",MAX(0,$H85-N($E85)))</f>
        <v/>
      </c>
      <c r="J85" s="42">
        <f>IF($H85="","",MAX(0,$H85-N($G85)))</f>
        <v/>
      </c>
    </row>
    <row r="86" ht="19.5" customHeight="1" s="72">
      <c r="A86" s="38" t="inlineStr">
        <is>
          <t>AM-SEM-P04-BEN</t>
        </is>
      </c>
      <c r="B86" s="38" t="inlineStr">
        <is>
          <t>Semifinal</t>
        </is>
      </c>
      <c r="C86" s="38" t="inlineStr">
        <is>
          <t>Benguela</t>
        </is>
      </c>
      <c r="D86" s="39">
        <f>IFERROR(CLASIF_A_M!$O$8,"")</f>
        <v/>
      </c>
      <c r="E86" s="40" t="n"/>
      <c r="F86" s="39">
        <f>IFERROR(CLASIF_A_M!$O$9,"")</f>
        <v/>
      </c>
      <c r="G86" s="40" t="n"/>
      <c r="H86" s="41" t="n"/>
      <c r="I86" s="42">
        <f>IF($H86="","",MAX(0,$H86-N($E86)))</f>
        <v/>
      </c>
      <c r="J86" s="42">
        <f>IF($H86="","",MAX(0,$H86-N($G86)))</f>
        <v/>
      </c>
    </row>
    <row r="87" ht="19.5" customHeight="1" s="72">
      <c r="A87" s="38" t="inlineStr">
        <is>
          <t>AM-SEM-P04-SBA</t>
        </is>
      </c>
      <c r="B87" s="38" t="inlineStr">
        <is>
          <t>Semifinal</t>
        </is>
      </c>
      <c r="C87" s="38" t="inlineStr">
        <is>
          <t>São Bento da Abadá</t>
        </is>
      </c>
      <c r="D87" s="39">
        <f>IFERROR(CLASIF_A_M!$O$8,"")</f>
        <v/>
      </c>
      <c r="E87" s="40" t="n"/>
      <c r="F87" s="39">
        <f>IFERROR(CLASIF_A_M!$O$9,"")</f>
        <v/>
      </c>
      <c r="G87" s="40" t="n"/>
      <c r="H87" s="41" t="n"/>
      <c r="I87" s="42">
        <f>IF($H87="","",MAX(0,$H87-N($E87)))</f>
        <v/>
      </c>
      <c r="J87" s="42">
        <f>IF($H87="","",MAX(0,$H87-N($G87)))</f>
        <v/>
      </c>
    </row>
    <row r="88" ht="19.5" customHeight="1" s="72">
      <c r="A88" s="38" t="inlineStr">
        <is>
          <t>AM-SEM-P04-SIR</t>
        </is>
      </c>
      <c r="B88" s="38" t="inlineStr">
        <is>
          <t>Semifinal</t>
        </is>
      </c>
      <c r="C88" s="38" t="inlineStr">
        <is>
          <t>Siriuna</t>
        </is>
      </c>
      <c r="D88" s="39">
        <f>IFERROR(CLASIF_A_M!$O$8,"")</f>
        <v/>
      </c>
      <c r="E88" s="40" t="n"/>
      <c r="F88" s="39">
        <f>IFERROR(CLASIF_A_M!$O$9,"")</f>
        <v/>
      </c>
      <c r="G88" s="40" t="n"/>
      <c r="H88" s="41" t="n"/>
      <c r="I88" s="42">
        <f>IF($H88="","",MAX(0,$H88-N($E88)))</f>
        <v/>
      </c>
      <c r="J88" s="42">
        <f>IF($H88="","",MAX(0,$H88-N($G88)))</f>
        <v/>
      </c>
    </row>
    <row r="89" ht="19.5" customHeight="1" s="72">
      <c r="A89" s="38" t="inlineStr">
        <is>
          <t>AM-FIN-P01-BEN</t>
        </is>
      </c>
      <c r="B89" s="38" t="inlineStr">
        <is>
          <t>Final</t>
        </is>
      </c>
      <c r="C89" s="38" t="inlineStr">
        <is>
          <t>Benguela</t>
        </is>
      </c>
      <c r="D89" s="39">
        <f>IFERROR(CLASIF_A_M!$X$5,"")</f>
        <v/>
      </c>
      <c r="E89" s="40" t="n"/>
      <c r="F89" s="39">
        <f>IFERROR(CLASIF_A_M!$X$8,"")</f>
        <v/>
      </c>
      <c r="G89" s="40" t="n"/>
      <c r="H89" s="41" t="n"/>
      <c r="I89" s="42">
        <f>IF($H89="","",MAX(0,$H89-N($E89)))</f>
        <v/>
      </c>
      <c r="J89" s="42">
        <f>IF($H89="","",MAX(0,$H89-N($G89)))</f>
        <v/>
      </c>
    </row>
    <row r="90" ht="19.5" customHeight="1" s="72">
      <c r="A90" s="38" t="inlineStr">
        <is>
          <t>AM-FIN-P01-SBA</t>
        </is>
      </c>
      <c r="B90" s="38" t="inlineStr">
        <is>
          <t>Final</t>
        </is>
      </c>
      <c r="C90" s="38" t="inlineStr">
        <is>
          <t>São Bento da Abadá</t>
        </is>
      </c>
      <c r="D90" s="39">
        <f>IFERROR(CLASIF_A_M!$X$5,"")</f>
        <v/>
      </c>
      <c r="E90" s="40" t="n"/>
      <c r="F90" s="39">
        <f>IFERROR(CLASIF_A_M!$X$8,"")</f>
        <v/>
      </c>
      <c r="G90" s="40" t="n"/>
      <c r="H90" s="41" t="n"/>
      <c r="I90" s="42">
        <f>IF($H90="","",MAX(0,$H90-N($E90)))</f>
        <v/>
      </c>
      <c r="J90" s="42">
        <f>IF($H90="","",MAX(0,$H90-N($G90)))</f>
        <v/>
      </c>
    </row>
    <row r="91" ht="19.5" customHeight="1" s="72">
      <c r="A91" s="38" t="inlineStr">
        <is>
          <t>AM-FIN-P01-SIR</t>
        </is>
      </c>
      <c r="B91" s="38" t="inlineStr">
        <is>
          <t>Final</t>
        </is>
      </c>
      <c r="C91" s="38" t="inlineStr">
        <is>
          <t>Siriuna</t>
        </is>
      </c>
      <c r="D91" s="39">
        <f>IFERROR(CLASIF_A_M!$X$5,"")</f>
        <v/>
      </c>
      <c r="E91" s="40" t="n"/>
      <c r="F91" s="39">
        <f>IFERROR(CLASIF_A_M!$X$8,"")</f>
        <v/>
      </c>
      <c r="G91" s="40" t="n"/>
      <c r="H91" s="41" t="n"/>
      <c r="I91" s="42">
        <f>IF($H91="","",MAX(0,$H91-N($E91)))</f>
        <v/>
      </c>
      <c r="J91" s="42">
        <f>IF($H91="","",MAX(0,$H91-N($G91)))</f>
        <v/>
      </c>
    </row>
    <row r="92" ht="19.5" customHeight="1" s="72">
      <c r="A92" s="38" t="inlineStr">
        <is>
          <t>AM-FIN-P02-BEN</t>
        </is>
      </c>
      <c r="B92" s="38" t="inlineStr">
        <is>
          <t>Final</t>
        </is>
      </c>
      <c r="C92" s="38" t="inlineStr">
        <is>
          <t>Benguela</t>
        </is>
      </c>
      <c r="D92" s="39">
        <f>IFERROR(CLASIF_A_M!$X$6,"")</f>
        <v/>
      </c>
      <c r="E92" s="40" t="n"/>
      <c r="F92" s="39">
        <f>IFERROR(CLASIF_A_M!$X$7,"")</f>
        <v/>
      </c>
      <c r="G92" s="40" t="n"/>
      <c r="H92" s="41" t="n"/>
      <c r="I92" s="42">
        <f>IF($H92="","",MAX(0,$H92-N($E92)))</f>
        <v/>
      </c>
      <c r="J92" s="42">
        <f>IF($H92="","",MAX(0,$H92-N($G92)))</f>
        <v/>
      </c>
    </row>
    <row r="93" ht="19.5" customHeight="1" s="72">
      <c r="A93" s="38" t="inlineStr">
        <is>
          <t>AM-FIN-P02-SBA</t>
        </is>
      </c>
      <c r="B93" s="38" t="inlineStr">
        <is>
          <t>Final</t>
        </is>
      </c>
      <c r="C93" s="38" t="inlineStr">
        <is>
          <t>São Bento da Abadá</t>
        </is>
      </c>
      <c r="D93" s="39">
        <f>IFERROR(CLASIF_A_M!$X$6,"")</f>
        <v/>
      </c>
      <c r="E93" s="40" t="n"/>
      <c r="F93" s="39">
        <f>IFERROR(CLASIF_A_M!$X$7,"")</f>
        <v/>
      </c>
      <c r="G93" s="40" t="n"/>
      <c r="H93" s="41" t="n"/>
      <c r="I93" s="42">
        <f>IF($H93="","",MAX(0,$H93-N($E93)))</f>
        <v/>
      </c>
      <c r="J93" s="42">
        <f>IF($H93="","",MAX(0,$H93-N($G93)))</f>
        <v/>
      </c>
    </row>
    <row r="94" ht="19.5" customHeight="1" s="72">
      <c r="A94" s="38" t="inlineStr">
        <is>
          <t>AM-FIN-P02-SIR</t>
        </is>
      </c>
      <c r="B94" s="38" t="inlineStr">
        <is>
          <t>Final</t>
        </is>
      </c>
      <c r="C94" s="38" t="inlineStr">
        <is>
          <t>Siriuna</t>
        </is>
      </c>
      <c r="D94" s="39">
        <f>IFERROR(CLASIF_A_M!$X$6,"")</f>
        <v/>
      </c>
      <c r="E94" s="40" t="n"/>
      <c r="F94" s="39">
        <f>IFERROR(CLASIF_A_M!$X$7,"")</f>
        <v/>
      </c>
      <c r="G94" s="40" t="n"/>
      <c r="H94" s="41" t="n"/>
      <c r="I94" s="42">
        <f>IF($H94="","",MAX(0,$H94-N($E94)))</f>
        <v/>
      </c>
      <c r="J94" s="42">
        <f>IF($H94="","",MAX(0,$H94-N($G94)))</f>
        <v/>
      </c>
    </row>
    <row r="95" ht="19.5" customHeight="1" s="72">
      <c r="A95" s="43" t="n"/>
      <c r="B95" s="43" t="n"/>
      <c r="C95" s="43" t="n"/>
      <c r="D95" s="43" t="n"/>
      <c r="E95" s="43" t="n"/>
      <c r="F95" s="43" t="n"/>
      <c r="G95" s="43" t="n"/>
      <c r="H95" s="44" t="n"/>
      <c r="I95" s="43">
        <f>IF($H95="","",MAX(0,$H95-N($E95)))</f>
        <v/>
      </c>
      <c r="J95" s="43">
        <f>IF($H95="","",MAX(0,$H95-N($G95)))</f>
        <v/>
      </c>
    </row>
    <row r="96" ht="19.5" customHeight="1" s="72">
      <c r="A96" s="80" t="inlineStr">
        <is>
          <t>═══ CATEGORÍA A · Femenino · Marrón (Profesores) · Toques: Benguela, São Bento da Abadá, Siriuna ═══</t>
        </is>
      </c>
    </row>
    <row r="97" ht="19.5" customHeight="1" s="72">
      <c r="A97" s="45" t="inlineStr">
        <is>
          <t>Jogo</t>
        </is>
      </c>
      <c r="B97" s="45" t="inlineStr">
        <is>
          <t>Fase</t>
        </is>
      </c>
      <c r="C97" s="45" t="inlineStr">
        <is>
          <t>Toque</t>
        </is>
      </c>
      <c r="D97" s="45" t="inlineStr">
        <is>
          <t>Jugador A</t>
        </is>
      </c>
      <c r="E97" s="45" t="inlineStr">
        <is>
          <t>Quita A</t>
        </is>
      </c>
      <c r="F97" s="45" t="inlineStr">
        <is>
          <t>Jugador B</t>
        </is>
      </c>
      <c r="G97" s="45" t="inlineStr">
        <is>
          <t>Quita B</t>
        </is>
      </c>
      <c r="H97" s="45" t="inlineStr">
        <is>
          <t>NOTA (0-5)</t>
        </is>
      </c>
      <c r="I97" s="45">
        <f>IF($H97="","",MAX(0,$H97-N($E97)))</f>
        <v/>
      </c>
      <c r="J97" s="45">
        <f>IF($H97="","",MAX(0,$H97-N($G97)))</f>
        <v/>
      </c>
    </row>
    <row r="98" ht="19.5" customHeight="1" s="72">
      <c r="A98" s="38" t="inlineStr">
        <is>
          <t>AF-32-P01-BEN</t>
        </is>
      </c>
      <c r="B98" s="38" t="inlineStr">
        <is>
          <t>Fase 32</t>
        </is>
      </c>
      <c r="C98" s="38" t="inlineStr">
        <is>
          <t>Benguela</t>
        </is>
      </c>
      <c r="D98" s="39" t="inlineStr">
        <is>
          <t>A_A_F_32_P1</t>
        </is>
      </c>
      <c r="E98" s="40" t="n"/>
      <c r="F98" s="39" t="inlineStr">
        <is>
          <t>B_A_F_32_P1</t>
        </is>
      </c>
      <c r="G98" s="40" t="n"/>
      <c r="H98" s="41" t="n"/>
      <c r="I98" s="42">
        <f>IF($H98="","",MAX(0,$H98-N($E98)))</f>
        <v/>
      </c>
      <c r="J98" s="42">
        <f>IF($H98="","",MAX(0,$H98-N($G98)))</f>
        <v/>
      </c>
    </row>
    <row r="99" ht="19.5" customHeight="1" s="72">
      <c r="A99" s="38" t="inlineStr">
        <is>
          <t>AF-32-P01-SBA</t>
        </is>
      </c>
      <c r="B99" s="38" t="inlineStr">
        <is>
          <t>Fase 32</t>
        </is>
      </c>
      <c r="C99" s="38" t="inlineStr">
        <is>
          <t>São Bento da Abadá</t>
        </is>
      </c>
      <c r="D99" s="39" t="inlineStr">
        <is>
          <t>A_A_F_32_P1</t>
        </is>
      </c>
      <c r="E99" s="40" t="n"/>
      <c r="F99" s="39" t="inlineStr">
        <is>
          <t>B_A_F_32_P1</t>
        </is>
      </c>
      <c r="G99" s="40" t="n"/>
      <c r="H99" s="41" t="n"/>
      <c r="I99" s="42">
        <f>IF($H99="","",MAX(0,$H99-N($E99)))</f>
        <v/>
      </c>
      <c r="J99" s="42">
        <f>IF($H99="","",MAX(0,$H99-N($G99)))</f>
        <v/>
      </c>
    </row>
    <row r="100" ht="19.5" customHeight="1" s="72">
      <c r="A100" s="38" t="inlineStr">
        <is>
          <t>AF-32-P01-SIR</t>
        </is>
      </c>
      <c r="B100" s="38" t="inlineStr">
        <is>
          <t>Fase 32</t>
        </is>
      </c>
      <c r="C100" s="38" t="inlineStr">
        <is>
          <t>Siriuna</t>
        </is>
      </c>
      <c r="D100" s="39" t="inlineStr">
        <is>
          <t>A_A_F_32_P1</t>
        </is>
      </c>
      <c r="E100" s="40" t="n"/>
      <c r="F100" s="39" t="inlineStr">
        <is>
          <t>B_A_F_32_P1</t>
        </is>
      </c>
      <c r="G100" s="40" t="n"/>
      <c r="H100" s="41" t="n"/>
      <c r="I100" s="42">
        <f>IF($H100="","",MAX(0,$H100-N($E100)))</f>
        <v/>
      </c>
      <c r="J100" s="42">
        <f>IF($H100="","",MAX(0,$H100-N($G100)))</f>
        <v/>
      </c>
    </row>
    <row r="101" ht="19.5" customHeight="1" s="72">
      <c r="A101" s="38" t="inlineStr">
        <is>
          <t>AF-32-P02-BEN</t>
        </is>
      </c>
      <c r="B101" s="38" t="inlineStr">
        <is>
          <t>Fase 32</t>
        </is>
      </c>
      <c r="C101" s="38" t="inlineStr">
        <is>
          <t>Benguela</t>
        </is>
      </c>
      <c r="D101" s="39" t="inlineStr">
        <is>
          <t>A_A_F_32_P2</t>
        </is>
      </c>
      <c r="E101" s="40" t="n"/>
      <c r="F101" s="39" t="inlineStr">
        <is>
          <t>B_A_F_32_P2</t>
        </is>
      </c>
      <c r="G101" s="40" t="n"/>
      <c r="H101" s="41" t="n"/>
      <c r="I101" s="42">
        <f>IF($H101="","",MAX(0,$H101-N($E101)))</f>
        <v/>
      </c>
      <c r="J101" s="42">
        <f>IF($H101="","",MAX(0,$H101-N($G101)))</f>
        <v/>
      </c>
    </row>
    <row r="102" ht="19.5" customHeight="1" s="72">
      <c r="A102" s="38" t="inlineStr">
        <is>
          <t>AF-32-P02-SBA</t>
        </is>
      </c>
      <c r="B102" s="38" t="inlineStr">
        <is>
          <t>Fase 32</t>
        </is>
      </c>
      <c r="C102" s="38" t="inlineStr">
        <is>
          <t>São Bento da Abadá</t>
        </is>
      </c>
      <c r="D102" s="39" t="inlineStr">
        <is>
          <t>A_A_F_32_P2</t>
        </is>
      </c>
      <c r="E102" s="40" t="n"/>
      <c r="F102" s="39" t="inlineStr">
        <is>
          <t>B_A_F_32_P2</t>
        </is>
      </c>
      <c r="G102" s="40" t="n"/>
      <c r="H102" s="41" t="n"/>
      <c r="I102" s="42">
        <f>IF($H102="","",MAX(0,$H102-N($E102)))</f>
        <v/>
      </c>
      <c r="J102" s="42">
        <f>IF($H102="","",MAX(0,$H102-N($G102)))</f>
        <v/>
      </c>
    </row>
    <row r="103" ht="19.5" customHeight="1" s="72">
      <c r="A103" s="38" t="inlineStr">
        <is>
          <t>AF-32-P02-SIR</t>
        </is>
      </c>
      <c r="B103" s="38" t="inlineStr">
        <is>
          <t>Fase 32</t>
        </is>
      </c>
      <c r="C103" s="38" t="inlineStr">
        <is>
          <t>Siriuna</t>
        </is>
      </c>
      <c r="D103" s="39" t="inlineStr">
        <is>
          <t>A_A_F_32_P2</t>
        </is>
      </c>
      <c r="E103" s="40" t="n"/>
      <c r="F103" s="39" t="inlineStr">
        <is>
          <t>B_A_F_32_P2</t>
        </is>
      </c>
      <c r="G103" s="40" t="n"/>
      <c r="H103" s="41" t="n"/>
      <c r="I103" s="42">
        <f>IF($H103="","",MAX(0,$H103-N($E103)))</f>
        <v/>
      </c>
      <c r="J103" s="42">
        <f>IF($H103="","",MAX(0,$H103-N($G103)))</f>
        <v/>
      </c>
    </row>
    <row r="104" ht="19.5" customHeight="1" s="72">
      <c r="A104" s="38" t="inlineStr">
        <is>
          <t>AF-32-P03-BEN</t>
        </is>
      </c>
      <c r="B104" s="38" t="inlineStr">
        <is>
          <t>Fase 32</t>
        </is>
      </c>
      <c r="C104" s="38" t="inlineStr">
        <is>
          <t>Benguela</t>
        </is>
      </c>
      <c r="D104" s="39" t="inlineStr">
        <is>
          <t>A_A_F_32_P3</t>
        </is>
      </c>
      <c r="E104" s="40" t="n"/>
      <c r="F104" s="39" t="inlineStr">
        <is>
          <t>B_A_F_32_P3</t>
        </is>
      </c>
      <c r="G104" s="40" t="n"/>
      <c r="H104" s="41" t="n"/>
      <c r="I104" s="42">
        <f>IF($H104="","",MAX(0,$H104-N($E104)))</f>
        <v/>
      </c>
      <c r="J104" s="42">
        <f>IF($H104="","",MAX(0,$H104-N($G104)))</f>
        <v/>
      </c>
    </row>
    <row r="105" ht="19.5" customHeight="1" s="72">
      <c r="A105" s="38" t="inlineStr">
        <is>
          <t>AF-32-P03-SBA</t>
        </is>
      </c>
      <c r="B105" s="38" t="inlineStr">
        <is>
          <t>Fase 32</t>
        </is>
      </c>
      <c r="C105" s="38" t="inlineStr">
        <is>
          <t>São Bento da Abadá</t>
        </is>
      </c>
      <c r="D105" s="39" t="inlineStr">
        <is>
          <t>A_A_F_32_P3</t>
        </is>
      </c>
      <c r="E105" s="40" t="n"/>
      <c r="F105" s="39" t="inlineStr">
        <is>
          <t>B_A_F_32_P3</t>
        </is>
      </c>
      <c r="G105" s="40" t="n"/>
      <c r="H105" s="41" t="n"/>
      <c r="I105" s="42">
        <f>IF($H105="","",MAX(0,$H105-N($E105)))</f>
        <v/>
      </c>
      <c r="J105" s="42">
        <f>IF($H105="","",MAX(0,$H105-N($G105)))</f>
        <v/>
      </c>
    </row>
    <row r="106" ht="19.5" customHeight="1" s="72">
      <c r="A106" s="38" t="inlineStr">
        <is>
          <t>AF-32-P03-SIR</t>
        </is>
      </c>
      <c r="B106" s="38" t="inlineStr">
        <is>
          <t>Fase 32</t>
        </is>
      </c>
      <c r="C106" s="38" t="inlineStr">
        <is>
          <t>Siriuna</t>
        </is>
      </c>
      <c r="D106" s="39" t="inlineStr">
        <is>
          <t>A_A_F_32_P3</t>
        </is>
      </c>
      <c r="E106" s="40" t="n"/>
      <c r="F106" s="39" t="inlineStr">
        <is>
          <t>B_A_F_32_P3</t>
        </is>
      </c>
      <c r="G106" s="40" t="n"/>
      <c r="H106" s="41" t="n"/>
      <c r="I106" s="42">
        <f>IF($H106="","",MAX(0,$H106-N($E106)))</f>
        <v/>
      </c>
      <c r="J106" s="42">
        <f>IF($H106="","",MAX(0,$H106-N($G106)))</f>
        <v/>
      </c>
    </row>
    <row r="107" ht="19.5" customHeight="1" s="72">
      <c r="A107" s="38" t="inlineStr">
        <is>
          <t>AF-32-P04-BEN</t>
        </is>
      </c>
      <c r="B107" s="38" t="inlineStr">
        <is>
          <t>Fase 32</t>
        </is>
      </c>
      <c r="C107" s="38" t="inlineStr">
        <is>
          <t>Benguela</t>
        </is>
      </c>
      <c r="D107" s="39" t="inlineStr">
        <is>
          <t>A_A_F_32_P4</t>
        </is>
      </c>
      <c r="E107" s="40" t="n"/>
      <c r="F107" s="39" t="inlineStr">
        <is>
          <t>B_A_F_32_P4</t>
        </is>
      </c>
      <c r="G107" s="40" t="n"/>
      <c r="H107" s="41" t="n"/>
      <c r="I107" s="42">
        <f>IF($H107="","",MAX(0,$H107-N($E107)))</f>
        <v/>
      </c>
      <c r="J107" s="42">
        <f>IF($H107="","",MAX(0,$H107-N($G107)))</f>
        <v/>
      </c>
    </row>
    <row r="108" ht="19.5" customHeight="1" s="72">
      <c r="A108" s="38" t="inlineStr">
        <is>
          <t>AF-32-P04-SBA</t>
        </is>
      </c>
      <c r="B108" s="38" t="inlineStr">
        <is>
          <t>Fase 32</t>
        </is>
      </c>
      <c r="C108" s="38" t="inlineStr">
        <is>
          <t>São Bento da Abadá</t>
        </is>
      </c>
      <c r="D108" s="39" t="inlineStr">
        <is>
          <t>A_A_F_32_P4</t>
        </is>
      </c>
      <c r="E108" s="40" t="n"/>
      <c r="F108" s="39" t="inlineStr">
        <is>
          <t>B_A_F_32_P4</t>
        </is>
      </c>
      <c r="G108" s="40" t="n"/>
      <c r="H108" s="41" t="n"/>
      <c r="I108" s="42">
        <f>IF($H108="","",MAX(0,$H108-N($E108)))</f>
        <v/>
      </c>
      <c r="J108" s="42">
        <f>IF($H108="","",MAX(0,$H108-N($G108)))</f>
        <v/>
      </c>
    </row>
    <row r="109" ht="19.5" customHeight="1" s="72">
      <c r="A109" s="38" t="inlineStr">
        <is>
          <t>AF-32-P04-SIR</t>
        </is>
      </c>
      <c r="B109" s="38" t="inlineStr">
        <is>
          <t>Fase 32</t>
        </is>
      </c>
      <c r="C109" s="38" t="inlineStr">
        <is>
          <t>Siriuna</t>
        </is>
      </c>
      <c r="D109" s="39" t="inlineStr">
        <is>
          <t>A_A_F_32_P4</t>
        </is>
      </c>
      <c r="E109" s="40" t="n"/>
      <c r="F109" s="39" t="inlineStr">
        <is>
          <t>B_A_F_32_P4</t>
        </is>
      </c>
      <c r="G109" s="40" t="n"/>
      <c r="H109" s="41" t="n"/>
      <c r="I109" s="42">
        <f>IF($H109="","",MAX(0,$H109-N($E109)))</f>
        <v/>
      </c>
      <c r="J109" s="42">
        <f>IF($H109="","",MAX(0,$H109-N($G109)))</f>
        <v/>
      </c>
    </row>
    <row r="110" ht="19.5" customHeight="1" s="72">
      <c r="A110" s="38" t="inlineStr">
        <is>
          <t>AF-32-P05-BEN</t>
        </is>
      </c>
      <c r="B110" s="38" t="inlineStr">
        <is>
          <t>Fase 32</t>
        </is>
      </c>
      <c r="C110" s="38" t="inlineStr">
        <is>
          <t>Benguela</t>
        </is>
      </c>
      <c r="D110" s="39" t="inlineStr">
        <is>
          <t>A_A_F_32_P5</t>
        </is>
      </c>
      <c r="E110" s="40" t="n"/>
      <c r="F110" s="39" t="inlineStr">
        <is>
          <t>B_A_F_32_P5</t>
        </is>
      </c>
      <c r="G110" s="40" t="n"/>
      <c r="H110" s="41" t="n"/>
      <c r="I110" s="42">
        <f>IF($H110="","",MAX(0,$H110-N($E110)))</f>
        <v/>
      </c>
      <c r="J110" s="42">
        <f>IF($H110="","",MAX(0,$H110-N($G110)))</f>
        <v/>
      </c>
    </row>
    <row r="111" ht="19.5" customHeight="1" s="72">
      <c r="A111" s="38" t="inlineStr">
        <is>
          <t>AF-32-P05-SBA</t>
        </is>
      </c>
      <c r="B111" s="38" t="inlineStr">
        <is>
          <t>Fase 32</t>
        </is>
      </c>
      <c r="C111" s="38" t="inlineStr">
        <is>
          <t>São Bento da Abadá</t>
        </is>
      </c>
      <c r="D111" s="39" t="inlineStr">
        <is>
          <t>A_A_F_32_P5</t>
        </is>
      </c>
      <c r="E111" s="40" t="n"/>
      <c r="F111" s="39" t="inlineStr">
        <is>
          <t>B_A_F_32_P5</t>
        </is>
      </c>
      <c r="G111" s="40" t="n"/>
      <c r="H111" s="41" t="n"/>
      <c r="I111" s="42">
        <f>IF($H111="","",MAX(0,$H111-N($E111)))</f>
        <v/>
      </c>
      <c r="J111" s="42">
        <f>IF($H111="","",MAX(0,$H111-N($G111)))</f>
        <v/>
      </c>
    </row>
    <row r="112" ht="19.5" customHeight="1" s="72">
      <c r="A112" s="38" t="inlineStr">
        <is>
          <t>AF-32-P05-SIR</t>
        </is>
      </c>
      <c r="B112" s="38" t="inlineStr">
        <is>
          <t>Fase 32</t>
        </is>
      </c>
      <c r="C112" s="38" t="inlineStr">
        <is>
          <t>Siriuna</t>
        </is>
      </c>
      <c r="D112" s="39" t="inlineStr">
        <is>
          <t>A_A_F_32_P5</t>
        </is>
      </c>
      <c r="E112" s="40" t="n"/>
      <c r="F112" s="39" t="inlineStr">
        <is>
          <t>B_A_F_32_P5</t>
        </is>
      </c>
      <c r="G112" s="40" t="n"/>
      <c r="H112" s="41" t="n"/>
      <c r="I112" s="42">
        <f>IF($H112="","",MAX(0,$H112-N($E112)))</f>
        <v/>
      </c>
      <c r="J112" s="42">
        <f>IF($H112="","",MAX(0,$H112-N($G112)))</f>
        <v/>
      </c>
    </row>
    <row r="113" ht="19.5" customHeight="1" s="72">
      <c r="A113" s="38" t="inlineStr">
        <is>
          <t>AF-32-P06-BEN</t>
        </is>
      </c>
      <c r="B113" s="38" t="inlineStr">
        <is>
          <t>Fase 32</t>
        </is>
      </c>
      <c r="C113" s="38" t="inlineStr">
        <is>
          <t>Benguela</t>
        </is>
      </c>
      <c r="D113" s="39" t="inlineStr">
        <is>
          <t>A_A_F_32_P6</t>
        </is>
      </c>
      <c r="E113" s="40" t="n"/>
      <c r="F113" s="39" t="inlineStr">
        <is>
          <t>B_A_F_32_P6</t>
        </is>
      </c>
      <c r="G113" s="40" t="n"/>
      <c r="H113" s="41" t="n"/>
      <c r="I113" s="42">
        <f>IF($H113="","",MAX(0,$H113-N($E113)))</f>
        <v/>
      </c>
      <c r="J113" s="42">
        <f>IF($H113="","",MAX(0,$H113-N($G113)))</f>
        <v/>
      </c>
    </row>
    <row r="114" ht="19.5" customHeight="1" s="72">
      <c r="A114" s="38" t="inlineStr">
        <is>
          <t>AF-32-P06-SBA</t>
        </is>
      </c>
      <c r="B114" s="38" t="inlineStr">
        <is>
          <t>Fase 32</t>
        </is>
      </c>
      <c r="C114" s="38" t="inlineStr">
        <is>
          <t>São Bento da Abadá</t>
        </is>
      </c>
      <c r="D114" s="39" t="inlineStr">
        <is>
          <t>A_A_F_32_P6</t>
        </is>
      </c>
      <c r="E114" s="40" t="n"/>
      <c r="F114" s="39" t="inlineStr">
        <is>
          <t>B_A_F_32_P6</t>
        </is>
      </c>
      <c r="G114" s="40" t="n"/>
      <c r="H114" s="41" t="n"/>
      <c r="I114" s="42">
        <f>IF($H114="","",MAX(0,$H114-N($E114)))</f>
        <v/>
      </c>
      <c r="J114" s="42">
        <f>IF($H114="","",MAX(0,$H114-N($G114)))</f>
        <v/>
      </c>
    </row>
    <row r="115" ht="19.5" customHeight="1" s="72">
      <c r="A115" s="38" t="inlineStr">
        <is>
          <t>AF-32-P06-SIR</t>
        </is>
      </c>
      <c r="B115" s="38" t="inlineStr">
        <is>
          <t>Fase 32</t>
        </is>
      </c>
      <c r="C115" s="38" t="inlineStr">
        <is>
          <t>Siriuna</t>
        </is>
      </c>
      <c r="D115" s="39" t="inlineStr">
        <is>
          <t>A_A_F_32_P6</t>
        </is>
      </c>
      <c r="E115" s="40" t="n"/>
      <c r="F115" s="39" t="inlineStr">
        <is>
          <t>B_A_F_32_P6</t>
        </is>
      </c>
      <c r="G115" s="40" t="n"/>
      <c r="H115" s="41" t="n"/>
      <c r="I115" s="42">
        <f>IF($H115="","",MAX(0,$H115-N($E115)))</f>
        <v/>
      </c>
      <c r="J115" s="42">
        <f>IF($H115="","",MAX(0,$H115-N($G115)))</f>
        <v/>
      </c>
    </row>
    <row r="116" ht="19.5" customHeight="1" s="72">
      <c r="A116" s="38" t="inlineStr">
        <is>
          <t>AF-32-P07-BEN</t>
        </is>
      </c>
      <c r="B116" s="38" t="inlineStr">
        <is>
          <t>Fase 32</t>
        </is>
      </c>
      <c r="C116" s="38" t="inlineStr">
        <is>
          <t>Benguela</t>
        </is>
      </c>
      <c r="D116" s="39" t="inlineStr">
        <is>
          <t>A_A_F_32_P7</t>
        </is>
      </c>
      <c r="E116" s="40" t="n"/>
      <c r="F116" s="39" t="inlineStr">
        <is>
          <t>B_A_F_32_P7</t>
        </is>
      </c>
      <c r="G116" s="40" t="n"/>
      <c r="H116" s="41" t="n"/>
      <c r="I116" s="42">
        <f>IF($H116="","",MAX(0,$H116-N($E116)))</f>
        <v/>
      </c>
      <c r="J116" s="42">
        <f>IF($H116="","",MAX(0,$H116-N($G116)))</f>
        <v/>
      </c>
    </row>
    <row r="117" ht="19.5" customHeight="1" s="72">
      <c r="A117" s="38" t="inlineStr">
        <is>
          <t>AF-32-P07-SBA</t>
        </is>
      </c>
      <c r="B117" s="38" t="inlineStr">
        <is>
          <t>Fase 32</t>
        </is>
      </c>
      <c r="C117" s="38" t="inlineStr">
        <is>
          <t>São Bento da Abadá</t>
        </is>
      </c>
      <c r="D117" s="39" t="inlineStr">
        <is>
          <t>A_A_F_32_P7</t>
        </is>
      </c>
      <c r="E117" s="40" t="n"/>
      <c r="F117" s="39" t="inlineStr">
        <is>
          <t>B_A_F_32_P7</t>
        </is>
      </c>
      <c r="G117" s="40" t="n"/>
      <c r="H117" s="41" t="n"/>
      <c r="I117" s="42">
        <f>IF($H117="","",MAX(0,$H117-N($E117)))</f>
        <v/>
      </c>
      <c r="J117" s="42">
        <f>IF($H117="","",MAX(0,$H117-N($G117)))</f>
        <v/>
      </c>
    </row>
    <row r="118" ht="19.5" customHeight="1" s="72">
      <c r="A118" s="38" t="inlineStr">
        <is>
          <t>AF-32-P07-SIR</t>
        </is>
      </c>
      <c r="B118" s="38" t="inlineStr">
        <is>
          <t>Fase 32</t>
        </is>
      </c>
      <c r="C118" s="38" t="inlineStr">
        <is>
          <t>Siriuna</t>
        </is>
      </c>
      <c r="D118" s="39" t="inlineStr">
        <is>
          <t>A_A_F_32_P7</t>
        </is>
      </c>
      <c r="E118" s="40" t="n"/>
      <c r="F118" s="39" t="inlineStr">
        <is>
          <t>B_A_F_32_P7</t>
        </is>
      </c>
      <c r="G118" s="40" t="n"/>
      <c r="H118" s="41" t="n"/>
      <c r="I118" s="42">
        <f>IF($H118="","",MAX(0,$H118-N($E118)))</f>
        <v/>
      </c>
      <c r="J118" s="42">
        <f>IF($H118="","",MAX(0,$H118-N($G118)))</f>
        <v/>
      </c>
    </row>
    <row r="119" ht="19.5" customHeight="1" s="72">
      <c r="A119" s="38" t="inlineStr">
        <is>
          <t>AF-32-P08-BEN</t>
        </is>
      </c>
      <c r="B119" s="38" t="inlineStr">
        <is>
          <t>Fase 32</t>
        </is>
      </c>
      <c r="C119" s="38" t="inlineStr">
        <is>
          <t>Benguela</t>
        </is>
      </c>
      <c r="D119" s="39" t="inlineStr">
        <is>
          <t>A_A_F_32_P8</t>
        </is>
      </c>
      <c r="E119" s="40" t="n"/>
      <c r="F119" s="39" t="inlineStr">
        <is>
          <t>B_A_F_32_P8</t>
        </is>
      </c>
      <c r="G119" s="40" t="n"/>
      <c r="H119" s="41" t="n"/>
      <c r="I119" s="42">
        <f>IF($H119="","",MAX(0,$H119-N($E119)))</f>
        <v/>
      </c>
      <c r="J119" s="42">
        <f>IF($H119="","",MAX(0,$H119-N($G119)))</f>
        <v/>
      </c>
    </row>
    <row r="120" ht="19.5" customHeight="1" s="72">
      <c r="A120" s="38" t="inlineStr">
        <is>
          <t>AF-32-P08-SBA</t>
        </is>
      </c>
      <c r="B120" s="38" t="inlineStr">
        <is>
          <t>Fase 32</t>
        </is>
      </c>
      <c r="C120" s="38" t="inlineStr">
        <is>
          <t>São Bento da Abadá</t>
        </is>
      </c>
      <c r="D120" s="39" t="inlineStr">
        <is>
          <t>A_A_F_32_P8</t>
        </is>
      </c>
      <c r="E120" s="40" t="n"/>
      <c r="F120" s="39" t="inlineStr">
        <is>
          <t>B_A_F_32_P8</t>
        </is>
      </c>
      <c r="G120" s="40" t="n"/>
      <c r="H120" s="41" t="n"/>
      <c r="I120" s="42">
        <f>IF($H120="","",MAX(0,$H120-N($E120)))</f>
        <v/>
      </c>
      <c r="J120" s="42">
        <f>IF($H120="","",MAX(0,$H120-N($G120)))</f>
        <v/>
      </c>
    </row>
    <row r="121" ht="19.5" customHeight="1" s="72">
      <c r="A121" s="38" t="inlineStr">
        <is>
          <t>AF-32-P08-SIR</t>
        </is>
      </c>
      <c r="B121" s="38" t="inlineStr">
        <is>
          <t>Fase 32</t>
        </is>
      </c>
      <c r="C121" s="38" t="inlineStr">
        <is>
          <t>Siriuna</t>
        </is>
      </c>
      <c r="D121" s="39" t="inlineStr">
        <is>
          <t>A_A_F_32_P8</t>
        </is>
      </c>
      <c r="E121" s="40" t="n"/>
      <c r="F121" s="39" t="inlineStr">
        <is>
          <t>B_A_F_32_P8</t>
        </is>
      </c>
      <c r="G121" s="40" t="n"/>
      <c r="H121" s="41" t="n"/>
      <c r="I121" s="42">
        <f>IF($H121="","",MAX(0,$H121-N($E121)))</f>
        <v/>
      </c>
      <c r="J121" s="42">
        <f>IF($H121="","",MAX(0,$H121-N($G121)))</f>
        <v/>
      </c>
    </row>
    <row r="122" ht="19.5" customHeight="1" s="72">
      <c r="A122" s="38" t="inlineStr">
        <is>
          <t>AF-32-P09-BEN</t>
        </is>
      </c>
      <c r="B122" s="38" t="inlineStr">
        <is>
          <t>Fase 32</t>
        </is>
      </c>
      <c r="C122" s="38" t="inlineStr">
        <is>
          <t>Benguela</t>
        </is>
      </c>
      <c r="D122" s="39" t="inlineStr">
        <is>
          <t>A_A_F_32_P9</t>
        </is>
      </c>
      <c r="E122" s="40" t="n"/>
      <c r="F122" s="39" t="inlineStr">
        <is>
          <t>B_A_F_32_P9</t>
        </is>
      </c>
      <c r="G122" s="40" t="n"/>
      <c r="H122" s="41" t="n"/>
      <c r="I122" s="42">
        <f>IF($H122="","",MAX(0,$H122-N($E122)))</f>
        <v/>
      </c>
      <c r="J122" s="42">
        <f>IF($H122="","",MAX(0,$H122-N($G122)))</f>
        <v/>
      </c>
    </row>
    <row r="123" ht="19.5" customHeight="1" s="72">
      <c r="A123" s="38" t="inlineStr">
        <is>
          <t>AF-32-P09-SBA</t>
        </is>
      </c>
      <c r="B123" s="38" t="inlineStr">
        <is>
          <t>Fase 32</t>
        </is>
      </c>
      <c r="C123" s="38" t="inlineStr">
        <is>
          <t>São Bento da Abadá</t>
        </is>
      </c>
      <c r="D123" s="39" t="inlineStr">
        <is>
          <t>A_A_F_32_P9</t>
        </is>
      </c>
      <c r="E123" s="40" t="n"/>
      <c r="F123" s="39" t="inlineStr">
        <is>
          <t>B_A_F_32_P9</t>
        </is>
      </c>
      <c r="G123" s="40" t="n"/>
      <c r="H123" s="41" t="n"/>
      <c r="I123" s="42">
        <f>IF($H123="","",MAX(0,$H123-N($E123)))</f>
        <v/>
      </c>
      <c r="J123" s="42">
        <f>IF($H123="","",MAX(0,$H123-N($G123)))</f>
        <v/>
      </c>
    </row>
    <row r="124" ht="19.5" customHeight="1" s="72">
      <c r="A124" s="38" t="inlineStr">
        <is>
          <t>AF-32-P09-SIR</t>
        </is>
      </c>
      <c r="B124" s="38" t="inlineStr">
        <is>
          <t>Fase 32</t>
        </is>
      </c>
      <c r="C124" s="38" t="inlineStr">
        <is>
          <t>Siriuna</t>
        </is>
      </c>
      <c r="D124" s="39" t="inlineStr">
        <is>
          <t>A_A_F_32_P9</t>
        </is>
      </c>
      <c r="E124" s="40" t="n"/>
      <c r="F124" s="39" t="inlineStr">
        <is>
          <t>B_A_F_32_P9</t>
        </is>
      </c>
      <c r="G124" s="40" t="n"/>
      <c r="H124" s="41" t="n"/>
      <c r="I124" s="42">
        <f>IF($H124="","",MAX(0,$H124-N($E124)))</f>
        <v/>
      </c>
      <c r="J124" s="42">
        <f>IF($H124="","",MAX(0,$H124-N($G124)))</f>
        <v/>
      </c>
    </row>
    <row r="125" ht="19.5" customHeight="1" s="72">
      <c r="A125" s="38" t="inlineStr">
        <is>
          <t>AF-32-P10-BEN</t>
        </is>
      </c>
      <c r="B125" s="38" t="inlineStr">
        <is>
          <t>Fase 32</t>
        </is>
      </c>
      <c r="C125" s="38" t="inlineStr">
        <is>
          <t>Benguela</t>
        </is>
      </c>
      <c r="D125" s="39" t="inlineStr">
        <is>
          <t>A_A_F_32_P10</t>
        </is>
      </c>
      <c r="E125" s="40" t="n"/>
      <c r="F125" s="39" t="inlineStr">
        <is>
          <t>B_A_F_32_P10</t>
        </is>
      </c>
      <c r="G125" s="40" t="n"/>
      <c r="H125" s="41" t="n"/>
      <c r="I125" s="42">
        <f>IF($H125="","",MAX(0,$H125-N($E125)))</f>
        <v/>
      </c>
      <c r="J125" s="42">
        <f>IF($H125="","",MAX(0,$H125-N($G125)))</f>
        <v/>
      </c>
    </row>
    <row r="126" ht="19.5" customHeight="1" s="72">
      <c r="A126" s="38" t="inlineStr">
        <is>
          <t>AF-32-P10-SBA</t>
        </is>
      </c>
      <c r="B126" s="38" t="inlineStr">
        <is>
          <t>Fase 32</t>
        </is>
      </c>
      <c r="C126" s="38" t="inlineStr">
        <is>
          <t>São Bento da Abadá</t>
        </is>
      </c>
      <c r="D126" s="39" t="inlineStr">
        <is>
          <t>A_A_F_32_P10</t>
        </is>
      </c>
      <c r="E126" s="40" t="n"/>
      <c r="F126" s="39" t="inlineStr">
        <is>
          <t>B_A_F_32_P10</t>
        </is>
      </c>
      <c r="G126" s="40" t="n"/>
      <c r="H126" s="41" t="n"/>
      <c r="I126" s="42">
        <f>IF($H126="","",MAX(0,$H126-N($E126)))</f>
        <v/>
      </c>
      <c r="J126" s="42">
        <f>IF($H126="","",MAX(0,$H126-N($G126)))</f>
        <v/>
      </c>
    </row>
    <row r="127" ht="19.5" customHeight="1" s="72">
      <c r="A127" s="38" t="inlineStr">
        <is>
          <t>AF-32-P10-SIR</t>
        </is>
      </c>
      <c r="B127" s="38" t="inlineStr">
        <is>
          <t>Fase 32</t>
        </is>
      </c>
      <c r="C127" s="38" t="inlineStr">
        <is>
          <t>Siriuna</t>
        </is>
      </c>
      <c r="D127" s="39" t="inlineStr">
        <is>
          <t>A_A_F_32_P10</t>
        </is>
      </c>
      <c r="E127" s="40" t="n"/>
      <c r="F127" s="39" t="inlineStr">
        <is>
          <t>B_A_F_32_P10</t>
        </is>
      </c>
      <c r="G127" s="40" t="n"/>
      <c r="H127" s="41" t="n"/>
      <c r="I127" s="42">
        <f>IF($H127="","",MAX(0,$H127-N($E127)))</f>
        <v/>
      </c>
      <c r="J127" s="42">
        <f>IF($H127="","",MAX(0,$H127-N($G127)))</f>
        <v/>
      </c>
    </row>
    <row r="128" ht="19.5" customHeight="1" s="72">
      <c r="A128" s="38" t="inlineStr">
        <is>
          <t>AF-32-P11-BEN</t>
        </is>
      </c>
      <c r="B128" s="38" t="inlineStr">
        <is>
          <t>Fase 32</t>
        </is>
      </c>
      <c r="C128" s="38" t="inlineStr">
        <is>
          <t>Benguela</t>
        </is>
      </c>
      <c r="D128" s="39" t="inlineStr">
        <is>
          <t>A_A_F_32_P11</t>
        </is>
      </c>
      <c r="E128" s="40" t="n"/>
      <c r="F128" s="39" t="inlineStr">
        <is>
          <t>B_A_F_32_P11</t>
        </is>
      </c>
      <c r="G128" s="40" t="n"/>
      <c r="H128" s="41" t="n"/>
      <c r="I128" s="42">
        <f>IF($H128="","",MAX(0,$H128-N($E128)))</f>
        <v/>
      </c>
      <c r="J128" s="42">
        <f>IF($H128="","",MAX(0,$H128-N($G128)))</f>
        <v/>
      </c>
    </row>
    <row r="129" ht="19.5" customHeight="1" s="72">
      <c r="A129" s="38" t="inlineStr">
        <is>
          <t>AF-32-P11-SBA</t>
        </is>
      </c>
      <c r="B129" s="38" t="inlineStr">
        <is>
          <t>Fase 32</t>
        </is>
      </c>
      <c r="C129" s="38" t="inlineStr">
        <is>
          <t>São Bento da Abadá</t>
        </is>
      </c>
      <c r="D129" s="39" t="inlineStr">
        <is>
          <t>A_A_F_32_P11</t>
        </is>
      </c>
      <c r="E129" s="40" t="n"/>
      <c r="F129" s="39" t="inlineStr">
        <is>
          <t>B_A_F_32_P11</t>
        </is>
      </c>
      <c r="G129" s="40" t="n"/>
      <c r="H129" s="41" t="n"/>
      <c r="I129" s="42">
        <f>IF($H129="","",MAX(0,$H129-N($E129)))</f>
        <v/>
      </c>
      <c r="J129" s="42">
        <f>IF($H129="","",MAX(0,$H129-N($G129)))</f>
        <v/>
      </c>
    </row>
    <row r="130" ht="19.5" customHeight="1" s="72">
      <c r="A130" s="38" t="inlineStr">
        <is>
          <t>AF-32-P11-SIR</t>
        </is>
      </c>
      <c r="B130" s="38" t="inlineStr">
        <is>
          <t>Fase 32</t>
        </is>
      </c>
      <c r="C130" s="38" t="inlineStr">
        <is>
          <t>Siriuna</t>
        </is>
      </c>
      <c r="D130" s="39" t="inlineStr">
        <is>
          <t>A_A_F_32_P11</t>
        </is>
      </c>
      <c r="E130" s="40" t="n"/>
      <c r="F130" s="39" t="inlineStr">
        <is>
          <t>B_A_F_32_P11</t>
        </is>
      </c>
      <c r="G130" s="40" t="n"/>
      <c r="H130" s="41" t="n"/>
      <c r="I130" s="42">
        <f>IF($H130="","",MAX(0,$H130-N($E130)))</f>
        <v/>
      </c>
      <c r="J130" s="42">
        <f>IF($H130="","",MAX(0,$H130-N($G130)))</f>
        <v/>
      </c>
    </row>
    <row r="131" ht="19.5" customHeight="1" s="72">
      <c r="A131" s="38" t="inlineStr">
        <is>
          <t>AF-32-P12-BEN</t>
        </is>
      </c>
      <c r="B131" s="38" t="inlineStr">
        <is>
          <t>Fase 32</t>
        </is>
      </c>
      <c r="C131" s="38" t="inlineStr">
        <is>
          <t>Benguela</t>
        </is>
      </c>
      <c r="D131" s="39" t="inlineStr">
        <is>
          <t>A_A_F_32_P12</t>
        </is>
      </c>
      <c r="E131" s="40" t="n"/>
      <c r="F131" s="39" t="inlineStr">
        <is>
          <t>B_A_F_32_P12</t>
        </is>
      </c>
      <c r="G131" s="40" t="n"/>
      <c r="H131" s="41" t="n"/>
      <c r="I131" s="42">
        <f>IF($H131="","",MAX(0,$H131-N($E131)))</f>
        <v/>
      </c>
      <c r="J131" s="42">
        <f>IF($H131="","",MAX(0,$H131-N($G131)))</f>
        <v/>
      </c>
    </row>
    <row r="132" ht="19.5" customHeight="1" s="72">
      <c r="A132" s="38" t="inlineStr">
        <is>
          <t>AF-32-P12-SBA</t>
        </is>
      </c>
      <c r="B132" s="38" t="inlineStr">
        <is>
          <t>Fase 32</t>
        </is>
      </c>
      <c r="C132" s="38" t="inlineStr">
        <is>
          <t>São Bento da Abadá</t>
        </is>
      </c>
      <c r="D132" s="39" t="inlineStr">
        <is>
          <t>A_A_F_32_P12</t>
        </is>
      </c>
      <c r="E132" s="40" t="n"/>
      <c r="F132" s="39" t="inlineStr">
        <is>
          <t>B_A_F_32_P12</t>
        </is>
      </c>
      <c r="G132" s="40" t="n"/>
      <c r="H132" s="41" t="n"/>
      <c r="I132" s="42">
        <f>IF($H132="","",MAX(0,$H132-N($E132)))</f>
        <v/>
      </c>
      <c r="J132" s="42">
        <f>IF($H132="","",MAX(0,$H132-N($G132)))</f>
        <v/>
      </c>
    </row>
    <row r="133" ht="19.5" customHeight="1" s="72">
      <c r="A133" s="38" t="inlineStr">
        <is>
          <t>AF-32-P12-SIR</t>
        </is>
      </c>
      <c r="B133" s="38" t="inlineStr">
        <is>
          <t>Fase 32</t>
        </is>
      </c>
      <c r="C133" s="38" t="inlineStr">
        <is>
          <t>Siriuna</t>
        </is>
      </c>
      <c r="D133" s="39" t="inlineStr">
        <is>
          <t>A_A_F_32_P12</t>
        </is>
      </c>
      <c r="E133" s="40" t="n"/>
      <c r="F133" s="39" t="inlineStr">
        <is>
          <t>B_A_F_32_P12</t>
        </is>
      </c>
      <c r="G133" s="40" t="n"/>
      <c r="H133" s="41" t="n"/>
      <c r="I133" s="42">
        <f>IF($H133="","",MAX(0,$H133-N($E133)))</f>
        <v/>
      </c>
      <c r="J133" s="42">
        <f>IF($H133="","",MAX(0,$H133-N($G133)))</f>
        <v/>
      </c>
    </row>
    <row r="134" ht="19.5" customHeight="1" s="72">
      <c r="A134" s="38" t="inlineStr">
        <is>
          <t>AF-32-P13-BEN</t>
        </is>
      </c>
      <c r="B134" s="38" t="inlineStr">
        <is>
          <t>Fase 32</t>
        </is>
      </c>
      <c r="C134" s="38" t="inlineStr">
        <is>
          <t>Benguela</t>
        </is>
      </c>
      <c r="D134" s="39" t="inlineStr">
        <is>
          <t>A_A_F_32_P13</t>
        </is>
      </c>
      <c r="E134" s="40" t="n"/>
      <c r="F134" s="39" t="inlineStr">
        <is>
          <t>B_A_F_32_P13</t>
        </is>
      </c>
      <c r="G134" s="40" t="n"/>
      <c r="H134" s="41" t="n"/>
      <c r="I134" s="42">
        <f>IF($H134="","",MAX(0,$H134-N($E134)))</f>
        <v/>
      </c>
      <c r="J134" s="42">
        <f>IF($H134="","",MAX(0,$H134-N($G134)))</f>
        <v/>
      </c>
    </row>
    <row r="135" ht="19.5" customHeight="1" s="72">
      <c r="A135" s="38" t="inlineStr">
        <is>
          <t>AF-32-P13-SBA</t>
        </is>
      </c>
      <c r="B135" s="38" t="inlineStr">
        <is>
          <t>Fase 32</t>
        </is>
      </c>
      <c r="C135" s="38" t="inlineStr">
        <is>
          <t>São Bento da Abadá</t>
        </is>
      </c>
      <c r="D135" s="39" t="inlineStr">
        <is>
          <t>A_A_F_32_P13</t>
        </is>
      </c>
      <c r="E135" s="40" t="n"/>
      <c r="F135" s="39" t="inlineStr">
        <is>
          <t>B_A_F_32_P13</t>
        </is>
      </c>
      <c r="G135" s="40" t="n"/>
      <c r="H135" s="41" t="n"/>
      <c r="I135" s="42">
        <f>IF($H135="","",MAX(0,$H135-N($E135)))</f>
        <v/>
      </c>
      <c r="J135" s="42">
        <f>IF($H135="","",MAX(0,$H135-N($G135)))</f>
        <v/>
      </c>
    </row>
    <row r="136" ht="19.5" customHeight="1" s="72">
      <c r="A136" s="38" t="inlineStr">
        <is>
          <t>AF-32-P13-SIR</t>
        </is>
      </c>
      <c r="B136" s="38" t="inlineStr">
        <is>
          <t>Fase 32</t>
        </is>
      </c>
      <c r="C136" s="38" t="inlineStr">
        <is>
          <t>Siriuna</t>
        </is>
      </c>
      <c r="D136" s="39" t="inlineStr">
        <is>
          <t>A_A_F_32_P13</t>
        </is>
      </c>
      <c r="E136" s="40" t="n"/>
      <c r="F136" s="39" t="inlineStr">
        <is>
          <t>B_A_F_32_P13</t>
        </is>
      </c>
      <c r="G136" s="40" t="n"/>
      <c r="H136" s="41" t="n"/>
      <c r="I136" s="42">
        <f>IF($H136="","",MAX(0,$H136-N($E136)))</f>
        <v/>
      </c>
      <c r="J136" s="42">
        <f>IF($H136="","",MAX(0,$H136-N($G136)))</f>
        <v/>
      </c>
    </row>
    <row r="137" ht="19.5" customHeight="1" s="72">
      <c r="A137" s="38" t="inlineStr">
        <is>
          <t>AF-32-P14-BEN</t>
        </is>
      </c>
      <c r="B137" s="38" t="inlineStr">
        <is>
          <t>Fase 32</t>
        </is>
      </c>
      <c r="C137" s="38" t="inlineStr">
        <is>
          <t>Benguela</t>
        </is>
      </c>
      <c r="D137" s="39" t="inlineStr">
        <is>
          <t>A_A_F_32_P14</t>
        </is>
      </c>
      <c r="E137" s="40" t="n"/>
      <c r="F137" s="39" t="inlineStr">
        <is>
          <t>B_A_F_32_P14</t>
        </is>
      </c>
      <c r="G137" s="40" t="n"/>
      <c r="H137" s="41" t="n"/>
      <c r="I137" s="42">
        <f>IF($H137="","",MAX(0,$H137-N($E137)))</f>
        <v/>
      </c>
      <c r="J137" s="42">
        <f>IF($H137="","",MAX(0,$H137-N($G137)))</f>
        <v/>
      </c>
    </row>
    <row r="138" ht="19.5" customHeight="1" s="72">
      <c r="A138" s="38" t="inlineStr">
        <is>
          <t>AF-32-P14-SBA</t>
        </is>
      </c>
      <c r="B138" s="38" t="inlineStr">
        <is>
          <t>Fase 32</t>
        </is>
      </c>
      <c r="C138" s="38" t="inlineStr">
        <is>
          <t>São Bento da Abadá</t>
        </is>
      </c>
      <c r="D138" s="39" t="inlineStr">
        <is>
          <t>A_A_F_32_P14</t>
        </is>
      </c>
      <c r="E138" s="40" t="n"/>
      <c r="F138" s="39" t="inlineStr">
        <is>
          <t>B_A_F_32_P14</t>
        </is>
      </c>
      <c r="G138" s="40" t="n"/>
      <c r="H138" s="41" t="n"/>
      <c r="I138" s="42">
        <f>IF($H138="","",MAX(0,$H138-N($E138)))</f>
        <v/>
      </c>
      <c r="J138" s="42">
        <f>IF($H138="","",MAX(0,$H138-N($G138)))</f>
        <v/>
      </c>
    </row>
    <row r="139" ht="19.5" customHeight="1" s="72">
      <c r="A139" s="38" t="inlineStr">
        <is>
          <t>AF-32-P14-SIR</t>
        </is>
      </c>
      <c r="B139" s="38" t="inlineStr">
        <is>
          <t>Fase 32</t>
        </is>
      </c>
      <c r="C139" s="38" t="inlineStr">
        <is>
          <t>Siriuna</t>
        </is>
      </c>
      <c r="D139" s="39" t="inlineStr">
        <is>
          <t>A_A_F_32_P14</t>
        </is>
      </c>
      <c r="E139" s="40" t="n"/>
      <c r="F139" s="39" t="inlineStr">
        <is>
          <t>B_A_F_32_P14</t>
        </is>
      </c>
      <c r="G139" s="40" t="n"/>
      <c r="H139" s="41" t="n"/>
      <c r="I139" s="42">
        <f>IF($H139="","",MAX(0,$H139-N($E139)))</f>
        <v/>
      </c>
      <c r="J139" s="42">
        <f>IF($H139="","",MAX(0,$H139-N($G139)))</f>
        <v/>
      </c>
    </row>
    <row r="140" ht="19.5" customHeight="1" s="72">
      <c r="A140" s="38" t="inlineStr">
        <is>
          <t>AF-32-P15-BEN</t>
        </is>
      </c>
      <c r="B140" s="38" t="inlineStr">
        <is>
          <t>Fase 32</t>
        </is>
      </c>
      <c r="C140" s="38" t="inlineStr">
        <is>
          <t>Benguela</t>
        </is>
      </c>
      <c r="D140" s="39" t="inlineStr">
        <is>
          <t>A_A_F_32_P15</t>
        </is>
      </c>
      <c r="E140" s="40" t="n"/>
      <c r="F140" s="39" t="inlineStr">
        <is>
          <t>B_A_F_32_P15</t>
        </is>
      </c>
      <c r="G140" s="40" t="n"/>
      <c r="H140" s="41" t="n"/>
      <c r="I140" s="42">
        <f>IF($H140="","",MAX(0,$H140-N($E140)))</f>
        <v/>
      </c>
      <c r="J140" s="42">
        <f>IF($H140="","",MAX(0,$H140-N($G140)))</f>
        <v/>
      </c>
    </row>
    <row r="141" ht="19.5" customHeight="1" s="72">
      <c r="A141" s="38" t="inlineStr">
        <is>
          <t>AF-32-P15-SBA</t>
        </is>
      </c>
      <c r="B141" s="38" t="inlineStr">
        <is>
          <t>Fase 32</t>
        </is>
      </c>
      <c r="C141" s="38" t="inlineStr">
        <is>
          <t>São Bento da Abadá</t>
        </is>
      </c>
      <c r="D141" s="39" t="inlineStr">
        <is>
          <t>A_A_F_32_P15</t>
        </is>
      </c>
      <c r="E141" s="40" t="n"/>
      <c r="F141" s="39" t="inlineStr">
        <is>
          <t>B_A_F_32_P15</t>
        </is>
      </c>
      <c r="G141" s="40" t="n"/>
      <c r="H141" s="41" t="n"/>
      <c r="I141" s="42">
        <f>IF($H141="","",MAX(0,$H141-N($E141)))</f>
        <v/>
      </c>
      <c r="J141" s="42">
        <f>IF($H141="","",MAX(0,$H141-N($G141)))</f>
        <v/>
      </c>
    </row>
    <row r="142" ht="19.5" customHeight="1" s="72">
      <c r="A142" s="38" t="inlineStr">
        <is>
          <t>AF-32-P15-SIR</t>
        </is>
      </c>
      <c r="B142" s="38" t="inlineStr">
        <is>
          <t>Fase 32</t>
        </is>
      </c>
      <c r="C142" s="38" t="inlineStr">
        <is>
          <t>Siriuna</t>
        </is>
      </c>
      <c r="D142" s="39" t="inlineStr">
        <is>
          <t>A_A_F_32_P15</t>
        </is>
      </c>
      <c r="E142" s="40" t="n"/>
      <c r="F142" s="39" t="inlineStr">
        <is>
          <t>B_A_F_32_P15</t>
        </is>
      </c>
      <c r="G142" s="40" t="n"/>
      <c r="H142" s="41" t="n"/>
      <c r="I142" s="42">
        <f>IF($H142="","",MAX(0,$H142-N($E142)))</f>
        <v/>
      </c>
      <c r="J142" s="42">
        <f>IF($H142="","",MAX(0,$H142-N($G142)))</f>
        <v/>
      </c>
    </row>
    <row r="143" ht="19.5" customHeight="1" s="72">
      <c r="A143" s="38" t="inlineStr">
        <is>
          <t>AF-32-P16-BEN</t>
        </is>
      </c>
      <c r="B143" s="38" t="inlineStr">
        <is>
          <t>Fase 32</t>
        </is>
      </c>
      <c r="C143" s="38" t="inlineStr">
        <is>
          <t>Benguela</t>
        </is>
      </c>
      <c r="D143" s="39" t="inlineStr">
        <is>
          <t>A_A_F_32_P16</t>
        </is>
      </c>
      <c r="E143" s="40" t="n"/>
      <c r="F143" s="39" t="inlineStr">
        <is>
          <t>B_A_F_32_P16</t>
        </is>
      </c>
      <c r="G143" s="40" t="n"/>
      <c r="H143" s="41" t="n"/>
      <c r="I143" s="42">
        <f>IF($H143="","",MAX(0,$H143-N($E143)))</f>
        <v/>
      </c>
      <c r="J143" s="42">
        <f>IF($H143="","",MAX(0,$H143-N($G143)))</f>
        <v/>
      </c>
    </row>
    <row r="144" ht="19.5" customHeight="1" s="72">
      <c r="A144" s="38" t="inlineStr">
        <is>
          <t>AF-32-P16-SBA</t>
        </is>
      </c>
      <c r="B144" s="38" t="inlineStr">
        <is>
          <t>Fase 32</t>
        </is>
      </c>
      <c r="C144" s="38" t="inlineStr">
        <is>
          <t>São Bento da Abadá</t>
        </is>
      </c>
      <c r="D144" s="39" t="inlineStr">
        <is>
          <t>A_A_F_32_P16</t>
        </is>
      </c>
      <c r="E144" s="40" t="n"/>
      <c r="F144" s="39" t="inlineStr">
        <is>
          <t>B_A_F_32_P16</t>
        </is>
      </c>
      <c r="G144" s="40" t="n"/>
      <c r="H144" s="41" t="n"/>
      <c r="I144" s="42">
        <f>IF($H144="","",MAX(0,$H144-N($E144)))</f>
        <v/>
      </c>
      <c r="J144" s="42">
        <f>IF($H144="","",MAX(0,$H144-N($G144)))</f>
        <v/>
      </c>
    </row>
    <row r="145" ht="19.5" customHeight="1" s="72">
      <c r="A145" s="38" t="inlineStr">
        <is>
          <t>AF-32-P16-SIR</t>
        </is>
      </c>
      <c r="B145" s="38" t="inlineStr">
        <is>
          <t>Fase 32</t>
        </is>
      </c>
      <c r="C145" s="38" t="inlineStr">
        <is>
          <t>Siriuna</t>
        </is>
      </c>
      <c r="D145" s="39" t="inlineStr">
        <is>
          <t>A_A_F_32_P16</t>
        </is>
      </c>
      <c r="E145" s="40" t="n"/>
      <c r="F145" s="39" t="inlineStr">
        <is>
          <t>B_A_F_32_P16</t>
        </is>
      </c>
      <c r="G145" s="40" t="n"/>
      <c r="H145" s="41" t="n"/>
      <c r="I145" s="42">
        <f>IF($H145="","",MAX(0,$H145-N($E145)))</f>
        <v/>
      </c>
      <c r="J145" s="42">
        <f>IF($H145="","",MAX(0,$H145-N($G145)))</f>
        <v/>
      </c>
    </row>
    <row r="146" ht="19.5" customHeight="1" s="72">
      <c r="A146" s="38" t="inlineStr">
        <is>
          <t>AF-OCT-P01-BEN</t>
        </is>
      </c>
      <c r="B146" s="38" t="inlineStr">
        <is>
          <t>Octavas</t>
        </is>
      </c>
      <c r="C146" s="38" t="inlineStr">
        <is>
          <t>Benguela</t>
        </is>
      </c>
      <c r="D146" s="39">
        <f>IFERROR(CLASIF_A_F!$F$5,"")</f>
        <v/>
      </c>
      <c r="E146" s="40" t="n"/>
      <c r="F146" s="39">
        <f>IFERROR(CLASIF_A_F!$F$20,"")</f>
        <v/>
      </c>
      <c r="G146" s="40" t="n"/>
      <c r="H146" s="41" t="n"/>
      <c r="I146" s="42">
        <f>IF($H146="","",MAX(0,$H146-N($E146)))</f>
        <v/>
      </c>
      <c r="J146" s="42">
        <f>IF($H146="","",MAX(0,$H146-N($G146)))</f>
        <v/>
      </c>
    </row>
    <row r="147" ht="19.5" customHeight="1" s="72">
      <c r="A147" s="38" t="inlineStr">
        <is>
          <t>AF-OCT-P01-SBA</t>
        </is>
      </c>
      <c r="B147" s="38" t="inlineStr">
        <is>
          <t>Octavas</t>
        </is>
      </c>
      <c r="C147" s="38" t="inlineStr">
        <is>
          <t>São Bento da Abadá</t>
        </is>
      </c>
      <c r="D147" s="39">
        <f>IFERROR(CLASIF_A_F!$F$5,"")</f>
        <v/>
      </c>
      <c r="E147" s="40" t="n"/>
      <c r="F147" s="39">
        <f>IFERROR(CLASIF_A_F!$F$20,"")</f>
        <v/>
      </c>
      <c r="G147" s="40" t="n"/>
      <c r="H147" s="41" t="n"/>
      <c r="I147" s="42">
        <f>IF($H147="","",MAX(0,$H147-N($E147)))</f>
        <v/>
      </c>
      <c r="J147" s="42">
        <f>IF($H147="","",MAX(0,$H147-N($G147)))</f>
        <v/>
      </c>
    </row>
    <row r="148" ht="19.5" customHeight="1" s="72">
      <c r="A148" s="38" t="inlineStr">
        <is>
          <t>AF-OCT-P01-SIR</t>
        </is>
      </c>
      <c r="B148" s="38" t="inlineStr">
        <is>
          <t>Octavas</t>
        </is>
      </c>
      <c r="C148" s="38" t="inlineStr">
        <is>
          <t>Siriuna</t>
        </is>
      </c>
      <c r="D148" s="39">
        <f>IFERROR(CLASIF_A_F!$F$5,"")</f>
        <v/>
      </c>
      <c r="E148" s="40" t="n"/>
      <c r="F148" s="39">
        <f>IFERROR(CLASIF_A_F!$F$20,"")</f>
        <v/>
      </c>
      <c r="G148" s="40" t="n"/>
      <c r="H148" s="41" t="n"/>
      <c r="I148" s="42">
        <f>IF($H148="","",MAX(0,$H148-N($E148)))</f>
        <v/>
      </c>
      <c r="J148" s="42">
        <f>IF($H148="","",MAX(0,$H148-N($G148)))</f>
        <v/>
      </c>
    </row>
    <row r="149" ht="19.5" customHeight="1" s="72">
      <c r="A149" s="38" t="inlineStr">
        <is>
          <t>AF-OCT-P02-BEN</t>
        </is>
      </c>
      <c r="B149" s="38" t="inlineStr">
        <is>
          <t>Octavas</t>
        </is>
      </c>
      <c r="C149" s="38" t="inlineStr">
        <is>
          <t>Benguela</t>
        </is>
      </c>
      <c r="D149" s="39">
        <f>IFERROR(CLASIF_A_F!$F$6,"")</f>
        <v/>
      </c>
      <c r="E149" s="40" t="n"/>
      <c r="F149" s="39">
        <f>IFERROR(CLASIF_A_F!$F$19,"")</f>
        <v/>
      </c>
      <c r="G149" s="40" t="n"/>
      <c r="H149" s="41" t="n"/>
      <c r="I149" s="42">
        <f>IF($H149="","",MAX(0,$H149-N($E149)))</f>
        <v/>
      </c>
      <c r="J149" s="42">
        <f>IF($H149="","",MAX(0,$H149-N($G149)))</f>
        <v/>
      </c>
    </row>
    <row r="150" ht="19.5" customHeight="1" s="72">
      <c r="A150" s="38" t="inlineStr">
        <is>
          <t>AF-OCT-P02-SBA</t>
        </is>
      </c>
      <c r="B150" s="38" t="inlineStr">
        <is>
          <t>Octavas</t>
        </is>
      </c>
      <c r="C150" s="38" t="inlineStr">
        <is>
          <t>São Bento da Abadá</t>
        </is>
      </c>
      <c r="D150" s="39">
        <f>IFERROR(CLASIF_A_F!$F$6,"")</f>
        <v/>
      </c>
      <c r="E150" s="40" t="n"/>
      <c r="F150" s="39">
        <f>IFERROR(CLASIF_A_F!$F$19,"")</f>
        <v/>
      </c>
      <c r="G150" s="40" t="n"/>
      <c r="H150" s="41" t="n"/>
      <c r="I150" s="42">
        <f>IF($H150="","",MAX(0,$H150-N($E150)))</f>
        <v/>
      </c>
      <c r="J150" s="42">
        <f>IF($H150="","",MAX(0,$H150-N($G150)))</f>
        <v/>
      </c>
    </row>
    <row r="151" ht="19.5" customHeight="1" s="72">
      <c r="A151" s="38" t="inlineStr">
        <is>
          <t>AF-OCT-P02-SIR</t>
        </is>
      </c>
      <c r="B151" s="38" t="inlineStr">
        <is>
          <t>Octavas</t>
        </is>
      </c>
      <c r="C151" s="38" t="inlineStr">
        <is>
          <t>Siriuna</t>
        </is>
      </c>
      <c r="D151" s="39">
        <f>IFERROR(CLASIF_A_F!$F$6,"")</f>
        <v/>
      </c>
      <c r="E151" s="40" t="n"/>
      <c r="F151" s="39">
        <f>IFERROR(CLASIF_A_F!$F$19,"")</f>
        <v/>
      </c>
      <c r="G151" s="40" t="n"/>
      <c r="H151" s="41" t="n"/>
      <c r="I151" s="42">
        <f>IF($H151="","",MAX(0,$H151-N($E151)))</f>
        <v/>
      </c>
      <c r="J151" s="42">
        <f>IF($H151="","",MAX(0,$H151-N($G151)))</f>
        <v/>
      </c>
    </row>
    <row r="152" ht="19.5" customHeight="1" s="72">
      <c r="A152" s="38" t="inlineStr">
        <is>
          <t>AF-OCT-P03-BEN</t>
        </is>
      </c>
      <c r="B152" s="38" t="inlineStr">
        <is>
          <t>Octavas</t>
        </is>
      </c>
      <c r="C152" s="38" t="inlineStr">
        <is>
          <t>Benguela</t>
        </is>
      </c>
      <c r="D152" s="39">
        <f>IFERROR(CLASIF_A_F!$F$7,"")</f>
        <v/>
      </c>
      <c r="E152" s="40" t="n"/>
      <c r="F152" s="39">
        <f>IFERROR(CLASIF_A_F!$F$18,"")</f>
        <v/>
      </c>
      <c r="G152" s="40" t="n"/>
      <c r="H152" s="41" t="n"/>
      <c r="I152" s="42">
        <f>IF($H152="","",MAX(0,$H152-N($E152)))</f>
        <v/>
      </c>
      <c r="J152" s="42">
        <f>IF($H152="","",MAX(0,$H152-N($G152)))</f>
        <v/>
      </c>
    </row>
    <row r="153" ht="19.5" customHeight="1" s="72">
      <c r="A153" s="38" t="inlineStr">
        <is>
          <t>AF-OCT-P03-SBA</t>
        </is>
      </c>
      <c r="B153" s="38" t="inlineStr">
        <is>
          <t>Octavas</t>
        </is>
      </c>
      <c r="C153" s="38" t="inlineStr">
        <is>
          <t>São Bento da Abadá</t>
        </is>
      </c>
      <c r="D153" s="39">
        <f>IFERROR(CLASIF_A_F!$F$7,"")</f>
        <v/>
      </c>
      <c r="E153" s="40" t="n"/>
      <c r="F153" s="39">
        <f>IFERROR(CLASIF_A_F!$F$18,"")</f>
        <v/>
      </c>
      <c r="G153" s="40" t="n"/>
      <c r="H153" s="41" t="n"/>
      <c r="I153" s="42">
        <f>IF($H153="","",MAX(0,$H153-N($E153)))</f>
        <v/>
      </c>
      <c r="J153" s="42">
        <f>IF($H153="","",MAX(0,$H153-N($G153)))</f>
        <v/>
      </c>
    </row>
    <row r="154" ht="19.5" customHeight="1" s="72">
      <c r="A154" s="38" t="inlineStr">
        <is>
          <t>AF-OCT-P03-SIR</t>
        </is>
      </c>
      <c r="B154" s="38" t="inlineStr">
        <is>
          <t>Octavas</t>
        </is>
      </c>
      <c r="C154" s="38" t="inlineStr">
        <is>
          <t>Siriuna</t>
        </is>
      </c>
      <c r="D154" s="39">
        <f>IFERROR(CLASIF_A_F!$F$7,"")</f>
        <v/>
      </c>
      <c r="E154" s="40" t="n"/>
      <c r="F154" s="39">
        <f>IFERROR(CLASIF_A_F!$F$18,"")</f>
        <v/>
      </c>
      <c r="G154" s="40" t="n"/>
      <c r="H154" s="41" t="n"/>
      <c r="I154" s="42">
        <f>IF($H154="","",MAX(0,$H154-N($E154)))</f>
        <v/>
      </c>
      <c r="J154" s="42">
        <f>IF($H154="","",MAX(0,$H154-N($G154)))</f>
        <v/>
      </c>
    </row>
    <row r="155" ht="19.5" customHeight="1" s="72">
      <c r="A155" s="38" t="inlineStr">
        <is>
          <t>AF-OCT-P04-BEN</t>
        </is>
      </c>
      <c r="B155" s="38" t="inlineStr">
        <is>
          <t>Octavas</t>
        </is>
      </c>
      <c r="C155" s="38" t="inlineStr">
        <is>
          <t>Benguela</t>
        </is>
      </c>
      <c r="D155" s="39">
        <f>IFERROR(CLASIF_A_F!$F$8,"")</f>
        <v/>
      </c>
      <c r="E155" s="40" t="n"/>
      <c r="F155" s="39">
        <f>IFERROR(CLASIF_A_F!$F$17,"")</f>
        <v/>
      </c>
      <c r="G155" s="40" t="n"/>
      <c r="H155" s="41" t="n"/>
      <c r="I155" s="42">
        <f>IF($H155="","",MAX(0,$H155-N($E155)))</f>
        <v/>
      </c>
      <c r="J155" s="42">
        <f>IF($H155="","",MAX(0,$H155-N($G155)))</f>
        <v/>
      </c>
    </row>
    <row r="156" ht="19.5" customHeight="1" s="72">
      <c r="A156" s="38" t="inlineStr">
        <is>
          <t>AF-OCT-P04-SBA</t>
        </is>
      </c>
      <c r="B156" s="38" t="inlineStr">
        <is>
          <t>Octavas</t>
        </is>
      </c>
      <c r="C156" s="38" t="inlineStr">
        <is>
          <t>São Bento da Abadá</t>
        </is>
      </c>
      <c r="D156" s="39">
        <f>IFERROR(CLASIF_A_F!$F$8,"")</f>
        <v/>
      </c>
      <c r="E156" s="40" t="n"/>
      <c r="F156" s="39">
        <f>IFERROR(CLASIF_A_F!$F$17,"")</f>
        <v/>
      </c>
      <c r="G156" s="40" t="n"/>
      <c r="H156" s="41" t="n"/>
      <c r="I156" s="42">
        <f>IF($H156="","",MAX(0,$H156-N($E156)))</f>
        <v/>
      </c>
      <c r="J156" s="42">
        <f>IF($H156="","",MAX(0,$H156-N($G156)))</f>
        <v/>
      </c>
    </row>
    <row r="157" ht="19.5" customHeight="1" s="72">
      <c r="A157" s="38" t="inlineStr">
        <is>
          <t>AF-OCT-P04-SIR</t>
        </is>
      </c>
      <c r="B157" s="38" t="inlineStr">
        <is>
          <t>Octavas</t>
        </is>
      </c>
      <c r="C157" s="38" t="inlineStr">
        <is>
          <t>Siriuna</t>
        </is>
      </c>
      <c r="D157" s="39">
        <f>IFERROR(CLASIF_A_F!$F$8,"")</f>
        <v/>
      </c>
      <c r="E157" s="40" t="n"/>
      <c r="F157" s="39">
        <f>IFERROR(CLASIF_A_F!$F$17,"")</f>
        <v/>
      </c>
      <c r="G157" s="40" t="n"/>
      <c r="H157" s="41" t="n"/>
      <c r="I157" s="42">
        <f>IF($H157="","",MAX(0,$H157-N($E157)))</f>
        <v/>
      </c>
      <c r="J157" s="42">
        <f>IF($H157="","",MAX(0,$H157-N($G157)))</f>
        <v/>
      </c>
    </row>
    <row r="158" ht="19.5" customHeight="1" s="72">
      <c r="A158" s="38" t="inlineStr">
        <is>
          <t>AF-OCT-P05-BEN</t>
        </is>
      </c>
      <c r="B158" s="38" t="inlineStr">
        <is>
          <t>Octavas</t>
        </is>
      </c>
      <c r="C158" s="38" t="inlineStr">
        <is>
          <t>Benguela</t>
        </is>
      </c>
      <c r="D158" s="39">
        <f>IFERROR(CLASIF_A_F!$F$9,"")</f>
        <v/>
      </c>
      <c r="E158" s="40" t="n"/>
      <c r="F158" s="39">
        <f>IFERROR(CLASIF_A_F!$F$16,"")</f>
        <v/>
      </c>
      <c r="G158" s="40" t="n"/>
      <c r="H158" s="41" t="n"/>
      <c r="I158" s="42">
        <f>IF($H158="","",MAX(0,$H158-N($E158)))</f>
        <v/>
      </c>
      <c r="J158" s="42">
        <f>IF($H158="","",MAX(0,$H158-N($G158)))</f>
        <v/>
      </c>
    </row>
    <row r="159" ht="19.5" customHeight="1" s="72">
      <c r="A159" s="38" t="inlineStr">
        <is>
          <t>AF-OCT-P05-SBA</t>
        </is>
      </c>
      <c r="B159" s="38" t="inlineStr">
        <is>
          <t>Octavas</t>
        </is>
      </c>
      <c r="C159" s="38" t="inlineStr">
        <is>
          <t>São Bento da Abadá</t>
        </is>
      </c>
      <c r="D159" s="39">
        <f>IFERROR(CLASIF_A_F!$F$9,"")</f>
        <v/>
      </c>
      <c r="E159" s="40" t="n"/>
      <c r="F159" s="39">
        <f>IFERROR(CLASIF_A_F!$F$16,"")</f>
        <v/>
      </c>
      <c r="G159" s="40" t="n"/>
      <c r="H159" s="41" t="n"/>
      <c r="I159" s="42">
        <f>IF($H159="","",MAX(0,$H159-N($E159)))</f>
        <v/>
      </c>
      <c r="J159" s="42">
        <f>IF($H159="","",MAX(0,$H159-N($G159)))</f>
        <v/>
      </c>
    </row>
    <row r="160" ht="19.5" customHeight="1" s="72">
      <c r="A160" s="38" t="inlineStr">
        <is>
          <t>AF-OCT-P05-SIR</t>
        </is>
      </c>
      <c r="B160" s="38" t="inlineStr">
        <is>
          <t>Octavas</t>
        </is>
      </c>
      <c r="C160" s="38" t="inlineStr">
        <is>
          <t>Siriuna</t>
        </is>
      </c>
      <c r="D160" s="39">
        <f>IFERROR(CLASIF_A_F!$F$9,"")</f>
        <v/>
      </c>
      <c r="E160" s="40" t="n"/>
      <c r="F160" s="39">
        <f>IFERROR(CLASIF_A_F!$F$16,"")</f>
        <v/>
      </c>
      <c r="G160" s="40" t="n"/>
      <c r="H160" s="41" t="n"/>
      <c r="I160" s="42">
        <f>IF($H160="","",MAX(0,$H160-N($E160)))</f>
        <v/>
      </c>
      <c r="J160" s="42">
        <f>IF($H160="","",MAX(0,$H160-N($G160)))</f>
        <v/>
      </c>
    </row>
    <row r="161" ht="19.5" customHeight="1" s="72">
      <c r="A161" s="38" t="inlineStr">
        <is>
          <t>AF-OCT-P06-BEN</t>
        </is>
      </c>
      <c r="B161" s="38" t="inlineStr">
        <is>
          <t>Octavas</t>
        </is>
      </c>
      <c r="C161" s="38" t="inlineStr">
        <is>
          <t>Benguela</t>
        </is>
      </c>
      <c r="D161" s="39">
        <f>IFERROR(CLASIF_A_F!$F$10,"")</f>
        <v/>
      </c>
      <c r="E161" s="40" t="n"/>
      <c r="F161" s="39">
        <f>IFERROR(CLASIF_A_F!$F$15,"")</f>
        <v/>
      </c>
      <c r="G161" s="40" t="n"/>
      <c r="H161" s="41" t="n"/>
      <c r="I161" s="42">
        <f>IF($H161="","",MAX(0,$H161-N($E161)))</f>
        <v/>
      </c>
      <c r="J161" s="42">
        <f>IF($H161="","",MAX(0,$H161-N($G161)))</f>
        <v/>
      </c>
    </row>
    <row r="162" ht="19.5" customHeight="1" s="72">
      <c r="A162" s="38" t="inlineStr">
        <is>
          <t>AF-OCT-P06-SBA</t>
        </is>
      </c>
      <c r="B162" s="38" t="inlineStr">
        <is>
          <t>Octavas</t>
        </is>
      </c>
      <c r="C162" s="38" t="inlineStr">
        <is>
          <t>São Bento da Abadá</t>
        </is>
      </c>
      <c r="D162" s="39">
        <f>IFERROR(CLASIF_A_F!$F$10,"")</f>
        <v/>
      </c>
      <c r="E162" s="40" t="n"/>
      <c r="F162" s="39">
        <f>IFERROR(CLASIF_A_F!$F$15,"")</f>
        <v/>
      </c>
      <c r="G162" s="40" t="n"/>
      <c r="H162" s="41" t="n"/>
      <c r="I162" s="42">
        <f>IF($H162="","",MAX(0,$H162-N($E162)))</f>
        <v/>
      </c>
      <c r="J162" s="42">
        <f>IF($H162="","",MAX(0,$H162-N($G162)))</f>
        <v/>
      </c>
    </row>
    <row r="163" ht="19.5" customHeight="1" s="72">
      <c r="A163" s="38" t="inlineStr">
        <is>
          <t>AF-OCT-P06-SIR</t>
        </is>
      </c>
      <c r="B163" s="38" t="inlineStr">
        <is>
          <t>Octavas</t>
        </is>
      </c>
      <c r="C163" s="38" t="inlineStr">
        <is>
          <t>Siriuna</t>
        </is>
      </c>
      <c r="D163" s="39">
        <f>IFERROR(CLASIF_A_F!$F$10,"")</f>
        <v/>
      </c>
      <c r="E163" s="40" t="n"/>
      <c r="F163" s="39">
        <f>IFERROR(CLASIF_A_F!$F$15,"")</f>
        <v/>
      </c>
      <c r="G163" s="40" t="n"/>
      <c r="H163" s="41" t="n"/>
      <c r="I163" s="42">
        <f>IF($H163="","",MAX(0,$H163-N($E163)))</f>
        <v/>
      </c>
      <c r="J163" s="42">
        <f>IF($H163="","",MAX(0,$H163-N($G163)))</f>
        <v/>
      </c>
    </row>
    <row r="164" ht="19.5" customHeight="1" s="72">
      <c r="A164" s="38" t="inlineStr">
        <is>
          <t>AF-OCT-P07-BEN</t>
        </is>
      </c>
      <c r="B164" s="38" t="inlineStr">
        <is>
          <t>Octavas</t>
        </is>
      </c>
      <c r="C164" s="38" t="inlineStr">
        <is>
          <t>Benguela</t>
        </is>
      </c>
      <c r="D164" s="39">
        <f>IFERROR(CLASIF_A_F!$F$11,"")</f>
        <v/>
      </c>
      <c r="E164" s="40" t="n"/>
      <c r="F164" s="39">
        <f>IFERROR(CLASIF_A_F!$F$14,"")</f>
        <v/>
      </c>
      <c r="G164" s="40" t="n"/>
      <c r="H164" s="41" t="n"/>
      <c r="I164" s="42">
        <f>IF($H164="","",MAX(0,$H164-N($E164)))</f>
        <v/>
      </c>
      <c r="J164" s="42">
        <f>IF($H164="","",MAX(0,$H164-N($G164)))</f>
        <v/>
      </c>
    </row>
    <row r="165" ht="19.5" customHeight="1" s="72">
      <c r="A165" s="38" t="inlineStr">
        <is>
          <t>AF-OCT-P07-SBA</t>
        </is>
      </c>
      <c r="B165" s="38" t="inlineStr">
        <is>
          <t>Octavas</t>
        </is>
      </c>
      <c r="C165" s="38" t="inlineStr">
        <is>
          <t>São Bento da Abadá</t>
        </is>
      </c>
      <c r="D165" s="39">
        <f>IFERROR(CLASIF_A_F!$F$11,"")</f>
        <v/>
      </c>
      <c r="E165" s="40" t="n"/>
      <c r="F165" s="39">
        <f>IFERROR(CLASIF_A_F!$F$14,"")</f>
        <v/>
      </c>
      <c r="G165" s="40" t="n"/>
      <c r="H165" s="41" t="n"/>
      <c r="I165" s="42">
        <f>IF($H165="","",MAX(0,$H165-N($E165)))</f>
        <v/>
      </c>
      <c r="J165" s="42">
        <f>IF($H165="","",MAX(0,$H165-N($G165)))</f>
        <v/>
      </c>
    </row>
    <row r="166" ht="19.5" customHeight="1" s="72">
      <c r="A166" s="38" t="inlineStr">
        <is>
          <t>AF-OCT-P07-SIR</t>
        </is>
      </c>
      <c r="B166" s="38" t="inlineStr">
        <is>
          <t>Octavas</t>
        </is>
      </c>
      <c r="C166" s="38" t="inlineStr">
        <is>
          <t>Siriuna</t>
        </is>
      </c>
      <c r="D166" s="39">
        <f>IFERROR(CLASIF_A_F!$F$11,"")</f>
        <v/>
      </c>
      <c r="E166" s="40" t="n"/>
      <c r="F166" s="39">
        <f>IFERROR(CLASIF_A_F!$F$14,"")</f>
        <v/>
      </c>
      <c r="G166" s="40" t="n"/>
      <c r="H166" s="41" t="n"/>
      <c r="I166" s="42">
        <f>IF($H166="","",MAX(0,$H166-N($E166)))</f>
        <v/>
      </c>
      <c r="J166" s="42">
        <f>IF($H166="","",MAX(0,$H166-N($G166)))</f>
        <v/>
      </c>
    </row>
    <row r="167" ht="19.5" customHeight="1" s="72">
      <c r="A167" s="38" t="inlineStr">
        <is>
          <t>AF-OCT-P08-BEN</t>
        </is>
      </c>
      <c r="B167" s="38" t="inlineStr">
        <is>
          <t>Octavas</t>
        </is>
      </c>
      <c r="C167" s="38" t="inlineStr">
        <is>
          <t>Benguela</t>
        </is>
      </c>
      <c r="D167" s="39">
        <f>IFERROR(CLASIF_A_F!$F$12,"")</f>
        <v/>
      </c>
      <c r="E167" s="40" t="n"/>
      <c r="F167" s="39">
        <f>IFERROR(CLASIF_A_F!$F$13,"")</f>
        <v/>
      </c>
      <c r="G167" s="40" t="n"/>
      <c r="H167" s="41" t="n"/>
      <c r="I167" s="42">
        <f>IF($H167="","",MAX(0,$H167-N($E167)))</f>
        <v/>
      </c>
      <c r="J167" s="42">
        <f>IF($H167="","",MAX(0,$H167-N($G167)))</f>
        <v/>
      </c>
    </row>
    <row r="168" ht="19.5" customHeight="1" s="72">
      <c r="A168" s="38" t="inlineStr">
        <is>
          <t>AF-OCT-P08-SBA</t>
        </is>
      </c>
      <c r="B168" s="38" t="inlineStr">
        <is>
          <t>Octavas</t>
        </is>
      </c>
      <c r="C168" s="38" t="inlineStr">
        <is>
          <t>São Bento da Abadá</t>
        </is>
      </c>
      <c r="D168" s="39">
        <f>IFERROR(CLASIF_A_F!$F$12,"")</f>
        <v/>
      </c>
      <c r="E168" s="40" t="n"/>
      <c r="F168" s="39">
        <f>IFERROR(CLASIF_A_F!$F$13,"")</f>
        <v/>
      </c>
      <c r="G168" s="40" t="n"/>
      <c r="H168" s="41" t="n"/>
      <c r="I168" s="42">
        <f>IF($H168="","",MAX(0,$H168-N($E168)))</f>
        <v/>
      </c>
      <c r="J168" s="42">
        <f>IF($H168="","",MAX(0,$H168-N($G168)))</f>
        <v/>
      </c>
    </row>
    <row r="169" ht="19.5" customHeight="1" s="72">
      <c r="A169" s="38" t="inlineStr">
        <is>
          <t>AF-OCT-P08-SIR</t>
        </is>
      </c>
      <c r="B169" s="38" t="inlineStr">
        <is>
          <t>Octavas</t>
        </is>
      </c>
      <c r="C169" s="38" t="inlineStr">
        <is>
          <t>Siriuna</t>
        </is>
      </c>
      <c r="D169" s="39">
        <f>IFERROR(CLASIF_A_F!$F$12,"")</f>
        <v/>
      </c>
      <c r="E169" s="40" t="n"/>
      <c r="F169" s="39">
        <f>IFERROR(CLASIF_A_F!$F$13,"")</f>
        <v/>
      </c>
      <c r="G169" s="40" t="n"/>
      <c r="H169" s="41" t="n"/>
      <c r="I169" s="42">
        <f>IF($H169="","",MAX(0,$H169-N($E169)))</f>
        <v/>
      </c>
      <c r="J169" s="42">
        <f>IF($H169="","",MAX(0,$H169-N($G169)))</f>
        <v/>
      </c>
    </row>
    <row r="170" ht="19.5" customHeight="1" s="72">
      <c r="A170" s="38" t="inlineStr">
        <is>
          <t>AF-SEM-P01-BEN</t>
        </is>
      </c>
      <c r="B170" s="38" t="inlineStr">
        <is>
          <t>Semifinal</t>
        </is>
      </c>
      <c r="C170" s="38" t="inlineStr">
        <is>
          <t>Benguela</t>
        </is>
      </c>
      <c r="D170" s="39">
        <f>IFERROR(CLASIF_A_F!$O$5,"")</f>
        <v/>
      </c>
      <c r="E170" s="40" t="n"/>
      <c r="F170" s="39">
        <f>IFERROR(CLASIF_A_F!$O$12,"")</f>
        <v/>
      </c>
      <c r="G170" s="40" t="n"/>
      <c r="H170" s="41" t="n"/>
      <c r="I170" s="42">
        <f>IF($H170="","",MAX(0,$H170-N($E170)))</f>
        <v/>
      </c>
      <c r="J170" s="42">
        <f>IF($H170="","",MAX(0,$H170-N($G170)))</f>
        <v/>
      </c>
    </row>
    <row r="171" ht="19.5" customHeight="1" s="72">
      <c r="A171" s="38" t="inlineStr">
        <is>
          <t>AF-SEM-P01-SBA</t>
        </is>
      </c>
      <c r="B171" s="38" t="inlineStr">
        <is>
          <t>Semifinal</t>
        </is>
      </c>
      <c r="C171" s="38" t="inlineStr">
        <is>
          <t>São Bento da Abadá</t>
        </is>
      </c>
      <c r="D171" s="39">
        <f>IFERROR(CLASIF_A_F!$O$5,"")</f>
        <v/>
      </c>
      <c r="E171" s="40" t="n"/>
      <c r="F171" s="39">
        <f>IFERROR(CLASIF_A_F!$O$12,"")</f>
        <v/>
      </c>
      <c r="G171" s="40" t="n"/>
      <c r="H171" s="41" t="n"/>
      <c r="I171" s="42">
        <f>IF($H171="","",MAX(0,$H171-N($E171)))</f>
        <v/>
      </c>
      <c r="J171" s="42">
        <f>IF($H171="","",MAX(0,$H171-N($G171)))</f>
        <v/>
      </c>
    </row>
    <row r="172" ht="19.5" customHeight="1" s="72">
      <c r="A172" s="38" t="inlineStr">
        <is>
          <t>AF-SEM-P01-SIR</t>
        </is>
      </c>
      <c r="B172" s="38" t="inlineStr">
        <is>
          <t>Semifinal</t>
        </is>
      </c>
      <c r="C172" s="38" t="inlineStr">
        <is>
          <t>Siriuna</t>
        </is>
      </c>
      <c r="D172" s="39">
        <f>IFERROR(CLASIF_A_F!$O$5,"")</f>
        <v/>
      </c>
      <c r="E172" s="40" t="n"/>
      <c r="F172" s="39">
        <f>IFERROR(CLASIF_A_F!$O$12,"")</f>
        <v/>
      </c>
      <c r="G172" s="40" t="n"/>
      <c r="H172" s="41" t="n"/>
      <c r="I172" s="42">
        <f>IF($H172="","",MAX(0,$H172-N($E172)))</f>
        <v/>
      </c>
      <c r="J172" s="42">
        <f>IF($H172="","",MAX(0,$H172-N($G172)))</f>
        <v/>
      </c>
    </row>
    <row r="173" ht="19.5" customHeight="1" s="72">
      <c r="A173" s="38" t="inlineStr">
        <is>
          <t>AF-SEM-P02-BEN</t>
        </is>
      </c>
      <c r="B173" s="38" t="inlineStr">
        <is>
          <t>Semifinal</t>
        </is>
      </c>
      <c r="C173" s="38" t="inlineStr">
        <is>
          <t>Benguela</t>
        </is>
      </c>
      <c r="D173" s="39">
        <f>IFERROR(CLASIF_A_F!$O$6,"")</f>
        <v/>
      </c>
      <c r="E173" s="40" t="n"/>
      <c r="F173" s="39">
        <f>IFERROR(CLASIF_A_F!$O$11,"")</f>
        <v/>
      </c>
      <c r="G173" s="40" t="n"/>
      <c r="H173" s="41" t="n"/>
      <c r="I173" s="42">
        <f>IF($H173="","",MAX(0,$H173-N($E173)))</f>
        <v/>
      </c>
      <c r="J173" s="42">
        <f>IF($H173="","",MAX(0,$H173-N($G173)))</f>
        <v/>
      </c>
    </row>
    <row r="174" ht="19.5" customHeight="1" s="72">
      <c r="A174" s="38" t="inlineStr">
        <is>
          <t>AF-SEM-P02-SBA</t>
        </is>
      </c>
      <c r="B174" s="38" t="inlineStr">
        <is>
          <t>Semifinal</t>
        </is>
      </c>
      <c r="C174" s="38" t="inlineStr">
        <is>
          <t>São Bento da Abadá</t>
        </is>
      </c>
      <c r="D174" s="39">
        <f>IFERROR(CLASIF_A_F!$O$6,"")</f>
        <v/>
      </c>
      <c r="E174" s="40" t="n"/>
      <c r="F174" s="39">
        <f>IFERROR(CLASIF_A_F!$O$11,"")</f>
        <v/>
      </c>
      <c r="G174" s="40" t="n"/>
      <c r="H174" s="41" t="n"/>
      <c r="I174" s="42">
        <f>IF($H174="","",MAX(0,$H174-N($E174)))</f>
        <v/>
      </c>
      <c r="J174" s="42">
        <f>IF($H174="","",MAX(0,$H174-N($G174)))</f>
        <v/>
      </c>
    </row>
    <row r="175" ht="19.5" customHeight="1" s="72">
      <c r="A175" s="38" t="inlineStr">
        <is>
          <t>AF-SEM-P02-SIR</t>
        </is>
      </c>
      <c r="B175" s="38" t="inlineStr">
        <is>
          <t>Semifinal</t>
        </is>
      </c>
      <c r="C175" s="38" t="inlineStr">
        <is>
          <t>Siriuna</t>
        </is>
      </c>
      <c r="D175" s="39">
        <f>IFERROR(CLASIF_A_F!$O$6,"")</f>
        <v/>
      </c>
      <c r="E175" s="40" t="n"/>
      <c r="F175" s="39">
        <f>IFERROR(CLASIF_A_F!$O$11,"")</f>
        <v/>
      </c>
      <c r="G175" s="40" t="n"/>
      <c r="H175" s="41" t="n"/>
      <c r="I175" s="42">
        <f>IF($H175="","",MAX(0,$H175-N($E175)))</f>
        <v/>
      </c>
      <c r="J175" s="42">
        <f>IF($H175="","",MAX(0,$H175-N($G175)))</f>
        <v/>
      </c>
    </row>
    <row r="176" ht="19.5" customHeight="1" s="72">
      <c r="A176" s="38" t="inlineStr">
        <is>
          <t>AF-SEM-P03-BEN</t>
        </is>
      </c>
      <c r="B176" s="38" t="inlineStr">
        <is>
          <t>Semifinal</t>
        </is>
      </c>
      <c r="C176" s="38" t="inlineStr">
        <is>
          <t>Benguela</t>
        </is>
      </c>
      <c r="D176" s="39">
        <f>IFERROR(CLASIF_A_F!$O$7,"")</f>
        <v/>
      </c>
      <c r="E176" s="40" t="n"/>
      <c r="F176" s="39">
        <f>IFERROR(CLASIF_A_F!$O$10,"")</f>
        <v/>
      </c>
      <c r="G176" s="40" t="n"/>
      <c r="H176" s="41" t="n"/>
      <c r="I176" s="42">
        <f>IF($H176="","",MAX(0,$H176-N($E176)))</f>
        <v/>
      </c>
      <c r="J176" s="42">
        <f>IF($H176="","",MAX(0,$H176-N($G176)))</f>
        <v/>
      </c>
    </row>
    <row r="177" ht="19.5" customHeight="1" s="72">
      <c r="A177" s="38" t="inlineStr">
        <is>
          <t>AF-SEM-P03-SBA</t>
        </is>
      </c>
      <c r="B177" s="38" t="inlineStr">
        <is>
          <t>Semifinal</t>
        </is>
      </c>
      <c r="C177" s="38" t="inlineStr">
        <is>
          <t>São Bento da Abadá</t>
        </is>
      </c>
      <c r="D177" s="39">
        <f>IFERROR(CLASIF_A_F!$O$7,"")</f>
        <v/>
      </c>
      <c r="E177" s="40" t="n"/>
      <c r="F177" s="39">
        <f>IFERROR(CLASIF_A_F!$O$10,"")</f>
        <v/>
      </c>
      <c r="G177" s="40" t="n"/>
      <c r="H177" s="41" t="n"/>
      <c r="I177" s="42">
        <f>IF($H177="","",MAX(0,$H177-N($E177)))</f>
        <v/>
      </c>
      <c r="J177" s="42">
        <f>IF($H177="","",MAX(0,$H177-N($G177)))</f>
        <v/>
      </c>
    </row>
    <row r="178" ht="19.5" customHeight="1" s="72">
      <c r="A178" s="38" t="inlineStr">
        <is>
          <t>AF-SEM-P03-SIR</t>
        </is>
      </c>
      <c r="B178" s="38" t="inlineStr">
        <is>
          <t>Semifinal</t>
        </is>
      </c>
      <c r="C178" s="38" t="inlineStr">
        <is>
          <t>Siriuna</t>
        </is>
      </c>
      <c r="D178" s="39">
        <f>IFERROR(CLASIF_A_F!$O$7,"")</f>
        <v/>
      </c>
      <c r="E178" s="40" t="n"/>
      <c r="F178" s="39">
        <f>IFERROR(CLASIF_A_F!$O$10,"")</f>
        <v/>
      </c>
      <c r="G178" s="40" t="n"/>
      <c r="H178" s="41" t="n"/>
      <c r="I178" s="42">
        <f>IF($H178="","",MAX(0,$H178-N($E178)))</f>
        <v/>
      </c>
      <c r="J178" s="42">
        <f>IF($H178="","",MAX(0,$H178-N($G178)))</f>
        <v/>
      </c>
    </row>
    <row r="179" ht="19.5" customHeight="1" s="72">
      <c r="A179" s="38" t="inlineStr">
        <is>
          <t>AF-SEM-P04-BEN</t>
        </is>
      </c>
      <c r="B179" s="38" t="inlineStr">
        <is>
          <t>Semifinal</t>
        </is>
      </c>
      <c r="C179" s="38" t="inlineStr">
        <is>
          <t>Benguela</t>
        </is>
      </c>
      <c r="D179" s="39">
        <f>IFERROR(CLASIF_A_F!$O$8,"")</f>
        <v/>
      </c>
      <c r="E179" s="40" t="n"/>
      <c r="F179" s="39">
        <f>IFERROR(CLASIF_A_F!$O$9,"")</f>
        <v/>
      </c>
      <c r="G179" s="40" t="n"/>
      <c r="H179" s="41" t="n"/>
      <c r="I179" s="42">
        <f>IF($H179="","",MAX(0,$H179-N($E179)))</f>
        <v/>
      </c>
      <c r="J179" s="42">
        <f>IF($H179="","",MAX(0,$H179-N($G179)))</f>
        <v/>
      </c>
    </row>
    <row r="180" ht="19.5" customHeight="1" s="72">
      <c r="A180" s="38" t="inlineStr">
        <is>
          <t>AF-SEM-P04-SBA</t>
        </is>
      </c>
      <c r="B180" s="38" t="inlineStr">
        <is>
          <t>Semifinal</t>
        </is>
      </c>
      <c r="C180" s="38" t="inlineStr">
        <is>
          <t>São Bento da Abadá</t>
        </is>
      </c>
      <c r="D180" s="39">
        <f>IFERROR(CLASIF_A_F!$O$8,"")</f>
        <v/>
      </c>
      <c r="E180" s="40" t="n"/>
      <c r="F180" s="39">
        <f>IFERROR(CLASIF_A_F!$O$9,"")</f>
        <v/>
      </c>
      <c r="G180" s="40" t="n"/>
      <c r="H180" s="41" t="n"/>
      <c r="I180" s="42">
        <f>IF($H180="","",MAX(0,$H180-N($E180)))</f>
        <v/>
      </c>
      <c r="J180" s="42">
        <f>IF($H180="","",MAX(0,$H180-N($G180)))</f>
        <v/>
      </c>
    </row>
    <row r="181" ht="19.5" customHeight="1" s="72">
      <c r="A181" s="38" t="inlineStr">
        <is>
          <t>AF-SEM-P04-SIR</t>
        </is>
      </c>
      <c r="B181" s="38" t="inlineStr">
        <is>
          <t>Semifinal</t>
        </is>
      </c>
      <c r="C181" s="38" t="inlineStr">
        <is>
          <t>Siriuna</t>
        </is>
      </c>
      <c r="D181" s="39">
        <f>IFERROR(CLASIF_A_F!$O$8,"")</f>
        <v/>
      </c>
      <c r="E181" s="40" t="n"/>
      <c r="F181" s="39">
        <f>IFERROR(CLASIF_A_F!$O$9,"")</f>
        <v/>
      </c>
      <c r="G181" s="40" t="n"/>
      <c r="H181" s="41" t="n"/>
      <c r="I181" s="42">
        <f>IF($H181="","",MAX(0,$H181-N($E181)))</f>
        <v/>
      </c>
      <c r="J181" s="42">
        <f>IF($H181="","",MAX(0,$H181-N($G181)))</f>
        <v/>
      </c>
    </row>
    <row r="182" ht="19.5" customHeight="1" s="72">
      <c r="A182" s="38" t="inlineStr">
        <is>
          <t>AF-FIN-P01-BEN</t>
        </is>
      </c>
      <c r="B182" s="38" t="inlineStr">
        <is>
          <t>Final</t>
        </is>
      </c>
      <c r="C182" s="38" t="inlineStr">
        <is>
          <t>Benguela</t>
        </is>
      </c>
      <c r="D182" s="39">
        <f>IFERROR(CLASIF_A_F!$X$5,"")</f>
        <v/>
      </c>
      <c r="E182" s="40" t="n"/>
      <c r="F182" s="39">
        <f>IFERROR(CLASIF_A_F!$X$8,"")</f>
        <v/>
      </c>
      <c r="G182" s="40" t="n"/>
      <c r="H182" s="41" t="n"/>
      <c r="I182" s="42">
        <f>IF($H182="","",MAX(0,$H182-N($E182)))</f>
        <v/>
      </c>
      <c r="J182" s="42">
        <f>IF($H182="","",MAX(0,$H182-N($G182)))</f>
        <v/>
      </c>
    </row>
    <row r="183" ht="19.5" customHeight="1" s="72">
      <c r="A183" s="38" t="inlineStr">
        <is>
          <t>AF-FIN-P01-SBA</t>
        </is>
      </c>
      <c r="B183" s="38" t="inlineStr">
        <is>
          <t>Final</t>
        </is>
      </c>
      <c r="C183" s="38" t="inlineStr">
        <is>
          <t>São Bento da Abadá</t>
        </is>
      </c>
      <c r="D183" s="39">
        <f>IFERROR(CLASIF_A_F!$X$5,"")</f>
        <v/>
      </c>
      <c r="E183" s="40" t="n"/>
      <c r="F183" s="39">
        <f>IFERROR(CLASIF_A_F!$X$8,"")</f>
        <v/>
      </c>
      <c r="G183" s="40" t="n"/>
      <c r="H183" s="41" t="n"/>
      <c r="I183" s="42">
        <f>IF($H183="","",MAX(0,$H183-N($E183)))</f>
        <v/>
      </c>
      <c r="J183" s="42">
        <f>IF($H183="","",MAX(0,$H183-N($G183)))</f>
        <v/>
      </c>
    </row>
    <row r="184" ht="19.5" customHeight="1" s="72">
      <c r="A184" s="38" t="inlineStr">
        <is>
          <t>AF-FIN-P01-SIR</t>
        </is>
      </c>
      <c r="B184" s="38" t="inlineStr">
        <is>
          <t>Final</t>
        </is>
      </c>
      <c r="C184" s="38" t="inlineStr">
        <is>
          <t>Siriuna</t>
        </is>
      </c>
      <c r="D184" s="39">
        <f>IFERROR(CLASIF_A_F!$X$5,"")</f>
        <v/>
      </c>
      <c r="E184" s="40" t="n"/>
      <c r="F184" s="39">
        <f>IFERROR(CLASIF_A_F!$X$8,"")</f>
        <v/>
      </c>
      <c r="G184" s="40" t="n"/>
      <c r="H184" s="41" t="n"/>
      <c r="I184" s="42">
        <f>IF($H184="","",MAX(0,$H184-N($E184)))</f>
        <v/>
      </c>
      <c r="J184" s="42">
        <f>IF($H184="","",MAX(0,$H184-N($G184)))</f>
        <v/>
      </c>
    </row>
    <row r="185" ht="19.5" customHeight="1" s="72">
      <c r="A185" s="38" t="inlineStr">
        <is>
          <t>AF-FIN-P02-BEN</t>
        </is>
      </c>
      <c r="B185" s="38" t="inlineStr">
        <is>
          <t>Final</t>
        </is>
      </c>
      <c r="C185" s="38" t="inlineStr">
        <is>
          <t>Benguela</t>
        </is>
      </c>
      <c r="D185" s="39">
        <f>IFERROR(CLASIF_A_F!$X$6,"")</f>
        <v/>
      </c>
      <c r="E185" s="40" t="n"/>
      <c r="F185" s="39">
        <f>IFERROR(CLASIF_A_F!$X$7,"")</f>
        <v/>
      </c>
      <c r="G185" s="40" t="n"/>
      <c r="H185" s="41" t="n"/>
      <c r="I185" s="42">
        <f>IF($H185="","",MAX(0,$H185-N($E185)))</f>
        <v/>
      </c>
      <c r="J185" s="42">
        <f>IF($H185="","",MAX(0,$H185-N($G185)))</f>
        <v/>
      </c>
    </row>
    <row r="186" ht="19.5" customHeight="1" s="72">
      <c r="A186" s="38" t="inlineStr">
        <is>
          <t>AF-FIN-P02-SBA</t>
        </is>
      </c>
      <c r="B186" s="38" t="inlineStr">
        <is>
          <t>Final</t>
        </is>
      </c>
      <c r="C186" s="38" t="inlineStr">
        <is>
          <t>São Bento da Abadá</t>
        </is>
      </c>
      <c r="D186" s="39">
        <f>IFERROR(CLASIF_A_F!$X$6,"")</f>
        <v/>
      </c>
      <c r="E186" s="40" t="n"/>
      <c r="F186" s="39">
        <f>IFERROR(CLASIF_A_F!$X$7,"")</f>
        <v/>
      </c>
      <c r="G186" s="40" t="n"/>
      <c r="H186" s="41" t="n"/>
      <c r="I186" s="42">
        <f>IF($H186="","",MAX(0,$H186-N($E186)))</f>
        <v/>
      </c>
      <c r="J186" s="42">
        <f>IF($H186="","",MAX(0,$H186-N($G186)))</f>
        <v/>
      </c>
    </row>
    <row r="187" ht="19.5" customHeight="1" s="72">
      <c r="A187" s="38" t="inlineStr">
        <is>
          <t>AF-FIN-P02-SIR</t>
        </is>
      </c>
      <c r="B187" s="38" t="inlineStr">
        <is>
          <t>Final</t>
        </is>
      </c>
      <c r="C187" s="38" t="inlineStr">
        <is>
          <t>Siriuna</t>
        </is>
      </c>
      <c r="D187" s="39">
        <f>IFERROR(CLASIF_A_F!$X$6,"")</f>
        <v/>
      </c>
      <c r="E187" s="40" t="n"/>
      <c r="F187" s="39">
        <f>IFERROR(CLASIF_A_F!$X$7,"")</f>
        <v/>
      </c>
      <c r="G187" s="40" t="n"/>
      <c r="H187" s="41" t="n"/>
      <c r="I187" s="42">
        <f>IF($H187="","",MAX(0,$H187-N($E187)))</f>
        <v/>
      </c>
      <c r="J187" s="42">
        <f>IF($H187="","",MAX(0,$H187-N($G187)))</f>
        <v/>
      </c>
    </row>
    <row r="188" ht="19.5" customHeight="1" s="72">
      <c r="A188" s="43" t="n"/>
      <c r="B188" s="43" t="n"/>
      <c r="C188" s="43" t="n"/>
      <c r="D188" s="43" t="n"/>
      <c r="E188" s="43" t="n"/>
      <c r="F188" s="43" t="n"/>
      <c r="G188" s="43" t="n"/>
      <c r="H188" s="44" t="n"/>
      <c r="I188" s="43">
        <f>IF($H188="","",MAX(0,$H188-N($E188)))</f>
        <v/>
      </c>
      <c r="J188" s="43">
        <f>IF($H188="","",MAX(0,$H188-N($G188)))</f>
        <v/>
      </c>
    </row>
    <row r="189" ht="19.5" customHeight="1" s="72">
      <c r="A189" s="81" t="inlineStr">
        <is>
          <t>═══ CATEGORÍA B · Masculino · Morada (Instructores) · Toques: Benguela, São Bento da Abadá, Siriuna ═══</t>
        </is>
      </c>
    </row>
    <row r="190" ht="19.5" customHeight="1" s="72">
      <c r="A190" s="8" t="inlineStr">
        <is>
          <t>Jogo</t>
        </is>
      </c>
      <c r="B190" s="8" t="inlineStr">
        <is>
          <t>Fase</t>
        </is>
      </c>
      <c r="C190" s="8" t="inlineStr">
        <is>
          <t>Toque</t>
        </is>
      </c>
      <c r="D190" s="8" t="inlineStr">
        <is>
          <t>Jugador A</t>
        </is>
      </c>
      <c r="E190" s="8" t="inlineStr">
        <is>
          <t>Quita A</t>
        </is>
      </c>
      <c r="F190" s="8" t="inlineStr">
        <is>
          <t>Jugador B</t>
        </is>
      </c>
      <c r="G190" s="8" t="inlineStr">
        <is>
          <t>Quita B</t>
        </is>
      </c>
      <c r="H190" s="8" t="inlineStr">
        <is>
          <t>NOTA (0-5)</t>
        </is>
      </c>
      <c r="I190" s="8">
        <f>IF($H190="","",MAX(0,$H190-N($E190)))</f>
        <v/>
      </c>
      <c r="J190" s="8">
        <f>IF($H190="","",MAX(0,$H190-N($G190)))</f>
        <v/>
      </c>
    </row>
    <row r="191" ht="19.5" customHeight="1" s="72">
      <c r="A191" s="38" t="inlineStr">
        <is>
          <t>BM-32-P01-BEN</t>
        </is>
      </c>
      <c r="B191" s="38" t="inlineStr">
        <is>
          <t>Fase 32</t>
        </is>
      </c>
      <c r="C191" s="38" t="inlineStr">
        <is>
          <t>Benguela</t>
        </is>
      </c>
      <c r="D191" s="39" t="inlineStr">
        <is>
          <t>A_B_M_32_P1</t>
        </is>
      </c>
      <c r="E191" s="40" t="n"/>
      <c r="F191" s="39" t="inlineStr">
        <is>
          <t>B_B_M_32_P1</t>
        </is>
      </c>
      <c r="G191" s="40" t="n"/>
      <c r="H191" s="41" t="n"/>
      <c r="I191" s="42">
        <f>IF($H191="","",MAX(0,$H191-N($E191)))</f>
        <v/>
      </c>
      <c r="J191" s="42">
        <f>IF($H191="","",MAX(0,$H191-N($G191)))</f>
        <v/>
      </c>
    </row>
    <row r="192" ht="19.5" customHeight="1" s="72">
      <c r="A192" s="38" t="inlineStr">
        <is>
          <t>BM-32-P01-SBA</t>
        </is>
      </c>
      <c r="B192" s="38" t="inlineStr">
        <is>
          <t>Fase 32</t>
        </is>
      </c>
      <c r="C192" s="38" t="inlineStr">
        <is>
          <t>São Bento da Abadá</t>
        </is>
      </c>
      <c r="D192" s="39" t="inlineStr">
        <is>
          <t>A_B_M_32_P1</t>
        </is>
      </c>
      <c r="E192" s="40" t="n"/>
      <c r="F192" s="39" t="inlineStr">
        <is>
          <t>B_B_M_32_P1</t>
        </is>
      </c>
      <c r="G192" s="40" t="n"/>
      <c r="H192" s="41" t="n"/>
      <c r="I192" s="42">
        <f>IF($H192="","",MAX(0,$H192-N($E192)))</f>
        <v/>
      </c>
      <c r="J192" s="42">
        <f>IF($H192="","",MAX(0,$H192-N($G192)))</f>
        <v/>
      </c>
    </row>
    <row r="193" ht="19.5" customHeight="1" s="72">
      <c r="A193" s="38" t="inlineStr">
        <is>
          <t>BM-32-P01-SIR</t>
        </is>
      </c>
      <c r="B193" s="38" t="inlineStr">
        <is>
          <t>Fase 32</t>
        </is>
      </c>
      <c r="C193" s="38" t="inlineStr">
        <is>
          <t>Siriuna</t>
        </is>
      </c>
      <c r="D193" s="39" t="inlineStr">
        <is>
          <t>A_B_M_32_P1</t>
        </is>
      </c>
      <c r="E193" s="40" t="n"/>
      <c r="F193" s="39" t="inlineStr">
        <is>
          <t>B_B_M_32_P1</t>
        </is>
      </c>
      <c r="G193" s="40" t="n"/>
      <c r="H193" s="41" t="n"/>
      <c r="I193" s="42">
        <f>IF($H193="","",MAX(0,$H193-N($E193)))</f>
        <v/>
      </c>
      <c r="J193" s="42">
        <f>IF($H193="","",MAX(0,$H193-N($G193)))</f>
        <v/>
      </c>
    </row>
    <row r="194" ht="19.5" customHeight="1" s="72">
      <c r="A194" s="38" t="inlineStr">
        <is>
          <t>BM-32-P02-BEN</t>
        </is>
      </c>
      <c r="B194" s="38" t="inlineStr">
        <is>
          <t>Fase 32</t>
        </is>
      </c>
      <c r="C194" s="38" t="inlineStr">
        <is>
          <t>Benguela</t>
        </is>
      </c>
      <c r="D194" s="39" t="inlineStr">
        <is>
          <t>A_B_M_32_P2</t>
        </is>
      </c>
      <c r="E194" s="40" t="n"/>
      <c r="F194" s="39" t="inlineStr">
        <is>
          <t>B_B_M_32_P2</t>
        </is>
      </c>
      <c r="G194" s="40" t="n"/>
      <c r="H194" s="41" t="n"/>
      <c r="I194" s="42">
        <f>IF($H194="","",MAX(0,$H194-N($E194)))</f>
        <v/>
      </c>
      <c r="J194" s="42">
        <f>IF($H194="","",MAX(0,$H194-N($G194)))</f>
        <v/>
      </c>
    </row>
    <row r="195" ht="19.5" customHeight="1" s="72">
      <c r="A195" s="38" t="inlineStr">
        <is>
          <t>BM-32-P02-SBA</t>
        </is>
      </c>
      <c r="B195" s="38" t="inlineStr">
        <is>
          <t>Fase 32</t>
        </is>
      </c>
      <c r="C195" s="38" t="inlineStr">
        <is>
          <t>São Bento da Abadá</t>
        </is>
      </c>
      <c r="D195" s="39" t="inlineStr">
        <is>
          <t>A_B_M_32_P2</t>
        </is>
      </c>
      <c r="E195" s="40" t="n"/>
      <c r="F195" s="39" t="inlineStr">
        <is>
          <t>B_B_M_32_P2</t>
        </is>
      </c>
      <c r="G195" s="40" t="n"/>
      <c r="H195" s="41" t="n"/>
      <c r="I195" s="42">
        <f>IF($H195="","",MAX(0,$H195-N($E195)))</f>
        <v/>
      </c>
      <c r="J195" s="42">
        <f>IF($H195="","",MAX(0,$H195-N($G195)))</f>
        <v/>
      </c>
    </row>
    <row r="196" ht="19.5" customHeight="1" s="72">
      <c r="A196" s="38" t="inlineStr">
        <is>
          <t>BM-32-P02-SIR</t>
        </is>
      </c>
      <c r="B196" s="38" t="inlineStr">
        <is>
          <t>Fase 32</t>
        </is>
      </c>
      <c r="C196" s="38" t="inlineStr">
        <is>
          <t>Siriuna</t>
        </is>
      </c>
      <c r="D196" s="39" t="inlineStr">
        <is>
          <t>A_B_M_32_P2</t>
        </is>
      </c>
      <c r="E196" s="40" t="n"/>
      <c r="F196" s="39" t="inlineStr">
        <is>
          <t>B_B_M_32_P2</t>
        </is>
      </c>
      <c r="G196" s="40" t="n"/>
      <c r="H196" s="41" t="n"/>
      <c r="I196" s="42">
        <f>IF($H196="","",MAX(0,$H196-N($E196)))</f>
        <v/>
      </c>
      <c r="J196" s="42">
        <f>IF($H196="","",MAX(0,$H196-N($G196)))</f>
        <v/>
      </c>
    </row>
    <row r="197" ht="19.5" customHeight="1" s="72">
      <c r="A197" s="38" t="inlineStr">
        <is>
          <t>BM-32-P03-BEN</t>
        </is>
      </c>
      <c r="B197" s="38" t="inlineStr">
        <is>
          <t>Fase 32</t>
        </is>
      </c>
      <c r="C197" s="38" t="inlineStr">
        <is>
          <t>Benguela</t>
        </is>
      </c>
      <c r="D197" s="39" t="inlineStr">
        <is>
          <t>A_B_M_32_P3</t>
        </is>
      </c>
      <c r="E197" s="40" t="n"/>
      <c r="F197" s="39" t="inlineStr">
        <is>
          <t>B_B_M_32_P3</t>
        </is>
      </c>
      <c r="G197" s="40" t="n"/>
      <c r="H197" s="41" t="n"/>
      <c r="I197" s="42">
        <f>IF($H197="","",MAX(0,$H197-N($E197)))</f>
        <v/>
      </c>
      <c r="J197" s="42">
        <f>IF($H197="","",MAX(0,$H197-N($G197)))</f>
        <v/>
      </c>
    </row>
    <row r="198" ht="19.5" customHeight="1" s="72">
      <c r="A198" s="38" t="inlineStr">
        <is>
          <t>BM-32-P03-SBA</t>
        </is>
      </c>
      <c r="B198" s="38" t="inlineStr">
        <is>
          <t>Fase 32</t>
        </is>
      </c>
      <c r="C198" s="38" t="inlineStr">
        <is>
          <t>São Bento da Abadá</t>
        </is>
      </c>
      <c r="D198" s="39" t="inlineStr">
        <is>
          <t>A_B_M_32_P3</t>
        </is>
      </c>
      <c r="E198" s="40" t="n"/>
      <c r="F198" s="39" t="inlineStr">
        <is>
          <t>B_B_M_32_P3</t>
        </is>
      </c>
      <c r="G198" s="40" t="n"/>
      <c r="H198" s="41" t="n"/>
      <c r="I198" s="42">
        <f>IF($H198="","",MAX(0,$H198-N($E198)))</f>
        <v/>
      </c>
      <c r="J198" s="42">
        <f>IF($H198="","",MAX(0,$H198-N($G198)))</f>
        <v/>
      </c>
    </row>
    <row r="199" ht="19.5" customHeight="1" s="72">
      <c r="A199" s="38" t="inlineStr">
        <is>
          <t>BM-32-P03-SIR</t>
        </is>
      </c>
      <c r="B199" s="38" t="inlineStr">
        <is>
          <t>Fase 32</t>
        </is>
      </c>
      <c r="C199" s="38" t="inlineStr">
        <is>
          <t>Siriuna</t>
        </is>
      </c>
      <c r="D199" s="39" t="inlineStr">
        <is>
          <t>A_B_M_32_P3</t>
        </is>
      </c>
      <c r="E199" s="40" t="n"/>
      <c r="F199" s="39" t="inlineStr">
        <is>
          <t>B_B_M_32_P3</t>
        </is>
      </c>
      <c r="G199" s="40" t="n"/>
      <c r="H199" s="41" t="n"/>
      <c r="I199" s="42">
        <f>IF($H199="","",MAX(0,$H199-N($E199)))</f>
        <v/>
      </c>
      <c r="J199" s="42">
        <f>IF($H199="","",MAX(0,$H199-N($G199)))</f>
        <v/>
      </c>
    </row>
    <row r="200" ht="19.5" customHeight="1" s="72">
      <c r="A200" s="38" t="inlineStr">
        <is>
          <t>BM-32-P04-BEN</t>
        </is>
      </c>
      <c r="B200" s="38" t="inlineStr">
        <is>
          <t>Fase 32</t>
        </is>
      </c>
      <c r="C200" s="38" t="inlineStr">
        <is>
          <t>Benguela</t>
        </is>
      </c>
      <c r="D200" s="39" t="inlineStr">
        <is>
          <t>A_B_M_32_P4</t>
        </is>
      </c>
      <c r="E200" s="40" t="n"/>
      <c r="F200" s="39" t="inlineStr">
        <is>
          <t>B_B_M_32_P4</t>
        </is>
      </c>
      <c r="G200" s="40" t="n"/>
      <c r="H200" s="41" t="n"/>
      <c r="I200" s="42">
        <f>IF($H200="","",MAX(0,$H200-N($E200)))</f>
        <v/>
      </c>
      <c r="J200" s="42">
        <f>IF($H200="","",MAX(0,$H200-N($G200)))</f>
        <v/>
      </c>
    </row>
    <row r="201" ht="19.5" customHeight="1" s="72">
      <c r="A201" s="38" t="inlineStr">
        <is>
          <t>BM-32-P04-SBA</t>
        </is>
      </c>
      <c r="B201" s="38" t="inlineStr">
        <is>
          <t>Fase 32</t>
        </is>
      </c>
      <c r="C201" s="38" t="inlineStr">
        <is>
          <t>São Bento da Abadá</t>
        </is>
      </c>
      <c r="D201" s="39" t="inlineStr">
        <is>
          <t>A_B_M_32_P4</t>
        </is>
      </c>
      <c r="E201" s="40" t="n"/>
      <c r="F201" s="39" t="inlineStr">
        <is>
          <t>B_B_M_32_P4</t>
        </is>
      </c>
      <c r="G201" s="40" t="n"/>
      <c r="H201" s="41" t="n"/>
      <c r="I201" s="42">
        <f>IF($H201="","",MAX(0,$H201-N($E201)))</f>
        <v/>
      </c>
      <c r="J201" s="42">
        <f>IF($H201="","",MAX(0,$H201-N($G201)))</f>
        <v/>
      </c>
    </row>
    <row r="202" ht="19.5" customHeight="1" s="72">
      <c r="A202" s="38" t="inlineStr">
        <is>
          <t>BM-32-P04-SIR</t>
        </is>
      </c>
      <c r="B202" s="38" t="inlineStr">
        <is>
          <t>Fase 32</t>
        </is>
      </c>
      <c r="C202" s="38" t="inlineStr">
        <is>
          <t>Siriuna</t>
        </is>
      </c>
      <c r="D202" s="39" t="inlineStr">
        <is>
          <t>A_B_M_32_P4</t>
        </is>
      </c>
      <c r="E202" s="40" t="n"/>
      <c r="F202" s="39" t="inlineStr">
        <is>
          <t>B_B_M_32_P4</t>
        </is>
      </c>
      <c r="G202" s="40" t="n"/>
      <c r="H202" s="41" t="n"/>
      <c r="I202" s="42">
        <f>IF($H202="","",MAX(0,$H202-N($E202)))</f>
        <v/>
      </c>
      <c r="J202" s="42">
        <f>IF($H202="","",MAX(0,$H202-N($G202)))</f>
        <v/>
      </c>
    </row>
    <row r="203" ht="19.5" customHeight="1" s="72">
      <c r="A203" s="38" t="inlineStr">
        <is>
          <t>BM-32-P05-BEN</t>
        </is>
      </c>
      <c r="B203" s="38" t="inlineStr">
        <is>
          <t>Fase 32</t>
        </is>
      </c>
      <c r="C203" s="38" t="inlineStr">
        <is>
          <t>Benguela</t>
        </is>
      </c>
      <c r="D203" s="39" t="inlineStr">
        <is>
          <t>A_B_M_32_P5</t>
        </is>
      </c>
      <c r="E203" s="40" t="n"/>
      <c r="F203" s="39" t="inlineStr">
        <is>
          <t>B_B_M_32_P5</t>
        </is>
      </c>
      <c r="G203" s="40" t="n"/>
      <c r="H203" s="41" t="n"/>
      <c r="I203" s="42">
        <f>IF($H203="","",MAX(0,$H203-N($E203)))</f>
        <v/>
      </c>
      <c r="J203" s="42">
        <f>IF($H203="","",MAX(0,$H203-N($G203)))</f>
        <v/>
      </c>
    </row>
    <row r="204" ht="19.5" customHeight="1" s="72">
      <c r="A204" s="38" t="inlineStr">
        <is>
          <t>BM-32-P05-SBA</t>
        </is>
      </c>
      <c r="B204" s="38" t="inlineStr">
        <is>
          <t>Fase 32</t>
        </is>
      </c>
      <c r="C204" s="38" t="inlineStr">
        <is>
          <t>São Bento da Abadá</t>
        </is>
      </c>
      <c r="D204" s="39" t="inlineStr">
        <is>
          <t>A_B_M_32_P5</t>
        </is>
      </c>
      <c r="E204" s="40" t="n"/>
      <c r="F204" s="39" t="inlineStr">
        <is>
          <t>B_B_M_32_P5</t>
        </is>
      </c>
      <c r="G204" s="40" t="n"/>
      <c r="H204" s="41" t="n"/>
      <c r="I204" s="42">
        <f>IF($H204="","",MAX(0,$H204-N($E204)))</f>
        <v/>
      </c>
      <c r="J204" s="42">
        <f>IF($H204="","",MAX(0,$H204-N($G204)))</f>
        <v/>
      </c>
    </row>
    <row r="205" ht="19.5" customHeight="1" s="72">
      <c r="A205" s="38" t="inlineStr">
        <is>
          <t>BM-32-P05-SIR</t>
        </is>
      </c>
      <c r="B205" s="38" t="inlineStr">
        <is>
          <t>Fase 32</t>
        </is>
      </c>
      <c r="C205" s="38" t="inlineStr">
        <is>
          <t>Siriuna</t>
        </is>
      </c>
      <c r="D205" s="39" t="inlineStr">
        <is>
          <t>A_B_M_32_P5</t>
        </is>
      </c>
      <c r="E205" s="40" t="n"/>
      <c r="F205" s="39" t="inlineStr">
        <is>
          <t>B_B_M_32_P5</t>
        </is>
      </c>
      <c r="G205" s="40" t="n"/>
      <c r="H205" s="41" t="n"/>
      <c r="I205" s="42">
        <f>IF($H205="","",MAX(0,$H205-N($E205)))</f>
        <v/>
      </c>
      <c r="J205" s="42">
        <f>IF($H205="","",MAX(0,$H205-N($G205)))</f>
        <v/>
      </c>
    </row>
    <row r="206" ht="19.5" customHeight="1" s="72">
      <c r="A206" s="38" t="inlineStr">
        <is>
          <t>BM-32-P06-BEN</t>
        </is>
      </c>
      <c r="B206" s="38" t="inlineStr">
        <is>
          <t>Fase 32</t>
        </is>
      </c>
      <c r="C206" s="38" t="inlineStr">
        <is>
          <t>Benguela</t>
        </is>
      </c>
      <c r="D206" s="39" t="inlineStr">
        <is>
          <t>A_B_M_32_P6</t>
        </is>
      </c>
      <c r="E206" s="40" t="n"/>
      <c r="F206" s="39" t="inlineStr">
        <is>
          <t>B_B_M_32_P6</t>
        </is>
      </c>
      <c r="G206" s="40" t="n"/>
      <c r="H206" s="41" t="n"/>
      <c r="I206" s="42">
        <f>IF($H206="","",MAX(0,$H206-N($E206)))</f>
        <v/>
      </c>
      <c r="J206" s="42">
        <f>IF($H206="","",MAX(0,$H206-N($G206)))</f>
        <v/>
      </c>
    </row>
    <row r="207" ht="19.5" customHeight="1" s="72">
      <c r="A207" s="38" t="inlineStr">
        <is>
          <t>BM-32-P06-SBA</t>
        </is>
      </c>
      <c r="B207" s="38" t="inlineStr">
        <is>
          <t>Fase 32</t>
        </is>
      </c>
      <c r="C207" s="38" t="inlineStr">
        <is>
          <t>São Bento da Abadá</t>
        </is>
      </c>
      <c r="D207" s="39" t="inlineStr">
        <is>
          <t>A_B_M_32_P6</t>
        </is>
      </c>
      <c r="E207" s="40" t="n"/>
      <c r="F207" s="39" t="inlineStr">
        <is>
          <t>B_B_M_32_P6</t>
        </is>
      </c>
      <c r="G207" s="40" t="n"/>
      <c r="H207" s="41" t="n"/>
      <c r="I207" s="42">
        <f>IF($H207="","",MAX(0,$H207-N($E207)))</f>
        <v/>
      </c>
      <c r="J207" s="42">
        <f>IF($H207="","",MAX(0,$H207-N($G207)))</f>
        <v/>
      </c>
    </row>
    <row r="208" ht="19.5" customHeight="1" s="72">
      <c r="A208" s="38" t="inlineStr">
        <is>
          <t>BM-32-P06-SIR</t>
        </is>
      </c>
      <c r="B208" s="38" t="inlineStr">
        <is>
          <t>Fase 32</t>
        </is>
      </c>
      <c r="C208" s="38" t="inlineStr">
        <is>
          <t>Siriuna</t>
        </is>
      </c>
      <c r="D208" s="39" t="inlineStr">
        <is>
          <t>A_B_M_32_P6</t>
        </is>
      </c>
      <c r="E208" s="40" t="n"/>
      <c r="F208" s="39" t="inlineStr">
        <is>
          <t>B_B_M_32_P6</t>
        </is>
      </c>
      <c r="G208" s="40" t="n"/>
      <c r="H208" s="41" t="n"/>
      <c r="I208" s="42">
        <f>IF($H208="","",MAX(0,$H208-N($E208)))</f>
        <v/>
      </c>
      <c r="J208" s="42">
        <f>IF($H208="","",MAX(0,$H208-N($G208)))</f>
        <v/>
      </c>
    </row>
    <row r="209" ht="19.5" customHeight="1" s="72">
      <c r="A209" s="38" t="inlineStr">
        <is>
          <t>BM-32-P07-BEN</t>
        </is>
      </c>
      <c r="B209" s="38" t="inlineStr">
        <is>
          <t>Fase 32</t>
        </is>
      </c>
      <c r="C209" s="38" t="inlineStr">
        <is>
          <t>Benguela</t>
        </is>
      </c>
      <c r="D209" s="39" t="inlineStr">
        <is>
          <t>A_B_M_32_P7</t>
        </is>
      </c>
      <c r="E209" s="40" t="n"/>
      <c r="F209" s="39" t="inlineStr">
        <is>
          <t>B_B_M_32_P7</t>
        </is>
      </c>
      <c r="G209" s="40" t="n"/>
      <c r="H209" s="41" t="n"/>
      <c r="I209" s="42">
        <f>IF($H209="","",MAX(0,$H209-N($E209)))</f>
        <v/>
      </c>
      <c r="J209" s="42">
        <f>IF($H209="","",MAX(0,$H209-N($G209)))</f>
        <v/>
      </c>
    </row>
    <row r="210" ht="19.5" customHeight="1" s="72">
      <c r="A210" s="38" t="inlineStr">
        <is>
          <t>BM-32-P07-SBA</t>
        </is>
      </c>
      <c r="B210" s="38" t="inlineStr">
        <is>
          <t>Fase 32</t>
        </is>
      </c>
      <c r="C210" s="38" t="inlineStr">
        <is>
          <t>São Bento da Abadá</t>
        </is>
      </c>
      <c r="D210" s="39" t="inlineStr">
        <is>
          <t>A_B_M_32_P7</t>
        </is>
      </c>
      <c r="E210" s="40" t="n"/>
      <c r="F210" s="39" t="inlineStr">
        <is>
          <t>B_B_M_32_P7</t>
        </is>
      </c>
      <c r="G210" s="40" t="n"/>
      <c r="H210" s="41" t="n"/>
      <c r="I210" s="42">
        <f>IF($H210="","",MAX(0,$H210-N($E210)))</f>
        <v/>
      </c>
      <c r="J210" s="42">
        <f>IF($H210="","",MAX(0,$H210-N($G210)))</f>
        <v/>
      </c>
    </row>
    <row r="211" ht="19.5" customHeight="1" s="72">
      <c r="A211" s="38" t="inlineStr">
        <is>
          <t>BM-32-P07-SIR</t>
        </is>
      </c>
      <c r="B211" s="38" t="inlineStr">
        <is>
          <t>Fase 32</t>
        </is>
      </c>
      <c r="C211" s="38" t="inlineStr">
        <is>
          <t>Siriuna</t>
        </is>
      </c>
      <c r="D211" s="39" t="inlineStr">
        <is>
          <t>A_B_M_32_P7</t>
        </is>
      </c>
      <c r="E211" s="40" t="n"/>
      <c r="F211" s="39" t="inlineStr">
        <is>
          <t>B_B_M_32_P7</t>
        </is>
      </c>
      <c r="G211" s="40" t="n"/>
      <c r="H211" s="41" t="n"/>
      <c r="I211" s="42">
        <f>IF($H211="","",MAX(0,$H211-N($E211)))</f>
        <v/>
      </c>
      <c r="J211" s="42">
        <f>IF($H211="","",MAX(0,$H211-N($G211)))</f>
        <v/>
      </c>
    </row>
    <row r="212" ht="19.5" customHeight="1" s="72">
      <c r="A212" s="38" t="inlineStr">
        <is>
          <t>BM-32-P08-BEN</t>
        </is>
      </c>
      <c r="B212" s="38" t="inlineStr">
        <is>
          <t>Fase 32</t>
        </is>
      </c>
      <c r="C212" s="38" t="inlineStr">
        <is>
          <t>Benguela</t>
        </is>
      </c>
      <c r="D212" s="39" t="inlineStr">
        <is>
          <t>A_B_M_32_P8</t>
        </is>
      </c>
      <c r="E212" s="40" t="n"/>
      <c r="F212" s="39" t="inlineStr">
        <is>
          <t>B_B_M_32_P8</t>
        </is>
      </c>
      <c r="G212" s="40" t="n"/>
      <c r="H212" s="41" t="n"/>
      <c r="I212" s="42">
        <f>IF($H212="","",MAX(0,$H212-N($E212)))</f>
        <v/>
      </c>
      <c r="J212" s="42">
        <f>IF($H212="","",MAX(0,$H212-N($G212)))</f>
        <v/>
      </c>
    </row>
    <row r="213" ht="19.5" customHeight="1" s="72">
      <c r="A213" s="38" t="inlineStr">
        <is>
          <t>BM-32-P08-SBA</t>
        </is>
      </c>
      <c r="B213" s="38" t="inlineStr">
        <is>
          <t>Fase 32</t>
        </is>
      </c>
      <c r="C213" s="38" t="inlineStr">
        <is>
          <t>São Bento da Abadá</t>
        </is>
      </c>
      <c r="D213" s="39" t="inlineStr">
        <is>
          <t>A_B_M_32_P8</t>
        </is>
      </c>
      <c r="E213" s="40" t="n"/>
      <c r="F213" s="39" t="inlineStr">
        <is>
          <t>B_B_M_32_P8</t>
        </is>
      </c>
      <c r="G213" s="40" t="n"/>
      <c r="H213" s="41" t="n"/>
      <c r="I213" s="42">
        <f>IF($H213="","",MAX(0,$H213-N($E213)))</f>
        <v/>
      </c>
      <c r="J213" s="42">
        <f>IF($H213="","",MAX(0,$H213-N($G213)))</f>
        <v/>
      </c>
    </row>
    <row r="214" ht="19.5" customHeight="1" s="72">
      <c r="A214" s="38" t="inlineStr">
        <is>
          <t>BM-32-P08-SIR</t>
        </is>
      </c>
      <c r="B214" s="38" t="inlineStr">
        <is>
          <t>Fase 32</t>
        </is>
      </c>
      <c r="C214" s="38" t="inlineStr">
        <is>
          <t>Siriuna</t>
        </is>
      </c>
      <c r="D214" s="39" t="inlineStr">
        <is>
          <t>A_B_M_32_P8</t>
        </is>
      </c>
      <c r="E214" s="40" t="n"/>
      <c r="F214" s="39" t="inlineStr">
        <is>
          <t>B_B_M_32_P8</t>
        </is>
      </c>
      <c r="G214" s="40" t="n"/>
      <c r="H214" s="41" t="n"/>
      <c r="I214" s="42">
        <f>IF($H214="","",MAX(0,$H214-N($E214)))</f>
        <v/>
      </c>
      <c r="J214" s="42">
        <f>IF($H214="","",MAX(0,$H214-N($G214)))</f>
        <v/>
      </c>
    </row>
    <row r="215" ht="19.5" customHeight="1" s="72">
      <c r="A215" s="38" t="inlineStr">
        <is>
          <t>BM-32-P09-BEN</t>
        </is>
      </c>
      <c r="B215" s="38" t="inlineStr">
        <is>
          <t>Fase 32</t>
        </is>
      </c>
      <c r="C215" s="38" t="inlineStr">
        <is>
          <t>Benguela</t>
        </is>
      </c>
      <c r="D215" s="39" t="inlineStr">
        <is>
          <t>A_B_M_32_P9</t>
        </is>
      </c>
      <c r="E215" s="40" t="n"/>
      <c r="F215" s="39" t="inlineStr">
        <is>
          <t>B_B_M_32_P9</t>
        </is>
      </c>
      <c r="G215" s="40" t="n"/>
      <c r="H215" s="41" t="n"/>
      <c r="I215" s="42">
        <f>IF($H215="","",MAX(0,$H215-N($E215)))</f>
        <v/>
      </c>
      <c r="J215" s="42">
        <f>IF($H215="","",MAX(0,$H215-N($G215)))</f>
        <v/>
      </c>
    </row>
    <row r="216" ht="19.5" customHeight="1" s="72">
      <c r="A216" s="38" t="inlineStr">
        <is>
          <t>BM-32-P09-SBA</t>
        </is>
      </c>
      <c r="B216" s="38" t="inlineStr">
        <is>
          <t>Fase 32</t>
        </is>
      </c>
      <c r="C216" s="38" t="inlineStr">
        <is>
          <t>São Bento da Abadá</t>
        </is>
      </c>
      <c r="D216" s="39" t="inlineStr">
        <is>
          <t>A_B_M_32_P9</t>
        </is>
      </c>
      <c r="E216" s="40" t="n"/>
      <c r="F216" s="39" t="inlineStr">
        <is>
          <t>B_B_M_32_P9</t>
        </is>
      </c>
      <c r="G216" s="40" t="n"/>
      <c r="H216" s="41" t="n"/>
      <c r="I216" s="42">
        <f>IF($H216="","",MAX(0,$H216-N($E216)))</f>
        <v/>
      </c>
      <c r="J216" s="42">
        <f>IF($H216="","",MAX(0,$H216-N($G216)))</f>
        <v/>
      </c>
    </row>
    <row r="217" ht="19.5" customHeight="1" s="72">
      <c r="A217" s="38" t="inlineStr">
        <is>
          <t>BM-32-P09-SIR</t>
        </is>
      </c>
      <c r="B217" s="38" t="inlineStr">
        <is>
          <t>Fase 32</t>
        </is>
      </c>
      <c r="C217" s="38" t="inlineStr">
        <is>
          <t>Siriuna</t>
        </is>
      </c>
      <c r="D217" s="39" t="inlineStr">
        <is>
          <t>A_B_M_32_P9</t>
        </is>
      </c>
      <c r="E217" s="40" t="n"/>
      <c r="F217" s="39" t="inlineStr">
        <is>
          <t>B_B_M_32_P9</t>
        </is>
      </c>
      <c r="G217" s="40" t="n"/>
      <c r="H217" s="41" t="n"/>
      <c r="I217" s="42">
        <f>IF($H217="","",MAX(0,$H217-N($E217)))</f>
        <v/>
      </c>
      <c r="J217" s="42">
        <f>IF($H217="","",MAX(0,$H217-N($G217)))</f>
        <v/>
      </c>
    </row>
    <row r="218" ht="19.5" customHeight="1" s="72">
      <c r="A218" s="38" t="inlineStr">
        <is>
          <t>BM-32-P10-BEN</t>
        </is>
      </c>
      <c r="B218" s="38" t="inlineStr">
        <is>
          <t>Fase 32</t>
        </is>
      </c>
      <c r="C218" s="38" t="inlineStr">
        <is>
          <t>Benguela</t>
        </is>
      </c>
      <c r="D218" s="39" t="inlineStr">
        <is>
          <t>A_B_M_32_P10</t>
        </is>
      </c>
      <c r="E218" s="40" t="n"/>
      <c r="F218" s="39" t="inlineStr">
        <is>
          <t>B_B_M_32_P10</t>
        </is>
      </c>
      <c r="G218" s="40" t="n"/>
      <c r="H218" s="41" t="n"/>
      <c r="I218" s="42">
        <f>IF($H218="","",MAX(0,$H218-N($E218)))</f>
        <v/>
      </c>
      <c r="J218" s="42">
        <f>IF($H218="","",MAX(0,$H218-N($G218)))</f>
        <v/>
      </c>
    </row>
    <row r="219" ht="19.5" customHeight="1" s="72">
      <c r="A219" s="38" t="inlineStr">
        <is>
          <t>BM-32-P10-SBA</t>
        </is>
      </c>
      <c r="B219" s="38" t="inlineStr">
        <is>
          <t>Fase 32</t>
        </is>
      </c>
      <c r="C219" s="38" t="inlineStr">
        <is>
          <t>São Bento da Abadá</t>
        </is>
      </c>
      <c r="D219" s="39" t="inlineStr">
        <is>
          <t>A_B_M_32_P10</t>
        </is>
      </c>
      <c r="E219" s="40" t="n"/>
      <c r="F219" s="39" t="inlineStr">
        <is>
          <t>B_B_M_32_P10</t>
        </is>
      </c>
      <c r="G219" s="40" t="n"/>
      <c r="H219" s="41" t="n"/>
      <c r="I219" s="42">
        <f>IF($H219="","",MAX(0,$H219-N($E219)))</f>
        <v/>
      </c>
      <c r="J219" s="42">
        <f>IF($H219="","",MAX(0,$H219-N($G219)))</f>
        <v/>
      </c>
    </row>
    <row r="220" ht="19.5" customHeight="1" s="72">
      <c r="A220" s="38" t="inlineStr">
        <is>
          <t>BM-32-P10-SIR</t>
        </is>
      </c>
      <c r="B220" s="38" t="inlineStr">
        <is>
          <t>Fase 32</t>
        </is>
      </c>
      <c r="C220" s="38" t="inlineStr">
        <is>
          <t>Siriuna</t>
        </is>
      </c>
      <c r="D220" s="39" t="inlineStr">
        <is>
          <t>A_B_M_32_P10</t>
        </is>
      </c>
      <c r="E220" s="40" t="n"/>
      <c r="F220" s="39" t="inlineStr">
        <is>
          <t>B_B_M_32_P10</t>
        </is>
      </c>
      <c r="G220" s="40" t="n"/>
      <c r="H220" s="41" t="n"/>
      <c r="I220" s="42">
        <f>IF($H220="","",MAX(0,$H220-N($E220)))</f>
        <v/>
      </c>
      <c r="J220" s="42">
        <f>IF($H220="","",MAX(0,$H220-N($G220)))</f>
        <v/>
      </c>
    </row>
    <row r="221" ht="19.5" customHeight="1" s="72">
      <c r="A221" s="38" t="inlineStr">
        <is>
          <t>BM-32-P11-BEN</t>
        </is>
      </c>
      <c r="B221" s="38" t="inlineStr">
        <is>
          <t>Fase 32</t>
        </is>
      </c>
      <c r="C221" s="38" t="inlineStr">
        <is>
          <t>Benguela</t>
        </is>
      </c>
      <c r="D221" s="39" t="inlineStr">
        <is>
          <t>A_B_M_32_P11</t>
        </is>
      </c>
      <c r="E221" s="40" t="n"/>
      <c r="F221" s="39" t="inlineStr">
        <is>
          <t>B_B_M_32_P11</t>
        </is>
      </c>
      <c r="G221" s="40" t="n"/>
      <c r="H221" s="41" t="n"/>
      <c r="I221" s="42">
        <f>IF($H221="","",MAX(0,$H221-N($E221)))</f>
        <v/>
      </c>
      <c r="J221" s="42">
        <f>IF($H221="","",MAX(0,$H221-N($G221)))</f>
        <v/>
      </c>
    </row>
    <row r="222" ht="19.5" customHeight="1" s="72">
      <c r="A222" s="38" t="inlineStr">
        <is>
          <t>BM-32-P11-SBA</t>
        </is>
      </c>
      <c r="B222" s="38" t="inlineStr">
        <is>
          <t>Fase 32</t>
        </is>
      </c>
      <c r="C222" s="38" t="inlineStr">
        <is>
          <t>São Bento da Abadá</t>
        </is>
      </c>
      <c r="D222" s="39" t="inlineStr">
        <is>
          <t>A_B_M_32_P11</t>
        </is>
      </c>
      <c r="E222" s="40" t="n"/>
      <c r="F222" s="39" t="inlineStr">
        <is>
          <t>B_B_M_32_P11</t>
        </is>
      </c>
      <c r="G222" s="40" t="n"/>
      <c r="H222" s="41" t="n"/>
      <c r="I222" s="42">
        <f>IF($H222="","",MAX(0,$H222-N($E222)))</f>
        <v/>
      </c>
      <c r="J222" s="42">
        <f>IF($H222="","",MAX(0,$H222-N($G222)))</f>
        <v/>
      </c>
    </row>
    <row r="223" ht="19.5" customHeight="1" s="72">
      <c r="A223" s="38" t="inlineStr">
        <is>
          <t>BM-32-P11-SIR</t>
        </is>
      </c>
      <c r="B223" s="38" t="inlineStr">
        <is>
          <t>Fase 32</t>
        </is>
      </c>
      <c r="C223" s="38" t="inlineStr">
        <is>
          <t>Siriuna</t>
        </is>
      </c>
      <c r="D223" s="39" t="inlineStr">
        <is>
          <t>A_B_M_32_P11</t>
        </is>
      </c>
      <c r="E223" s="40" t="n"/>
      <c r="F223" s="39" t="inlineStr">
        <is>
          <t>B_B_M_32_P11</t>
        </is>
      </c>
      <c r="G223" s="40" t="n"/>
      <c r="H223" s="41" t="n"/>
      <c r="I223" s="42">
        <f>IF($H223="","",MAX(0,$H223-N($E223)))</f>
        <v/>
      </c>
      <c r="J223" s="42">
        <f>IF($H223="","",MAX(0,$H223-N($G223)))</f>
        <v/>
      </c>
    </row>
    <row r="224" ht="19.5" customHeight="1" s="72">
      <c r="A224" s="38" t="inlineStr">
        <is>
          <t>BM-32-P12-BEN</t>
        </is>
      </c>
      <c r="B224" s="38" t="inlineStr">
        <is>
          <t>Fase 32</t>
        </is>
      </c>
      <c r="C224" s="38" t="inlineStr">
        <is>
          <t>Benguela</t>
        </is>
      </c>
      <c r="D224" s="39" t="inlineStr">
        <is>
          <t>A_B_M_32_P12</t>
        </is>
      </c>
      <c r="E224" s="40" t="n"/>
      <c r="F224" s="39" t="inlineStr">
        <is>
          <t>B_B_M_32_P12</t>
        </is>
      </c>
      <c r="G224" s="40" t="n"/>
      <c r="H224" s="41" t="n"/>
      <c r="I224" s="42">
        <f>IF($H224="","",MAX(0,$H224-N($E224)))</f>
        <v/>
      </c>
      <c r="J224" s="42">
        <f>IF($H224="","",MAX(0,$H224-N($G224)))</f>
        <v/>
      </c>
    </row>
    <row r="225" ht="19.5" customHeight="1" s="72">
      <c r="A225" s="38" t="inlineStr">
        <is>
          <t>BM-32-P12-SBA</t>
        </is>
      </c>
      <c r="B225" s="38" t="inlineStr">
        <is>
          <t>Fase 32</t>
        </is>
      </c>
      <c r="C225" s="38" t="inlineStr">
        <is>
          <t>São Bento da Abadá</t>
        </is>
      </c>
      <c r="D225" s="39" t="inlineStr">
        <is>
          <t>A_B_M_32_P12</t>
        </is>
      </c>
      <c r="E225" s="40" t="n"/>
      <c r="F225" s="39" t="inlineStr">
        <is>
          <t>B_B_M_32_P12</t>
        </is>
      </c>
      <c r="G225" s="40" t="n"/>
      <c r="H225" s="41" t="n"/>
      <c r="I225" s="42">
        <f>IF($H225="","",MAX(0,$H225-N($E225)))</f>
        <v/>
      </c>
      <c r="J225" s="42">
        <f>IF($H225="","",MAX(0,$H225-N($G225)))</f>
        <v/>
      </c>
    </row>
    <row r="226" ht="19.5" customHeight="1" s="72">
      <c r="A226" s="38" t="inlineStr">
        <is>
          <t>BM-32-P12-SIR</t>
        </is>
      </c>
      <c r="B226" s="38" t="inlineStr">
        <is>
          <t>Fase 32</t>
        </is>
      </c>
      <c r="C226" s="38" t="inlineStr">
        <is>
          <t>Siriuna</t>
        </is>
      </c>
      <c r="D226" s="39" t="inlineStr">
        <is>
          <t>A_B_M_32_P12</t>
        </is>
      </c>
      <c r="E226" s="40" t="n"/>
      <c r="F226" s="39" t="inlineStr">
        <is>
          <t>B_B_M_32_P12</t>
        </is>
      </c>
      <c r="G226" s="40" t="n"/>
      <c r="H226" s="41" t="n"/>
      <c r="I226" s="42">
        <f>IF($H226="","",MAX(0,$H226-N($E226)))</f>
        <v/>
      </c>
      <c r="J226" s="42">
        <f>IF($H226="","",MAX(0,$H226-N($G226)))</f>
        <v/>
      </c>
    </row>
    <row r="227" ht="19.5" customHeight="1" s="72">
      <c r="A227" s="38" t="inlineStr">
        <is>
          <t>BM-32-P13-BEN</t>
        </is>
      </c>
      <c r="B227" s="38" t="inlineStr">
        <is>
          <t>Fase 32</t>
        </is>
      </c>
      <c r="C227" s="38" t="inlineStr">
        <is>
          <t>Benguela</t>
        </is>
      </c>
      <c r="D227" s="39" t="inlineStr">
        <is>
          <t>A_B_M_32_P13</t>
        </is>
      </c>
      <c r="E227" s="40" t="n"/>
      <c r="F227" s="39" t="inlineStr">
        <is>
          <t>B_B_M_32_P13</t>
        </is>
      </c>
      <c r="G227" s="40" t="n"/>
      <c r="H227" s="41" t="n"/>
      <c r="I227" s="42">
        <f>IF($H227="","",MAX(0,$H227-N($E227)))</f>
        <v/>
      </c>
      <c r="J227" s="42">
        <f>IF($H227="","",MAX(0,$H227-N($G227)))</f>
        <v/>
      </c>
    </row>
    <row r="228" ht="19.5" customHeight="1" s="72">
      <c r="A228" s="38" t="inlineStr">
        <is>
          <t>BM-32-P13-SBA</t>
        </is>
      </c>
      <c r="B228" s="38" t="inlineStr">
        <is>
          <t>Fase 32</t>
        </is>
      </c>
      <c r="C228" s="38" t="inlineStr">
        <is>
          <t>São Bento da Abadá</t>
        </is>
      </c>
      <c r="D228" s="39" t="inlineStr">
        <is>
          <t>A_B_M_32_P13</t>
        </is>
      </c>
      <c r="E228" s="40" t="n"/>
      <c r="F228" s="39" t="inlineStr">
        <is>
          <t>B_B_M_32_P13</t>
        </is>
      </c>
      <c r="G228" s="40" t="n"/>
      <c r="H228" s="41" t="n"/>
      <c r="I228" s="42">
        <f>IF($H228="","",MAX(0,$H228-N($E228)))</f>
        <v/>
      </c>
      <c r="J228" s="42">
        <f>IF($H228="","",MAX(0,$H228-N($G228)))</f>
        <v/>
      </c>
    </row>
    <row r="229" ht="19.5" customHeight="1" s="72">
      <c r="A229" s="38" t="inlineStr">
        <is>
          <t>BM-32-P13-SIR</t>
        </is>
      </c>
      <c r="B229" s="38" t="inlineStr">
        <is>
          <t>Fase 32</t>
        </is>
      </c>
      <c r="C229" s="38" t="inlineStr">
        <is>
          <t>Siriuna</t>
        </is>
      </c>
      <c r="D229" s="39" t="inlineStr">
        <is>
          <t>A_B_M_32_P13</t>
        </is>
      </c>
      <c r="E229" s="40" t="n"/>
      <c r="F229" s="39" t="inlineStr">
        <is>
          <t>B_B_M_32_P13</t>
        </is>
      </c>
      <c r="G229" s="40" t="n"/>
      <c r="H229" s="41" t="n"/>
      <c r="I229" s="42">
        <f>IF($H229="","",MAX(0,$H229-N($E229)))</f>
        <v/>
      </c>
      <c r="J229" s="42">
        <f>IF($H229="","",MAX(0,$H229-N($G229)))</f>
        <v/>
      </c>
    </row>
    <row r="230" ht="19.5" customHeight="1" s="72">
      <c r="A230" s="38" t="inlineStr">
        <is>
          <t>BM-32-P14-BEN</t>
        </is>
      </c>
      <c r="B230" s="38" t="inlineStr">
        <is>
          <t>Fase 32</t>
        </is>
      </c>
      <c r="C230" s="38" t="inlineStr">
        <is>
          <t>Benguela</t>
        </is>
      </c>
      <c r="D230" s="39" t="inlineStr">
        <is>
          <t>A_B_M_32_P14</t>
        </is>
      </c>
      <c r="E230" s="40" t="n"/>
      <c r="F230" s="39" t="inlineStr">
        <is>
          <t>B_B_M_32_P14</t>
        </is>
      </c>
      <c r="G230" s="40" t="n"/>
      <c r="H230" s="41" t="n"/>
      <c r="I230" s="42">
        <f>IF($H230="","",MAX(0,$H230-N($E230)))</f>
        <v/>
      </c>
      <c r="J230" s="42">
        <f>IF($H230="","",MAX(0,$H230-N($G230)))</f>
        <v/>
      </c>
    </row>
    <row r="231" ht="19.5" customHeight="1" s="72">
      <c r="A231" s="38" t="inlineStr">
        <is>
          <t>BM-32-P14-SBA</t>
        </is>
      </c>
      <c r="B231" s="38" t="inlineStr">
        <is>
          <t>Fase 32</t>
        </is>
      </c>
      <c r="C231" s="38" t="inlineStr">
        <is>
          <t>São Bento da Abadá</t>
        </is>
      </c>
      <c r="D231" s="39" t="inlineStr">
        <is>
          <t>A_B_M_32_P14</t>
        </is>
      </c>
      <c r="E231" s="40" t="n"/>
      <c r="F231" s="39" t="inlineStr">
        <is>
          <t>B_B_M_32_P14</t>
        </is>
      </c>
      <c r="G231" s="40" t="n"/>
      <c r="H231" s="41" t="n"/>
      <c r="I231" s="42">
        <f>IF($H231="","",MAX(0,$H231-N($E231)))</f>
        <v/>
      </c>
      <c r="J231" s="42">
        <f>IF($H231="","",MAX(0,$H231-N($G231)))</f>
        <v/>
      </c>
    </row>
    <row r="232" ht="19.5" customHeight="1" s="72">
      <c r="A232" s="38" t="inlineStr">
        <is>
          <t>BM-32-P14-SIR</t>
        </is>
      </c>
      <c r="B232" s="38" t="inlineStr">
        <is>
          <t>Fase 32</t>
        </is>
      </c>
      <c r="C232" s="38" t="inlineStr">
        <is>
          <t>Siriuna</t>
        </is>
      </c>
      <c r="D232" s="39" t="inlineStr">
        <is>
          <t>A_B_M_32_P14</t>
        </is>
      </c>
      <c r="E232" s="40" t="n"/>
      <c r="F232" s="39" t="inlineStr">
        <is>
          <t>B_B_M_32_P14</t>
        </is>
      </c>
      <c r="G232" s="40" t="n"/>
      <c r="H232" s="41" t="n"/>
      <c r="I232" s="42">
        <f>IF($H232="","",MAX(0,$H232-N($E232)))</f>
        <v/>
      </c>
      <c r="J232" s="42">
        <f>IF($H232="","",MAX(0,$H232-N($G232)))</f>
        <v/>
      </c>
    </row>
    <row r="233" ht="19.5" customHeight="1" s="72">
      <c r="A233" s="38" t="inlineStr">
        <is>
          <t>BM-32-P15-BEN</t>
        </is>
      </c>
      <c r="B233" s="38" t="inlineStr">
        <is>
          <t>Fase 32</t>
        </is>
      </c>
      <c r="C233" s="38" t="inlineStr">
        <is>
          <t>Benguela</t>
        </is>
      </c>
      <c r="D233" s="39" t="inlineStr">
        <is>
          <t>A_B_M_32_P15</t>
        </is>
      </c>
      <c r="E233" s="40" t="n"/>
      <c r="F233" s="39" t="inlineStr">
        <is>
          <t>B_B_M_32_P15</t>
        </is>
      </c>
      <c r="G233" s="40" t="n"/>
      <c r="H233" s="41" t="n"/>
      <c r="I233" s="42">
        <f>IF($H233="","",MAX(0,$H233-N($E233)))</f>
        <v/>
      </c>
      <c r="J233" s="42">
        <f>IF($H233="","",MAX(0,$H233-N($G233)))</f>
        <v/>
      </c>
    </row>
    <row r="234" ht="19.5" customHeight="1" s="72">
      <c r="A234" s="38" t="inlineStr">
        <is>
          <t>BM-32-P15-SBA</t>
        </is>
      </c>
      <c r="B234" s="38" t="inlineStr">
        <is>
          <t>Fase 32</t>
        </is>
      </c>
      <c r="C234" s="38" t="inlineStr">
        <is>
          <t>São Bento da Abadá</t>
        </is>
      </c>
      <c r="D234" s="39" t="inlineStr">
        <is>
          <t>A_B_M_32_P15</t>
        </is>
      </c>
      <c r="E234" s="40" t="n"/>
      <c r="F234" s="39" t="inlineStr">
        <is>
          <t>B_B_M_32_P15</t>
        </is>
      </c>
      <c r="G234" s="40" t="n"/>
      <c r="H234" s="41" t="n"/>
      <c r="I234" s="42">
        <f>IF($H234="","",MAX(0,$H234-N($E234)))</f>
        <v/>
      </c>
      <c r="J234" s="42">
        <f>IF($H234="","",MAX(0,$H234-N($G234)))</f>
        <v/>
      </c>
    </row>
    <row r="235" ht="19.5" customHeight="1" s="72">
      <c r="A235" s="38" t="inlineStr">
        <is>
          <t>BM-32-P15-SIR</t>
        </is>
      </c>
      <c r="B235" s="38" t="inlineStr">
        <is>
          <t>Fase 32</t>
        </is>
      </c>
      <c r="C235" s="38" t="inlineStr">
        <is>
          <t>Siriuna</t>
        </is>
      </c>
      <c r="D235" s="39" t="inlineStr">
        <is>
          <t>A_B_M_32_P15</t>
        </is>
      </c>
      <c r="E235" s="40" t="n"/>
      <c r="F235" s="39" t="inlineStr">
        <is>
          <t>B_B_M_32_P15</t>
        </is>
      </c>
      <c r="G235" s="40" t="n"/>
      <c r="H235" s="41" t="n"/>
      <c r="I235" s="42">
        <f>IF($H235="","",MAX(0,$H235-N($E235)))</f>
        <v/>
      </c>
      <c r="J235" s="42">
        <f>IF($H235="","",MAX(0,$H235-N($G235)))</f>
        <v/>
      </c>
    </row>
    <row r="236" ht="19.5" customHeight="1" s="72">
      <c r="A236" s="38" t="inlineStr">
        <is>
          <t>BM-32-P16-BEN</t>
        </is>
      </c>
      <c r="B236" s="38" t="inlineStr">
        <is>
          <t>Fase 32</t>
        </is>
      </c>
      <c r="C236" s="38" t="inlineStr">
        <is>
          <t>Benguela</t>
        </is>
      </c>
      <c r="D236" s="39" t="inlineStr">
        <is>
          <t>A_B_M_32_P16</t>
        </is>
      </c>
      <c r="E236" s="40" t="n"/>
      <c r="F236" s="39" t="inlineStr">
        <is>
          <t>B_B_M_32_P16</t>
        </is>
      </c>
      <c r="G236" s="40" t="n"/>
      <c r="H236" s="41" t="n"/>
      <c r="I236" s="42">
        <f>IF($H236="","",MAX(0,$H236-N($E236)))</f>
        <v/>
      </c>
      <c r="J236" s="42">
        <f>IF($H236="","",MAX(0,$H236-N($G236)))</f>
        <v/>
      </c>
    </row>
    <row r="237" ht="19.5" customHeight="1" s="72">
      <c r="A237" s="38" t="inlineStr">
        <is>
          <t>BM-32-P16-SBA</t>
        </is>
      </c>
      <c r="B237" s="38" t="inlineStr">
        <is>
          <t>Fase 32</t>
        </is>
      </c>
      <c r="C237" s="38" t="inlineStr">
        <is>
          <t>São Bento da Abadá</t>
        </is>
      </c>
      <c r="D237" s="39" t="inlineStr">
        <is>
          <t>A_B_M_32_P16</t>
        </is>
      </c>
      <c r="E237" s="40" t="n"/>
      <c r="F237" s="39" t="inlineStr">
        <is>
          <t>B_B_M_32_P16</t>
        </is>
      </c>
      <c r="G237" s="40" t="n"/>
      <c r="H237" s="41" t="n"/>
      <c r="I237" s="42">
        <f>IF($H237="","",MAX(0,$H237-N($E237)))</f>
        <v/>
      </c>
      <c r="J237" s="42">
        <f>IF($H237="","",MAX(0,$H237-N($G237)))</f>
        <v/>
      </c>
    </row>
    <row r="238" ht="19.5" customHeight="1" s="72">
      <c r="A238" s="38" t="inlineStr">
        <is>
          <t>BM-32-P16-SIR</t>
        </is>
      </c>
      <c r="B238" s="38" t="inlineStr">
        <is>
          <t>Fase 32</t>
        </is>
      </c>
      <c r="C238" s="38" t="inlineStr">
        <is>
          <t>Siriuna</t>
        </is>
      </c>
      <c r="D238" s="39" t="inlineStr">
        <is>
          <t>A_B_M_32_P16</t>
        </is>
      </c>
      <c r="E238" s="40" t="n"/>
      <c r="F238" s="39" t="inlineStr">
        <is>
          <t>B_B_M_32_P16</t>
        </is>
      </c>
      <c r="G238" s="40" t="n"/>
      <c r="H238" s="41" t="n"/>
      <c r="I238" s="42">
        <f>IF($H238="","",MAX(0,$H238-N($E238)))</f>
        <v/>
      </c>
      <c r="J238" s="42">
        <f>IF($H238="","",MAX(0,$H238-N($G238)))</f>
        <v/>
      </c>
    </row>
    <row r="239" ht="19.5" customHeight="1" s="72">
      <c r="A239" s="38" t="inlineStr">
        <is>
          <t>BM-OCT-P01-BEN</t>
        </is>
      </c>
      <c r="B239" s="38" t="inlineStr">
        <is>
          <t>Octavas</t>
        </is>
      </c>
      <c r="C239" s="38" t="inlineStr">
        <is>
          <t>Benguela</t>
        </is>
      </c>
      <c r="D239" s="39">
        <f>IFERROR(CLASIF_B_M!$F$5,"")</f>
        <v/>
      </c>
      <c r="E239" s="40" t="n"/>
      <c r="F239" s="39">
        <f>IFERROR(CLASIF_B_M!$F$20,"")</f>
        <v/>
      </c>
      <c r="G239" s="40" t="n"/>
      <c r="H239" s="41" t="n"/>
      <c r="I239" s="42">
        <f>IF($H239="","",MAX(0,$H239-N($E239)))</f>
        <v/>
      </c>
      <c r="J239" s="42">
        <f>IF($H239="","",MAX(0,$H239-N($G239)))</f>
        <v/>
      </c>
    </row>
    <row r="240" ht="19.5" customHeight="1" s="72">
      <c r="A240" s="38" t="inlineStr">
        <is>
          <t>BM-OCT-P01-SBA</t>
        </is>
      </c>
      <c r="B240" s="38" t="inlineStr">
        <is>
          <t>Octavas</t>
        </is>
      </c>
      <c r="C240" s="38" t="inlineStr">
        <is>
          <t>São Bento da Abadá</t>
        </is>
      </c>
      <c r="D240" s="39">
        <f>IFERROR(CLASIF_B_M!$F$5,"")</f>
        <v/>
      </c>
      <c r="E240" s="40" t="n"/>
      <c r="F240" s="39">
        <f>IFERROR(CLASIF_B_M!$F$20,"")</f>
        <v/>
      </c>
      <c r="G240" s="40" t="n"/>
      <c r="H240" s="41" t="n"/>
      <c r="I240" s="42">
        <f>IF($H240="","",MAX(0,$H240-N($E240)))</f>
        <v/>
      </c>
      <c r="J240" s="42">
        <f>IF($H240="","",MAX(0,$H240-N($G240)))</f>
        <v/>
      </c>
    </row>
    <row r="241" ht="19.5" customHeight="1" s="72">
      <c r="A241" s="38" t="inlineStr">
        <is>
          <t>BM-OCT-P01-SIR</t>
        </is>
      </c>
      <c r="B241" s="38" t="inlineStr">
        <is>
          <t>Octavas</t>
        </is>
      </c>
      <c r="C241" s="38" t="inlineStr">
        <is>
          <t>Siriuna</t>
        </is>
      </c>
      <c r="D241" s="39">
        <f>IFERROR(CLASIF_B_M!$F$5,"")</f>
        <v/>
      </c>
      <c r="E241" s="40" t="n"/>
      <c r="F241" s="39">
        <f>IFERROR(CLASIF_B_M!$F$20,"")</f>
        <v/>
      </c>
      <c r="G241" s="40" t="n"/>
      <c r="H241" s="41" t="n"/>
      <c r="I241" s="42">
        <f>IF($H241="","",MAX(0,$H241-N($E241)))</f>
        <v/>
      </c>
      <c r="J241" s="42">
        <f>IF($H241="","",MAX(0,$H241-N($G241)))</f>
        <v/>
      </c>
    </row>
    <row r="242" ht="19.5" customHeight="1" s="72">
      <c r="A242" s="38" t="inlineStr">
        <is>
          <t>BM-OCT-P02-BEN</t>
        </is>
      </c>
      <c r="B242" s="38" t="inlineStr">
        <is>
          <t>Octavas</t>
        </is>
      </c>
      <c r="C242" s="38" t="inlineStr">
        <is>
          <t>Benguela</t>
        </is>
      </c>
      <c r="D242" s="39">
        <f>IFERROR(CLASIF_B_M!$F$6,"")</f>
        <v/>
      </c>
      <c r="E242" s="40" t="n"/>
      <c r="F242" s="39">
        <f>IFERROR(CLASIF_B_M!$F$19,"")</f>
        <v/>
      </c>
      <c r="G242" s="40" t="n"/>
      <c r="H242" s="41" t="n"/>
      <c r="I242" s="42">
        <f>IF($H242="","",MAX(0,$H242-N($E242)))</f>
        <v/>
      </c>
      <c r="J242" s="42">
        <f>IF($H242="","",MAX(0,$H242-N($G242)))</f>
        <v/>
      </c>
    </row>
    <row r="243" ht="19.5" customHeight="1" s="72">
      <c r="A243" s="38" t="inlineStr">
        <is>
          <t>BM-OCT-P02-SBA</t>
        </is>
      </c>
      <c r="B243" s="38" t="inlineStr">
        <is>
          <t>Octavas</t>
        </is>
      </c>
      <c r="C243" s="38" t="inlineStr">
        <is>
          <t>São Bento da Abadá</t>
        </is>
      </c>
      <c r="D243" s="39">
        <f>IFERROR(CLASIF_B_M!$F$6,"")</f>
        <v/>
      </c>
      <c r="E243" s="40" t="n"/>
      <c r="F243" s="39">
        <f>IFERROR(CLASIF_B_M!$F$19,"")</f>
        <v/>
      </c>
      <c r="G243" s="40" t="n"/>
      <c r="H243" s="41" t="n"/>
      <c r="I243" s="42">
        <f>IF($H243="","",MAX(0,$H243-N($E243)))</f>
        <v/>
      </c>
      <c r="J243" s="42">
        <f>IF($H243="","",MAX(0,$H243-N($G243)))</f>
        <v/>
      </c>
    </row>
    <row r="244" ht="19.5" customHeight="1" s="72">
      <c r="A244" s="38" t="inlineStr">
        <is>
          <t>BM-OCT-P02-SIR</t>
        </is>
      </c>
      <c r="B244" s="38" t="inlineStr">
        <is>
          <t>Octavas</t>
        </is>
      </c>
      <c r="C244" s="38" t="inlineStr">
        <is>
          <t>Siriuna</t>
        </is>
      </c>
      <c r="D244" s="39">
        <f>IFERROR(CLASIF_B_M!$F$6,"")</f>
        <v/>
      </c>
      <c r="E244" s="40" t="n"/>
      <c r="F244" s="39">
        <f>IFERROR(CLASIF_B_M!$F$19,"")</f>
        <v/>
      </c>
      <c r="G244" s="40" t="n"/>
      <c r="H244" s="41" t="n"/>
      <c r="I244" s="42">
        <f>IF($H244="","",MAX(0,$H244-N($E244)))</f>
        <v/>
      </c>
      <c r="J244" s="42">
        <f>IF($H244="","",MAX(0,$H244-N($G244)))</f>
        <v/>
      </c>
    </row>
    <row r="245" ht="19.5" customHeight="1" s="72">
      <c r="A245" s="38" t="inlineStr">
        <is>
          <t>BM-OCT-P03-BEN</t>
        </is>
      </c>
      <c r="B245" s="38" t="inlineStr">
        <is>
          <t>Octavas</t>
        </is>
      </c>
      <c r="C245" s="38" t="inlineStr">
        <is>
          <t>Benguela</t>
        </is>
      </c>
      <c r="D245" s="39">
        <f>IFERROR(CLASIF_B_M!$F$7,"")</f>
        <v/>
      </c>
      <c r="E245" s="40" t="n"/>
      <c r="F245" s="39">
        <f>IFERROR(CLASIF_B_M!$F$18,"")</f>
        <v/>
      </c>
      <c r="G245" s="40" t="n"/>
      <c r="H245" s="41" t="n"/>
      <c r="I245" s="42">
        <f>IF($H245="","",MAX(0,$H245-N($E245)))</f>
        <v/>
      </c>
      <c r="J245" s="42">
        <f>IF($H245="","",MAX(0,$H245-N($G245)))</f>
        <v/>
      </c>
    </row>
    <row r="246" ht="19.5" customHeight="1" s="72">
      <c r="A246" s="38" t="inlineStr">
        <is>
          <t>BM-OCT-P03-SBA</t>
        </is>
      </c>
      <c r="B246" s="38" t="inlineStr">
        <is>
          <t>Octavas</t>
        </is>
      </c>
      <c r="C246" s="38" t="inlineStr">
        <is>
          <t>São Bento da Abadá</t>
        </is>
      </c>
      <c r="D246" s="39">
        <f>IFERROR(CLASIF_B_M!$F$7,"")</f>
        <v/>
      </c>
      <c r="E246" s="40" t="n"/>
      <c r="F246" s="39">
        <f>IFERROR(CLASIF_B_M!$F$18,"")</f>
        <v/>
      </c>
      <c r="G246" s="40" t="n"/>
      <c r="H246" s="41" t="n"/>
      <c r="I246" s="42">
        <f>IF($H246="","",MAX(0,$H246-N($E246)))</f>
        <v/>
      </c>
      <c r="J246" s="42">
        <f>IF($H246="","",MAX(0,$H246-N($G246)))</f>
        <v/>
      </c>
    </row>
    <row r="247" ht="19.5" customHeight="1" s="72">
      <c r="A247" s="38" t="inlineStr">
        <is>
          <t>BM-OCT-P03-SIR</t>
        </is>
      </c>
      <c r="B247" s="38" t="inlineStr">
        <is>
          <t>Octavas</t>
        </is>
      </c>
      <c r="C247" s="38" t="inlineStr">
        <is>
          <t>Siriuna</t>
        </is>
      </c>
      <c r="D247" s="39">
        <f>IFERROR(CLASIF_B_M!$F$7,"")</f>
        <v/>
      </c>
      <c r="E247" s="40" t="n"/>
      <c r="F247" s="39">
        <f>IFERROR(CLASIF_B_M!$F$18,"")</f>
        <v/>
      </c>
      <c r="G247" s="40" t="n"/>
      <c r="H247" s="41" t="n"/>
      <c r="I247" s="42">
        <f>IF($H247="","",MAX(0,$H247-N($E247)))</f>
        <v/>
      </c>
      <c r="J247" s="42">
        <f>IF($H247="","",MAX(0,$H247-N($G247)))</f>
        <v/>
      </c>
    </row>
    <row r="248" ht="19.5" customHeight="1" s="72">
      <c r="A248" s="38" t="inlineStr">
        <is>
          <t>BM-OCT-P04-BEN</t>
        </is>
      </c>
      <c r="B248" s="38" t="inlineStr">
        <is>
          <t>Octavas</t>
        </is>
      </c>
      <c r="C248" s="38" t="inlineStr">
        <is>
          <t>Benguela</t>
        </is>
      </c>
      <c r="D248" s="39">
        <f>IFERROR(CLASIF_B_M!$F$8,"")</f>
        <v/>
      </c>
      <c r="E248" s="40" t="n"/>
      <c r="F248" s="39">
        <f>IFERROR(CLASIF_B_M!$F$17,"")</f>
        <v/>
      </c>
      <c r="G248" s="40" t="n"/>
      <c r="H248" s="41" t="n"/>
      <c r="I248" s="42">
        <f>IF($H248="","",MAX(0,$H248-N($E248)))</f>
        <v/>
      </c>
      <c r="J248" s="42">
        <f>IF($H248="","",MAX(0,$H248-N($G248)))</f>
        <v/>
      </c>
    </row>
    <row r="249" ht="19.5" customHeight="1" s="72">
      <c r="A249" s="38" t="inlineStr">
        <is>
          <t>BM-OCT-P04-SBA</t>
        </is>
      </c>
      <c r="B249" s="38" t="inlineStr">
        <is>
          <t>Octavas</t>
        </is>
      </c>
      <c r="C249" s="38" t="inlineStr">
        <is>
          <t>São Bento da Abadá</t>
        </is>
      </c>
      <c r="D249" s="39">
        <f>IFERROR(CLASIF_B_M!$F$8,"")</f>
        <v/>
      </c>
      <c r="E249" s="40" t="n"/>
      <c r="F249" s="39">
        <f>IFERROR(CLASIF_B_M!$F$17,"")</f>
        <v/>
      </c>
      <c r="G249" s="40" t="n"/>
      <c r="H249" s="41" t="n"/>
      <c r="I249" s="42">
        <f>IF($H249="","",MAX(0,$H249-N($E249)))</f>
        <v/>
      </c>
      <c r="J249" s="42">
        <f>IF($H249="","",MAX(0,$H249-N($G249)))</f>
        <v/>
      </c>
    </row>
    <row r="250" ht="19.5" customHeight="1" s="72">
      <c r="A250" s="38" t="inlineStr">
        <is>
          <t>BM-OCT-P04-SIR</t>
        </is>
      </c>
      <c r="B250" s="38" t="inlineStr">
        <is>
          <t>Octavas</t>
        </is>
      </c>
      <c r="C250" s="38" t="inlineStr">
        <is>
          <t>Siriuna</t>
        </is>
      </c>
      <c r="D250" s="39">
        <f>IFERROR(CLASIF_B_M!$F$8,"")</f>
        <v/>
      </c>
      <c r="E250" s="40" t="n"/>
      <c r="F250" s="39">
        <f>IFERROR(CLASIF_B_M!$F$17,"")</f>
        <v/>
      </c>
      <c r="G250" s="40" t="n"/>
      <c r="H250" s="41" t="n"/>
      <c r="I250" s="42">
        <f>IF($H250="","",MAX(0,$H250-N($E250)))</f>
        <v/>
      </c>
      <c r="J250" s="42">
        <f>IF($H250="","",MAX(0,$H250-N($G250)))</f>
        <v/>
      </c>
    </row>
    <row r="251" ht="19.5" customHeight="1" s="72">
      <c r="A251" s="38" t="inlineStr">
        <is>
          <t>BM-OCT-P05-BEN</t>
        </is>
      </c>
      <c r="B251" s="38" t="inlineStr">
        <is>
          <t>Octavas</t>
        </is>
      </c>
      <c r="C251" s="38" t="inlineStr">
        <is>
          <t>Benguela</t>
        </is>
      </c>
      <c r="D251" s="39">
        <f>IFERROR(CLASIF_B_M!$F$9,"")</f>
        <v/>
      </c>
      <c r="E251" s="40" t="n"/>
      <c r="F251" s="39">
        <f>IFERROR(CLASIF_B_M!$F$16,"")</f>
        <v/>
      </c>
      <c r="G251" s="40" t="n"/>
      <c r="H251" s="41" t="n"/>
      <c r="I251" s="42">
        <f>IF($H251="","",MAX(0,$H251-N($E251)))</f>
        <v/>
      </c>
      <c r="J251" s="42">
        <f>IF($H251="","",MAX(0,$H251-N($G251)))</f>
        <v/>
      </c>
    </row>
    <row r="252" ht="19.5" customHeight="1" s="72">
      <c r="A252" s="38" t="inlineStr">
        <is>
          <t>BM-OCT-P05-SBA</t>
        </is>
      </c>
      <c r="B252" s="38" t="inlineStr">
        <is>
          <t>Octavas</t>
        </is>
      </c>
      <c r="C252" s="38" t="inlineStr">
        <is>
          <t>São Bento da Abadá</t>
        </is>
      </c>
      <c r="D252" s="39">
        <f>IFERROR(CLASIF_B_M!$F$9,"")</f>
        <v/>
      </c>
      <c r="E252" s="40" t="n"/>
      <c r="F252" s="39">
        <f>IFERROR(CLASIF_B_M!$F$16,"")</f>
        <v/>
      </c>
      <c r="G252" s="40" t="n"/>
      <c r="H252" s="41" t="n"/>
      <c r="I252" s="42">
        <f>IF($H252="","",MAX(0,$H252-N($E252)))</f>
        <v/>
      </c>
      <c r="J252" s="42">
        <f>IF($H252="","",MAX(0,$H252-N($G252)))</f>
        <v/>
      </c>
    </row>
    <row r="253" ht="19.5" customHeight="1" s="72">
      <c r="A253" s="38" t="inlineStr">
        <is>
          <t>BM-OCT-P05-SIR</t>
        </is>
      </c>
      <c r="B253" s="38" t="inlineStr">
        <is>
          <t>Octavas</t>
        </is>
      </c>
      <c r="C253" s="38" t="inlineStr">
        <is>
          <t>Siriuna</t>
        </is>
      </c>
      <c r="D253" s="39">
        <f>IFERROR(CLASIF_B_M!$F$9,"")</f>
        <v/>
      </c>
      <c r="E253" s="40" t="n"/>
      <c r="F253" s="39">
        <f>IFERROR(CLASIF_B_M!$F$16,"")</f>
        <v/>
      </c>
      <c r="G253" s="40" t="n"/>
      <c r="H253" s="41" t="n"/>
      <c r="I253" s="42">
        <f>IF($H253="","",MAX(0,$H253-N($E253)))</f>
        <v/>
      </c>
      <c r="J253" s="42">
        <f>IF($H253="","",MAX(0,$H253-N($G253)))</f>
        <v/>
      </c>
    </row>
    <row r="254" ht="19.5" customHeight="1" s="72">
      <c r="A254" s="38" t="inlineStr">
        <is>
          <t>BM-OCT-P06-BEN</t>
        </is>
      </c>
      <c r="B254" s="38" t="inlineStr">
        <is>
          <t>Octavas</t>
        </is>
      </c>
      <c r="C254" s="38" t="inlineStr">
        <is>
          <t>Benguela</t>
        </is>
      </c>
      <c r="D254" s="39">
        <f>IFERROR(CLASIF_B_M!$F$10,"")</f>
        <v/>
      </c>
      <c r="E254" s="40" t="n"/>
      <c r="F254" s="39">
        <f>IFERROR(CLASIF_B_M!$F$15,"")</f>
        <v/>
      </c>
      <c r="G254" s="40" t="n"/>
      <c r="H254" s="41" t="n"/>
      <c r="I254" s="42">
        <f>IF($H254="","",MAX(0,$H254-N($E254)))</f>
        <v/>
      </c>
      <c r="J254" s="42">
        <f>IF($H254="","",MAX(0,$H254-N($G254)))</f>
        <v/>
      </c>
    </row>
    <row r="255" ht="19.5" customHeight="1" s="72">
      <c r="A255" s="38" t="inlineStr">
        <is>
          <t>BM-OCT-P06-SBA</t>
        </is>
      </c>
      <c r="B255" s="38" t="inlineStr">
        <is>
          <t>Octavas</t>
        </is>
      </c>
      <c r="C255" s="38" t="inlineStr">
        <is>
          <t>São Bento da Abadá</t>
        </is>
      </c>
      <c r="D255" s="39">
        <f>IFERROR(CLASIF_B_M!$F$10,"")</f>
        <v/>
      </c>
      <c r="E255" s="40" t="n"/>
      <c r="F255" s="39">
        <f>IFERROR(CLASIF_B_M!$F$15,"")</f>
        <v/>
      </c>
      <c r="G255" s="40" t="n"/>
      <c r="H255" s="41" t="n"/>
      <c r="I255" s="42">
        <f>IF($H255="","",MAX(0,$H255-N($E255)))</f>
        <v/>
      </c>
      <c r="J255" s="42">
        <f>IF($H255="","",MAX(0,$H255-N($G255)))</f>
        <v/>
      </c>
    </row>
    <row r="256" ht="19.5" customHeight="1" s="72">
      <c r="A256" s="38" t="inlineStr">
        <is>
          <t>BM-OCT-P06-SIR</t>
        </is>
      </c>
      <c r="B256" s="38" t="inlineStr">
        <is>
          <t>Octavas</t>
        </is>
      </c>
      <c r="C256" s="38" t="inlineStr">
        <is>
          <t>Siriuna</t>
        </is>
      </c>
      <c r="D256" s="39">
        <f>IFERROR(CLASIF_B_M!$F$10,"")</f>
        <v/>
      </c>
      <c r="E256" s="40" t="n"/>
      <c r="F256" s="39">
        <f>IFERROR(CLASIF_B_M!$F$15,"")</f>
        <v/>
      </c>
      <c r="G256" s="40" t="n"/>
      <c r="H256" s="41" t="n"/>
      <c r="I256" s="42">
        <f>IF($H256="","",MAX(0,$H256-N($E256)))</f>
        <v/>
      </c>
      <c r="J256" s="42">
        <f>IF($H256="","",MAX(0,$H256-N($G256)))</f>
        <v/>
      </c>
    </row>
    <row r="257" ht="19.5" customHeight="1" s="72">
      <c r="A257" s="38" t="inlineStr">
        <is>
          <t>BM-OCT-P07-BEN</t>
        </is>
      </c>
      <c r="B257" s="38" t="inlineStr">
        <is>
          <t>Octavas</t>
        </is>
      </c>
      <c r="C257" s="38" t="inlineStr">
        <is>
          <t>Benguela</t>
        </is>
      </c>
      <c r="D257" s="39">
        <f>IFERROR(CLASIF_B_M!$F$11,"")</f>
        <v/>
      </c>
      <c r="E257" s="40" t="n"/>
      <c r="F257" s="39">
        <f>IFERROR(CLASIF_B_M!$F$14,"")</f>
        <v/>
      </c>
      <c r="G257" s="40" t="n"/>
      <c r="H257" s="41" t="n"/>
      <c r="I257" s="42">
        <f>IF($H257="","",MAX(0,$H257-N($E257)))</f>
        <v/>
      </c>
      <c r="J257" s="42">
        <f>IF($H257="","",MAX(0,$H257-N($G257)))</f>
        <v/>
      </c>
    </row>
    <row r="258" ht="19.5" customHeight="1" s="72">
      <c r="A258" s="38" t="inlineStr">
        <is>
          <t>BM-OCT-P07-SBA</t>
        </is>
      </c>
      <c r="B258" s="38" t="inlineStr">
        <is>
          <t>Octavas</t>
        </is>
      </c>
      <c r="C258" s="38" t="inlineStr">
        <is>
          <t>São Bento da Abadá</t>
        </is>
      </c>
      <c r="D258" s="39">
        <f>IFERROR(CLASIF_B_M!$F$11,"")</f>
        <v/>
      </c>
      <c r="E258" s="40" t="n"/>
      <c r="F258" s="39">
        <f>IFERROR(CLASIF_B_M!$F$14,"")</f>
        <v/>
      </c>
      <c r="G258" s="40" t="n"/>
      <c r="H258" s="41" t="n"/>
      <c r="I258" s="42">
        <f>IF($H258="","",MAX(0,$H258-N($E258)))</f>
        <v/>
      </c>
      <c r="J258" s="42">
        <f>IF($H258="","",MAX(0,$H258-N($G258)))</f>
        <v/>
      </c>
    </row>
    <row r="259" ht="19.5" customHeight="1" s="72">
      <c r="A259" s="38" t="inlineStr">
        <is>
          <t>BM-OCT-P07-SIR</t>
        </is>
      </c>
      <c r="B259" s="38" t="inlineStr">
        <is>
          <t>Octavas</t>
        </is>
      </c>
      <c r="C259" s="38" t="inlineStr">
        <is>
          <t>Siriuna</t>
        </is>
      </c>
      <c r="D259" s="39">
        <f>IFERROR(CLASIF_B_M!$F$11,"")</f>
        <v/>
      </c>
      <c r="E259" s="40" t="n"/>
      <c r="F259" s="39">
        <f>IFERROR(CLASIF_B_M!$F$14,"")</f>
        <v/>
      </c>
      <c r="G259" s="40" t="n"/>
      <c r="H259" s="41" t="n"/>
      <c r="I259" s="42">
        <f>IF($H259="","",MAX(0,$H259-N($E259)))</f>
        <v/>
      </c>
      <c r="J259" s="42">
        <f>IF($H259="","",MAX(0,$H259-N($G259)))</f>
        <v/>
      </c>
    </row>
    <row r="260" ht="19.5" customHeight="1" s="72">
      <c r="A260" s="38" t="inlineStr">
        <is>
          <t>BM-OCT-P08-BEN</t>
        </is>
      </c>
      <c r="B260" s="38" t="inlineStr">
        <is>
          <t>Octavas</t>
        </is>
      </c>
      <c r="C260" s="38" t="inlineStr">
        <is>
          <t>Benguela</t>
        </is>
      </c>
      <c r="D260" s="39">
        <f>IFERROR(CLASIF_B_M!$F$12,"")</f>
        <v/>
      </c>
      <c r="E260" s="40" t="n"/>
      <c r="F260" s="39">
        <f>IFERROR(CLASIF_B_M!$F$13,"")</f>
        <v/>
      </c>
      <c r="G260" s="40" t="n"/>
      <c r="H260" s="41" t="n"/>
      <c r="I260" s="42">
        <f>IF($H260="","",MAX(0,$H260-N($E260)))</f>
        <v/>
      </c>
      <c r="J260" s="42">
        <f>IF($H260="","",MAX(0,$H260-N($G260)))</f>
        <v/>
      </c>
    </row>
    <row r="261" ht="19.5" customHeight="1" s="72">
      <c r="A261" s="38" t="inlineStr">
        <is>
          <t>BM-OCT-P08-SBA</t>
        </is>
      </c>
      <c r="B261" s="38" t="inlineStr">
        <is>
          <t>Octavas</t>
        </is>
      </c>
      <c r="C261" s="38" t="inlineStr">
        <is>
          <t>São Bento da Abadá</t>
        </is>
      </c>
      <c r="D261" s="39">
        <f>IFERROR(CLASIF_B_M!$F$12,"")</f>
        <v/>
      </c>
      <c r="E261" s="40" t="n"/>
      <c r="F261" s="39">
        <f>IFERROR(CLASIF_B_M!$F$13,"")</f>
        <v/>
      </c>
      <c r="G261" s="40" t="n"/>
      <c r="H261" s="41" t="n"/>
      <c r="I261" s="42">
        <f>IF($H261="","",MAX(0,$H261-N($E261)))</f>
        <v/>
      </c>
      <c r="J261" s="42">
        <f>IF($H261="","",MAX(0,$H261-N($G261)))</f>
        <v/>
      </c>
    </row>
    <row r="262" ht="19.5" customHeight="1" s="72">
      <c r="A262" s="38" t="inlineStr">
        <is>
          <t>BM-OCT-P08-SIR</t>
        </is>
      </c>
      <c r="B262" s="38" t="inlineStr">
        <is>
          <t>Octavas</t>
        </is>
      </c>
      <c r="C262" s="38" t="inlineStr">
        <is>
          <t>Siriuna</t>
        </is>
      </c>
      <c r="D262" s="39">
        <f>IFERROR(CLASIF_B_M!$F$12,"")</f>
        <v/>
      </c>
      <c r="E262" s="40" t="n"/>
      <c r="F262" s="39">
        <f>IFERROR(CLASIF_B_M!$F$13,"")</f>
        <v/>
      </c>
      <c r="G262" s="40" t="n"/>
      <c r="H262" s="41" t="n"/>
      <c r="I262" s="42">
        <f>IF($H262="","",MAX(0,$H262-N($E262)))</f>
        <v/>
      </c>
      <c r="J262" s="42">
        <f>IF($H262="","",MAX(0,$H262-N($G262)))</f>
        <v/>
      </c>
    </row>
    <row r="263" ht="19.5" customHeight="1" s="72">
      <c r="A263" s="38" t="inlineStr">
        <is>
          <t>BM-SEM-P01-BEN</t>
        </is>
      </c>
      <c r="B263" s="38" t="inlineStr">
        <is>
          <t>Semifinal</t>
        </is>
      </c>
      <c r="C263" s="38" t="inlineStr">
        <is>
          <t>Benguela</t>
        </is>
      </c>
      <c r="D263" s="39">
        <f>IFERROR(CLASIF_B_M!$O$5,"")</f>
        <v/>
      </c>
      <c r="E263" s="40" t="n"/>
      <c r="F263" s="39">
        <f>IFERROR(CLASIF_B_M!$O$12,"")</f>
        <v/>
      </c>
      <c r="G263" s="40" t="n"/>
      <c r="H263" s="41" t="n"/>
      <c r="I263" s="42">
        <f>IF($H263="","",MAX(0,$H263-N($E263)))</f>
        <v/>
      </c>
      <c r="J263" s="42">
        <f>IF($H263="","",MAX(0,$H263-N($G263)))</f>
        <v/>
      </c>
    </row>
    <row r="264" ht="19.5" customHeight="1" s="72">
      <c r="A264" s="38" t="inlineStr">
        <is>
          <t>BM-SEM-P01-SBA</t>
        </is>
      </c>
      <c r="B264" s="38" t="inlineStr">
        <is>
          <t>Semifinal</t>
        </is>
      </c>
      <c r="C264" s="38" t="inlineStr">
        <is>
          <t>São Bento da Abadá</t>
        </is>
      </c>
      <c r="D264" s="39">
        <f>IFERROR(CLASIF_B_M!$O$5,"")</f>
        <v/>
      </c>
      <c r="E264" s="40" t="n"/>
      <c r="F264" s="39">
        <f>IFERROR(CLASIF_B_M!$O$12,"")</f>
        <v/>
      </c>
      <c r="G264" s="40" t="n"/>
      <c r="H264" s="41" t="n"/>
      <c r="I264" s="42">
        <f>IF($H264="","",MAX(0,$H264-N($E264)))</f>
        <v/>
      </c>
      <c r="J264" s="42">
        <f>IF($H264="","",MAX(0,$H264-N($G264)))</f>
        <v/>
      </c>
    </row>
    <row r="265" ht="19.5" customHeight="1" s="72">
      <c r="A265" s="38" t="inlineStr">
        <is>
          <t>BM-SEM-P01-SIR</t>
        </is>
      </c>
      <c r="B265" s="38" t="inlineStr">
        <is>
          <t>Semifinal</t>
        </is>
      </c>
      <c r="C265" s="38" t="inlineStr">
        <is>
          <t>Siriuna</t>
        </is>
      </c>
      <c r="D265" s="39">
        <f>IFERROR(CLASIF_B_M!$O$5,"")</f>
        <v/>
      </c>
      <c r="E265" s="40" t="n"/>
      <c r="F265" s="39">
        <f>IFERROR(CLASIF_B_M!$O$12,"")</f>
        <v/>
      </c>
      <c r="G265" s="40" t="n"/>
      <c r="H265" s="41" t="n"/>
      <c r="I265" s="42">
        <f>IF($H265="","",MAX(0,$H265-N($E265)))</f>
        <v/>
      </c>
      <c r="J265" s="42">
        <f>IF($H265="","",MAX(0,$H265-N($G265)))</f>
        <v/>
      </c>
    </row>
    <row r="266" ht="19.5" customHeight="1" s="72">
      <c r="A266" s="38" t="inlineStr">
        <is>
          <t>BM-SEM-P02-BEN</t>
        </is>
      </c>
      <c r="B266" s="38" t="inlineStr">
        <is>
          <t>Semifinal</t>
        </is>
      </c>
      <c r="C266" s="38" t="inlineStr">
        <is>
          <t>Benguela</t>
        </is>
      </c>
      <c r="D266" s="39">
        <f>IFERROR(CLASIF_B_M!$O$6,"")</f>
        <v/>
      </c>
      <c r="E266" s="40" t="n"/>
      <c r="F266" s="39">
        <f>IFERROR(CLASIF_B_M!$O$11,"")</f>
        <v/>
      </c>
      <c r="G266" s="40" t="n"/>
      <c r="H266" s="41" t="n"/>
      <c r="I266" s="42">
        <f>IF($H266="","",MAX(0,$H266-N($E266)))</f>
        <v/>
      </c>
      <c r="J266" s="42">
        <f>IF($H266="","",MAX(0,$H266-N($G266)))</f>
        <v/>
      </c>
    </row>
    <row r="267" ht="19.5" customHeight="1" s="72">
      <c r="A267" s="38" t="inlineStr">
        <is>
          <t>BM-SEM-P02-SBA</t>
        </is>
      </c>
      <c r="B267" s="38" t="inlineStr">
        <is>
          <t>Semifinal</t>
        </is>
      </c>
      <c r="C267" s="38" t="inlineStr">
        <is>
          <t>São Bento da Abadá</t>
        </is>
      </c>
      <c r="D267" s="39">
        <f>IFERROR(CLASIF_B_M!$O$6,"")</f>
        <v/>
      </c>
      <c r="E267" s="40" t="n"/>
      <c r="F267" s="39">
        <f>IFERROR(CLASIF_B_M!$O$11,"")</f>
        <v/>
      </c>
      <c r="G267" s="40" t="n"/>
      <c r="H267" s="41" t="n"/>
      <c r="I267" s="42">
        <f>IF($H267="","",MAX(0,$H267-N($E267)))</f>
        <v/>
      </c>
      <c r="J267" s="42">
        <f>IF($H267="","",MAX(0,$H267-N($G267)))</f>
        <v/>
      </c>
    </row>
    <row r="268" ht="19.5" customHeight="1" s="72">
      <c r="A268" s="38" t="inlineStr">
        <is>
          <t>BM-SEM-P02-SIR</t>
        </is>
      </c>
      <c r="B268" s="38" t="inlineStr">
        <is>
          <t>Semifinal</t>
        </is>
      </c>
      <c r="C268" s="38" t="inlineStr">
        <is>
          <t>Siriuna</t>
        </is>
      </c>
      <c r="D268" s="39">
        <f>IFERROR(CLASIF_B_M!$O$6,"")</f>
        <v/>
      </c>
      <c r="E268" s="40" t="n"/>
      <c r="F268" s="39">
        <f>IFERROR(CLASIF_B_M!$O$11,"")</f>
        <v/>
      </c>
      <c r="G268" s="40" t="n"/>
      <c r="H268" s="41" t="n"/>
      <c r="I268" s="42">
        <f>IF($H268="","",MAX(0,$H268-N($E268)))</f>
        <v/>
      </c>
      <c r="J268" s="42">
        <f>IF($H268="","",MAX(0,$H268-N($G268)))</f>
        <v/>
      </c>
    </row>
    <row r="269" ht="19.5" customHeight="1" s="72">
      <c r="A269" s="38" t="inlineStr">
        <is>
          <t>BM-SEM-P03-BEN</t>
        </is>
      </c>
      <c r="B269" s="38" t="inlineStr">
        <is>
          <t>Semifinal</t>
        </is>
      </c>
      <c r="C269" s="38" t="inlineStr">
        <is>
          <t>Benguela</t>
        </is>
      </c>
      <c r="D269" s="39">
        <f>IFERROR(CLASIF_B_M!$O$7,"")</f>
        <v/>
      </c>
      <c r="E269" s="40" t="n"/>
      <c r="F269" s="39">
        <f>IFERROR(CLASIF_B_M!$O$10,"")</f>
        <v/>
      </c>
      <c r="G269" s="40" t="n"/>
      <c r="H269" s="41" t="n"/>
      <c r="I269" s="42">
        <f>IF($H269="","",MAX(0,$H269-N($E269)))</f>
        <v/>
      </c>
      <c r="J269" s="42">
        <f>IF($H269="","",MAX(0,$H269-N($G269)))</f>
        <v/>
      </c>
    </row>
    <row r="270" ht="19.5" customHeight="1" s="72">
      <c r="A270" s="38" t="inlineStr">
        <is>
          <t>BM-SEM-P03-SBA</t>
        </is>
      </c>
      <c r="B270" s="38" t="inlineStr">
        <is>
          <t>Semifinal</t>
        </is>
      </c>
      <c r="C270" s="38" t="inlineStr">
        <is>
          <t>São Bento da Abadá</t>
        </is>
      </c>
      <c r="D270" s="39">
        <f>IFERROR(CLASIF_B_M!$O$7,"")</f>
        <v/>
      </c>
      <c r="E270" s="40" t="n"/>
      <c r="F270" s="39">
        <f>IFERROR(CLASIF_B_M!$O$10,"")</f>
        <v/>
      </c>
      <c r="G270" s="40" t="n"/>
      <c r="H270" s="41" t="n"/>
      <c r="I270" s="42">
        <f>IF($H270="","",MAX(0,$H270-N($E270)))</f>
        <v/>
      </c>
      <c r="J270" s="42">
        <f>IF($H270="","",MAX(0,$H270-N($G270)))</f>
        <v/>
      </c>
    </row>
    <row r="271" ht="19.5" customHeight="1" s="72">
      <c r="A271" s="38" t="inlineStr">
        <is>
          <t>BM-SEM-P03-SIR</t>
        </is>
      </c>
      <c r="B271" s="38" t="inlineStr">
        <is>
          <t>Semifinal</t>
        </is>
      </c>
      <c r="C271" s="38" t="inlineStr">
        <is>
          <t>Siriuna</t>
        </is>
      </c>
      <c r="D271" s="39">
        <f>IFERROR(CLASIF_B_M!$O$7,"")</f>
        <v/>
      </c>
      <c r="E271" s="40" t="n"/>
      <c r="F271" s="39">
        <f>IFERROR(CLASIF_B_M!$O$10,"")</f>
        <v/>
      </c>
      <c r="G271" s="40" t="n"/>
      <c r="H271" s="41" t="n"/>
      <c r="I271" s="42">
        <f>IF($H271="","",MAX(0,$H271-N($E271)))</f>
        <v/>
      </c>
      <c r="J271" s="42">
        <f>IF($H271="","",MAX(0,$H271-N($G271)))</f>
        <v/>
      </c>
    </row>
    <row r="272" ht="19.5" customHeight="1" s="72">
      <c r="A272" s="38" t="inlineStr">
        <is>
          <t>BM-SEM-P04-BEN</t>
        </is>
      </c>
      <c r="B272" s="38" t="inlineStr">
        <is>
          <t>Semifinal</t>
        </is>
      </c>
      <c r="C272" s="38" t="inlineStr">
        <is>
          <t>Benguela</t>
        </is>
      </c>
      <c r="D272" s="39">
        <f>IFERROR(CLASIF_B_M!$O$8,"")</f>
        <v/>
      </c>
      <c r="E272" s="40" t="n"/>
      <c r="F272" s="39">
        <f>IFERROR(CLASIF_B_M!$O$9,"")</f>
        <v/>
      </c>
      <c r="G272" s="40" t="n"/>
      <c r="H272" s="41" t="n"/>
      <c r="I272" s="42">
        <f>IF($H272="","",MAX(0,$H272-N($E272)))</f>
        <v/>
      </c>
      <c r="J272" s="42">
        <f>IF($H272="","",MAX(0,$H272-N($G272)))</f>
        <v/>
      </c>
    </row>
    <row r="273" ht="19.5" customHeight="1" s="72">
      <c r="A273" s="38" t="inlineStr">
        <is>
          <t>BM-SEM-P04-SBA</t>
        </is>
      </c>
      <c r="B273" s="38" t="inlineStr">
        <is>
          <t>Semifinal</t>
        </is>
      </c>
      <c r="C273" s="38" t="inlineStr">
        <is>
          <t>São Bento da Abadá</t>
        </is>
      </c>
      <c r="D273" s="39">
        <f>IFERROR(CLASIF_B_M!$O$8,"")</f>
        <v/>
      </c>
      <c r="E273" s="40" t="n"/>
      <c r="F273" s="39">
        <f>IFERROR(CLASIF_B_M!$O$9,"")</f>
        <v/>
      </c>
      <c r="G273" s="40" t="n"/>
      <c r="H273" s="41" t="n"/>
      <c r="I273" s="42">
        <f>IF($H273="","",MAX(0,$H273-N($E273)))</f>
        <v/>
      </c>
      <c r="J273" s="42">
        <f>IF($H273="","",MAX(0,$H273-N($G273)))</f>
        <v/>
      </c>
    </row>
    <row r="274" ht="19.5" customHeight="1" s="72">
      <c r="A274" s="38" t="inlineStr">
        <is>
          <t>BM-SEM-P04-SIR</t>
        </is>
      </c>
      <c r="B274" s="38" t="inlineStr">
        <is>
          <t>Semifinal</t>
        </is>
      </c>
      <c r="C274" s="38" t="inlineStr">
        <is>
          <t>Siriuna</t>
        </is>
      </c>
      <c r="D274" s="39">
        <f>IFERROR(CLASIF_B_M!$O$8,"")</f>
        <v/>
      </c>
      <c r="E274" s="40" t="n"/>
      <c r="F274" s="39">
        <f>IFERROR(CLASIF_B_M!$O$9,"")</f>
        <v/>
      </c>
      <c r="G274" s="40" t="n"/>
      <c r="H274" s="41" t="n"/>
      <c r="I274" s="42">
        <f>IF($H274="","",MAX(0,$H274-N($E274)))</f>
        <v/>
      </c>
      <c r="J274" s="42">
        <f>IF($H274="","",MAX(0,$H274-N($G274)))</f>
        <v/>
      </c>
    </row>
    <row r="275" ht="19.5" customHeight="1" s="72">
      <c r="A275" s="38" t="inlineStr">
        <is>
          <t>BM-FIN-P01-BEN</t>
        </is>
      </c>
      <c r="B275" s="38" t="inlineStr">
        <is>
          <t>Final</t>
        </is>
      </c>
      <c r="C275" s="38" t="inlineStr">
        <is>
          <t>Benguela</t>
        </is>
      </c>
      <c r="D275" s="39">
        <f>IFERROR(CLASIF_B_M!$X$5,"")</f>
        <v/>
      </c>
      <c r="E275" s="40" t="n"/>
      <c r="F275" s="39">
        <f>IFERROR(CLASIF_B_M!$X$8,"")</f>
        <v/>
      </c>
      <c r="G275" s="40" t="n"/>
      <c r="H275" s="41" t="n"/>
      <c r="I275" s="42">
        <f>IF($H275="","",MAX(0,$H275-N($E275)))</f>
        <v/>
      </c>
      <c r="J275" s="42">
        <f>IF($H275="","",MAX(0,$H275-N($G275)))</f>
        <v/>
      </c>
    </row>
    <row r="276" ht="19.5" customHeight="1" s="72">
      <c r="A276" s="38" t="inlineStr">
        <is>
          <t>BM-FIN-P01-SBA</t>
        </is>
      </c>
      <c r="B276" s="38" t="inlineStr">
        <is>
          <t>Final</t>
        </is>
      </c>
      <c r="C276" s="38" t="inlineStr">
        <is>
          <t>São Bento da Abadá</t>
        </is>
      </c>
      <c r="D276" s="39">
        <f>IFERROR(CLASIF_B_M!$X$5,"")</f>
        <v/>
      </c>
      <c r="E276" s="40" t="n"/>
      <c r="F276" s="39">
        <f>IFERROR(CLASIF_B_M!$X$8,"")</f>
        <v/>
      </c>
      <c r="G276" s="40" t="n"/>
      <c r="H276" s="41" t="n"/>
      <c r="I276" s="42">
        <f>IF($H276="","",MAX(0,$H276-N($E276)))</f>
        <v/>
      </c>
      <c r="J276" s="42">
        <f>IF($H276="","",MAX(0,$H276-N($G276)))</f>
        <v/>
      </c>
    </row>
    <row r="277" ht="19.5" customHeight="1" s="72">
      <c r="A277" s="38" t="inlineStr">
        <is>
          <t>BM-FIN-P01-SIR</t>
        </is>
      </c>
      <c r="B277" s="38" t="inlineStr">
        <is>
          <t>Final</t>
        </is>
      </c>
      <c r="C277" s="38" t="inlineStr">
        <is>
          <t>Siriuna</t>
        </is>
      </c>
      <c r="D277" s="39">
        <f>IFERROR(CLASIF_B_M!$X$5,"")</f>
        <v/>
      </c>
      <c r="E277" s="40" t="n"/>
      <c r="F277" s="39">
        <f>IFERROR(CLASIF_B_M!$X$8,"")</f>
        <v/>
      </c>
      <c r="G277" s="40" t="n"/>
      <c r="H277" s="41" t="n"/>
      <c r="I277" s="42">
        <f>IF($H277="","",MAX(0,$H277-N($E277)))</f>
        <v/>
      </c>
      <c r="J277" s="42">
        <f>IF($H277="","",MAX(0,$H277-N($G277)))</f>
        <v/>
      </c>
    </row>
    <row r="278" ht="19.5" customHeight="1" s="72">
      <c r="A278" s="38" t="inlineStr">
        <is>
          <t>BM-FIN-P02-BEN</t>
        </is>
      </c>
      <c r="B278" s="38" t="inlineStr">
        <is>
          <t>Final</t>
        </is>
      </c>
      <c r="C278" s="38" t="inlineStr">
        <is>
          <t>Benguela</t>
        </is>
      </c>
      <c r="D278" s="39">
        <f>IFERROR(CLASIF_B_M!$X$6,"")</f>
        <v/>
      </c>
      <c r="E278" s="40" t="n"/>
      <c r="F278" s="39">
        <f>IFERROR(CLASIF_B_M!$X$7,"")</f>
        <v/>
      </c>
      <c r="G278" s="40" t="n"/>
      <c r="H278" s="41" t="n"/>
      <c r="I278" s="42">
        <f>IF($H278="","",MAX(0,$H278-N($E278)))</f>
        <v/>
      </c>
      <c r="J278" s="42">
        <f>IF($H278="","",MAX(0,$H278-N($G278)))</f>
        <v/>
      </c>
    </row>
    <row r="279" ht="19.5" customHeight="1" s="72">
      <c r="A279" s="38" t="inlineStr">
        <is>
          <t>BM-FIN-P02-SBA</t>
        </is>
      </c>
      <c r="B279" s="38" t="inlineStr">
        <is>
          <t>Final</t>
        </is>
      </c>
      <c r="C279" s="38" t="inlineStr">
        <is>
          <t>São Bento da Abadá</t>
        </is>
      </c>
      <c r="D279" s="39">
        <f>IFERROR(CLASIF_B_M!$X$6,"")</f>
        <v/>
      </c>
      <c r="E279" s="40" t="n"/>
      <c r="F279" s="39">
        <f>IFERROR(CLASIF_B_M!$X$7,"")</f>
        <v/>
      </c>
      <c r="G279" s="40" t="n"/>
      <c r="H279" s="41" t="n"/>
      <c r="I279" s="42">
        <f>IF($H279="","",MAX(0,$H279-N($E279)))</f>
        <v/>
      </c>
      <c r="J279" s="42">
        <f>IF($H279="","",MAX(0,$H279-N($G279)))</f>
        <v/>
      </c>
    </row>
    <row r="280" ht="19.5" customHeight="1" s="72">
      <c r="A280" s="38" t="inlineStr">
        <is>
          <t>BM-FIN-P02-SIR</t>
        </is>
      </c>
      <c r="B280" s="38" t="inlineStr">
        <is>
          <t>Final</t>
        </is>
      </c>
      <c r="C280" s="38" t="inlineStr">
        <is>
          <t>Siriuna</t>
        </is>
      </c>
      <c r="D280" s="39">
        <f>IFERROR(CLASIF_B_M!$X$6,"")</f>
        <v/>
      </c>
      <c r="E280" s="40" t="n"/>
      <c r="F280" s="39">
        <f>IFERROR(CLASIF_B_M!$X$7,"")</f>
        <v/>
      </c>
      <c r="G280" s="40" t="n"/>
      <c r="H280" s="41" t="n"/>
      <c r="I280" s="42">
        <f>IF($H280="","",MAX(0,$H280-N($E280)))</f>
        <v/>
      </c>
      <c r="J280" s="42">
        <f>IF($H280="","",MAX(0,$H280-N($G280)))</f>
        <v/>
      </c>
    </row>
    <row r="281" ht="19.5" customHeight="1" s="72">
      <c r="A281" s="43" t="n"/>
      <c r="B281" s="43" t="n"/>
      <c r="C281" s="43" t="n"/>
      <c r="D281" s="43" t="n"/>
      <c r="E281" s="43" t="n"/>
      <c r="F281" s="43" t="n"/>
      <c r="G281" s="43" t="n"/>
      <c r="H281" s="44" t="n"/>
      <c r="I281" s="43">
        <f>IF($H281="","",MAX(0,$H281-N($E281)))</f>
        <v/>
      </c>
      <c r="J281" s="43">
        <f>IF($H281="","",MAX(0,$H281-N($G281)))</f>
        <v/>
      </c>
    </row>
    <row r="282" ht="19.5" customHeight="1" s="72">
      <c r="A282" s="81" t="inlineStr">
        <is>
          <t>═══ CATEGORÍA B · Femenino · Morada (Instructores) · Toques: Benguela, São Bento da Abadá, Siriuna ═══</t>
        </is>
      </c>
    </row>
    <row r="283" ht="19.5" customHeight="1" s="72">
      <c r="A283" s="45" t="inlineStr">
        <is>
          <t>Jogo</t>
        </is>
      </c>
      <c r="B283" s="45" t="inlineStr">
        <is>
          <t>Fase</t>
        </is>
      </c>
      <c r="C283" s="45" t="inlineStr">
        <is>
          <t>Toque</t>
        </is>
      </c>
      <c r="D283" s="45" t="inlineStr">
        <is>
          <t>Jugador A</t>
        </is>
      </c>
      <c r="E283" s="45" t="inlineStr">
        <is>
          <t>Quita A</t>
        </is>
      </c>
      <c r="F283" s="45" t="inlineStr">
        <is>
          <t>Jugador B</t>
        </is>
      </c>
      <c r="G283" s="45" t="inlineStr">
        <is>
          <t>Quita B</t>
        </is>
      </c>
      <c r="H283" s="45" t="inlineStr">
        <is>
          <t>NOTA (0-5)</t>
        </is>
      </c>
      <c r="I283" s="45">
        <f>IF($H283="","",MAX(0,$H283-N($E283)))</f>
        <v/>
      </c>
      <c r="J283" s="45">
        <f>IF($H283="","",MAX(0,$H283-N($G283)))</f>
        <v/>
      </c>
    </row>
    <row r="284" ht="19.5" customHeight="1" s="72">
      <c r="A284" s="38" t="inlineStr">
        <is>
          <t>BF-32-P01-BEN</t>
        </is>
      </c>
      <c r="B284" s="38" t="inlineStr">
        <is>
          <t>Fase 32</t>
        </is>
      </c>
      <c r="C284" s="38" t="inlineStr">
        <is>
          <t>Benguela</t>
        </is>
      </c>
      <c r="D284" s="39" t="inlineStr">
        <is>
          <t>A_B_F_32_P1</t>
        </is>
      </c>
      <c r="E284" s="40" t="n"/>
      <c r="F284" s="39" t="inlineStr">
        <is>
          <t>B_B_F_32_P1</t>
        </is>
      </c>
      <c r="G284" s="40" t="n"/>
      <c r="H284" s="41" t="n"/>
      <c r="I284" s="42">
        <f>IF($H284="","",MAX(0,$H284-N($E284)))</f>
        <v/>
      </c>
      <c r="J284" s="42">
        <f>IF($H284="","",MAX(0,$H284-N($G284)))</f>
        <v/>
      </c>
    </row>
    <row r="285" ht="19.5" customHeight="1" s="72">
      <c r="A285" s="38" t="inlineStr">
        <is>
          <t>BF-32-P01-SBA</t>
        </is>
      </c>
      <c r="B285" s="38" t="inlineStr">
        <is>
          <t>Fase 32</t>
        </is>
      </c>
      <c r="C285" s="38" t="inlineStr">
        <is>
          <t>São Bento da Abadá</t>
        </is>
      </c>
      <c r="D285" s="39" t="inlineStr">
        <is>
          <t>A_B_F_32_P1</t>
        </is>
      </c>
      <c r="E285" s="40" t="n"/>
      <c r="F285" s="39" t="inlineStr">
        <is>
          <t>B_B_F_32_P1</t>
        </is>
      </c>
      <c r="G285" s="40" t="n"/>
      <c r="H285" s="41" t="n"/>
      <c r="I285" s="42">
        <f>IF($H285="","",MAX(0,$H285-N($E285)))</f>
        <v/>
      </c>
      <c r="J285" s="42">
        <f>IF($H285="","",MAX(0,$H285-N($G285)))</f>
        <v/>
      </c>
    </row>
    <row r="286" ht="19.5" customHeight="1" s="72">
      <c r="A286" s="38" t="inlineStr">
        <is>
          <t>BF-32-P01-SIR</t>
        </is>
      </c>
      <c r="B286" s="38" t="inlineStr">
        <is>
          <t>Fase 32</t>
        </is>
      </c>
      <c r="C286" s="38" t="inlineStr">
        <is>
          <t>Siriuna</t>
        </is>
      </c>
      <c r="D286" s="39" t="inlineStr">
        <is>
          <t>A_B_F_32_P1</t>
        </is>
      </c>
      <c r="E286" s="40" t="n"/>
      <c r="F286" s="39" t="inlineStr">
        <is>
          <t>B_B_F_32_P1</t>
        </is>
      </c>
      <c r="G286" s="40" t="n"/>
      <c r="H286" s="41" t="n"/>
      <c r="I286" s="42">
        <f>IF($H286="","",MAX(0,$H286-N($E286)))</f>
        <v/>
      </c>
      <c r="J286" s="42">
        <f>IF($H286="","",MAX(0,$H286-N($G286)))</f>
        <v/>
      </c>
    </row>
    <row r="287" ht="19.5" customHeight="1" s="72">
      <c r="A287" s="38" t="inlineStr">
        <is>
          <t>BF-32-P02-BEN</t>
        </is>
      </c>
      <c r="B287" s="38" t="inlineStr">
        <is>
          <t>Fase 32</t>
        </is>
      </c>
      <c r="C287" s="38" t="inlineStr">
        <is>
          <t>Benguela</t>
        </is>
      </c>
      <c r="D287" s="39" t="inlineStr">
        <is>
          <t>A_B_F_32_P2</t>
        </is>
      </c>
      <c r="E287" s="40" t="n"/>
      <c r="F287" s="39" t="inlineStr">
        <is>
          <t>B_B_F_32_P2</t>
        </is>
      </c>
      <c r="G287" s="40" t="n"/>
      <c r="H287" s="41" t="n"/>
      <c r="I287" s="42">
        <f>IF($H287="","",MAX(0,$H287-N($E287)))</f>
        <v/>
      </c>
      <c r="J287" s="42">
        <f>IF($H287="","",MAX(0,$H287-N($G287)))</f>
        <v/>
      </c>
    </row>
    <row r="288" ht="19.5" customHeight="1" s="72">
      <c r="A288" s="38" t="inlineStr">
        <is>
          <t>BF-32-P02-SBA</t>
        </is>
      </c>
      <c r="B288" s="38" t="inlineStr">
        <is>
          <t>Fase 32</t>
        </is>
      </c>
      <c r="C288" s="38" t="inlineStr">
        <is>
          <t>São Bento da Abadá</t>
        </is>
      </c>
      <c r="D288" s="39" t="inlineStr">
        <is>
          <t>A_B_F_32_P2</t>
        </is>
      </c>
      <c r="E288" s="40" t="n"/>
      <c r="F288" s="39" t="inlineStr">
        <is>
          <t>B_B_F_32_P2</t>
        </is>
      </c>
      <c r="G288" s="40" t="n"/>
      <c r="H288" s="41" t="n"/>
      <c r="I288" s="42">
        <f>IF($H288="","",MAX(0,$H288-N($E288)))</f>
        <v/>
      </c>
      <c r="J288" s="42">
        <f>IF($H288="","",MAX(0,$H288-N($G288)))</f>
        <v/>
      </c>
    </row>
    <row r="289" ht="19.5" customHeight="1" s="72">
      <c r="A289" s="38" t="inlineStr">
        <is>
          <t>BF-32-P02-SIR</t>
        </is>
      </c>
      <c r="B289" s="38" t="inlineStr">
        <is>
          <t>Fase 32</t>
        </is>
      </c>
      <c r="C289" s="38" t="inlineStr">
        <is>
          <t>Siriuna</t>
        </is>
      </c>
      <c r="D289" s="39" t="inlineStr">
        <is>
          <t>A_B_F_32_P2</t>
        </is>
      </c>
      <c r="E289" s="40" t="n"/>
      <c r="F289" s="39" t="inlineStr">
        <is>
          <t>B_B_F_32_P2</t>
        </is>
      </c>
      <c r="G289" s="40" t="n"/>
      <c r="H289" s="41" t="n"/>
      <c r="I289" s="42">
        <f>IF($H289="","",MAX(0,$H289-N($E289)))</f>
        <v/>
      </c>
      <c r="J289" s="42">
        <f>IF($H289="","",MAX(0,$H289-N($G289)))</f>
        <v/>
      </c>
    </row>
    <row r="290" ht="19.5" customHeight="1" s="72">
      <c r="A290" s="38" t="inlineStr">
        <is>
          <t>BF-32-P03-BEN</t>
        </is>
      </c>
      <c r="B290" s="38" t="inlineStr">
        <is>
          <t>Fase 32</t>
        </is>
      </c>
      <c r="C290" s="38" t="inlineStr">
        <is>
          <t>Benguela</t>
        </is>
      </c>
      <c r="D290" s="39" t="inlineStr">
        <is>
          <t>A_B_F_32_P3</t>
        </is>
      </c>
      <c r="E290" s="40" t="n"/>
      <c r="F290" s="39" t="inlineStr">
        <is>
          <t>B_B_F_32_P3</t>
        </is>
      </c>
      <c r="G290" s="40" t="n"/>
      <c r="H290" s="41" t="n"/>
      <c r="I290" s="42">
        <f>IF($H290="","",MAX(0,$H290-N($E290)))</f>
        <v/>
      </c>
      <c r="J290" s="42">
        <f>IF($H290="","",MAX(0,$H290-N($G290)))</f>
        <v/>
      </c>
    </row>
    <row r="291" ht="19.5" customHeight="1" s="72">
      <c r="A291" s="38" t="inlineStr">
        <is>
          <t>BF-32-P03-SBA</t>
        </is>
      </c>
      <c r="B291" s="38" t="inlineStr">
        <is>
          <t>Fase 32</t>
        </is>
      </c>
      <c r="C291" s="38" t="inlineStr">
        <is>
          <t>São Bento da Abadá</t>
        </is>
      </c>
      <c r="D291" s="39" t="inlineStr">
        <is>
          <t>A_B_F_32_P3</t>
        </is>
      </c>
      <c r="E291" s="40" t="n"/>
      <c r="F291" s="39" t="inlineStr">
        <is>
          <t>B_B_F_32_P3</t>
        </is>
      </c>
      <c r="G291" s="40" t="n"/>
      <c r="H291" s="41" t="n"/>
      <c r="I291" s="42">
        <f>IF($H291="","",MAX(0,$H291-N($E291)))</f>
        <v/>
      </c>
      <c r="J291" s="42">
        <f>IF($H291="","",MAX(0,$H291-N($G291)))</f>
        <v/>
      </c>
    </row>
    <row r="292" ht="19.5" customHeight="1" s="72">
      <c r="A292" s="38" t="inlineStr">
        <is>
          <t>BF-32-P03-SIR</t>
        </is>
      </c>
      <c r="B292" s="38" t="inlineStr">
        <is>
          <t>Fase 32</t>
        </is>
      </c>
      <c r="C292" s="38" t="inlineStr">
        <is>
          <t>Siriuna</t>
        </is>
      </c>
      <c r="D292" s="39" t="inlineStr">
        <is>
          <t>A_B_F_32_P3</t>
        </is>
      </c>
      <c r="E292" s="40" t="n"/>
      <c r="F292" s="39" t="inlineStr">
        <is>
          <t>B_B_F_32_P3</t>
        </is>
      </c>
      <c r="G292" s="40" t="n"/>
      <c r="H292" s="41" t="n"/>
      <c r="I292" s="42">
        <f>IF($H292="","",MAX(0,$H292-N($E292)))</f>
        <v/>
      </c>
      <c r="J292" s="42">
        <f>IF($H292="","",MAX(0,$H292-N($G292)))</f>
        <v/>
      </c>
    </row>
    <row r="293" ht="19.5" customHeight="1" s="72">
      <c r="A293" s="38" t="inlineStr">
        <is>
          <t>BF-32-P04-BEN</t>
        </is>
      </c>
      <c r="B293" s="38" t="inlineStr">
        <is>
          <t>Fase 32</t>
        </is>
      </c>
      <c r="C293" s="38" t="inlineStr">
        <is>
          <t>Benguela</t>
        </is>
      </c>
      <c r="D293" s="39" t="inlineStr">
        <is>
          <t>A_B_F_32_P4</t>
        </is>
      </c>
      <c r="E293" s="40" t="n"/>
      <c r="F293" s="39" t="inlineStr">
        <is>
          <t>B_B_F_32_P4</t>
        </is>
      </c>
      <c r="G293" s="40" t="n"/>
      <c r="H293" s="41" t="n"/>
      <c r="I293" s="42">
        <f>IF($H293="","",MAX(0,$H293-N($E293)))</f>
        <v/>
      </c>
      <c r="J293" s="42">
        <f>IF($H293="","",MAX(0,$H293-N($G293)))</f>
        <v/>
      </c>
    </row>
    <row r="294" ht="19.5" customHeight="1" s="72">
      <c r="A294" s="38" t="inlineStr">
        <is>
          <t>BF-32-P04-SBA</t>
        </is>
      </c>
      <c r="B294" s="38" t="inlineStr">
        <is>
          <t>Fase 32</t>
        </is>
      </c>
      <c r="C294" s="38" t="inlineStr">
        <is>
          <t>São Bento da Abadá</t>
        </is>
      </c>
      <c r="D294" s="39" t="inlineStr">
        <is>
          <t>A_B_F_32_P4</t>
        </is>
      </c>
      <c r="E294" s="40" t="n"/>
      <c r="F294" s="39" t="inlineStr">
        <is>
          <t>B_B_F_32_P4</t>
        </is>
      </c>
      <c r="G294" s="40" t="n"/>
      <c r="H294" s="41" t="n"/>
      <c r="I294" s="42">
        <f>IF($H294="","",MAX(0,$H294-N($E294)))</f>
        <v/>
      </c>
      <c r="J294" s="42">
        <f>IF($H294="","",MAX(0,$H294-N($G294)))</f>
        <v/>
      </c>
    </row>
    <row r="295" ht="19.5" customHeight="1" s="72">
      <c r="A295" s="38" t="inlineStr">
        <is>
          <t>BF-32-P04-SIR</t>
        </is>
      </c>
      <c r="B295" s="38" t="inlineStr">
        <is>
          <t>Fase 32</t>
        </is>
      </c>
      <c r="C295" s="38" t="inlineStr">
        <is>
          <t>Siriuna</t>
        </is>
      </c>
      <c r="D295" s="39" t="inlineStr">
        <is>
          <t>A_B_F_32_P4</t>
        </is>
      </c>
      <c r="E295" s="40" t="n"/>
      <c r="F295" s="39" t="inlineStr">
        <is>
          <t>B_B_F_32_P4</t>
        </is>
      </c>
      <c r="G295" s="40" t="n"/>
      <c r="H295" s="41" t="n"/>
      <c r="I295" s="42">
        <f>IF($H295="","",MAX(0,$H295-N($E295)))</f>
        <v/>
      </c>
      <c r="J295" s="42">
        <f>IF($H295="","",MAX(0,$H295-N($G295)))</f>
        <v/>
      </c>
    </row>
    <row r="296" ht="19.5" customHeight="1" s="72">
      <c r="A296" s="38" t="inlineStr">
        <is>
          <t>BF-32-P05-BEN</t>
        </is>
      </c>
      <c r="B296" s="38" t="inlineStr">
        <is>
          <t>Fase 32</t>
        </is>
      </c>
      <c r="C296" s="38" t="inlineStr">
        <is>
          <t>Benguela</t>
        </is>
      </c>
      <c r="D296" s="39" t="inlineStr">
        <is>
          <t>A_B_F_32_P5</t>
        </is>
      </c>
      <c r="E296" s="40" t="n"/>
      <c r="F296" s="39" t="inlineStr">
        <is>
          <t>B_B_F_32_P5</t>
        </is>
      </c>
      <c r="G296" s="40" t="n"/>
      <c r="H296" s="41" t="n"/>
      <c r="I296" s="42">
        <f>IF($H296="","",MAX(0,$H296-N($E296)))</f>
        <v/>
      </c>
      <c r="J296" s="42">
        <f>IF($H296="","",MAX(0,$H296-N($G296)))</f>
        <v/>
      </c>
    </row>
    <row r="297" ht="19.5" customHeight="1" s="72">
      <c r="A297" s="38" t="inlineStr">
        <is>
          <t>BF-32-P05-SBA</t>
        </is>
      </c>
      <c r="B297" s="38" t="inlineStr">
        <is>
          <t>Fase 32</t>
        </is>
      </c>
      <c r="C297" s="38" t="inlineStr">
        <is>
          <t>São Bento da Abadá</t>
        </is>
      </c>
      <c r="D297" s="39" t="inlineStr">
        <is>
          <t>A_B_F_32_P5</t>
        </is>
      </c>
      <c r="E297" s="40" t="n"/>
      <c r="F297" s="39" t="inlineStr">
        <is>
          <t>B_B_F_32_P5</t>
        </is>
      </c>
      <c r="G297" s="40" t="n"/>
      <c r="H297" s="41" t="n"/>
      <c r="I297" s="42">
        <f>IF($H297="","",MAX(0,$H297-N($E297)))</f>
        <v/>
      </c>
      <c r="J297" s="42">
        <f>IF($H297="","",MAX(0,$H297-N($G297)))</f>
        <v/>
      </c>
    </row>
    <row r="298" ht="19.5" customHeight="1" s="72">
      <c r="A298" s="38" t="inlineStr">
        <is>
          <t>BF-32-P05-SIR</t>
        </is>
      </c>
      <c r="B298" s="38" t="inlineStr">
        <is>
          <t>Fase 32</t>
        </is>
      </c>
      <c r="C298" s="38" t="inlineStr">
        <is>
          <t>Siriuna</t>
        </is>
      </c>
      <c r="D298" s="39" t="inlineStr">
        <is>
          <t>A_B_F_32_P5</t>
        </is>
      </c>
      <c r="E298" s="40" t="n"/>
      <c r="F298" s="39" t="inlineStr">
        <is>
          <t>B_B_F_32_P5</t>
        </is>
      </c>
      <c r="G298" s="40" t="n"/>
      <c r="H298" s="41" t="n"/>
      <c r="I298" s="42">
        <f>IF($H298="","",MAX(0,$H298-N($E298)))</f>
        <v/>
      </c>
      <c r="J298" s="42">
        <f>IF($H298="","",MAX(0,$H298-N($G298)))</f>
        <v/>
      </c>
    </row>
    <row r="299" ht="19.5" customHeight="1" s="72">
      <c r="A299" s="38" t="inlineStr">
        <is>
          <t>BF-32-P06-BEN</t>
        </is>
      </c>
      <c r="B299" s="38" t="inlineStr">
        <is>
          <t>Fase 32</t>
        </is>
      </c>
      <c r="C299" s="38" t="inlineStr">
        <is>
          <t>Benguela</t>
        </is>
      </c>
      <c r="D299" s="39" t="inlineStr">
        <is>
          <t>A_B_F_32_P6</t>
        </is>
      </c>
      <c r="E299" s="40" t="n"/>
      <c r="F299" s="39" t="inlineStr">
        <is>
          <t>B_B_F_32_P6</t>
        </is>
      </c>
      <c r="G299" s="40" t="n"/>
      <c r="H299" s="41" t="n"/>
      <c r="I299" s="42">
        <f>IF($H299="","",MAX(0,$H299-N($E299)))</f>
        <v/>
      </c>
      <c r="J299" s="42">
        <f>IF($H299="","",MAX(0,$H299-N($G299)))</f>
        <v/>
      </c>
    </row>
    <row r="300" ht="19.5" customHeight="1" s="72">
      <c r="A300" s="38" t="inlineStr">
        <is>
          <t>BF-32-P06-SBA</t>
        </is>
      </c>
      <c r="B300" s="38" t="inlineStr">
        <is>
          <t>Fase 32</t>
        </is>
      </c>
      <c r="C300" s="38" t="inlineStr">
        <is>
          <t>São Bento da Abadá</t>
        </is>
      </c>
      <c r="D300" s="39" t="inlineStr">
        <is>
          <t>A_B_F_32_P6</t>
        </is>
      </c>
      <c r="E300" s="40" t="n"/>
      <c r="F300" s="39" t="inlineStr">
        <is>
          <t>B_B_F_32_P6</t>
        </is>
      </c>
      <c r="G300" s="40" t="n"/>
      <c r="H300" s="41" t="n"/>
      <c r="I300" s="42">
        <f>IF($H300="","",MAX(0,$H300-N($E300)))</f>
        <v/>
      </c>
      <c r="J300" s="42">
        <f>IF($H300="","",MAX(0,$H300-N($G300)))</f>
        <v/>
      </c>
    </row>
    <row r="301" ht="19.5" customHeight="1" s="72">
      <c r="A301" s="38" t="inlineStr">
        <is>
          <t>BF-32-P06-SIR</t>
        </is>
      </c>
      <c r="B301" s="38" t="inlineStr">
        <is>
          <t>Fase 32</t>
        </is>
      </c>
      <c r="C301" s="38" t="inlineStr">
        <is>
          <t>Siriuna</t>
        </is>
      </c>
      <c r="D301" s="39" t="inlineStr">
        <is>
          <t>A_B_F_32_P6</t>
        </is>
      </c>
      <c r="E301" s="40" t="n"/>
      <c r="F301" s="39" t="inlineStr">
        <is>
          <t>B_B_F_32_P6</t>
        </is>
      </c>
      <c r="G301" s="40" t="n"/>
      <c r="H301" s="41" t="n"/>
      <c r="I301" s="42">
        <f>IF($H301="","",MAX(0,$H301-N($E301)))</f>
        <v/>
      </c>
      <c r="J301" s="42">
        <f>IF($H301="","",MAX(0,$H301-N($G301)))</f>
        <v/>
      </c>
    </row>
    <row r="302" ht="19.5" customHeight="1" s="72">
      <c r="A302" s="38" t="inlineStr">
        <is>
          <t>BF-32-P07-BEN</t>
        </is>
      </c>
      <c r="B302" s="38" t="inlineStr">
        <is>
          <t>Fase 32</t>
        </is>
      </c>
      <c r="C302" s="38" t="inlineStr">
        <is>
          <t>Benguela</t>
        </is>
      </c>
      <c r="D302" s="39" t="inlineStr">
        <is>
          <t>A_B_F_32_P7</t>
        </is>
      </c>
      <c r="E302" s="40" t="n"/>
      <c r="F302" s="39" t="inlineStr">
        <is>
          <t>B_B_F_32_P7</t>
        </is>
      </c>
      <c r="G302" s="40" t="n"/>
      <c r="H302" s="41" t="n"/>
      <c r="I302" s="42">
        <f>IF($H302="","",MAX(0,$H302-N($E302)))</f>
        <v/>
      </c>
      <c r="J302" s="42">
        <f>IF($H302="","",MAX(0,$H302-N($G302)))</f>
        <v/>
      </c>
    </row>
    <row r="303" ht="19.5" customHeight="1" s="72">
      <c r="A303" s="38" t="inlineStr">
        <is>
          <t>BF-32-P07-SBA</t>
        </is>
      </c>
      <c r="B303" s="38" t="inlineStr">
        <is>
          <t>Fase 32</t>
        </is>
      </c>
      <c r="C303" s="38" t="inlineStr">
        <is>
          <t>São Bento da Abadá</t>
        </is>
      </c>
      <c r="D303" s="39" t="inlineStr">
        <is>
          <t>A_B_F_32_P7</t>
        </is>
      </c>
      <c r="E303" s="40" t="n"/>
      <c r="F303" s="39" t="inlineStr">
        <is>
          <t>B_B_F_32_P7</t>
        </is>
      </c>
      <c r="G303" s="40" t="n"/>
      <c r="H303" s="41" t="n"/>
      <c r="I303" s="42">
        <f>IF($H303="","",MAX(0,$H303-N($E303)))</f>
        <v/>
      </c>
      <c r="J303" s="42">
        <f>IF($H303="","",MAX(0,$H303-N($G303)))</f>
        <v/>
      </c>
    </row>
    <row r="304" ht="19.5" customHeight="1" s="72">
      <c r="A304" s="38" t="inlineStr">
        <is>
          <t>BF-32-P07-SIR</t>
        </is>
      </c>
      <c r="B304" s="38" t="inlineStr">
        <is>
          <t>Fase 32</t>
        </is>
      </c>
      <c r="C304" s="38" t="inlineStr">
        <is>
          <t>Siriuna</t>
        </is>
      </c>
      <c r="D304" s="39" t="inlineStr">
        <is>
          <t>A_B_F_32_P7</t>
        </is>
      </c>
      <c r="E304" s="40" t="n"/>
      <c r="F304" s="39" t="inlineStr">
        <is>
          <t>B_B_F_32_P7</t>
        </is>
      </c>
      <c r="G304" s="40" t="n"/>
      <c r="H304" s="41" t="n"/>
      <c r="I304" s="42">
        <f>IF($H304="","",MAX(0,$H304-N($E304)))</f>
        <v/>
      </c>
      <c r="J304" s="42">
        <f>IF($H304="","",MAX(0,$H304-N($G304)))</f>
        <v/>
      </c>
    </row>
    <row r="305" ht="19.5" customHeight="1" s="72">
      <c r="A305" s="38" t="inlineStr">
        <is>
          <t>BF-32-P08-BEN</t>
        </is>
      </c>
      <c r="B305" s="38" t="inlineStr">
        <is>
          <t>Fase 32</t>
        </is>
      </c>
      <c r="C305" s="38" t="inlineStr">
        <is>
          <t>Benguela</t>
        </is>
      </c>
      <c r="D305" s="39" t="inlineStr">
        <is>
          <t>A_B_F_32_P8</t>
        </is>
      </c>
      <c r="E305" s="40" t="n"/>
      <c r="F305" s="39" t="inlineStr">
        <is>
          <t>B_B_F_32_P8</t>
        </is>
      </c>
      <c r="G305" s="40" t="n"/>
      <c r="H305" s="41" t="n"/>
      <c r="I305" s="42">
        <f>IF($H305="","",MAX(0,$H305-N($E305)))</f>
        <v/>
      </c>
      <c r="J305" s="42">
        <f>IF($H305="","",MAX(0,$H305-N($G305)))</f>
        <v/>
      </c>
    </row>
    <row r="306" ht="19.5" customHeight="1" s="72">
      <c r="A306" s="38" t="inlineStr">
        <is>
          <t>BF-32-P08-SBA</t>
        </is>
      </c>
      <c r="B306" s="38" t="inlineStr">
        <is>
          <t>Fase 32</t>
        </is>
      </c>
      <c r="C306" s="38" t="inlineStr">
        <is>
          <t>São Bento da Abadá</t>
        </is>
      </c>
      <c r="D306" s="39" t="inlineStr">
        <is>
          <t>A_B_F_32_P8</t>
        </is>
      </c>
      <c r="E306" s="40" t="n"/>
      <c r="F306" s="39" t="inlineStr">
        <is>
          <t>B_B_F_32_P8</t>
        </is>
      </c>
      <c r="G306" s="40" t="n"/>
      <c r="H306" s="41" t="n"/>
      <c r="I306" s="42">
        <f>IF($H306="","",MAX(0,$H306-N($E306)))</f>
        <v/>
      </c>
      <c r="J306" s="42">
        <f>IF($H306="","",MAX(0,$H306-N($G306)))</f>
        <v/>
      </c>
    </row>
    <row r="307" ht="19.5" customHeight="1" s="72">
      <c r="A307" s="38" t="inlineStr">
        <is>
          <t>BF-32-P08-SIR</t>
        </is>
      </c>
      <c r="B307" s="38" t="inlineStr">
        <is>
          <t>Fase 32</t>
        </is>
      </c>
      <c r="C307" s="38" t="inlineStr">
        <is>
          <t>Siriuna</t>
        </is>
      </c>
      <c r="D307" s="39" t="inlineStr">
        <is>
          <t>A_B_F_32_P8</t>
        </is>
      </c>
      <c r="E307" s="40" t="n"/>
      <c r="F307" s="39" t="inlineStr">
        <is>
          <t>B_B_F_32_P8</t>
        </is>
      </c>
      <c r="G307" s="40" t="n"/>
      <c r="H307" s="41" t="n"/>
      <c r="I307" s="42">
        <f>IF($H307="","",MAX(0,$H307-N($E307)))</f>
        <v/>
      </c>
      <c r="J307" s="42">
        <f>IF($H307="","",MAX(0,$H307-N($G307)))</f>
        <v/>
      </c>
    </row>
    <row r="308" ht="19.5" customHeight="1" s="72">
      <c r="A308" s="38" t="inlineStr">
        <is>
          <t>BF-32-P09-BEN</t>
        </is>
      </c>
      <c r="B308" s="38" t="inlineStr">
        <is>
          <t>Fase 32</t>
        </is>
      </c>
      <c r="C308" s="38" t="inlineStr">
        <is>
          <t>Benguela</t>
        </is>
      </c>
      <c r="D308" s="39" t="inlineStr">
        <is>
          <t>A_B_F_32_P9</t>
        </is>
      </c>
      <c r="E308" s="40" t="n"/>
      <c r="F308" s="39" t="inlineStr">
        <is>
          <t>B_B_F_32_P9</t>
        </is>
      </c>
      <c r="G308" s="40" t="n"/>
      <c r="H308" s="41" t="n"/>
      <c r="I308" s="42">
        <f>IF($H308="","",MAX(0,$H308-N($E308)))</f>
        <v/>
      </c>
      <c r="J308" s="42">
        <f>IF($H308="","",MAX(0,$H308-N($G308)))</f>
        <v/>
      </c>
    </row>
    <row r="309" ht="19.5" customHeight="1" s="72">
      <c r="A309" s="38" t="inlineStr">
        <is>
          <t>BF-32-P09-SBA</t>
        </is>
      </c>
      <c r="B309" s="38" t="inlineStr">
        <is>
          <t>Fase 32</t>
        </is>
      </c>
      <c r="C309" s="38" t="inlineStr">
        <is>
          <t>São Bento da Abadá</t>
        </is>
      </c>
      <c r="D309" s="39" t="inlineStr">
        <is>
          <t>A_B_F_32_P9</t>
        </is>
      </c>
      <c r="E309" s="40" t="n"/>
      <c r="F309" s="39" t="inlineStr">
        <is>
          <t>B_B_F_32_P9</t>
        </is>
      </c>
      <c r="G309" s="40" t="n"/>
      <c r="H309" s="41" t="n"/>
      <c r="I309" s="42">
        <f>IF($H309="","",MAX(0,$H309-N($E309)))</f>
        <v/>
      </c>
      <c r="J309" s="42">
        <f>IF($H309="","",MAX(0,$H309-N($G309)))</f>
        <v/>
      </c>
    </row>
    <row r="310" ht="19.5" customHeight="1" s="72">
      <c r="A310" s="38" t="inlineStr">
        <is>
          <t>BF-32-P09-SIR</t>
        </is>
      </c>
      <c r="B310" s="38" t="inlineStr">
        <is>
          <t>Fase 32</t>
        </is>
      </c>
      <c r="C310" s="38" t="inlineStr">
        <is>
          <t>Siriuna</t>
        </is>
      </c>
      <c r="D310" s="39" t="inlineStr">
        <is>
          <t>A_B_F_32_P9</t>
        </is>
      </c>
      <c r="E310" s="40" t="n"/>
      <c r="F310" s="39" t="inlineStr">
        <is>
          <t>B_B_F_32_P9</t>
        </is>
      </c>
      <c r="G310" s="40" t="n"/>
      <c r="H310" s="41" t="n"/>
      <c r="I310" s="42">
        <f>IF($H310="","",MAX(0,$H310-N($E310)))</f>
        <v/>
      </c>
      <c r="J310" s="42">
        <f>IF($H310="","",MAX(0,$H310-N($G310)))</f>
        <v/>
      </c>
    </row>
    <row r="311" ht="19.5" customHeight="1" s="72">
      <c r="A311" s="38" t="inlineStr">
        <is>
          <t>BF-32-P10-BEN</t>
        </is>
      </c>
      <c r="B311" s="38" t="inlineStr">
        <is>
          <t>Fase 32</t>
        </is>
      </c>
      <c r="C311" s="38" t="inlineStr">
        <is>
          <t>Benguela</t>
        </is>
      </c>
      <c r="D311" s="39" t="inlineStr">
        <is>
          <t>A_B_F_32_P10</t>
        </is>
      </c>
      <c r="E311" s="40" t="n"/>
      <c r="F311" s="39" t="inlineStr">
        <is>
          <t>B_B_F_32_P10</t>
        </is>
      </c>
      <c r="G311" s="40" t="n"/>
      <c r="H311" s="41" t="n"/>
      <c r="I311" s="42">
        <f>IF($H311="","",MAX(0,$H311-N($E311)))</f>
        <v/>
      </c>
      <c r="J311" s="42">
        <f>IF($H311="","",MAX(0,$H311-N($G311)))</f>
        <v/>
      </c>
    </row>
    <row r="312" ht="19.5" customHeight="1" s="72">
      <c r="A312" s="38" t="inlineStr">
        <is>
          <t>BF-32-P10-SBA</t>
        </is>
      </c>
      <c r="B312" s="38" t="inlineStr">
        <is>
          <t>Fase 32</t>
        </is>
      </c>
      <c r="C312" s="38" t="inlineStr">
        <is>
          <t>São Bento da Abadá</t>
        </is>
      </c>
      <c r="D312" s="39" t="inlineStr">
        <is>
          <t>A_B_F_32_P10</t>
        </is>
      </c>
      <c r="E312" s="40" t="n"/>
      <c r="F312" s="39" t="inlineStr">
        <is>
          <t>B_B_F_32_P10</t>
        </is>
      </c>
      <c r="G312" s="40" t="n"/>
      <c r="H312" s="41" t="n"/>
      <c r="I312" s="42">
        <f>IF($H312="","",MAX(0,$H312-N($E312)))</f>
        <v/>
      </c>
      <c r="J312" s="42">
        <f>IF($H312="","",MAX(0,$H312-N($G312)))</f>
        <v/>
      </c>
    </row>
    <row r="313" ht="19.5" customHeight="1" s="72">
      <c r="A313" s="38" t="inlineStr">
        <is>
          <t>BF-32-P10-SIR</t>
        </is>
      </c>
      <c r="B313" s="38" t="inlineStr">
        <is>
          <t>Fase 32</t>
        </is>
      </c>
      <c r="C313" s="38" t="inlineStr">
        <is>
          <t>Siriuna</t>
        </is>
      </c>
      <c r="D313" s="39" t="inlineStr">
        <is>
          <t>A_B_F_32_P10</t>
        </is>
      </c>
      <c r="E313" s="40" t="n"/>
      <c r="F313" s="39" t="inlineStr">
        <is>
          <t>B_B_F_32_P10</t>
        </is>
      </c>
      <c r="G313" s="40" t="n"/>
      <c r="H313" s="41" t="n"/>
      <c r="I313" s="42">
        <f>IF($H313="","",MAX(0,$H313-N($E313)))</f>
        <v/>
      </c>
      <c r="J313" s="42">
        <f>IF($H313="","",MAX(0,$H313-N($G313)))</f>
        <v/>
      </c>
    </row>
    <row r="314" ht="19.5" customHeight="1" s="72">
      <c r="A314" s="38" t="inlineStr">
        <is>
          <t>BF-32-P11-BEN</t>
        </is>
      </c>
      <c r="B314" s="38" t="inlineStr">
        <is>
          <t>Fase 32</t>
        </is>
      </c>
      <c r="C314" s="38" t="inlineStr">
        <is>
          <t>Benguela</t>
        </is>
      </c>
      <c r="D314" s="39" t="inlineStr">
        <is>
          <t>A_B_F_32_P11</t>
        </is>
      </c>
      <c r="E314" s="40" t="n"/>
      <c r="F314" s="39" t="inlineStr">
        <is>
          <t>B_B_F_32_P11</t>
        </is>
      </c>
      <c r="G314" s="40" t="n"/>
      <c r="H314" s="41" t="n"/>
      <c r="I314" s="42">
        <f>IF($H314="","",MAX(0,$H314-N($E314)))</f>
        <v/>
      </c>
      <c r="J314" s="42">
        <f>IF($H314="","",MAX(0,$H314-N($G314)))</f>
        <v/>
      </c>
    </row>
    <row r="315" ht="19.5" customHeight="1" s="72">
      <c r="A315" s="38" t="inlineStr">
        <is>
          <t>BF-32-P11-SBA</t>
        </is>
      </c>
      <c r="B315" s="38" t="inlineStr">
        <is>
          <t>Fase 32</t>
        </is>
      </c>
      <c r="C315" s="38" t="inlineStr">
        <is>
          <t>São Bento da Abadá</t>
        </is>
      </c>
      <c r="D315" s="39" t="inlineStr">
        <is>
          <t>A_B_F_32_P11</t>
        </is>
      </c>
      <c r="E315" s="40" t="n"/>
      <c r="F315" s="39" t="inlineStr">
        <is>
          <t>B_B_F_32_P11</t>
        </is>
      </c>
      <c r="G315" s="40" t="n"/>
      <c r="H315" s="41" t="n"/>
      <c r="I315" s="42">
        <f>IF($H315="","",MAX(0,$H315-N($E315)))</f>
        <v/>
      </c>
      <c r="J315" s="42">
        <f>IF($H315="","",MAX(0,$H315-N($G315)))</f>
        <v/>
      </c>
    </row>
    <row r="316" ht="19.5" customHeight="1" s="72">
      <c r="A316" s="38" t="inlineStr">
        <is>
          <t>BF-32-P11-SIR</t>
        </is>
      </c>
      <c r="B316" s="38" t="inlineStr">
        <is>
          <t>Fase 32</t>
        </is>
      </c>
      <c r="C316" s="38" t="inlineStr">
        <is>
          <t>Siriuna</t>
        </is>
      </c>
      <c r="D316" s="39" t="inlineStr">
        <is>
          <t>A_B_F_32_P11</t>
        </is>
      </c>
      <c r="E316" s="40" t="n"/>
      <c r="F316" s="39" t="inlineStr">
        <is>
          <t>B_B_F_32_P11</t>
        </is>
      </c>
      <c r="G316" s="40" t="n"/>
      <c r="H316" s="41" t="n"/>
      <c r="I316" s="42">
        <f>IF($H316="","",MAX(0,$H316-N($E316)))</f>
        <v/>
      </c>
      <c r="J316" s="42">
        <f>IF($H316="","",MAX(0,$H316-N($G316)))</f>
        <v/>
      </c>
    </row>
    <row r="317" ht="19.5" customHeight="1" s="72">
      <c r="A317" s="38" t="inlineStr">
        <is>
          <t>BF-32-P12-BEN</t>
        </is>
      </c>
      <c r="B317" s="38" t="inlineStr">
        <is>
          <t>Fase 32</t>
        </is>
      </c>
      <c r="C317" s="38" t="inlineStr">
        <is>
          <t>Benguela</t>
        </is>
      </c>
      <c r="D317" s="39" t="inlineStr">
        <is>
          <t>A_B_F_32_P12</t>
        </is>
      </c>
      <c r="E317" s="40" t="n"/>
      <c r="F317" s="39" t="inlineStr">
        <is>
          <t>B_B_F_32_P12</t>
        </is>
      </c>
      <c r="G317" s="40" t="n"/>
      <c r="H317" s="41" t="n"/>
      <c r="I317" s="42">
        <f>IF($H317="","",MAX(0,$H317-N($E317)))</f>
        <v/>
      </c>
      <c r="J317" s="42">
        <f>IF($H317="","",MAX(0,$H317-N($G317)))</f>
        <v/>
      </c>
    </row>
    <row r="318" ht="19.5" customHeight="1" s="72">
      <c r="A318" s="38" t="inlineStr">
        <is>
          <t>BF-32-P12-SBA</t>
        </is>
      </c>
      <c r="B318" s="38" t="inlineStr">
        <is>
          <t>Fase 32</t>
        </is>
      </c>
      <c r="C318" s="38" t="inlineStr">
        <is>
          <t>São Bento da Abadá</t>
        </is>
      </c>
      <c r="D318" s="39" t="inlineStr">
        <is>
          <t>A_B_F_32_P12</t>
        </is>
      </c>
      <c r="E318" s="40" t="n"/>
      <c r="F318" s="39" t="inlineStr">
        <is>
          <t>B_B_F_32_P12</t>
        </is>
      </c>
      <c r="G318" s="40" t="n"/>
      <c r="H318" s="41" t="n"/>
      <c r="I318" s="42">
        <f>IF($H318="","",MAX(0,$H318-N($E318)))</f>
        <v/>
      </c>
      <c r="J318" s="42">
        <f>IF($H318="","",MAX(0,$H318-N($G318)))</f>
        <v/>
      </c>
    </row>
    <row r="319" ht="19.5" customHeight="1" s="72">
      <c r="A319" s="38" t="inlineStr">
        <is>
          <t>BF-32-P12-SIR</t>
        </is>
      </c>
      <c r="B319" s="38" t="inlineStr">
        <is>
          <t>Fase 32</t>
        </is>
      </c>
      <c r="C319" s="38" t="inlineStr">
        <is>
          <t>Siriuna</t>
        </is>
      </c>
      <c r="D319" s="39" t="inlineStr">
        <is>
          <t>A_B_F_32_P12</t>
        </is>
      </c>
      <c r="E319" s="40" t="n"/>
      <c r="F319" s="39" t="inlineStr">
        <is>
          <t>B_B_F_32_P12</t>
        </is>
      </c>
      <c r="G319" s="40" t="n"/>
      <c r="H319" s="41" t="n"/>
      <c r="I319" s="42">
        <f>IF($H319="","",MAX(0,$H319-N($E319)))</f>
        <v/>
      </c>
      <c r="J319" s="42">
        <f>IF($H319="","",MAX(0,$H319-N($G319)))</f>
        <v/>
      </c>
    </row>
    <row r="320" ht="19.5" customHeight="1" s="72">
      <c r="A320" s="38" t="inlineStr">
        <is>
          <t>BF-32-P13-BEN</t>
        </is>
      </c>
      <c r="B320" s="38" t="inlineStr">
        <is>
          <t>Fase 32</t>
        </is>
      </c>
      <c r="C320" s="38" t="inlineStr">
        <is>
          <t>Benguela</t>
        </is>
      </c>
      <c r="D320" s="39" t="inlineStr">
        <is>
          <t>A_B_F_32_P13</t>
        </is>
      </c>
      <c r="E320" s="40" t="n"/>
      <c r="F320" s="39" t="inlineStr">
        <is>
          <t>B_B_F_32_P13</t>
        </is>
      </c>
      <c r="G320" s="40" t="n"/>
      <c r="H320" s="41" t="n"/>
      <c r="I320" s="42">
        <f>IF($H320="","",MAX(0,$H320-N($E320)))</f>
        <v/>
      </c>
      <c r="J320" s="42">
        <f>IF($H320="","",MAX(0,$H320-N($G320)))</f>
        <v/>
      </c>
    </row>
    <row r="321" ht="19.5" customHeight="1" s="72">
      <c r="A321" s="38" t="inlineStr">
        <is>
          <t>BF-32-P13-SBA</t>
        </is>
      </c>
      <c r="B321" s="38" t="inlineStr">
        <is>
          <t>Fase 32</t>
        </is>
      </c>
      <c r="C321" s="38" t="inlineStr">
        <is>
          <t>São Bento da Abadá</t>
        </is>
      </c>
      <c r="D321" s="39" t="inlineStr">
        <is>
          <t>A_B_F_32_P13</t>
        </is>
      </c>
      <c r="E321" s="40" t="n"/>
      <c r="F321" s="39" t="inlineStr">
        <is>
          <t>B_B_F_32_P13</t>
        </is>
      </c>
      <c r="G321" s="40" t="n"/>
      <c r="H321" s="41" t="n"/>
      <c r="I321" s="42">
        <f>IF($H321="","",MAX(0,$H321-N($E321)))</f>
        <v/>
      </c>
      <c r="J321" s="42">
        <f>IF($H321="","",MAX(0,$H321-N($G321)))</f>
        <v/>
      </c>
    </row>
    <row r="322" ht="19.5" customHeight="1" s="72">
      <c r="A322" s="38" t="inlineStr">
        <is>
          <t>BF-32-P13-SIR</t>
        </is>
      </c>
      <c r="B322" s="38" t="inlineStr">
        <is>
          <t>Fase 32</t>
        </is>
      </c>
      <c r="C322" s="38" t="inlineStr">
        <is>
          <t>Siriuna</t>
        </is>
      </c>
      <c r="D322" s="39" t="inlineStr">
        <is>
          <t>A_B_F_32_P13</t>
        </is>
      </c>
      <c r="E322" s="40" t="n"/>
      <c r="F322" s="39" t="inlineStr">
        <is>
          <t>B_B_F_32_P13</t>
        </is>
      </c>
      <c r="G322" s="40" t="n"/>
      <c r="H322" s="41" t="n"/>
      <c r="I322" s="42">
        <f>IF($H322="","",MAX(0,$H322-N($E322)))</f>
        <v/>
      </c>
      <c r="J322" s="42">
        <f>IF($H322="","",MAX(0,$H322-N($G322)))</f>
        <v/>
      </c>
    </row>
    <row r="323" ht="19.5" customHeight="1" s="72">
      <c r="A323" s="38" t="inlineStr">
        <is>
          <t>BF-32-P14-BEN</t>
        </is>
      </c>
      <c r="B323" s="38" t="inlineStr">
        <is>
          <t>Fase 32</t>
        </is>
      </c>
      <c r="C323" s="38" t="inlineStr">
        <is>
          <t>Benguela</t>
        </is>
      </c>
      <c r="D323" s="39" t="inlineStr">
        <is>
          <t>A_B_F_32_P14</t>
        </is>
      </c>
      <c r="E323" s="40" t="n"/>
      <c r="F323" s="39" t="inlineStr">
        <is>
          <t>B_B_F_32_P14</t>
        </is>
      </c>
      <c r="G323" s="40" t="n"/>
      <c r="H323" s="41" t="n"/>
      <c r="I323" s="42">
        <f>IF($H323="","",MAX(0,$H323-N($E323)))</f>
        <v/>
      </c>
      <c r="J323" s="42">
        <f>IF($H323="","",MAX(0,$H323-N($G323)))</f>
        <v/>
      </c>
    </row>
    <row r="324" ht="19.5" customHeight="1" s="72">
      <c r="A324" s="38" t="inlineStr">
        <is>
          <t>BF-32-P14-SBA</t>
        </is>
      </c>
      <c r="B324" s="38" t="inlineStr">
        <is>
          <t>Fase 32</t>
        </is>
      </c>
      <c r="C324" s="38" t="inlineStr">
        <is>
          <t>São Bento da Abadá</t>
        </is>
      </c>
      <c r="D324" s="39" t="inlineStr">
        <is>
          <t>A_B_F_32_P14</t>
        </is>
      </c>
      <c r="E324" s="40" t="n"/>
      <c r="F324" s="39" t="inlineStr">
        <is>
          <t>B_B_F_32_P14</t>
        </is>
      </c>
      <c r="G324" s="40" t="n"/>
      <c r="H324" s="41" t="n"/>
      <c r="I324" s="42">
        <f>IF($H324="","",MAX(0,$H324-N($E324)))</f>
        <v/>
      </c>
      <c r="J324" s="42">
        <f>IF($H324="","",MAX(0,$H324-N($G324)))</f>
        <v/>
      </c>
    </row>
    <row r="325" ht="19.5" customHeight="1" s="72">
      <c r="A325" s="38" t="inlineStr">
        <is>
          <t>BF-32-P14-SIR</t>
        </is>
      </c>
      <c r="B325" s="38" t="inlineStr">
        <is>
          <t>Fase 32</t>
        </is>
      </c>
      <c r="C325" s="38" t="inlineStr">
        <is>
          <t>Siriuna</t>
        </is>
      </c>
      <c r="D325" s="39" t="inlineStr">
        <is>
          <t>A_B_F_32_P14</t>
        </is>
      </c>
      <c r="E325" s="40" t="n"/>
      <c r="F325" s="39" t="inlineStr">
        <is>
          <t>B_B_F_32_P14</t>
        </is>
      </c>
      <c r="G325" s="40" t="n"/>
      <c r="H325" s="41" t="n"/>
      <c r="I325" s="42">
        <f>IF($H325="","",MAX(0,$H325-N($E325)))</f>
        <v/>
      </c>
      <c r="J325" s="42">
        <f>IF($H325="","",MAX(0,$H325-N($G325)))</f>
        <v/>
      </c>
    </row>
    <row r="326" ht="19.5" customHeight="1" s="72">
      <c r="A326" s="38" t="inlineStr">
        <is>
          <t>BF-32-P15-BEN</t>
        </is>
      </c>
      <c r="B326" s="38" t="inlineStr">
        <is>
          <t>Fase 32</t>
        </is>
      </c>
      <c r="C326" s="38" t="inlineStr">
        <is>
          <t>Benguela</t>
        </is>
      </c>
      <c r="D326" s="39" t="inlineStr">
        <is>
          <t>A_B_F_32_P15</t>
        </is>
      </c>
      <c r="E326" s="40" t="n"/>
      <c r="F326" s="39" t="inlineStr">
        <is>
          <t>B_B_F_32_P15</t>
        </is>
      </c>
      <c r="G326" s="40" t="n"/>
      <c r="H326" s="41" t="n"/>
      <c r="I326" s="42">
        <f>IF($H326="","",MAX(0,$H326-N($E326)))</f>
        <v/>
      </c>
      <c r="J326" s="42">
        <f>IF($H326="","",MAX(0,$H326-N($G326)))</f>
        <v/>
      </c>
    </row>
    <row r="327" ht="19.5" customHeight="1" s="72">
      <c r="A327" s="38" t="inlineStr">
        <is>
          <t>BF-32-P15-SBA</t>
        </is>
      </c>
      <c r="B327" s="38" t="inlineStr">
        <is>
          <t>Fase 32</t>
        </is>
      </c>
      <c r="C327" s="38" t="inlineStr">
        <is>
          <t>São Bento da Abadá</t>
        </is>
      </c>
      <c r="D327" s="39" t="inlineStr">
        <is>
          <t>A_B_F_32_P15</t>
        </is>
      </c>
      <c r="E327" s="40" t="n"/>
      <c r="F327" s="39" t="inlineStr">
        <is>
          <t>B_B_F_32_P15</t>
        </is>
      </c>
      <c r="G327" s="40" t="n"/>
      <c r="H327" s="41" t="n"/>
      <c r="I327" s="42">
        <f>IF($H327="","",MAX(0,$H327-N($E327)))</f>
        <v/>
      </c>
      <c r="J327" s="42">
        <f>IF($H327="","",MAX(0,$H327-N($G327)))</f>
        <v/>
      </c>
    </row>
    <row r="328" ht="19.5" customHeight="1" s="72">
      <c r="A328" s="38" t="inlineStr">
        <is>
          <t>BF-32-P15-SIR</t>
        </is>
      </c>
      <c r="B328" s="38" t="inlineStr">
        <is>
          <t>Fase 32</t>
        </is>
      </c>
      <c r="C328" s="38" t="inlineStr">
        <is>
          <t>Siriuna</t>
        </is>
      </c>
      <c r="D328" s="39" t="inlineStr">
        <is>
          <t>A_B_F_32_P15</t>
        </is>
      </c>
      <c r="E328" s="40" t="n"/>
      <c r="F328" s="39" t="inlineStr">
        <is>
          <t>B_B_F_32_P15</t>
        </is>
      </c>
      <c r="G328" s="40" t="n"/>
      <c r="H328" s="41" t="n"/>
      <c r="I328" s="42">
        <f>IF($H328="","",MAX(0,$H328-N($E328)))</f>
        <v/>
      </c>
      <c r="J328" s="42">
        <f>IF($H328="","",MAX(0,$H328-N($G328)))</f>
        <v/>
      </c>
    </row>
    <row r="329" ht="19.5" customHeight="1" s="72">
      <c r="A329" s="38" t="inlineStr">
        <is>
          <t>BF-32-P16-BEN</t>
        </is>
      </c>
      <c r="B329" s="38" t="inlineStr">
        <is>
          <t>Fase 32</t>
        </is>
      </c>
      <c r="C329" s="38" t="inlineStr">
        <is>
          <t>Benguela</t>
        </is>
      </c>
      <c r="D329" s="39" t="inlineStr">
        <is>
          <t>A_B_F_32_P16</t>
        </is>
      </c>
      <c r="E329" s="40" t="n"/>
      <c r="F329" s="39" t="inlineStr">
        <is>
          <t>B_B_F_32_P16</t>
        </is>
      </c>
      <c r="G329" s="40" t="n"/>
      <c r="H329" s="41" t="n"/>
      <c r="I329" s="42">
        <f>IF($H329="","",MAX(0,$H329-N($E329)))</f>
        <v/>
      </c>
      <c r="J329" s="42">
        <f>IF($H329="","",MAX(0,$H329-N($G329)))</f>
        <v/>
      </c>
    </row>
    <row r="330" ht="19.5" customHeight="1" s="72">
      <c r="A330" s="38" t="inlineStr">
        <is>
          <t>BF-32-P16-SBA</t>
        </is>
      </c>
      <c r="B330" s="38" t="inlineStr">
        <is>
          <t>Fase 32</t>
        </is>
      </c>
      <c r="C330" s="38" t="inlineStr">
        <is>
          <t>São Bento da Abadá</t>
        </is>
      </c>
      <c r="D330" s="39" t="inlineStr">
        <is>
          <t>A_B_F_32_P16</t>
        </is>
      </c>
      <c r="E330" s="40" t="n"/>
      <c r="F330" s="39" t="inlineStr">
        <is>
          <t>B_B_F_32_P16</t>
        </is>
      </c>
      <c r="G330" s="40" t="n"/>
      <c r="H330" s="41" t="n"/>
      <c r="I330" s="42">
        <f>IF($H330="","",MAX(0,$H330-N($E330)))</f>
        <v/>
      </c>
      <c r="J330" s="42">
        <f>IF($H330="","",MAX(0,$H330-N($G330)))</f>
        <v/>
      </c>
    </row>
    <row r="331" ht="19.5" customHeight="1" s="72">
      <c r="A331" s="38" t="inlineStr">
        <is>
          <t>BF-32-P16-SIR</t>
        </is>
      </c>
      <c r="B331" s="38" t="inlineStr">
        <is>
          <t>Fase 32</t>
        </is>
      </c>
      <c r="C331" s="38" t="inlineStr">
        <is>
          <t>Siriuna</t>
        </is>
      </c>
      <c r="D331" s="39" t="inlineStr">
        <is>
          <t>A_B_F_32_P16</t>
        </is>
      </c>
      <c r="E331" s="40" t="n"/>
      <c r="F331" s="39" t="inlineStr">
        <is>
          <t>B_B_F_32_P16</t>
        </is>
      </c>
      <c r="G331" s="40" t="n"/>
      <c r="H331" s="41" t="n"/>
      <c r="I331" s="42">
        <f>IF($H331="","",MAX(0,$H331-N($E331)))</f>
        <v/>
      </c>
      <c r="J331" s="42">
        <f>IF($H331="","",MAX(0,$H331-N($G331)))</f>
        <v/>
      </c>
    </row>
    <row r="332" ht="19.5" customHeight="1" s="72">
      <c r="A332" s="38" t="inlineStr">
        <is>
          <t>BF-OCT-P01-BEN</t>
        </is>
      </c>
      <c r="B332" s="38" t="inlineStr">
        <is>
          <t>Octavas</t>
        </is>
      </c>
      <c r="C332" s="38" t="inlineStr">
        <is>
          <t>Benguela</t>
        </is>
      </c>
      <c r="D332" s="39">
        <f>IFERROR(CLASIF_B_F!$F$5,"")</f>
        <v/>
      </c>
      <c r="E332" s="40" t="n"/>
      <c r="F332" s="39">
        <f>IFERROR(CLASIF_B_F!$F$20,"")</f>
        <v/>
      </c>
      <c r="G332" s="40" t="n"/>
      <c r="H332" s="41" t="n"/>
      <c r="I332" s="42">
        <f>IF($H332="","",MAX(0,$H332-N($E332)))</f>
        <v/>
      </c>
      <c r="J332" s="42">
        <f>IF($H332="","",MAX(0,$H332-N($G332)))</f>
        <v/>
      </c>
    </row>
    <row r="333" ht="19.5" customHeight="1" s="72">
      <c r="A333" s="38" t="inlineStr">
        <is>
          <t>BF-OCT-P01-SBA</t>
        </is>
      </c>
      <c r="B333" s="38" t="inlineStr">
        <is>
          <t>Octavas</t>
        </is>
      </c>
      <c r="C333" s="38" t="inlineStr">
        <is>
          <t>São Bento da Abadá</t>
        </is>
      </c>
      <c r="D333" s="39">
        <f>IFERROR(CLASIF_B_F!$F$5,"")</f>
        <v/>
      </c>
      <c r="E333" s="40" t="n"/>
      <c r="F333" s="39">
        <f>IFERROR(CLASIF_B_F!$F$20,"")</f>
        <v/>
      </c>
      <c r="G333" s="40" t="n"/>
      <c r="H333" s="41" t="n"/>
      <c r="I333" s="42">
        <f>IF($H333="","",MAX(0,$H333-N($E333)))</f>
        <v/>
      </c>
      <c r="J333" s="42">
        <f>IF($H333="","",MAX(0,$H333-N($G333)))</f>
        <v/>
      </c>
    </row>
    <row r="334" ht="19.5" customHeight="1" s="72">
      <c r="A334" s="38" t="inlineStr">
        <is>
          <t>BF-OCT-P01-SIR</t>
        </is>
      </c>
      <c r="B334" s="38" t="inlineStr">
        <is>
          <t>Octavas</t>
        </is>
      </c>
      <c r="C334" s="38" t="inlineStr">
        <is>
          <t>Siriuna</t>
        </is>
      </c>
      <c r="D334" s="39">
        <f>IFERROR(CLASIF_B_F!$F$5,"")</f>
        <v/>
      </c>
      <c r="E334" s="40" t="n"/>
      <c r="F334" s="39">
        <f>IFERROR(CLASIF_B_F!$F$20,"")</f>
        <v/>
      </c>
      <c r="G334" s="40" t="n"/>
      <c r="H334" s="41" t="n"/>
      <c r="I334" s="42">
        <f>IF($H334="","",MAX(0,$H334-N($E334)))</f>
        <v/>
      </c>
      <c r="J334" s="42">
        <f>IF($H334="","",MAX(0,$H334-N($G334)))</f>
        <v/>
      </c>
    </row>
    <row r="335" ht="19.5" customHeight="1" s="72">
      <c r="A335" s="38" t="inlineStr">
        <is>
          <t>BF-OCT-P02-BEN</t>
        </is>
      </c>
      <c r="B335" s="38" t="inlineStr">
        <is>
          <t>Octavas</t>
        </is>
      </c>
      <c r="C335" s="38" t="inlineStr">
        <is>
          <t>Benguela</t>
        </is>
      </c>
      <c r="D335" s="39">
        <f>IFERROR(CLASIF_B_F!$F$6,"")</f>
        <v/>
      </c>
      <c r="E335" s="40" t="n"/>
      <c r="F335" s="39">
        <f>IFERROR(CLASIF_B_F!$F$19,"")</f>
        <v/>
      </c>
      <c r="G335" s="40" t="n"/>
      <c r="H335" s="41" t="n"/>
      <c r="I335" s="42">
        <f>IF($H335="","",MAX(0,$H335-N($E335)))</f>
        <v/>
      </c>
      <c r="J335" s="42">
        <f>IF($H335="","",MAX(0,$H335-N($G335)))</f>
        <v/>
      </c>
    </row>
    <row r="336" ht="19.5" customHeight="1" s="72">
      <c r="A336" s="38" t="inlineStr">
        <is>
          <t>BF-OCT-P02-SBA</t>
        </is>
      </c>
      <c r="B336" s="38" t="inlineStr">
        <is>
          <t>Octavas</t>
        </is>
      </c>
      <c r="C336" s="38" t="inlineStr">
        <is>
          <t>São Bento da Abadá</t>
        </is>
      </c>
      <c r="D336" s="39">
        <f>IFERROR(CLASIF_B_F!$F$6,"")</f>
        <v/>
      </c>
      <c r="E336" s="40" t="n"/>
      <c r="F336" s="39">
        <f>IFERROR(CLASIF_B_F!$F$19,"")</f>
        <v/>
      </c>
      <c r="G336" s="40" t="n"/>
      <c r="H336" s="41" t="n"/>
      <c r="I336" s="42">
        <f>IF($H336="","",MAX(0,$H336-N($E336)))</f>
        <v/>
      </c>
      <c r="J336" s="42">
        <f>IF($H336="","",MAX(0,$H336-N($G336)))</f>
        <v/>
      </c>
    </row>
    <row r="337" ht="19.5" customHeight="1" s="72">
      <c r="A337" s="38" t="inlineStr">
        <is>
          <t>BF-OCT-P02-SIR</t>
        </is>
      </c>
      <c r="B337" s="38" t="inlineStr">
        <is>
          <t>Octavas</t>
        </is>
      </c>
      <c r="C337" s="38" t="inlineStr">
        <is>
          <t>Siriuna</t>
        </is>
      </c>
      <c r="D337" s="39">
        <f>IFERROR(CLASIF_B_F!$F$6,"")</f>
        <v/>
      </c>
      <c r="E337" s="40" t="n"/>
      <c r="F337" s="39">
        <f>IFERROR(CLASIF_B_F!$F$19,"")</f>
        <v/>
      </c>
      <c r="G337" s="40" t="n"/>
      <c r="H337" s="41" t="n"/>
      <c r="I337" s="42">
        <f>IF($H337="","",MAX(0,$H337-N($E337)))</f>
        <v/>
      </c>
      <c r="J337" s="42">
        <f>IF($H337="","",MAX(0,$H337-N($G337)))</f>
        <v/>
      </c>
    </row>
    <row r="338" ht="19.5" customHeight="1" s="72">
      <c r="A338" s="38" t="inlineStr">
        <is>
          <t>BF-OCT-P03-BEN</t>
        </is>
      </c>
      <c r="B338" s="38" t="inlineStr">
        <is>
          <t>Octavas</t>
        </is>
      </c>
      <c r="C338" s="38" t="inlineStr">
        <is>
          <t>Benguela</t>
        </is>
      </c>
      <c r="D338" s="39">
        <f>IFERROR(CLASIF_B_F!$F$7,"")</f>
        <v/>
      </c>
      <c r="E338" s="40" t="n"/>
      <c r="F338" s="39">
        <f>IFERROR(CLASIF_B_F!$F$18,"")</f>
        <v/>
      </c>
      <c r="G338" s="40" t="n"/>
      <c r="H338" s="41" t="n"/>
      <c r="I338" s="42">
        <f>IF($H338="","",MAX(0,$H338-N($E338)))</f>
        <v/>
      </c>
      <c r="J338" s="42">
        <f>IF($H338="","",MAX(0,$H338-N($G338)))</f>
        <v/>
      </c>
    </row>
    <row r="339" ht="19.5" customHeight="1" s="72">
      <c r="A339" s="38" t="inlineStr">
        <is>
          <t>BF-OCT-P03-SBA</t>
        </is>
      </c>
      <c r="B339" s="38" t="inlineStr">
        <is>
          <t>Octavas</t>
        </is>
      </c>
      <c r="C339" s="38" t="inlineStr">
        <is>
          <t>São Bento da Abadá</t>
        </is>
      </c>
      <c r="D339" s="39">
        <f>IFERROR(CLASIF_B_F!$F$7,"")</f>
        <v/>
      </c>
      <c r="E339" s="40" t="n"/>
      <c r="F339" s="39">
        <f>IFERROR(CLASIF_B_F!$F$18,"")</f>
        <v/>
      </c>
      <c r="G339" s="40" t="n"/>
      <c r="H339" s="41" t="n"/>
      <c r="I339" s="42">
        <f>IF($H339="","",MAX(0,$H339-N($E339)))</f>
        <v/>
      </c>
      <c r="J339" s="42">
        <f>IF($H339="","",MAX(0,$H339-N($G339)))</f>
        <v/>
      </c>
    </row>
    <row r="340" ht="19.5" customHeight="1" s="72">
      <c r="A340" s="38" t="inlineStr">
        <is>
          <t>BF-OCT-P03-SIR</t>
        </is>
      </c>
      <c r="B340" s="38" t="inlineStr">
        <is>
          <t>Octavas</t>
        </is>
      </c>
      <c r="C340" s="38" t="inlineStr">
        <is>
          <t>Siriuna</t>
        </is>
      </c>
      <c r="D340" s="39">
        <f>IFERROR(CLASIF_B_F!$F$7,"")</f>
        <v/>
      </c>
      <c r="E340" s="40" t="n"/>
      <c r="F340" s="39">
        <f>IFERROR(CLASIF_B_F!$F$18,"")</f>
        <v/>
      </c>
      <c r="G340" s="40" t="n"/>
      <c r="H340" s="41" t="n"/>
      <c r="I340" s="42">
        <f>IF($H340="","",MAX(0,$H340-N($E340)))</f>
        <v/>
      </c>
      <c r="J340" s="42">
        <f>IF($H340="","",MAX(0,$H340-N($G340)))</f>
        <v/>
      </c>
    </row>
    <row r="341" ht="19.5" customHeight="1" s="72">
      <c r="A341" s="38" t="inlineStr">
        <is>
          <t>BF-OCT-P04-BEN</t>
        </is>
      </c>
      <c r="B341" s="38" t="inlineStr">
        <is>
          <t>Octavas</t>
        </is>
      </c>
      <c r="C341" s="38" t="inlineStr">
        <is>
          <t>Benguela</t>
        </is>
      </c>
      <c r="D341" s="39">
        <f>IFERROR(CLASIF_B_F!$F$8,"")</f>
        <v/>
      </c>
      <c r="E341" s="40" t="n"/>
      <c r="F341" s="39">
        <f>IFERROR(CLASIF_B_F!$F$17,"")</f>
        <v/>
      </c>
      <c r="G341" s="40" t="n"/>
      <c r="H341" s="41" t="n"/>
      <c r="I341" s="42">
        <f>IF($H341="","",MAX(0,$H341-N($E341)))</f>
        <v/>
      </c>
      <c r="J341" s="42">
        <f>IF($H341="","",MAX(0,$H341-N($G341)))</f>
        <v/>
      </c>
    </row>
    <row r="342" ht="19.5" customHeight="1" s="72">
      <c r="A342" s="38" t="inlineStr">
        <is>
          <t>BF-OCT-P04-SBA</t>
        </is>
      </c>
      <c r="B342" s="38" t="inlineStr">
        <is>
          <t>Octavas</t>
        </is>
      </c>
      <c r="C342" s="38" t="inlineStr">
        <is>
          <t>São Bento da Abadá</t>
        </is>
      </c>
      <c r="D342" s="39">
        <f>IFERROR(CLASIF_B_F!$F$8,"")</f>
        <v/>
      </c>
      <c r="E342" s="40" t="n"/>
      <c r="F342" s="39">
        <f>IFERROR(CLASIF_B_F!$F$17,"")</f>
        <v/>
      </c>
      <c r="G342" s="40" t="n"/>
      <c r="H342" s="41" t="n"/>
      <c r="I342" s="42">
        <f>IF($H342="","",MAX(0,$H342-N($E342)))</f>
        <v/>
      </c>
      <c r="J342" s="42">
        <f>IF($H342="","",MAX(0,$H342-N($G342)))</f>
        <v/>
      </c>
    </row>
    <row r="343" ht="19.5" customHeight="1" s="72">
      <c r="A343" s="38" t="inlineStr">
        <is>
          <t>BF-OCT-P04-SIR</t>
        </is>
      </c>
      <c r="B343" s="38" t="inlineStr">
        <is>
          <t>Octavas</t>
        </is>
      </c>
      <c r="C343" s="38" t="inlineStr">
        <is>
          <t>Siriuna</t>
        </is>
      </c>
      <c r="D343" s="39">
        <f>IFERROR(CLASIF_B_F!$F$8,"")</f>
        <v/>
      </c>
      <c r="E343" s="40" t="n"/>
      <c r="F343" s="39">
        <f>IFERROR(CLASIF_B_F!$F$17,"")</f>
        <v/>
      </c>
      <c r="G343" s="40" t="n"/>
      <c r="H343" s="41" t="n"/>
      <c r="I343" s="42">
        <f>IF($H343="","",MAX(0,$H343-N($E343)))</f>
        <v/>
      </c>
      <c r="J343" s="42">
        <f>IF($H343="","",MAX(0,$H343-N($G343)))</f>
        <v/>
      </c>
    </row>
    <row r="344" ht="19.5" customHeight="1" s="72">
      <c r="A344" s="38" t="inlineStr">
        <is>
          <t>BF-OCT-P05-BEN</t>
        </is>
      </c>
      <c r="B344" s="38" t="inlineStr">
        <is>
          <t>Octavas</t>
        </is>
      </c>
      <c r="C344" s="38" t="inlineStr">
        <is>
          <t>Benguela</t>
        </is>
      </c>
      <c r="D344" s="39">
        <f>IFERROR(CLASIF_B_F!$F$9,"")</f>
        <v/>
      </c>
      <c r="E344" s="40" t="n"/>
      <c r="F344" s="39">
        <f>IFERROR(CLASIF_B_F!$F$16,"")</f>
        <v/>
      </c>
      <c r="G344" s="40" t="n"/>
      <c r="H344" s="41" t="n"/>
      <c r="I344" s="42">
        <f>IF($H344="","",MAX(0,$H344-N($E344)))</f>
        <v/>
      </c>
      <c r="J344" s="42">
        <f>IF($H344="","",MAX(0,$H344-N($G344)))</f>
        <v/>
      </c>
    </row>
    <row r="345" ht="19.5" customHeight="1" s="72">
      <c r="A345" s="38" t="inlineStr">
        <is>
          <t>BF-OCT-P05-SBA</t>
        </is>
      </c>
      <c r="B345" s="38" t="inlineStr">
        <is>
          <t>Octavas</t>
        </is>
      </c>
      <c r="C345" s="38" t="inlineStr">
        <is>
          <t>São Bento da Abadá</t>
        </is>
      </c>
      <c r="D345" s="39">
        <f>IFERROR(CLASIF_B_F!$F$9,"")</f>
        <v/>
      </c>
      <c r="E345" s="40" t="n"/>
      <c r="F345" s="39">
        <f>IFERROR(CLASIF_B_F!$F$16,"")</f>
        <v/>
      </c>
      <c r="G345" s="40" t="n"/>
      <c r="H345" s="41" t="n"/>
      <c r="I345" s="42">
        <f>IF($H345="","",MAX(0,$H345-N($E345)))</f>
        <v/>
      </c>
      <c r="J345" s="42">
        <f>IF($H345="","",MAX(0,$H345-N($G345)))</f>
        <v/>
      </c>
    </row>
    <row r="346" ht="19.5" customHeight="1" s="72">
      <c r="A346" s="38" t="inlineStr">
        <is>
          <t>BF-OCT-P05-SIR</t>
        </is>
      </c>
      <c r="B346" s="38" t="inlineStr">
        <is>
          <t>Octavas</t>
        </is>
      </c>
      <c r="C346" s="38" t="inlineStr">
        <is>
          <t>Siriuna</t>
        </is>
      </c>
      <c r="D346" s="39">
        <f>IFERROR(CLASIF_B_F!$F$9,"")</f>
        <v/>
      </c>
      <c r="E346" s="40" t="n"/>
      <c r="F346" s="39">
        <f>IFERROR(CLASIF_B_F!$F$16,"")</f>
        <v/>
      </c>
      <c r="G346" s="40" t="n"/>
      <c r="H346" s="41" t="n"/>
      <c r="I346" s="42">
        <f>IF($H346="","",MAX(0,$H346-N($E346)))</f>
        <v/>
      </c>
      <c r="J346" s="42">
        <f>IF($H346="","",MAX(0,$H346-N($G346)))</f>
        <v/>
      </c>
    </row>
    <row r="347" ht="19.5" customHeight="1" s="72">
      <c r="A347" s="38" t="inlineStr">
        <is>
          <t>BF-OCT-P06-BEN</t>
        </is>
      </c>
      <c r="B347" s="38" t="inlineStr">
        <is>
          <t>Octavas</t>
        </is>
      </c>
      <c r="C347" s="38" t="inlineStr">
        <is>
          <t>Benguela</t>
        </is>
      </c>
      <c r="D347" s="39">
        <f>IFERROR(CLASIF_B_F!$F$10,"")</f>
        <v/>
      </c>
      <c r="E347" s="40" t="n"/>
      <c r="F347" s="39">
        <f>IFERROR(CLASIF_B_F!$F$15,"")</f>
        <v/>
      </c>
      <c r="G347" s="40" t="n"/>
      <c r="H347" s="41" t="n"/>
      <c r="I347" s="42">
        <f>IF($H347="","",MAX(0,$H347-N($E347)))</f>
        <v/>
      </c>
      <c r="J347" s="42">
        <f>IF($H347="","",MAX(0,$H347-N($G347)))</f>
        <v/>
      </c>
    </row>
    <row r="348" ht="19.5" customHeight="1" s="72">
      <c r="A348" s="38" t="inlineStr">
        <is>
          <t>BF-OCT-P06-SBA</t>
        </is>
      </c>
      <c r="B348" s="38" t="inlineStr">
        <is>
          <t>Octavas</t>
        </is>
      </c>
      <c r="C348" s="38" t="inlineStr">
        <is>
          <t>São Bento da Abadá</t>
        </is>
      </c>
      <c r="D348" s="39">
        <f>IFERROR(CLASIF_B_F!$F$10,"")</f>
        <v/>
      </c>
      <c r="E348" s="40" t="n"/>
      <c r="F348" s="39">
        <f>IFERROR(CLASIF_B_F!$F$15,"")</f>
        <v/>
      </c>
      <c r="G348" s="40" t="n"/>
      <c r="H348" s="41" t="n"/>
      <c r="I348" s="42">
        <f>IF($H348="","",MAX(0,$H348-N($E348)))</f>
        <v/>
      </c>
      <c r="J348" s="42">
        <f>IF($H348="","",MAX(0,$H348-N($G348)))</f>
        <v/>
      </c>
    </row>
    <row r="349" ht="19.5" customHeight="1" s="72">
      <c r="A349" s="38" t="inlineStr">
        <is>
          <t>BF-OCT-P06-SIR</t>
        </is>
      </c>
      <c r="B349" s="38" t="inlineStr">
        <is>
          <t>Octavas</t>
        </is>
      </c>
      <c r="C349" s="38" t="inlineStr">
        <is>
          <t>Siriuna</t>
        </is>
      </c>
      <c r="D349" s="39">
        <f>IFERROR(CLASIF_B_F!$F$10,"")</f>
        <v/>
      </c>
      <c r="E349" s="40" t="n"/>
      <c r="F349" s="39">
        <f>IFERROR(CLASIF_B_F!$F$15,"")</f>
        <v/>
      </c>
      <c r="G349" s="40" t="n"/>
      <c r="H349" s="41" t="n"/>
      <c r="I349" s="42">
        <f>IF($H349="","",MAX(0,$H349-N($E349)))</f>
        <v/>
      </c>
      <c r="J349" s="42">
        <f>IF($H349="","",MAX(0,$H349-N($G349)))</f>
        <v/>
      </c>
    </row>
    <row r="350" ht="19.5" customHeight="1" s="72">
      <c r="A350" s="38" t="inlineStr">
        <is>
          <t>BF-OCT-P07-BEN</t>
        </is>
      </c>
      <c r="B350" s="38" t="inlineStr">
        <is>
          <t>Octavas</t>
        </is>
      </c>
      <c r="C350" s="38" t="inlineStr">
        <is>
          <t>Benguela</t>
        </is>
      </c>
      <c r="D350" s="39">
        <f>IFERROR(CLASIF_B_F!$F$11,"")</f>
        <v/>
      </c>
      <c r="E350" s="40" t="n"/>
      <c r="F350" s="39">
        <f>IFERROR(CLASIF_B_F!$F$14,"")</f>
        <v/>
      </c>
      <c r="G350" s="40" t="n"/>
      <c r="H350" s="41" t="n"/>
      <c r="I350" s="42">
        <f>IF($H350="","",MAX(0,$H350-N($E350)))</f>
        <v/>
      </c>
      <c r="J350" s="42">
        <f>IF($H350="","",MAX(0,$H350-N($G350)))</f>
        <v/>
      </c>
    </row>
    <row r="351" ht="19.5" customHeight="1" s="72">
      <c r="A351" s="38" t="inlineStr">
        <is>
          <t>BF-OCT-P07-SBA</t>
        </is>
      </c>
      <c r="B351" s="38" t="inlineStr">
        <is>
          <t>Octavas</t>
        </is>
      </c>
      <c r="C351" s="38" t="inlineStr">
        <is>
          <t>São Bento da Abadá</t>
        </is>
      </c>
      <c r="D351" s="39">
        <f>IFERROR(CLASIF_B_F!$F$11,"")</f>
        <v/>
      </c>
      <c r="E351" s="40" t="n"/>
      <c r="F351" s="39">
        <f>IFERROR(CLASIF_B_F!$F$14,"")</f>
        <v/>
      </c>
      <c r="G351" s="40" t="n"/>
      <c r="H351" s="41" t="n"/>
      <c r="I351" s="42">
        <f>IF($H351="","",MAX(0,$H351-N($E351)))</f>
        <v/>
      </c>
      <c r="J351" s="42">
        <f>IF($H351="","",MAX(0,$H351-N($G351)))</f>
        <v/>
      </c>
    </row>
    <row r="352" ht="19.5" customHeight="1" s="72">
      <c r="A352" s="38" t="inlineStr">
        <is>
          <t>BF-OCT-P07-SIR</t>
        </is>
      </c>
      <c r="B352" s="38" t="inlineStr">
        <is>
          <t>Octavas</t>
        </is>
      </c>
      <c r="C352" s="38" t="inlineStr">
        <is>
          <t>Siriuna</t>
        </is>
      </c>
      <c r="D352" s="39">
        <f>IFERROR(CLASIF_B_F!$F$11,"")</f>
        <v/>
      </c>
      <c r="E352" s="40" t="n"/>
      <c r="F352" s="39">
        <f>IFERROR(CLASIF_B_F!$F$14,"")</f>
        <v/>
      </c>
      <c r="G352" s="40" t="n"/>
      <c r="H352" s="41" t="n"/>
      <c r="I352" s="42">
        <f>IF($H352="","",MAX(0,$H352-N($E352)))</f>
        <v/>
      </c>
      <c r="J352" s="42">
        <f>IF($H352="","",MAX(0,$H352-N($G352)))</f>
        <v/>
      </c>
    </row>
    <row r="353" ht="19.5" customHeight="1" s="72">
      <c r="A353" s="38" t="inlineStr">
        <is>
          <t>BF-OCT-P08-BEN</t>
        </is>
      </c>
      <c r="B353" s="38" t="inlineStr">
        <is>
          <t>Octavas</t>
        </is>
      </c>
      <c r="C353" s="38" t="inlineStr">
        <is>
          <t>Benguela</t>
        </is>
      </c>
      <c r="D353" s="39">
        <f>IFERROR(CLASIF_B_F!$F$12,"")</f>
        <v/>
      </c>
      <c r="E353" s="40" t="n"/>
      <c r="F353" s="39">
        <f>IFERROR(CLASIF_B_F!$F$13,"")</f>
        <v/>
      </c>
      <c r="G353" s="40" t="n"/>
      <c r="H353" s="41" t="n"/>
      <c r="I353" s="42">
        <f>IF($H353="","",MAX(0,$H353-N($E353)))</f>
        <v/>
      </c>
      <c r="J353" s="42">
        <f>IF($H353="","",MAX(0,$H353-N($G353)))</f>
        <v/>
      </c>
    </row>
    <row r="354" ht="19.5" customHeight="1" s="72">
      <c r="A354" s="38" t="inlineStr">
        <is>
          <t>BF-OCT-P08-SBA</t>
        </is>
      </c>
      <c r="B354" s="38" t="inlineStr">
        <is>
          <t>Octavas</t>
        </is>
      </c>
      <c r="C354" s="38" t="inlineStr">
        <is>
          <t>São Bento da Abadá</t>
        </is>
      </c>
      <c r="D354" s="39">
        <f>IFERROR(CLASIF_B_F!$F$12,"")</f>
        <v/>
      </c>
      <c r="E354" s="40" t="n"/>
      <c r="F354" s="39">
        <f>IFERROR(CLASIF_B_F!$F$13,"")</f>
        <v/>
      </c>
      <c r="G354" s="40" t="n"/>
      <c r="H354" s="41" t="n"/>
      <c r="I354" s="42">
        <f>IF($H354="","",MAX(0,$H354-N($E354)))</f>
        <v/>
      </c>
      <c r="J354" s="42">
        <f>IF($H354="","",MAX(0,$H354-N($G354)))</f>
        <v/>
      </c>
    </row>
    <row r="355" ht="19.5" customHeight="1" s="72">
      <c r="A355" s="38" t="inlineStr">
        <is>
          <t>BF-OCT-P08-SIR</t>
        </is>
      </c>
      <c r="B355" s="38" t="inlineStr">
        <is>
          <t>Octavas</t>
        </is>
      </c>
      <c r="C355" s="38" t="inlineStr">
        <is>
          <t>Siriuna</t>
        </is>
      </c>
      <c r="D355" s="39">
        <f>IFERROR(CLASIF_B_F!$F$12,"")</f>
        <v/>
      </c>
      <c r="E355" s="40" t="n"/>
      <c r="F355" s="39">
        <f>IFERROR(CLASIF_B_F!$F$13,"")</f>
        <v/>
      </c>
      <c r="G355" s="40" t="n"/>
      <c r="H355" s="41" t="n"/>
      <c r="I355" s="42">
        <f>IF($H355="","",MAX(0,$H355-N($E355)))</f>
        <v/>
      </c>
      <c r="J355" s="42">
        <f>IF($H355="","",MAX(0,$H355-N($G355)))</f>
        <v/>
      </c>
    </row>
    <row r="356" ht="19.5" customHeight="1" s="72">
      <c r="A356" s="38" t="inlineStr">
        <is>
          <t>BF-SEM-P01-BEN</t>
        </is>
      </c>
      <c r="B356" s="38" t="inlineStr">
        <is>
          <t>Semifinal</t>
        </is>
      </c>
      <c r="C356" s="38" t="inlineStr">
        <is>
          <t>Benguela</t>
        </is>
      </c>
      <c r="D356" s="39">
        <f>IFERROR(CLASIF_B_F!$O$5,"")</f>
        <v/>
      </c>
      <c r="E356" s="40" t="n"/>
      <c r="F356" s="39">
        <f>IFERROR(CLASIF_B_F!$O$12,"")</f>
        <v/>
      </c>
      <c r="G356" s="40" t="n"/>
      <c r="H356" s="41" t="n"/>
      <c r="I356" s="42">
        <f>IF($H356="","",MAX(0,$H356-N($E356)))</f>
        <v/>
      </c>
      <c r="J356" s="42">
        <f>IF($H356="","",MAX(0,$H356-N($G356)))</f>
        <v/>
      </c>
    </row>
    <row r="357" ht="19.5" customHeight="1" s="72">
      <c r="A357" s="38" t="inlineStr">
        <is>
          <t>BF-SEM-P01-SBA</t>
        </is>
      </c>
      <c r="B357" s="38" t="inlineStr">
        <is>
          <t>Semifinal</t>
        </is>
      </c>
      <c r="C357" s="38" t="inlineStr">
        <is>
          <t>São Bento da Abadá</t>
        </is>
      </c>
      <c r="D357" s="39">
        <f>IFERROR(CLASIF_B_F!$O$5,"")</f>
        <v/>
      </c>
      <c r="E357" s="40" t="n"/>
      <c r="F357" s="39">
        <f>IFERROR(CLASIF_B_F!$O$12,"")</f>
        <v/>
      </c>
      <c r="G357" s="40" t="n"/>
      <c r="H357" s="41" t="n"/>
      <c r="I357" s="42">
        <f>IF($H357="","",MAX(0,$H357-N($E357)))</f>
        <v/>
      </c>
      <c r="J357" s="42">
        <f>IF($H357="","",MAX(0,$H357-N($G357)))</f>
        <v/>
      </c>
    </row>
    <row r="358" ht="19.5" customHeight="1" s="72">
      <c r="A358" s="38" t="inlineStr">
        <is>
          <t>BF-SEM-P01-SIR</t>
        </is>
      </c>
      <c r="B358" s="38" t="inlineStr">
        <is>
          <t>Semifinal</t>
        </is>
      </c>
      <c r="C358" s="38" t="inlineStr">
        <is>
          <t>Siriuna</t>
        </is>
      </c>
      <c r="D358" s="39">
        <f>IFERROR(CLASIF_B_F!$O$5,"")</f>
        <v/>
      </c>
      <c r="E358" s="40" t="n"/>
      <c r="F358" s="39">
        <f>IFERROR(CLASIF_B_F!$O$12,"")</f>
        <v/>
      </c>
      <c r="G358" s="40" t="n"/>
      <c r="H358" s="41" t="n"/>
      <c r="I358" s="42">
        <f>IF($H358="","",MAX(0,$H358-N($E358)))</f>
        <v/>
      </c>
      <c r="J358" s="42">
        <f>IF($H358="","",MAX(0,$H358-N($G358)))</f>
        <v/>
      </c>
    </row>
    <row r="359" ht="19.5" customHeight="1" s="72">
      <c r="A359" s="38" t="inlineStr">
        <is>
          <t>BF-SEM-P02-BEN</t>
        </is>
      </c>
      <c r="B359" s="38" t="inlineStr">
        <is>
          <t>Semifinal</t>
        </is>
      </c>
      <c r="C359" s="38" t="inlineStr">
        <is>
          <t>Benguela</t>
        </is>
      </c>
      <c r="D359" s="39">
        <f>IFERROR(CLASIF_B_F!$O$6,"")</f>
        <v/>
      </c>
      <c r="E359" s="40" t="n"/>
      <c r="F359" s="39">
        <f>IFERROR(CLASIF_B_F!$O$11,"")</f>
        <v/>
      </c>
      <c r="G359" s="40" t="n"/>
      <c r="H359" s="41" t="n"/>
      <c r="I359" s="42">
        <f>IF($H359="","",MAX(0,$H359-N($E359)))</f>
        <v/>
      </c>
      <c r="J359" s="42">
        <f>IF($H359="","",MAX(0,$H359-N($G359)))</f>
        <v/>
      </c>
    </row>
    <row r="360" ht="19.5" customHeight="1" s="72">
      <c r="A360" s="38" t="inlineStr">
        <is>
          <t>BF-SEM-P02-SBA</t>
        </is>
      </c>
      <c r="B360" s="38" t="inlineStr">
        <is>
          <t>Semifinal</t>
        </is>
      </c>
      <c r="C360" s="38" t="inlineStr">
        <is>
          <t>São Bento da Abadá</t>
        </is>
      </c>
      <c r="D360" s="39">
        <f>IFERROR(CLASIF_B_F!$O$6,"")</f>
        <v/>
      </c>
      <c r="E360" s="40" t="n"/>
      <c r="F360" s="39">
        <f>IFERROR(CLASIF_B_F!$O$11,"")</f>
        <v/>
      </c>
      <c r="G360" s="40" t="n"/>
      <c r="H360" s="41" t="n"/>
      <c r="I360" s="42">
        <f>IF($H360="","",MAX(0,$H360-N($E360)))</f>
        <v/>
      </c>
      <c r="J360" s="42">
        <f>IF($H360="","",MAX(0,$H360-N($G360)))</f>
        <v/>
      </c>
    </row>
    <row r="361" ht="19.5" customHeight="1" s="72">
      <c r="A361" s="38" t="inlineStr">
        <is>
          <t>BF-SEM-P02-SIR</t>
        </is>
      </c>
      <c r="B361" s="38" t="inlineStr">
        <is>
          <t>Semifinal</t>
        </is>
      </c>
      <c r="C361" s="38" t="inlineStr">
        <is>
          <t>Siriuna</t>
        </is>
      </c>
      <c r="D361" s="39">
        <f>IFERROR(CLASIF_B_F!$O$6,"")</f>
        <v/>
      </c>
      <c r="E361" s="40" t="n"/>
      <c r="F361" s="39">
        <f>IFERROR(CLASIF_B_F!$O$11,"")</f>
        <v/>
      </c>
      <c r="G361" s="40" t="n"/>
      <c r="H361" s="41" t="n"/>
      <c r="I361" s="42">
        <f>IF($H361="","",MAX(0,$H361-N($E361)))</f>
        <v/>
      </c>
      <c r="J361" s="42">
        <f>IF($H361="","",MAX(0,$H361-N($G361)))</f>
        <v/>
      </c>
    </row>
    <row r="362" ht="19.5" customHeight="1" s="72">
      <c r="A362" s="38" t="inlineStr">
        <is>
          <t>BF-SEM-P03-BEN</t>
        </is>
      </c>
      <c r="B362" s="38" t="inlineStr">
        <is>
          <t>Semifinal</t>
        </is>
      </c>
      <c r="C362" s="38" t="inlineStr">
        <is>
          <t>Benguela</t>
        </is>
      </c>
      <c r="D362" s="39">
        <f>IFERROR(CLASIF_B_F!$O$7,"")</f>
        <v/>
      </c>
      <c r="E362" s="40" t="n"/>
      <c r="F362" s="39">
        <f>IFERROR(CLASIF_B_F!$O$10,"")</f>
        <v/>
      </c>
      <c r="G362" s="40" t="n"/>
      <c r="H362" s="41" t="n"/>
      <c r="I362" s="42">
        <f>IF($H362="","",MAX(0,$H362-N($E362)))</f>
        <v/>
      </c>
      <c r="J362" s="42">
        <f>IF($H362="","",MAX(0,$H362-N($G362)))</f>
        <v/>
      </c>
    </row>
    <row r="363" ht="19.5" customHeight="1" s="72">
      <c r="A363" s="38" t="inlineStr">
        <is>
          <t>BF-SEM-P03-SBA</t>
        </is>
      </c>
      <c r="B363" s="38" t="inlineStr">
        <is>
          <t>Semifinal</t>
        </is>
      </c>
      <c r="C363" s="38" t="inlineStr">
        <is>
          <t>São Bento da Abadá</t>
        </is>
      </c>
      <c r="D363" s="39">
        <f>IFERROR(CLASIF_B_F!$O$7,"")</f>
        <v/>
      </c>
      <c r="E363" s="40" t="n"/>
      <c r="F363" s="39">
        <f>IFERROR(CLASIF_B_F!$O$10,"")</f>
        <v/>
      </c>
      <c r="G363" s="40" t="n"/>
      <c r="H363" s="41" t="n"/>
      <c r="I363" s="42">
        <f>IF($H363="","",MAX(0,$H363-N($E363)))</f>
        <v/>
      </c>
      <c r="J363" s="42">
        <f>IF($H363="","",MAX(0,$H363-N($G363)))</f>
        <v/>
      </c>
    </row>
    <row r="364" ht="19.5" customHeight="1" s="72">
      <c r="A364" s="38" t="inlineStr">
        <is>
          <t>BF-SEM-P03-SIR</t>
        </is>
      </c>
      <c r="B364" s="38" t="inlineStr">
        <is>
          <t>Semifinal</t>
        </is>
      </c>
      <c r="C364" s="38" t="inlineStr">
        <is>
          <t>Siriuna</t>
        </is>
      </c>
      <c r="D364" s="39">
        <f>IFERROR(CLASIF_B_F!$O$7,"")</f>
        <v/>
      </c>
      <c r="E364" s="40" t="n"/>
      <c r="F364" s="39">
        <f>IFERROR(CLASIF_B_F!$O$10,"")</f>
        <v/>
      </c>
      <c r="G364" s="40" t="n"/>
      <c r="H364" s="41" t="n"/>
      <c r="I364" s="42">
        <f>IF($H364="","",MAX(0,$H364-N($E364)))</f>
        <v/>
      </c>
      <c r="J364" s="42">
        <f>IF($H364="","",MAX(0,$H364-N($G364)))</f>
        <v/>
      </c>
    </row>
    <row r="365" ht="19.5" customHeight="1" s="72">
      <c r="A365" s="38" t="inlineStr">
        <is>
          <t>BF-SEM-P04-BEN</t>
        </is>
      </c>
      <c r="B365" s="38" t="inlineStr">
        <is>
          <t>Semifinal</t>
        </is>
      </c>
      <c r="C365" s="38" t="inlineStr">
        <is>
          <t>Benguela</t>
        </is>
      </c>
      <c r="D365" s="39">
        <f>IFERROR(CLASIF_B_F!$O$8,"")</f>
        <v/>
      </c>
      <c r="E365" s="40" t="n"/>
      <c r="F365" s="39">
        <f>IFERROR(CLASIF_B_F!$O$9,"")</f>
        <v/>
      </c>
      <c r="G365" s="40" t="n"/>
      <c r="H365" s="41" t="n"/>
      <c r="I365" s="42">
        <f>IF($H365="","",MAX(0,$H365-N($E365)))</f>
        <v/>
      </c>
      <c r="J365" s="42">
        <f>IF($H365="","",MAX(0,$H365-N($G365)))</f>
        <v/>
      </c>
    </row>
    <row r="366" ht="19.5" customHeight="1" s="72">
      <c r="A366" s="38" t="inlineStr">
        <is>
          <t>BF-SEM-P04-SBA</t>
        </is>
      </c>
      <c r="B366" s="38" t="inlineStr">
        <is>
          <t>Semifinal</t>
        </is>
      </c>
      <c r="C366" s="38" t="inlineStr">
        <is>
          <t>São Bento da Abadá</t>
        </is>
      </c>
      <c r="D366" s="39">
        <f>IFERROR(CLASIF_B_F!$O$8,"")</f>
        <v/>
      </c>
      <c r="E366" s="40" t="n"/>
      <c r="F366" s="39">
        <f>IFERROR(CLASIF_B_F!$O$9,"")</f>
        <v/>
      </c>
      <c r="G366" s="40" t="n"/>
      <c r="H366" s="41" t="n"/>
      <c r="I366" s="42">
        <f>IF($H366="","",MAX(0,$H366-N($E366)))</f>
        <v/>
      </c>
      <c r="J366" s="42">
        <f>IF($H366="","",MAX(0,$H366-N($G366)))</f>
        <v/>
      </c>
    </row>
    <row r="367" ht="19.5" customHeight="1" s="72">
      <c r="A367" s="38" t="inlineStr">
        <is>
          <t>BF-SEM-P04-SIR</t>
        </is>
      </c>
      <c r="B367" s="38" t="inlineStr">
        <is>
          <t>Semifinal</t>
        </is>
      </c>
      <c r="C367" s="38" t="inlineStr">
        <is>
          <t>Siriuna</t>
        </is>
      </c>
      <c r="D367" s="39">
        <f>IFERROR(CLASIF_B_F!$O$8,"")</f>
        <v/>
      </c>
      <c r="E367" s="40" t="n"/>
      <c r="F367" s="39">
        <f>IFERROR(CLASIF_B_F!$O$9,"")</f>
        <v/>
      </c>
      <c r="G367" s="40" t="n"/>
      <c r="H367" s="41" t="n"/>
      <c r="I367" s="42">
        <f>IF($H367="","",MAX(0,$H367-N($E367)))</f>
        <v/>
      </c>
      <c r="J367" s="42">
        <f>IF($H367="","",MAX(0,$H367-N($G367)))</f>
        <v/>
      </c>
    </row>
    <row r="368" ht="19.5" customHeight="1" s="72">
      <c r="A368" s="38" t="inlineStr">
        <is>
          <t>BF-FIN-P01-BEN</t>
        </is>
      </c>
      <c r="B368" s="38" t="inlineStr">
        <is>
          <t>Final</t>
        </is>
      </c>
      <c r="C368" s="38" t="inlineStr">
        <is>
          <t>Benguela</t>
        </is>
      </c>
      <c r="D368" s="39">
        <f>IFERROR(CLASIF_B_F!$X$5,"")</f>
        <v/>
      </c>
      <c r="E368" s="40" t="n"/>
      <c r="F368" s="39">
        <f>IFERROR(CLASIF_B_F!$X$8,"")</f>
        <v/>
      </c>
      <c r="G368" s="40" t="n"/>
      <c r="H368" s="41" t="n"/>
      <c r="I368" s="42">
        <f>IF($H368="","",MAX(0,$H368-N($E368)))</f>
        <v/>
      </c>
      <c r="J368" s="42">
        <f>IF($H368="","",MAX(0,$H368-N($G368)))</f>
        <v/>
      </c>
    </row>
    <row r="369" ht="19.5" customHeight="1" s="72">
      <c r="A369" s="38" t="inlineStr">
        <is>
          <t>BF-FIN-P01-SBA</t>
        </is>
      </c>
      <c r="B369" s="38" t="inlineStr">
        <is>
          <t>Final</t>
        </is>
      </c>
      <c r="C369" s="38" t="inlineStr">
        <is>
          <t>São Bento da Abadá</t>
        </is>
      </c>
      <c r="D369" s="39">
        <f>IFERROR(CLASIF_B_F!$X$5,"")</f>
        <v/>
      </c>
      <c r="E369" s="40" t="n"/>
      <c r="F369" s="39">
        <f>IFERROR(CLASIF_B_F!$X$8,"")</f>
        <v/>
      </c>
      <c r="G369" s="40" t="n"/>
      <c r="H369" s="41" t="n"/>
      <c r="I369" s="42">
        <f>IF($H369="","",MAX(0,$H369-N($E369)))</f>
        <v/>
      </c>
      <c r="J369" s="42">
        <f>IF($H369="","",MAX(0,$H369-N($G369)))</f>
        <v/>
      </c>
    </row>
    <row r="370" ht="19.5" customHeight="1" s="72">
      <c r="A370" s="38" t="inlineStr">
        <is>
          <t>BF-FIN-P01-SIR</t>
        </is>
      </c>
      <c r="B370" s="38" t="inlineStr">
        <is>
          <t>Final</t>
        </is>
      </c>
      <c r="C370" s="38" t="inlineStr">
        <is>
          <t>Siriuna</t>
        </is>
      </c>
      <c r="D370" s="39">
        <f>IFERROR(CLASIF_B_F!$X$5,"")</f>
        <v/>
      </c>
      <c r="E370" s="40" t="n"/>
      <c r="F370" s="39">
        <f>IFERROR(CLASIF_B_F!$X$8,"")</f>
        <v/>
      </c>
      <c r="G370" s="40" t="n"/>
      <c r="H370" s="41" t="n"/>
      <c r="I370" s="42">
        <f>IF($H370="","",MAX(0,$H370-N($E370)))</f>
        <v/>
      </c>
      <c r="J370" s="42">
        <f>IF($H370="","",MAX(0,$H370-N($G370)))</f>
        <v/>
      </c>
    </row>
    <row r="371" ht="19.5" customHeight="1" s="72">
      <c r="A371" s="38" t="inlineStr">
        <is>
          <t>BF-FIN-P02-BEN</t>
        </is>
      </c>
      <c r="B371" s="38" t="inlineStr">
        <is>
          <t>Final</t>
        </is>
      </c>
      <c r="C371" s="38" t="inlineStr">
        <is>
          <t>Benguela</t>
        </is>
      </c>
      <c r="D371" s="39">
        <f>IFERROR(CLASIF_B_F!$X$6,"")</f>
        <v/>
      </c>
      <c r="E371" s="40" t="n"/>
      <c r="F371" s="39">
        <f>IFERROR(CLASIF_B_F!$X$7,"")</f>
        <v/>
      </c>
      <c r="G371" s="40" t="n"/>
      <c r="H371" s="41" t="n"/>
      <c r="I371" s="42">
        <f>IF($H371="","",MAX(0,$H371-N($E371)))</f>
        <v/>
      </c>
      <c r="J371" s="42">
        <f>IF($H371="","",MAX(0,$H371-N($G371)))</f>
        <v/>
      </c>
    </row>
    <row r="372" ht="19.5" customHeight="1" s="72">
      <c r="A372" s="38" t="inlineStr">
        <is>
          <t>BF-FIN-P02-SBA</t>
        </is>
      </c>
      <c r="B372" s="38" t="inlineStr">
        <is>
          <t>Final</t>
        </is>
      </c>
      <c r="C372" s="38" t="inlineStr">
        <is>
          <t>São Bento da Abadá</t>
        </is>
      </c>
      <c r="D372" s="39">
        <f>IFERROR(CLASIF_B_F!$X$6,"")</f>
        <v/>
      </c>
      <c r="E372" s="40" t="n"/>
      <c r="F372" s="39">
        <f>IFERROR(CLASIF_B_F!$X$7,"")</f>
        <v/>
      </c>
      <c r="G372" s="40" t="n"/>
      <c r="H372" s="41" t="n"/>
      <c r="I372" s="42">
        <f>IF($H372="","",MAX(0,$H372-N($E372)))</f>
        <v/>
      </c>
      <c r="J372" s="42">
        <f>IF($H372="","",MAX(0,$H372-N($G372)))</f>
        <v/>
      </c>
    </row>
    <row r="373" ht="19.5" customHeight="1" s="72">
      <c r="A373" s="38" t="inlineStr">
        <is>
          <t>BF-FIN-P02-SIR</t>
        </is>
      </c>
      <c r="B373" s="38" t="inlineStr">
        <is>
          <t>Final</t>
        </is>
      </c>
      <c r="C373" s="38" t="inlineStr">
        <is>
          <t>Siriuna</t>
        </is>
      </c>
      <c r="D373" s="39">
        <f>IFERROR(CLASIF_B_F!$X$6,"")</f>
        <v/>
      </c>
      <c r="E373" s="40" t="n"/>
      <c r="F373" s="39">
        <f>IFERROR(CLASIF_B_F!$X$7,"")</f>
        <v/>
      </c>
      <c r="G373" s="40" t="n"/>
      <c r="H373" s="41" t="n"/>
      <c r="I373" s="42">
        <f>IF($H373="","",MAX(0,$H373-N($E373)))</f>
        <v/>
      </c>
      <c r="J373" s="42">
        <f>IF($H373="","",MAX(0,$H373-N($G373)))</f>
        <v/>
      </c>
    </row>
    <row r="374" ht="19.5" customHeight="1" s="72">
      <c r="A374" s="43" t="n"/>
      <c r="B374" s="43" t="n"/>
      <c r="C374" s="43" t="n"/>
      <c r="D374" s="43" t="n"/>
      <c r="E374" s="43" t="n"/>
      <c r="F374" s="43" t="n"/>
      <c r="G374" s="43" t="n"/>
      <c r="H374" s="44" t="n"/>
      <c r="I374" s="43">
        <f>IF($H374="","",MAX(0,$H374-N($E374)))</f>
        <v/>
      </c>
      <c r="J374" s="43">
        <f>IF($H374="","",MAX(0,$H374-N($G374)))</f>
        <v/>
      </c>
    </row>
    <row r="375" ht="19.5" customHeight="1" s="72">
      <c r="A375" s="82" t="inlineStr">
        <is>
          <t>═══ CATEGORÍA C · Masculino · Verde (Graduados) · Toques: Benguela, São Bento da Abadá, Siriuna ═══</t>
        </is>
      </c>
    </row>
    <row r="376" ht="19.5" customHeight="1" s="72">
      <c r="A376" s="8" t="inlineStr">
        <is>
          <t>Jogo</t>
        </is>
      </c>
      <c r="B376" s="8" t="inlineStr">
        <is>
          <t>Fase</t>
        </is>
      </c>
      <c r="C376" s="8" t="inlineStr">
        <is>
          <t>Toque</t>
        </is>
      </c>
      <c r="D376" s="8" t="inlineStr">
        <is>
          <t>Jugador A</t>
        </is>
      </c>
      <c r="E376" s="8" t="inlineStr">
        <is>
          <t>Quita A</t>
        </is>
      </c>
      <c r="F376" s="8" t="inlineStr">
        <is>
          <t>Jugador B</t>
        </is>
      </c>
      <c r="G376" s="8" t="inlineStr">
        <is>
          <t>Quita B</t>
        </is>
      </c>
      <c r="H376" s="8" t="inlineStr">
        <is>
          <t>NOTA (0-5)</t>
        </is>
      </c>
      <c r="I376" s="8">
        <f>IF($H376="","",MAX(0,$H376-N($E376)))</f>
        <v/>
      </c>
      <c r="J376" s="8">
        <f>IF($H376="","",MAX(0,$H376-N($G376)))</f>
        <v/>
      </c>
    </row>
    <row r="377" ht="19.5" customHeight="1" s="72">
      <c r="A377" s="38" t="inlineStr">
        <is>
          <t>CM-32-P01-BEN</t>
        </is>
      </c>
      <c r="B377" s="38" t="inlineStr">
        <is>
          <t>Fase 32</t>
        </is>
      </c>
      <c r="C377" s="38" t="inlineStr">
        <is>
          <t>Benguela</t>
        </is>
      </c>
      <c r="D377" s="39" t="inlineStr">
        <is>
          <t>A_C_M_32_P1</t>
        </is>
      </c>
      <c r="E377" s="40" t="n"/>
      <c r="F377" s="39" t="inlineStr">
        <is>
          <t>B_C_M_32_P1</t>
        </is>
      </c>
      <c r="G377" s="40" t="n"/>
      <c r="H377" s="41" t="n"/>
      <c r="I377" s="42">
        <f>IF($H377="","",MAX(0,$H377-N($E377)))</f>
        <v/>
      </c>
      <c r="J377" s="42">
        <f>IF($H377="","",MAX(0,$H377-N($G377)))</f>
        <v/>
      </c>
    </row>
    <row r="378" ht="19.5" customHeight="1" s="72">
      <c r="A378" s="38" t="inlineStr">
        <is>
          <t>CM-32-P01-SBA</t>
        </is>
      </c>
      <c r="B378" s="38" t="inlineStr">
        <is>
          <t>Fase 32</t>
        </is>
      </c>
      <c r="C378" s="38" t="inlineStr">
        <is>
          <t>São Bento da Abadá</t>
        </is>
      </c>
      <c r="D378" s="39" t="inlineStr">
        <is>
          <t>A_C_M_32_P1</t>
        </is>
      </c>
      <c r="E378" s="40" t="n"/>
      <c r="F378" s="39" t="inlineStr">
        <is>
          <t>B_C_M_32_P1</t>
        </is>
      </c>
      <c r="G378" s="40" t="n"/>
      <c r="H378" s="41" t="n"/>
      <c r="I378" s="42">
        <f>IF($H378="","",MAX(0,$H378-N($E378)))</f>
        <v/>
      </c>
      <c r="J378" s="42">
        <f>IF($H378="","",MAX(0,$H378-N($G378)))</f>
        <v/>
      </c>
    </row>
    <row r="379" ht="19.5" customHeight="1" s="72">
      <c r="A379" s="38" t="inlineStr">
        <is>
          <t>CM-32-P01-SIR</t>
        </is>
      </c>
      <c r="B379" s="38" t="inlineStr">
        <is>
          <t>Fase 32</t>
        </is>
      </c>
      <c r="C379" s="38" t="inlineStr">
        <is>
          <t>Siriuna</t>
        </is>
      </c>
      <c r="D379" s="39" t="inlineStr">
        <is>
          <t>A_C_M_32_P1</t>
        </is>
      </c>
      <c r="E379" s="40" t="n"/>
      <c r="F379" s="39" t="inlineStr">
        <is>
          <t>B_C_M_32_P1</t>
        </is>
      </c>
      <c r="G379" s="40" t="n"/>
      <c r="H379" s="41" t="n"/>
      <c r="I379" s="42">
        <f>IF($H379="","",MAX(0,$H379-N($E379)))</f>
        <v/>
      </c>
      <c r="J379" s="42">
        <f>IF($H379="","",MAX(0,$H379-N($G379)))</f>
        <v/>
      </c>
    </row>
    <row r="380" ht="19.5" customHeight="1" s="72">
      <c r="A380" s="38" t="inlineStr">
        <is>
          <t>CM-32-P02-BEN</t>
        </is>
      </c>
      <c r="B380" s="38" t="inlineStr">
        <is>
          <t>Fase 32</t>
        </is>
      </c>
      <c r="C380" s="38" t="inlineStr">
        <is>
          <t>Benguela</t>
        </is>
      </c>
      <c r="D380" s="39" t="inlineStr">
        <is>
          <t>A_C_M_32_P2</t>
        </is>
      </c>
      <c r="E380" s="40" t="n"/>
      <c r="F380" s="39" t="inlineStr">
        <is>
          <t>B_C_M_32_P2</t>
        </is>
      </c>
      <c r="G380" s="40" t="n"/>
      <c r="H380" s="41" t="n"/>
      <c r="I380" s="42">
        <f>IF($H380="","",MAX(0,$H380-N($E380)))</f>
        <v/>
      </c>
      <c r="J380" s="42">
        <f>IF($H380="","",MAX(0,$H380-N($G380)))</f>
        <v/>
      </c>
    </row>
    <row r="381" ht="19.5" customHeight="1" s="72">
      <c r="A381" s="38" t="inlineStr">
        <is>
          <t>CM-32-P02-SBA</t>
        </is>
      </c>
      <c r="B381" s="38" t="inlineStr">
        <is>
          <t>Fase 32</t>
        </is>
      </c>
      <c r="C381" s="38" t="inlineStr">
        <is>
          <t>São Bento da Abadá</t>
        </is>
      </c>
      <c r="D381" s="39" t="inlineStr">
        <is>
          <t>A_C_M_32_P2</t>
        </is>
      </c>
      <c r="E381" s="40" t="n"/>
      <c r="F381" s="39" t="inlineStr">
        <is>
          <t>B_C_M_32_P2</t>
        </is>
      </c>
      <c r="G381" s="40" t="n"/>
      <c r="H381" s="41" t="n"/>
      <c r="I381" s="42">
        <f>IF($H381="","",MAX(0,$H381-N($E381)))</f>
        <v/>
      </c>
      <c r="J381" s="42">
        <f>IF($H381="","",MAX(0,$H381-N($G381)))</f>
        <v/>
      </c>
    </row>
    <row r="382" ht="19.5" customHeight="1" s="72">
      <c r="A382" s="38" t="inlineStr">
        <is>
          <t>CM-32-P02-SIR</t>
        </is>
      </c>
      <c r="B382" s="38" t="inlineStr">
        <is>
          <t>Fase 32</t>
        </is>
      </c>
      <c r="C382" s="38" t="inlineStr">
        <is>
          <t>Siriuna</t>
        </is>
      </c>
      <c r="D382" s="39" t="inlineStr">
        <is>
          <t>A_C_M_32_P2</t>
        </is>
      </c>
      <c r="E382" s="40" t="n"/>
      <c r="F382" s="39" t="inlineStr">
        <is>
          <t>B_C_M_32_P2</t>
        </is>
      </c>
      <c r="G382" s="40" t="n"/>
      <c r="H382" s="41" t="n"/>
      <c r="I382" s="42">
        <f>IF($H382="","",MAX(0,$H382-N($E382)))</f>
        <v/>
      </c>
      <c r="J382" s="42">
        <f>IF($H382="","",MAX(0,$H382-N($G382)))</f>
        <v/>
      </c>
    </row>
    <row r="383" ht="19.5" customHeight="1" s="72">
      <c r="A383" s="38" t="inlineStr">
        <is>
          <t>CM-32-P03-BEN</t>
        </is>
      </c>
      <c r="B383" s="38" t="inlineStr">
        <is>
          <t>Fase 32</t>
        </is>
      </c>
      <c r="C383" s="38" t="inlineStr">
        <is>
          <t>Benguela</t>
        </is>
      </c>
      <c r="D383" s="39" t="inlineStr">
        <is>
          <t>A_C_M_32_P3</t>
        </is>
      </c>
      <c r="E383" s="40" t="n"/>
      <c r="F383" s="39" t="inlineStr">
        <is>
          <t>B_C_M_32_P3</t>
        </is>
      </c>
      <c r="G383" s="40" t="n"/>
      <c r="H383" s="41" t="n"/>
      <c r="I383" s="42">
        <f>IF($H383="","",MAX(0,$H383-N($E383)))</f>
        <v/>
      </c>
      <c r="J383" s="42">
        <f>IF($H383="","",MAX(0,$H383-N($G383)))</f>
        <v/>
      </c>
    </row>
    <row r="384" ht="19.5" customHeight="1" s="72">
      <c r="A384" s="38" t="inlineStr">
        <is>
          <t>CM-32-P03-SBA</t>
        </is>
      </c>
      <c r="B384" s="38" t="inlineStr">
        <is>
          <t>Fase 32</t>
        </is>
      </c>
      <c r="C384" s="38" t="inlineStr">
        <is>
          <t>São Bento da Abadá</t>
        </is>
      </c>
      <c r="D384" s="39" t="inlineStr">
        <is>
          <t>A_C_M_32_P3</t>
        </is>
      </c>
      <c r="E384" s="40" t="n"/>
      <c r="F384" s="39" t="inlineStr">
        <is>
          <t>B_C_M_32_P3</t>
        </is>
      </c>
      <c r="G384" s="40" t="n"/>
      <c r="H384" s="41" t="n"/>
      <c r="I384" s="42">
        <f>IF($H384="","",MAX(0,$H384-N($E384)))</f>
        <v/>
      </c>
      <c r="J384" s="42">
        <f>IF($H384="","",MAX(0,$H384-N($G384)))</f>
        <v/>
      </c>
    </row>
    <row r="385" ht="19.5" customHeight="1" s="72">
      <c r="A385" s="38" t="inlineStr">
        <is>
          <t>CM-32-P03-SIR</t>
        </is>
      </c>
      <c r="B385" s="38" t="inlineStr">
        <is>
          <t>Fase 32</t>
        </is>
      </c>
      <c r="C385" s="38" t="inlineStr">
        <is>
          <t>Siriuna</t>
        </is>
      </c>
      <c r="D385" s="39" t="inlineStr">
        <is>
          <t>A_C_M_32_P3</t>
        </is>
      </c>
      <c r="E385" s="40" t="n"/>
      <c r="F385" s="39" t="inlineStr">
        <is>
          <t>B_C_M_32_P3</t>
        </is>
      </c>
      <c r="G385" s="40" t="n"/>
      <c r="H385" s="41" t="n"/>
      <c r="I385" s="42">
        <f>IF($H385="","",MAX(0,$H385-N($E385)))</f>
        <v/>
      </c>
      <c r="J385" s="42">
        <f>IF($H385="","",MAX(0,$H385-N($G385)))</f>
        <v/>
      </c>
    </row>
    <row r="386" ht="19.5" customHeight="1" s="72">
      <c r="A386" s="38" t="inlineStr">
        <is>
          <t>CM-32-P04-BEN</t>
        </is>
      </c>
      <c r="B386" s="38" t="inlineStr">
        <is>
          <t>Fase 32</t>
        </is>
      </c>
      <c r="C386" s="38" t="inlineStr">
        <is>
          <t>Benguela</t>
        </is>
      </c>
      <c r="D386" s="39" t="inlineStr">
        <is>
          <t>A_C_M_32_P4</t>
        </is>
      </c>
      <c r="E386" s="40" t="n"/>
      <c r="F386" s="39" t="inlineStr">
        <is>
          <t>B_C_M_32_P4</t>
        </is>
      </c>
      <c r="G386" s="40" t="n"/>
      <c r="H386" s="41" t="n"/>
      <c r="I386" s="42">
        <f>IF($H386="","",MAX(0,$H386-N($E386)))</f>
        <v/>
      </c>
      <c r="J386" s="42">
        <f>IF($H386="","",MAX(0,$H386-N($G386)))</f>
        <v/>
      </c>
    </row>
    <row r="387" ht="19.5" customHeight="1" s="72">
      <c r="A387" s="38" t="inlineStr">
        <is>
          <t>CM-32-P04-SBA</t>
        </is>
      </c>
      <c r="B387" s="38" t="inlineStr">
        <is>
          <t>Fase 32</t>
        </is>
      </c>
      <c r="C387" s="38" t="inlineStr">
        <is>
          <t>São Bento da Abadá</t>
        </is>
      </c>
      <c r="D387" s="39" t="inlineStr">
        <is>
          <t>A_C_M_32_P4</t>
        </is>
      </c>
      <c r="E387" s="40" t="n"/>
      <c r="F387" s="39" t="inlineStr">
        <is>
          <t>B_C_M_32_P4</t>
        </is>
      </c>
      <c r="G387" s="40" t="n"/>
      <c r="H387" s="41" t="n"/>
      <c r="I387" s="42">
        <f>IF($H387="","",MAX(0,$H387-N($E387)))</f>
        <v/>
      </c>
      <c r="J387" s="42">
        <f>IF($H387="","",MAX(0,$H387-N($G387)))</f>
        <v/>
      </c>
    </row>
    <row r="388" ht="19.5" customHeight="1" s="72">
      <c r="A388" s="38" t="inlineStr">
        <is>
          <t>CM-32-P04-SIR</t>
        </is>
      </c>
      <c r="B388" s="38" t="inlineStr">
        <is>
          <t>Fase 32</t>
        </is>
      </c>
      <c r="C388" s="38" t="inlineStr">
        <is>
          <t>Siriuna</t>
        </is>
      </c>
      <c r="D388" s="39" t="inlineStr">
        <is>
          <t>A_C_M_32_P4</t>
        </is>
      </c>
      <c r="E388" s="40" t="n"/>
      <c r="F388" s="39" t="inlineStr">
        <is>
          <t>B_C_M_32_P4</t>
        </is>
      </c>
      <c r="G388" s="40" t="n"/>
      <c r="H388" s="41" t="n"/>
      <c r="I388" s="42">
        <f>IF($H388="","",MAX(0,$H388-N($E388)))</f>
        <v/>
      </c>
      <c r="J388" s="42">
        <f>IF($H388="","",MAX(0,$H388-N($G388)))</f>
        <v/>
      </c>
    </row>
    <row r="389" ht="19.5" customHeight="1" s="72">
      <c r="A389" s="38" t="inlineStr">
        <is>
          <t>CM-32-P05-BEN</t>
        </is>
      </c>
      <c r="B389" s="38" t="inlineStr">
        <is>
          <t>Fase 32</t>
        </is>
      </c>
      <c r="C389" s="38" t="inlineStr">
        <is>
          <t>Benguela</t>
        </is>
      </c>
      <c r="D389" s="39" t="inlineStr">
        <is>
          <t>A_C_M_32_P5</t>
        </is>
      </c>
      <c r="E389" s="40" t="n"/>
      <c r="F389" s="39" t="inlineStr">
        <is>
          <t>B_C_M_32_P5</t>
        </is>
      </c>
      <c r="G389" s="40" t="n"/>
      <c r="H389" s="41" t="n"/>
      <c r="I389" s="42">
        <f>IF($H389="","",MAX(0,$H389-N($E389)))</f>
        <v/>
      </c>
      <c r="J389" s="42">
        <f>IF($H389="","",MAX(0,$H389-N($G389)))</f>
        <v/>
      </c>
    </row>
    <row r="390" ht="19.5" customHeight="1" s="72">
      <c r="A390" s="38" t="inlineStr">
        <is>
          <t>CM-32-P05-SBA</t>
        </is>
      </c>
      <c r="B390" s="38" t="inlineStr">
        <is>
          <t>Fase 32</t>
        </is>
      </c>
      <c r="C390" s="38" t="inlineStr">
        <is>
          <t>São Bento da Abadá</t>
        </is>
      </c>
      <c r="D390" s="39" t="inlineStr">
        <is>
          <t>A_C_M_32_P5</t>
        </is>
      </c>
      <c r="E390" s="40" t="n"/>
      <c r="F390" s="39" t="inlineStr">
        <is>
          <t>B_C_M_32_P5</t>
        </is>
      </c>
      <c r="G390" s="40" t="n"/>
      <c r="H390" s="41" t="n"/>
      <c r="I390" s="42">
        <f>IF($H390="","",MAX(0,$H390-N($E390)))</f>
        <v/>
      </c>
      <c r="J390" s="42">
        <f>IF($H390="","",MAX(0,$H390-N($G390)))</f>
        <v/>
      </c>
    </row>
    <row r="391" ht="19.5" customHeight="1" s="72">
      <c r="A391" s="38" t="inlineStr">
        <is>
          <t>CM-32-P05-SIR</t>
        </is>
      </c>
      <c r="B391" s="38" t="inlineStr">
        <is>
          <t>Fase 32</t>
        </is>
      </c>
      <c r="C391" s="38" t="inlineStr">
        <is>
          <t>Siriuna</t>
        </is>
      </c>
      <c r="D391" s="39" t="inlineStr">
        <is>
          <t>A_C_M_32_P5</t>
        </is>
      </c>
      <c r="E391" s="40" t="n"/>
      <c r="F391" s="39" t="inlineStr">
        <is>
          <t>B_C_M_32_P5</t>
        </is>
      </c>
      <c r="G391" s="40" t="n"/>
      <c r="H391" s="41" t="n"/>
      <c r="I391" s="42">
        <f>IF($H391="","",MAX(0,$H391-N($E391)))</f>
        <v/>
      </c>
      <c r="J391" s="42">
        <f>IF($H391="","",MAX(0,$H391-N($G391)))</f>
        <v/>
      </c>
    </row>
    <row r="392" ht="19.5" customHeight="1" s="72">
      <c r="A392" s="38" t="inlineStr">
        <is>
          <t>CM-32-P06-BEN</t>
        </is>
      </c>
      <c r="B392" s="38" t="inlineStr">
        <is>
          <t>Fase 32</t>
        </is>
      </c>
      <c r="C392" s="38" t="inlineStr">
        <is>
          <t>Benguela</t>
        </is>
      </c>
      <c r="D392" s="39" t="inlineStr">
        <is>
          <t>A_C_M_32_P6</t>
        </is>
      </c>
      <c r="E392" s="40" t="n"/>
      <c r="F392" s="39" t="inlineStr">
        <is>
          <t>B_C_M_32_P6</t>
        </is>
      </c>
      <c r="G392" s="40" t="n"/>
      <c r="H392" s="41" t="n"/>
      <c r="I392" s="42">
        <f>IF($H392="","",MAX(0,$H392-N($E392)))</f>
        <v/>
      </c>
      <c r="J392" s="42">
        <f>IF($H392="","",MAX(0,$H392-N($G392)))</f>
        <v/>
      </c>
    </row>
    <row r="393" ht="19.5" customHeight="1" s="72">
      <c r="A393" s="38" t="inlineStr">
        <is>
          <t>CM-32-P06-SBA</t>
        </is>
      </c>
      <c r="B393" s="38" t="inlineStr">
        <is>
          <t>Fase 32</t>
        </is>
      </c>
      <c r="C393" s="38" t="inlineStr">
        <is>
          <t>São Bento da Abadá</t>
        </is>
      </c>
      <c r="D393" s="39" t="inlineStr">
        <is>
          <t>A_C_M_32_P6</t>
        </is>
      </c>
      <c r="E393" s="40" t="n"/>
      <c r="F393" s="39" t="inlineStr">
        <is>
          <t>B_C_M_32_P6</t>
        </is>
      </c>
      <c r="G393" s="40" t="n"/>
      <c r="H393" s="41" t="n"/>
      <c r="I393" s="42">
        <f>IF($H393="","",MAX(0,$H393-N($E393)))</f>
        <v/>
      </c>
      <c r="J393" s="42">
        <f>IF($H393="","",MAX(0,$H393-N($G393)))</f>
        <v/>
      </c>
    </row>
    <row r="394" ht="19.5" customHeight="1" s="72">
      <c r="A394" s="38" t="inlineStr">
        <is>
          <t>CM-32-P06-SIR</t>
        </is>
      </c>
      <c r="B394" s="38" t="inlineStr">
        <is>
          <t>Fase 32</t>
        </is>
      </c>
      <c r="C394" s="38" t="inlineStr">
        <is>
          <t>Siriuna</t>
        </is>
      </c>
      <c r="D394" s="39" t="inlineStr">
        <is>
          <t>A_C_M_32_P6</t>
        </is>
      </c>
      <c r="E394" s="40" t="n"/>
      <c r="F394" s="39" t="inlineStr">
        <is>
          <t>B_C_M_32_P6</t>
        </is>
      </c>
      <c r="G394" s="40" t="n"/>
      <c r="H394" s="41" t="n"/>
      <c r="I394" s="42">
        <f>IF($H394="","",MAX(0,$H394-N($E394)))</f>
        <v/>
      </c>
      <c r="J394" s="42">
        <f>IF($H394="","",MAX(0,$H394-N($G394)))</f>
        <v/>
      </c>
    </row>
    <row r="395" ht="19.5" customHeight="1" s="72">
      <c r="A395" s="38" t="inlineStr">
        <is>
          <t>CM-32-P07-BEN</t>
        </is>
      </c>
      <c r="B395" s="38" t="inlineStr">
        <is>
          <t>Fase 32</t>
        </is>
      </c>
      <c r="C395" s="38" t="inlineStr">
        <is>
          <t>Benguela</t>
        </is>
      </c>
      <c r="D395" s="39" t="inlineStr">
        <is>
          <t>A_C_M_32_P7</t>
        </is>
      </c>
      <c r="E395" s="40" t="n"/>
      <c r="F395" s="39" t="inlineStr">
        <is>
          <t>B_C_M_32_P7</t>
        </is>
      </c>
      <c r="G395" s="40" t="n"/>
      <c r="H395" s="41" t="n"/>
      <c r="I395" s="42">
        <f>IF($H395="","",MAX(0,$H395-N($E395)))</f>
        <v/>
      </c>
      <c r="J395" s="42">
        <f>IF($H395="","",MAX(0,$H395-N($G395)))</f>
        <v/>
      </c>
    </row>
    <row r="396" ht="19.5" customHeight="1" s="72">
      <c r="A396" s="38" t="inlineStr">
        <is>
          <t>CM-32-P07-SBA</t>
        </is>
      </c>
      <c r="B396" s="38" t="inlineStr">
        <is>
          <t>Fase 32</t>
        </is>
      </c>
      <c r="C396" s="38" t="inlineStr">
        <is>
          <t>São Bento da Abadá</t>
        </is>
      </c>
      <c r="D396" s="39" t="inlineStr">
        <is>
          <t>A_C_M_32_P7</t>
        </is>
      </c>
      <c r="E396" s="40" t="n"/>
      <c r="F396" s="39" t="inlineStr">
        <is>
          <t>B_C_M_32_P7</t>
        </is>
      </c>
      <c r="G396" s="40" t="n"/>
      <c r="H396" s="41" t="n"/>
      <c r="I396" s="42">
        <f>IF($H396="","",MAX(0,$H396-N($E396)))</f>
        <v/>
      </c>
      <c r="J396" s="42">
        <f>IF($H396="","",MAX(0,$H396-N($G396)))</f>
        <v/>
      </c>
    </row>
    <row r="397" ht="19.5" customHeight="1" s="72">
      <c r="A397" s="38" t="inlineStr">
        <is>
          <t>CM-32-P07-SIR</t>
        </is>
      </c>
      <c r="B397" s="38" t="inlineStr">
        <is>
          <t>Fase 32</t>
        </is>
      </c>
      <c r="C397" s="38" t="inlineStr">
        <is>
          <t>Siriuna</t>
        </is>
      </c>
      <c r="D397" s="39" t="inlineStr">
        <is>
          <t>A_C_M_32_P7</t>
        </is>
      </c>
      <c r="E397" s="40" t="n"/>
      <c r="F397" s="39" t="inlineStr">
        <is>
          <t>B_C_M_32_P7</t>
        </is>
      </c>
      <c r="G397" s="40" t="n"/>
      <c r="H397" s="41" t="n"/>
      <c r="I397" s="42">
        <f>IF($H397="","",MAX(0,$H397-N($E397)))</f>
        <v/>
      </c>
      <c r="J397" s="42">
        <f>IF($H397="","",MAX(0,$H397-N($G397)))</f>
        <v/>
      </c>
    </row>
    <row r="398" ht="19.5" customHeight="1" s="72">
      <c r="A398" s="38" t="inlineStr">
        <is>
          <t>CM-32-P08-BEN</t>
        </is>
      </c>
      <c r="B398" s="38" t="inlineStr">
        <is>
          <t>Fase 32</t>
        </is>
      </c>
      <c r="C398" s="38" t="inlineStr">
        <is>
          <t>Benguela</t>
        </is>
      </c>
      <c r="D398" s="39" t="inlineStr">
        <is>
          <t>A_C_M_32_P8</t>
        </is>
      </c>
      <c r="E398" s="40" t="n"/>
      <c r="F398" s="39" t="inlineStr">
        <is>
          <t>B_C_M_32_P8</t>
        </is>
      </c>
      <c r="G398" s="40" t="n"/>
      <c r="H398" s="41" t="n"/>
      <c r="I398" s="42">
        <f>IF($H398="","",MAX(0,$H398-N($E398)))</f>
        <v/>
      </c>
      <c r="J398" s="42">
        <f>IF($H398="","",MAX(0,$H398-N($G398)))</f>
        <v/>
      </c>
    </row>
    <row r="399" ht="19.5" customHeight="1" s="72">
      <c r="A399" s="38" t="inlineStr">
        <is>
          <t>CM-32-P08-SBA</t>
        </is>
      </c>
      <c r="B399" s="38" t="inlineStr">
        <is>
          <t>Fase 32</t>
        </is>
      </c>
      <c r="C399" s="38" t="inlineStr">
        <is>
          <t>São Bento da Abadá</t>
        </is>
      </c>
      <c r="D399" s="39" t="inlineStr">
        <is>
          <t>A_C_M_32_P8</t>
        </is>
      </c>
      <c r="E399" s="40" t="n"/>
      <c r="F399" s="39" t="inlineStr">
        <is>
          <t>B_C_M_32_P8</t>
        </is>
      </c>
      <c r="G399" s="40" t="n"/>
      <c r="H399" s="41" t="n"/>
      <c r="I399" s="42">
        <f>IF($H399="","",MAX(0,$H399-N($E399)))</f>
        <v/>
      </c>
      <c r="J399" s="42">
        <f>IF($H399="","",MAX(0,$H399-N($G399)))</f>
        <v/>
      </c>
    </row>
    <row r="400" ht="19.5" customHeight="1" s="72">
      <c r="A400" s="38" t="inlineStr">
        <is>
          <t>CM-32-P08-SIR</t>
        </is>
      </c>
      <c r="B400" s="38" t="inlineStr">
        <is>
          <t>Fase 32</t>
        </is>
      </c>
      <c r="C400" s="38" t="inlineStr">
        <is>
          <t>Siriuna</t>
        </is>
      </c>
      <c r="D400" s="39" t="inlineStr">
        <is>
          <t>A_C_M_32_P8</t>
        </is>
      </c>
      <c r="E400" s="40" t="n"/>
      <c r="F400" s="39" t="inlineStr">
        <is>
          <t>B_C_M_32_P8</t>
        </is>
      </c>
      <c r="G400" s="40" t="n"/>
      <c r="H400" s="41" t="n"/>
      <c r="I400" s="42">
        <f>IF($H400="","",MAX(0,$H400-N($E400)))</f>
        <v/>
      </c>
      <c r="J400" s="42">
        <f>IF($H400="","",MAX(0,$H400-N($G400)))</f>
        <v/>
      </c>
    </row>
    <row r="401" ht="19.5" customHeight="1" s="72">
      <c r="A401" s="38" t="inlineStr">
        <is>
          <t>CM-32-P09-BEN</t>
        </is>
      </c>
      <c r="B401" s="38" t="inlineStr">
        <is>
          <t>Fase 32</t>
        </is>
      </c>
      <c r="C401" s="38" t="inlineStr">
        <is>
          <t>Benguela</t>
        </is>
      </c>
      <c r="D401" s="39" t="inlineStr">
        <is>
          <t>A_C_M_32_P9</t>
        </is>
      </c>
      <c r="E401" s="40" t="n"/>
      <c r="F401" s="39" t="inlineStr">
        <is>
          <t>B_C_M_32_P9</t>
        </is>
      </c>
      <c r="G401" s="40" t="n"/>
      <c r="H401" s="41" t="n"/>
      <c r="I401" s="42">
        <f>IF($H401="","",MAX(0,$H401-N($E401)))</f>
        <v/>
      </c>
      <c r="J401" s="42">
        <f>IF($H401="","",MAX(0,$H401-N($G401)))</f>
        <v/>
      </c>
    </row>
    <row r="402" ht="19.5" customHeight="1" s="72">
      <c r="A402" s="38" t="inlineStr">
        <is>
          <t>CM-32-P09-SBA</t>
        </is>
      </c>
      <c r="B402" s="38" t="inlineStr">
        <is>
          <t>Fase 32</t>
        </is>
      </c>
      <c r="C402" s="38" t="inlineStr">
        <is>
          <t>São Bento da Abadá</t>
        </is>
      </c>
      <c r="D402" s="39" t="inlineStr">
        <is>
          <t>A_C_M_32_P9</t>
        </is>
      </c>
      <c r="E402" s="40" t="n"/>
      <c r="F402" s="39" t="inlineStr">
        <is>
          <t>B_C_M_32_P9</t>
        </is>
      </c>
      <c r="G402" s="40" t="n"/>
      <c r="H402" s="41" t="n"/>
      <c r="I402" s="42">
        <f>IF($H402="","",MAX(0,$H402-N($E402)))</f>
        <v/>
      </c>
      <c r="J402" s="42">
        <f>IF($H402="","",MAX(0,$H402-N($G402)))</f>
        <v/>
      </c>
    </row>
    <row r="403" ht="19.5" customHeight="1" s="72">
      <c r="A403" s="38" t="inlineStr">
        <is>
          <t>CM-32-P09-SIR</t>
        </is>
      </c>
      <c r="B403" s="38" t="inlineStr">
        <is>
          <t>Fase 32</t>
        </is>
      </c>
      <c r="C403" s="38" t="inlineStr">
        <is>
          <t>Siriuna</t>
        </is>
      </c>
      <c r="D403" s="39" t="inlineStr">
        <is>
          <t>A_C_M_32_P9</t>
        </is>
      </c>
      <c r="E403" s="40" t="n"/>
      <c r="F403" s="39" t="inlineStr">
        <is>
          <t>B_C_M_32_P9</t>
        </is>
      </c>
      <c r="G403" s="40" t="n"/>
      <c r="H403" s="41" t="n"/>
      <c r="I403" s="42">
        <f>IF($H403="","",MAX(0,$H403-N($E403)))</f>
        <v/>
      </c>
      <c r="J403" s="42">
        <f>IF($H403="","",MAX(0,$H403-N($G403)))</f>
        <v/>
      </c>
    </row>
    <row r="404" ht="19.5" customHeight="1" s="72">
      <c r="A404" s="38" t="inlineStr">
        <is>
          <t>CM-32-P10-BEN</t>
        </is>
      </c>
      <c r="B404" s="38" t="inlineStr">
        <is>
          <t>Fase 32</t>
        </is>
      </c>
      <c r="C404" s="38" t="inlineStr">
        <is>
          <t>Benguela</t>
        </is>
      </c>
      <c r="D404" s="39" t="inlineStr">
        <is>
          <t>A_C_M_32_P10</t>
        </is>
      </c>
      <c r="E404" s="40" t="n"/>
      <c r="F404" s="39" t="inlineStr">
        <is>
          <t>B_C_M_32_P10</t>
        </is>
      </c>
      <c r="G404" s="40" t="n"/>
      <c r="H404" s="41" t="n"/>
      <c r="I404" s="42">
        <f>IF($H404="","",MAX(0,$H404-N($E404)))</f>
        <v/>
      </c>
      <c r="J404" s="42">
        <f>IF($H404="","",MAX(0,$H404-N($G404)))</f>
        <v/>
      </c>
    </row>
    <row r="405" ht="19.5" customHeight="1" s="72">
      <c r="A405" s="38" t="inlineStr">
        <is>
          <t>CM-32-P10-SBA</t>
        </is>
      </c>
      <c r="B405" s="38" t="inlineStr">
        <is>
          <t>Fase 32</t>
        </is>
      </c>
      <c r="C405" s="38" t="inlineStr">
        <is>
          <t>São Bento da Abadá</t>
        </is>
      </c>
      <c r="D405" s="39" t="inlineStr">
        <is>
          <t>A_C_M_32_P10</t>
        </is>
      </c>
      <c r="E405" s="40" t="n"/>
      <c r="F405" s="39" t="inlineStr">
        <is>
          <t>B_C_M_32_P10</t>
        </is>
      </c>
      <c r="G405" s="40" t="n"/>
      <c r="H405" s="41" t="n"/>
      <c r="I405" s="42">
        <f>IF($H405="","",MAX(0,$H405-N($E405)))</f>
        <v/>
      </c>
      <c r="J405" s="42">
        <f>IF($H405="","",MAX(0,$H405-N($G405)))</f>
        <v/>
      </c>
    </row>
    <row r="406" ht="19.5" customHeight="1" s="72">
      <c r="A406" s="38" t="inlineStr">
        <is>
          <t>CM-32-P10-SIR</t>
        </is>
      </c>
      <c r="B406" s="38" t="inlineStr">
        <is>
          <t>Fase 32</t>
        </is>
      </c>
      <c r="C406" s="38" t="inlineStr">
        <is>
          <t>Siriuna</t>
        </is>
      </c>
      <c r="D406" s="39" t="inlineStr">
        <is>
          <t>A_C_M_32_P10</t>
        </is>
      </c>
      <c r="E406" s="40" t="n"/>
      <c r="F406" s="39" t="inlineStr">
        <is>
          <t>B_C_M_32_P10</t>
        </is>
      </c>
      <c r="G406" s="40" t="n"/>
      <c r="H406" s="41" t="n"/>
      <c r="I406" s="42">
        <f>IF($H406="","",MAX(0,$H406-N($E406)))</f>
        <v/>
      </c>
      <c r="J406" s="42">
        <f>IF($H406="","",MAX(0,$H406-N($G406)))</f>
        <v/>
      </c>
    </row>
    <row r="407" ht="19.5" customHeight="1" s="72">
      <c r="A407" s="38" t="inlineStr">
        <is>
          <t>CM-32-P11-BEN</t>
        </is>
      </c>
      <c r="B407" s="38" t="inlineStr">
        <is>
          <t>Fase 32</t>
        </is>
      </c>
      <c r="C407" s="38" t="inlineStr">
        <is>
          <t>Benguela</t>
        </is>
      </c>
      <c r="D407" s="39" t="inlineStr">
        <is>
          <t>A_C_M_32_P11</t>
        </is>
      </c>
      <c r="E407" s="40" t="n"/>
      <c r="F407" s="39" t="inlineStr">
        <is>
          <t>B_C_M_32_P11</t>
        </is>
      </c>
      <c r="G407" s="40" t="n"/>
      <c r="H407" s="41" t="n"/>
      <c r="I407" s="42">
        <f>IF($H407="","",MAX(0,$H407-N($E407)))</f>
        <v/>
      </c>
      <c r="J407" s="42">
        <f>IF($H407="","",MAX(0,$H407-N($G407)))</f>
        <v/>
      </c>
    </row>
    <row r="408" ht="19.5" customHeight="1" s="72">
      <c r="A408" s="38" t="inlineStr">
        <is>
          <t>CM-32-P11-SBA</t>
        </is>
      </c>
      <c r="B408" s="38" t="inlineStr">
        <is>
          <t>Fase 32</t>
        </is>
      </c>
      <c r="C408" s="38" t="inlineStr">
        <is>
          <t>São Bento da Abadá</t>
        </is>
      </c>
      <c r="D408" s="39" t="inlineStr">
        <is>
          <t>A_C_M_32_P11</t>
        </is>
      </c>
      <c r="E408" s="40" t="n"/>
      <c r="F408" s="39" t="inlineStr">
        <is>
          <t>B_C_M_32_P11</t>
        </is>
      </c>
      <c r="G408" s="40" t="n"/>
      <c r="H408" s="41" t="n"/>
      <c r="I408" s="42">
        <f>IF($H408="","",MAX(0,$H408-N($E408)))</f>
        <v/>
      </c>
      <c r="J408" s="42">
        <f>IF($H408="","",MAX(0,$H408-N($G408)))</f>
        <v/>
      </c>
    </row>
    <row r="409" ht="19.5" customHeight="1" s="72">
      <c r="A409" s="38" t="inlineStr">
        <is>
          <t>CM-32-P11-SIR</t>
        </is>
      </c>
      <c r="B409" s="38" t="inlineStr">
        <is>
          <t>Fase 32</t>
        </is>
      </c>
      <c r="C409" s="38" t="inlineStr">
        <is>
          <t>Siriuna</t>
        </is>
      </c>
      <c r="D409" s="39" t="inlineStr">
        <is>
          <t>A_C_M_32_P11</t>
        </is>
      </c>
      <c r="E409" s="40" t="n"/>
      <c r="F409" s="39" t="inlineStr">
        <is>
          <t>B_C_M_32_P11</t>
        </is>
      </c>
      <c r="G409" s="40" t="n"/>
      <c r="H409" s="41" t="n"/>
      <c r="I409" s="42">
        <f>IF($H409="","",MAX(0,$H409-N($E409)))</f>
        <v/>
      </c>
      <c r="J409" s="42">
        <f>IF($H409="","",MAX(0,$H409-N($G409)))</f>
        <v/>
      </c>
    </row>
    <row r="410" ht="19.5" customHeight="1" s="72">
      <c r="A410" s="38" t="inlineStr">
        <is>
          <t>CM-32-P12-BEN</t>
        </is>
      </c>
      <c r="B410" s="38" t="inlineStr">
        <is>
          <t>Fase 32</t>
        </is>
      </c>
      <c r="C410" s="38" t="inlineStr">
        <is>
          <t>Benguela</t>
        </is>
      </c>
      <c r="D410" s="39" t="inlineStr">
        <is>
          <t>A_C_M_32_P12</t>
        </is>
      </c>
      <c r="E410" s="40" t="n"/>
      <c r="F410" s="39" t="inlineStr">
        <is>
          <t>B_C_M_32_P12</t>
        </is>
      </c>
      <c r="G410" s="40" t="n"/>
      <c r="H410" s="41" t="n"/>
      <c r="I410" s="42">
        <f>IF($H410="","",MAX(0,$H410-N($E410)))</f>
        <v/>
      </c>
      <c r="J410" s="42">
        <f>IF($H410="","",MAX(0,$H410-N($G410)))</f>
        <v/>
      </c>
    </row>
    <row r="411" ht="19.5" customHeight="1" s="72">
      <c r="A411" s="38" t="inlineStr">
        <is>
          <t>CM-32-P12-SBA</t>
        </is>
      </c>
      <c r="B411" s="38" t="inlineStr">
        <is>
          <t>Fase 32</t>
        </is>
      </c>
      <c r="C411" s="38" t="inlineStr">
        <is>
          <t>São Bento da Abadá</t>
        </is>
      </c>
      <c r="D411" s="39" t="inlineStr">
        <is>
          <t>A_C_M_32_P12</t>
        </is>
      </c>
      <c r="E411" s="40" t="n"/>
      <c r="F411" s="39" t="inlineStr">
        <is>
          <t>B_C_M_32_P12</t>
        </is>
      </c>
      <c r="G411" s="40" t="n"/>
      <c r="H411" s="41" t="n"/>
      <c r="I411" s="42">
        <f>IF($H411="","",MAX(0,$H411-N($E411)))</f>
        <v/>
      </c>
      <c r="J411" s="42">
        <f>IF($H411="","",MAX(0,$H411-N($G411)))</f>
        <v/>
      </c>
    </row>
    <row r="412" ht="19.5" customHeight="1" s="72">
      <c r="A412" s="38" t="inlineStr">
        <is>
          <t>CM-32-P12-SIR</t>
        </is>
      </c>
      <c r="B412" s="38" t="inlineStr">
        <is>
          <t>Fase 32</t>
        </is>
      </c>
      <c r="C412" s="38" t="inlineStr">
        <is>
          <t>Siriuna</t>
        </is>
      </c>
      <c r="D412" s="39" t="inlineStr">
        <is>
          <t>A_C_M_32_P12</t>
        </is>
      </c>
      <c r="E412" s="40" t="n"/>
      <c r="F412" s="39" t="inlineStr">
        <is>
          <t>B_C_M_32_P12</t>
        </is>
      </c>
      <c r="G412" s="40" t="n"/>
      <c r="H412" s="41" t="n"/>
      <c r="I412" s="42">
        <f>IF($H412="","",MAX(0,$H412-N($E412)))</f>
        <v/>
      </c>
      <c r="J412" s="42">
        <f>IF($H412="","",MAX(0,$H412-N($G412)))</f>
        <v/>
      </c>
    </row>
    <row r="413" ht="19.5" customHeight="1" s="72">
      <c r="A413" s="38" t="inlineStr">
        <is>
          <t>CM-32-P13-BEN</t>
        </is>
      </c>
      <c r="B413" s="38" t="inlineStr">
        <is>
          <t>Fase 32</t>
        </is>
      </c>
      <c r="C413" s="38" t="inlineStr">
        <is>
          <t>Benguela</t>
        </is>
      </c>
      <c r="D413" s="39" t="inlineStr">
        <is>
          <t>A_C_M_32_P13</t>
        </is>
      </c>
      <c r="E413" s="40" t="n"/>
      <c r="F413" s="39" t="inlineStr">
        <is>
          <t>B_C_M_32_P13</t>
        </is>
      </c>
      <c r="G413" s="40" t="n"/>
      <c r="H413" s="41" t="n"/>
      <c r="I413" s="42">
        <f>IF($H413="","",MAX(0,$H413-N($E413)))</f>
        <v/>
      </c>
      <c r="J413" s="42">
        <f>IF($H413="","",MAX(0,$H413-N($G413)))</f>
        <v/>
      </c>
    </row>
    <row r="414" ht="19.5" customHeight="1" s="72">
      <c r="A414" s="38" t="inlineStr">
        <is>
          <t>CM-32-P13-SBA</t>
        </is>
      </c>
      <c r="B414" s="38" t="inlineStr">
        <is>
          <t>Fase 32</t>
        </is>
      </c>
      <c r="C414" s="38" t="inlineStr">
        <is>
          <t>São Bento da Abadá</t>
        </is>
      </c>
      <c r="D414" s="39" t="inlineStr">
        <is>
          <t>A_C_M_32_P13</t>
        </is>
      </c>
      <c r="E414" s="40" t="n"/>
      <c r="F414" s="39" t="inlineStr">
        <is>
          <t>B_C_M_32_P13</t>
        </is>
      </c>
      <c r="G414" s="40" t="n"/>
      <c r="H414" s="41" t="n"/>
      <c r="I414" s="42">
        <f>IF($H414="","",MAX(0,$H414-N($E414)))</f>
        <v/>
      </c>
      <c r="J414" s="42">
        <f>IF($H414="","",MAX(0,$H414-N($G414)))</f>
        <v/>
      </c>
    </row>
    <row r="415" ht="19.5" customHeight="1" s="72">
      <c r="A415" s="38" t="inlineStr">
        <is>
          <t>CM-32-P13-SIR</t>
        </is>
      </c>
      <c r="B415" s="38" t="inlineStr">
        <is>
          <t>Fase 32</t>
        </is>
      </c>
      <c r="C415" s="38" t="inlineStr">
        <is>
          <t>Siriuna</t>
        </is>
      </c>
      <c r="D415" s="39" t="inlineStr">
        <is>
          <t>A_C_M_32_P13</t>
        </is>
      </c>
      <c r="E415" s="40" t="n"/>
      <c r="F415" s="39" t="inlineStr">
        <is>
          <t>B_C_M_32_P13</t>
        </is>
      </c>
      <c r="G415" s="40" t="n"/>
      <c r="H415" s="41" t="n"/>
      <c r="I415" s="42">
        <f>IF($H415="","",MAX(0,$H415-N($E415)))</f>
        <v/>
      </c>
      <c r="J415" s="42">
        <f>IF($H415="","",MAX(0,$H415-N($G415)))</f>
        <v/>
      </c>
    </row>
    <row r="416" ht="19.5" customHeight="1" s="72">
      <c r="A416" s="38" t="inlineStr">
        <is>
          <t>CM-32-P14-BEN</t>
        </is>
      </c>
      <c r="B416" s="38" t="inlineStr">
        <is>
          <t>Fase 32</t>
        </is>
      </c>
      <c r="C416" s="38" t="inlineStr">
        <is>
          <t>Benguela</t>
        </is>
      </c>
      <c r="D416" s="39" t="inlineStr">
        <is>
          <t>A_C_M_32_P14</t>
        </is>
      </c>
      <c r="E416" s="40" t="n"/>
      <c r="F416" s="39" t="inlineStr">
        <is>
          <t>B_C_M_32_P14</t>
        </is>
      </c>
      <c r="G416" s="40" t="n"/>
      <c r="H416" s="41" t="n"/>
      <c r="I416" s="42">
        <f>IF($H416="","",MAX(0,$H416-N($E416)))</f>
        <v/>
      </c>
      <c r="J416" s="42">
        <f>IF($H416="","",MAX(0,$H416-N($G416)))</f>
        <v/>
      </c>
    </row>
    <row r="417" ht="19.5" customHeight="1" s="72">
      <c r="A417" s="38" t="inlineStr">
        <is>
          <t>CM-32-P14-SBA</t>
        </is>
      </c>
      <c r="B417" s="38" t="inlineStr">
        <is>
          <t>Fase 32</t>
        </is>
      </c>
      <c r="C417" s="38" t="inlineStr">
        <is>
          <t>São Bento da Abadá</t>
        </is>
      </c>
      <c r="D417" s="39" t="inlineStr">
        <is>
          <t>A_C_M_32_P14</t>
        </is>
      </c>
      <c r="E417" s="40" t="n"/>
      <c r="F417" s="39" t="inlineStr">
        <is>
          <t>B_C_M_32_P14</t>
        </is>
      </c>
      <c r="G417" s="40" t="n"/>
      <c r="H417" s="41" t="n"/>
      <c r="I417" s="42">
        <f>IF($H417="","",MAX(0,$H417-N($E417)))</f>
        <v/>
      </c>
      <c r="J417" s="42">
        <f>IF($H417="","",MAX(0,$H417-N($G417)))</f>
        <v/>
      </c>
    </row>
    <row r="418" ht="19.5" customHeight="1" s="72">
      <c r="A418" s="38" t="inlineStr">
        <is>
          <t>CM-32-P14-SIR</t>
        </is>
      </c>
      <c r="B418" s="38" t="inlineStr">
        <is>
          <t>Fase 32</t>
        </is>
      </c>
      <c r="C418" s="38" t="inlineStr">
        <is>
          <t>Siriuna</t>
        </is>
      </c>
      <c r="D418" s="39" t="inlineStr">
        <is>
          <t>A_C_M_32_P14</t>
        </is>
      </c>
      <c r="E418" s="40" t="n"/>
      <c r="F418" s="39" t="inlineStr">
        <is>
          <t>B_C_M_32_P14</t>
        </is>
      </c>
      <c r="G418" s="40" t="n"/>
      <c r="H418" s="41" t="n"/>
      <c r="I418" s="42">
        <f>IF($H418="","",MAX(0,$H418-N($E418)))</f>
        <v/>
      </c>
      <c r="J418" s="42">
        <f>IF($H418="","",MAX(0,$H418-N($G418)))</f>
        <v/>
      </c>
    </row>
    <row r="419" ht="19.5" customHeight="1" s="72">
      <c r="A419" s="38" t="inlineStr">
        <is>
          <t>CM-32-P15-BEN</t>
        </is>
      </c>
      <c r="B419" s="38" t="inlineStr">
        <is>
          <t>Fase 32</t>
        </is>
      </c>
      <c r="C419" s="38" t="inlineStr">
        <is>
          <t>Benguela</t>
        </is>
      </c>
      <c r="D419" s="39" t="inlineStr">
        <is>
          <t>A_C_M_32_P15</t>
        </is>
      </c>
      <c r="E419" s="40" t="n"/>
      <c r="F419" s="39" t="inlineStr">
        <is>
          <t>B_C_M_32_P15</t>
        </is>
      </c>
      <c r="G419" s="40" t="n"/>
      <c r="H419" s="41" t="n"/>
      <c r="I419" s="42">
        <f>IF($H419="","",MAX(0,$H419-N($E419)))</f>
        <v/>
      </c>
      <c r="J419" s="42">
        <f>IF($H419="","",MAX(0,$H419-N($G419)))</f>
        <v/>
      </c>
    </row>
    <row r="420" ht="19.5" customHeight="1" s="72">
      <c r="A420" s="38" t="inlineStr">
        <is>
          <t>CM-32-P15-SBA</t>
        </is>
      </c>
      <c r="B420" s="38" t="inlineStr">
        <is>
          <t>Fase 32</t>
        </is>
      </c>
      <c r="C420" s="38" t="inlineStr">
        <is>
          <t>São Bento da Abadá</t>
        </is>
      </c>
      <c r="D420" s="39" t="inlineStr">
        <is>
          <t>A_C_M_32_P15</t>
        </is>
      </c>
      <c r="E420" s="40" t="n"/>
      <c r="F420" s="39" t="inlineStr">
        <is>
          <t>B_C_M_32_P15</t>
        </is>
      </c>
      <c r="G420" s="40" t="n"/>
      <c r="H420" s="41" t="n"/>
      <c r="I420" s="42">
        <f>IF($H420="","",MAX(0,$H420-N($E420)))</f>
        <v/>
      </c>
      <c r="J420" s="42">
        <f>IF($H420="","",MAX(0,$H420-N($G420)))</f>
        <v/>
      </c>
    </row>
    <row r="421" ht="19.5" customHeight="1" s="72">
      <c r="A421" s="38" t="inlineStr">
        <is>
          <t>CM-32-P15-SIR</t>
        </is>
      </c>
      <c r="B421" s="38" t="inlineStr">
        <is>
          <t>Fase 32</t>
        </is>
      </c>
      <c r="C421" s="38" t="inlineStr">
        <is>
          <t>Siriuna</t>
        </is>
      </c>
      <c r="D421" s="39" t="inlineStr">
        <is>
          <t>A_C_M_32_P15</t>
        </is>
      </c>
      <c r="E421" s="40" t="n"/>
      <c r="F421" s="39" t="inlineStr">
        <is>
          <t>B_C_M_32_P15</t>
        </is>
      </c>
      <c r="G421" s="40" t="n"/>
      <c r="H421" s="41" t="n"/>
      <c r="I421" s="42">
        <f>IF($H421="","",MAX(0,$H421-N($E421)))</f>
        <v/>
      </c>
      <c r="J421" s="42">
        <f>IF($H421="","",MAX(0,$H421-N($G421)))</f>
        <v/>
      </c>
    </row>
    <row r="422" ht="19.5" customHeight="1" s="72">
      <c r="A422" s="38" t="inlineStr">
        <is>
          <t>CM-32-P16-BEN</t>
        </is>
      </c>
      <c r="B422" s="38" t="inlineStr">
        <is>
          <t>Fase 32</t>
        </is>
      </c>
      <c r="C422" s="38" t="inlineStr">
        <is>
          <t>Benguela</t>
        </is>
      </c>
      <c r="D422" s="39" t="inlineStr">
        <is>
          <t>A_C_M_32_P16</t>
        </is>
      </c>
      <c r="E422" s="40" t="n"/>
      <c r="F422" s="39" t="inlineStr">
        <is>
          <t>B_C_M_32_P16</t>
        </is>
      </c>
      <c r="G422" s="40" t="n"/>
      <c r="H422" s="41" t="n"/>
      <c r="I422" s="42">
        <f>IF($H422="","",MAX(0,$H422-N($E422)))</f>
        <v/>
      </c>
      <c r="J422" s="42">
        <f>IF($H422="","",MAX(0,$H422-N($G422)))</f>
        <v/>
      </c>
    </row>
    <row r="423" ht="19.5" customHeight="1" s="72">
      <c r="A423" s="38" t="inlineStr">
        <is>
          <t>CM-32-P16-SBA</t>
        </is>
      </c>
      <c r="B423" s="38" t="inlineStr">
        <is>
          <t>Fase 32</t>
        </is>
      </c>
      <c r="C423" s="38" t="inlineStr">
        <is>
          <t>São Bento da Abadá</t>
        </is>
      </c>
      <c r="D423" s="39" t="inlineStr">
        <is>
          <t>A_C_M_32_P16</t>
        </is>
      </c>
      <c r="E423" s="40" t="n"/>
      <c r="F423" s="39" t="inlineStr">
        <is>
          <t>B_C_M_32_P16</t>
        </is>
      </c>
      <c r="G423" s="40" t="n"/>
      <c r="H423" s="41" t="n"/>
      <c r="I423" s="42">
        <f>IF($H423="","",MAX(0,$H423-N($E423)))</f>
        <v/>
      </c>
      <c r="J423" s="42">
        <f>IF($H423="","",MAX(0,$H423-N($G423)))</f>
        <v/>
      </c>
    </row>
    <row r="424" ht="19.5" customHeight="1" s="72">
      <c r="A424" s="38" t="inlineStr">
        <is>
          <t>CM-32-P16-SIR</t>
        </is>
      </c>
      <c r="B424" s="38" t="inlineStr">
        <is>
          <t>Fase 32</t>
        </is>
      </c>
      <c r="C424" s="38" t="inlineStr">
        <is>
          <t>Siriuna</t>
        </is>
      </c>
      <c r="D424" s="39" t="inlineStr">
        <is>
          <t>A_C_M_32_P16</t>
        </is>
      </c>
      <c r="E424" s="40" t="n"/>
      <c r="F424" s="39" t="inlineStr">
        <is>
          <t>B_C_M_32_P16</t>
        </is>
      </c>
      <c r="G424" s="40" t="n"/>
      <c r="H424" s="41" t="n"/>
      <c r="I424" s="42">
        <f>IF($H424="","",MAX(0,$H424-N($E424)))</f>
        <v/>
      </c>
      <c r="J424" s="42">
        <f>IF($H424="","",MAX(0,$H424-N($G424)))</f>
        <v/>
      </c>
    </row>
    <row r="425" ht="19.5" customHeight="1" s="72">
      <c r="A425" s="38" t="inlineStr">
        <is>
          <t>CM-OCT-P01-BEN</t>
        </is>
      </c>
      <c r="B425" s="38" t="inlineStr">
        <is>
          <t>Octavas</t>
        </is>
      </c>
      <c r="C425" s="38" t="inlineStr">
        <is>
          <t>Benguela</t>
        </is>
      </c>
      <c r="D425" s="39">
        <f>IFERROR(CLASIF_C_M!$F$5,"")</f>
        <v/>
      </c>
      <c r="E425" s="40" t="n"/>
      <c r="F425" s="39">
        <f>IFERROR(CLASIF_C_M!$F$20,"")</f>
        <v/>
      </c>
      <c r="G425" s="40" t="n"/>
      <c r="H425" s="41" t="n"/>
      <c r="I425" s="42">
        <f>IF($H425="","",MAX(0,$H425-N($E425)))</f>
        <v/>
      </c>
      <c r="J425" s="42">
        <f>IF($H425="","",MAX(0,$H425-N($G425)))</f>
        <v/>
      </c>
    </row>
    <row r="426" ht="19.5" customHeight="1" s="72">
      <c r="A426" s="38" t="inlineStr">
        <is>
          <t>CM-OCT-P01-SBA</t>
        </is>
      </c>
      <c r="B426" s="38" t="inlineStr">
        <is>
          <t>Octavas</t>
        </is>
      </c>
      <c r="C426" s="38" t="inlineStr">
        <is>
          <t>São Bento da Abadá</t>
        </is>
      </c>
      <c r="D426" s="39">
        <f>IFERROR(CLASIF_C_M!$F$5,"")</f>
        <v/>
      </c>
      <c r="E426" s="40" t="n"/>
      <c r="F426" s="39">
        <f>IFERROR(CLASIF_C_M!$F$20,"")</f>
        <v/>
      </c>
      <c r="G426" s="40" t="n"/>
      <c r="H426" s="41" t="n"/>
      <c r="I426" s="42">
        <f>IF($H426="","",MAX(0,$H426-N($E426)))</f>
        <v/>
      </c>
      <c r="J426" s="42">
        <f>IF($H426="","",MAX(0,$H426-N($G426)))</f>
        <v/>
      </c>
    </row>
    <row r="427" ht="19.5" customHeight="1" s="72">
      <c r="A427" s="38" t="inlineStr">
        <is>
          <t>CM-OCT-P01-SIR</t>
        </is>
      </c>
      <c r="B427" s="38" t="inlineStr">
        <is>
          <t>Octavas</t>
        </is>
      </c>
      <c r="C427" s="38" t="inlineStr">
        <is>
          <t>Siriuna</t>
        </is>
      </c>
      <c r="D427" s="39">
        <f>IFERROR(CLASIF_C_M!$F$5,"")</f>
        <v/>
      </c>
      <c r="E427" s="40" t="n"/>
      <c r="F427" s="39">
        <f>IFERROR(CLASIF_C_M!$F$20,"")</f>
        <v/>
      </c>
      <c r="G427" s="40" t="n"/>
      <c r="H427" s="41" t="n"/>
      <c r="I427" s="42">
        <f>IF($H427="","",MAX(0,$H427-N($E427)))</f>
        <v/>
      </c>
      <c r="J427" s="42">
        <f>IF($H427="","",MAX(0,$H427-N($G427)))</f>
        <v/>
      </c>
    </row>
    <row r="428" ht="19.5" customHeight="1" s="72">
      <c r="A428" s="38" t="inlineStr">
        <is>
          <t>CM-OCT-P02-BEN</t>
        </is>
      </c>
      <c r="B428" s="38" t="inlineStr">
        <is>
          <t>Octavas</t>
        </is>
      </c>
      <c r="C428" s="38" t="inlineStr">
        <is>
          <t>Benguela</t>
        </is>
      </c>
      <c r="D428" s="39">
        <f>IFERROR(CLASIF_C_M!$F$6,"")</f>
        <v/>
      </c>
      <c r="E428" s="40" t="n"/>
      <c r="F428" s="39">
        <f>IFERROR(CLASIF_C_M!$F$19,"")</f>
        <v/>
      </c>
      <c r="G428" s="40" t="n"/>
      <c r="H428" s="41" t="n"/>
      <c r="I428" s="42">
        <f>IF($H428="","",MAX(0,$H428-N($E428)))</f>
        <v/>
      </c>
      <c r="J428" s="42">
        <f>IF($H428="","",MAX(0,$H428-N($G428)))</f>
        <v/>
      </c>
    </row>
    <row r="429" ht="19.5" customHeight="1" s="72">
      <c r="A429" s="38" t="inlineStr">
        <is>
          <t>CM-OCT-P02-SBA</t>
        </is>
      </c>
      <c r="B429" s="38" t="inlineStr">
        <is>
          <t>Octavas</t>
        </is>
      </c>
      <c r="C429" s="38" t="inlineStr">
        <is>
          <t>São Bento da Abadá</t>
        </is>
      </c>
      <c r="D429" s="39">
        <f>IFERROR(CLASIF_C_M!$F$6,"")</f>
        <v/>
      </c>
      <c r="E429" s="40" t="n"/>
      <c r="F429" s="39">
        <f>IFERROR(CLASIF_C_M!$F$19,"")</f>
        <v/>
      </c>
      <c r="G429" s="40" t="n"/>
      <c r="H429" s="41" t="n"/>
      <c r="I429" s="42">
        <f>IF($H429="","",MAX(0,$H429-N($E429)))</f>
        <v/>
      </c>
      <c r="J429" s="42">
        <f>IF($H429="","",MAX(0,$H429-N($G429)))</f>
        <v/>
      </c>
    </row>
    <row r="430" ht="19.5" customHeight="1" s="72">
      <c r="A430" s="38" t="inlineStr">
        <is>
          <t>CM-OCT-P02-SIR</t>
        </is>
      </c>
      <c r="B430" s="38" t="inlineStr">
        <is>
          <t>Octavas</t>
        </is>
      </c>
      <c r="C430" s="38" t="inlineStr">
        <is>
          <t>Siriuna</t>
        </is>
      </c>
      <c r="D430" s="39">
        <f>IFERROR(CLASIF_C_M!$F$6,"")</f>
        <v/>
      </c>
      <c r="E430" s="40" t="n"/>
      <c r="F430" s="39">
        <f>IFERROR(CLASIF_C_M!$F$19,"")</f>
        <v/>
      </c>
      <c r="G430" s="40" t="n"/>
      <c r="H430" s="41" t="n"/>
      <c r="I430" s="42">
        <f>IF($H430="","",MAX(0,$H430-N($E430)))</f>
        <v/>
      </c>
      <c r="J430" s="42">
        <f>IF($H430="","",MAX(0,$H430-N($G430)))</f>
        <v/>
      </c>
    </row>
    <row r="431" ht="19.5" customHeight="1" s="72">
      <c r="A431" s="38" t="inlineStr">
        <is>
          <t>CM-OCT-P03-BEN</t>
        </is>
      </c>
      <c r="B431" s="38" t="inlineStr">
        <is>
          <t>Octavas</t>
        </is>
      </c>
      <c r="C431" s="38" t="inlineStr">
        <is>
          <t>Benguela</t>
        </is>
      </c>
      <c r="D431" s="39">
        <f>IFERROR(CLASIF_C_M!$F$7,"")</f>
        <v/>
      </c>
      <c r="E431" s="40" t="n"/>
      <c r="F431" s="39">
        <f>IFERROR(CLASIF_C_M!$F$18,"")</f>
        <v/>
      </c>
      <c r="G431" s="40" t="n"/>
      <c r="H431" s="41" t="n"/>
      <c r="I431" s="42">
        <f>IF($H431="","",MAX(0,$H431-N($E431)))</f>
        <v/>
      </c>
      <c r="J431" s="42">
        <f>IF($H431="","",MAX(0,$H431-N($G431)))</f>
        <v/>
      </c>
    </row>
    <row r="432" ht="19.5" customHeight="1" s="72">
      <c r="A432" s="38" t="inlineStr">
        <is>
          <t>CM-OCT-P03-SBA</t>
        </is>
      </c>
      <c r="B432" s="38" t="inlineStr">
        <is>
          <t>Octavas</t>
        </is>
      </c>
      <c r="C432" s="38" t="inlineStr">
        <is>
          <t>São Bento da Abadá</t>
        </is>
      </c>
      <c r="D432" s="39">
        <f>IFERROR(CLASIF_C_M!$F$7,"")</f>
        <v/>
      </c>
      <c r="E432" s="40" t="n"/>
      <c r="F432" s="39">
        <f>IFERROR(CLASIF_C_M!$F$18,"")</f>
        <v/>
      </c>
      <c r="G432" s="40" t="n"/>
      <c r="H432" s="41" t="n"/>
      <c r="I432" s="42">
        <f>IF($H432="","",MAX(0,$H432-N($E432)))</f>
        <v/>
      </c>
      <c r="J432" s="42">
        <f>IF($H432="","",MAX(0,$H432-N($G432)))</f>
        <v/>
      </c>
    </row>
    <row r="433" ht="19.5" customHeight="1" s="72">
      <c r="A433" s="38" t="inlineStr">
        <is>
          <t>CM-OCT-P03-SIR</t>
        </is>
      </c>
      <c r="B433" s="38" t="inlineStr">
        <is>
          <t>Octavas</t>
        </is>
      </c>
      <c r="C433" s="38" t="inlineStr">
        <is>
          <t>Siriuna</t>
        </is>
      </c>
      <c r="D433" s="39">
        <f>IFERROR(CLASIF_C_M!$F$7,"")</f>
        <v/>
      </c>
      <c r="E433" s="40" t="n"/>
      <c r="F433" s="39">
        <f>IFERROR(CLASIF_C_M!$F$18,"")</f>
        <v/>
      </c>
      <c r="G433" s="40" t="n"/>
      <c r="H433" s="41" t="n"/>
      <c r="I433" s="42">
        <f>IF($H433="","",MAX(0,$H433-N($E433)))</f>
        <v/>
      </c>
      <c r="J433" s="42">
        <f>IF($H433="","",MAX(0,$H433-N($G433)))</f>
        <v/>
      </c>
    </row>
    <row r="434" ht="19.5" customHeight="1" s="72">
      <c r="A434" s="38" t="inlineStr">
        <is>
          <t>CM-OCT-P04-BEN</t>
        </is>
      </c>
      <c r="B434" s="38" t="inlineStr">
        <is>
          <t>Octavas</t>
        </is>
      </c>
      <c r="C434" s="38" t="inlineStr">
        <is>
          <t>Benguela</t>
        </is>
      </c>
      <c r="D434" s="39">
        <f>IFERROR(CLASIF_C_M!$F$8,"")</f>
        <v/>
      </c>
      <c r="E434" s="40" t="n"/>
      <c r="F434" s="39">
        <f>IFERROR(CLASIF_C_M!$F$17,"")</f>
        <v/>
      </c>
      <c r="G434" s="40" t="n"/>
      <c r="H434" s="41" t="n"/>
      <c r="I434" s="42">
        <f>IF($H434="","",MAX(0,$H434-N($E434)))</f>
        <v/>
      </c>
      <c r="J434" s="42">
        <f>IF($H434="","",MAX(0,$H434-N($G434)))</f>
        <v/>
      </c>
    </row>
    <row r="435" ht="19.5" customHeight="1" s="72">
      <c r="A435" s="38" t="inlineStr">
        <is>
          <t>CM-OCT-P04-SBA</t>
        </is>
      </c>
      <c r="B435" s="38" t="inlineStr">
        <is>
          <t>Octavas</t>
        </is>
      </c>
      <c r="C435" s="38" t="inlineStr">
        <is>
          <t>São Bento da Abadá</t>
        </is>
      </c>
      <c r="D435" s="39">
        <f>IFERROR(CLASIF_C_M!$F$8,"")</f>
        <v/>
      </c>
      <c r="E435" s="40" t="n"/>
      <c r="F435" s="39">
        <f>IFERROR(CLASIF_C_M!$F$17,"")</f>
        <v/>
      </c>
      <c r="G435" s="40" t="n"/>
      <c r="H435" s="41" t="n"/>
      <c r="I435" s="42">
        <f>IF($H435="","",MAX(0,$H435-N($E435)))</f>
        <v/>
      </c>
      <c r="J435" s="42">
        <f>IF($H435="","",MAX(0,$H435-N($G435)))</f>
        <v/>
      </c>
    </row>
    <row r="436" ht="19.5" customHeight="1" s="72">
      <c r="A436" s="38" t="inlineStr">
        <is>
          <t>CM-OCT-P04-SIR</t>
        </is>
      </c>
      <c r="B436" s="38" t="inlineStr">
        <is>
          <t>Octavas</t>
        </is>
      </c>
      <c r="C436" s="38" t="inlineStr">
        <is>
          <t>Siriuna</t>
        </is>
      </c>
      <c r="D436" s="39">
        <f>IFERROR(CLASIF_C_M!$F$8,"")</f>
        <v/>
      </c>
      <c r="E436" s="40" t="n"/>
      <c r="F436" s="39">
        <f>IFERROR(CLASIF_C_M!$F$17,"")</f>
        <v/>
      </c>
      <c r="G436" s="40" t="n"/>
      <c r="H436" s="41" t="n"/>
      <c r="I436" s="42">
        <f>IF($H436="","",MAX(0,$H436-N($E436)))</f>
        <v/>
      </c>
      <c r="J436" s="42">
        <f>IF($H436="","",MAX(0,$H436-N($G436)))</f>
        <v/>
      </c>
    </row>
    <row r="437" ht="19.5" customHeight="1" s="72">
      <c r="A437" s="38" t="inlineStr">
        <is>
          <t>CM-OCT-P05-BEN</t>
        </is>
      </c>
      <c r="B437" s="38" t="inlineStr">
        <is>
          <t>Octavas</t>
        </is>
      </c>
      <c r="C437" s="38" t="inlineStr">
        <is>
          <t>Benguela</t>
        </is>
      </c>
      <c r="D437" s="39">
        <f>IFERROR(CLASIF_C_M!$F$9,"")</f>
        <v/>
      </c>
      <c r="E437" s="40" t="n"/>
      <c r="F437" s="39">
        <f>IFERROR(CLASIF_C_M!$F$16,"")</f>
        <v/>
      </c>
      <c r="G437" s="40" t="n"/>
      <c r="H437" s="41" t="n"/>
      <c r="I437" s="42">
        <f>IF($H437="","",MAX(0,$H437-N($E437)))</f>
        <v/>
      </c>
      <c r="J437" s="42">
        <f>IF($H437="","",MAX(0,$H437-N($G437)))</f>
        <v/>
      </c>
    </row>
    <row r="438" ht="19.5" customHeight="1" s="72">
      <c r="A438" s="38" t="inlineStr">
        <is>
          <t>CM-OCT-P05-SBA</t>
        </is>
      </c>
      <c r="B438" s="38" t="inlineStr">
        <is>
          <t>Octavas</t>
        </is>
      </c>
      <c r="C438" s="38" t="inlineStr">
        <is>
          <t>São Bento da Abadá</t>
        </is>
      </c>
      <c r="D438" s="39">
        <f>IFERROR(CLASIF_C_M!$F$9,"")</f>
        <v/>
      </c>
      <c r="E438" s="40" t="n"/>
      <c r="F438" s="39">
        <f>IFERROR(CLASIF_C_M!$F$16,"")</f>
        <v/>
      </c>
      <c r="G438" s="40" t="n"/>
      <c r="H438" s="41" t="n"/>
      <c r="I438" s="42">
        <f>IF($H438="","",MAX(0,$H438-N($E438)))</f>
        <v/>
      </c>
      <c r="J438" s="42">
        <f>IF($H438="","",MAX(0,$H438-N($G438)))</f>
        <v/>
      </c>
    </row>
    <row r="439" ht="19.5" customHeight="1" s="72">
      <c r="A439" s="38" t="inlineStr">
        <is>
          <t>CM-OCT-P05-SIR</t>
        </is>
      </c>
      <c r="B439" s="38" t="inlineStr">
        <is>
          <t>Octavas</t>
        </is>
      </c>
      <c r="C439" s="38" t="inlineStr">
        <is>
          <t>Siriuna</t>
        </is>
      </c>
      <c r="D439" s="39">
        <f>IFERROR(CLASIF_C_M!$F$9,"")</f>
        <v/>
      </c>
      <c r="E439" s="40" t="n"/>
      <c r="F439" s="39">
        <f>IFERROR(CLASIF_C_M!$F$16,"")</f>
        <v/>
      </c>
      <c r="G439" s="40" t="n"/>
      <c r="H439" s="41" t="n"/>
      <c r="I439" s="42">
        <f>IF($H439="","",MAX(0,$H439-N($E439)))</f>
        <v/>
      </c>
      <c r="J439" s="42">
        <f>IF($H439="","",MAX(0,$H439-N($G439)))</f>
        <v/>
      </c>
    </row>
    <row r="440" ht="19.5" customHeight="1" s="72">
      <c r="A440" s="38" t="inlineStr">
        <is>
          <t>CM-OCT-P06-BEN</t>
        </is>
      </c>
      <c r="B440" s="38" t="inlineStr">
        <is>
          <t>Octavas</t>
        </is>
      </c>
      <c r="C440" s="38" t="inlineStr">
        <is>
          <t>Benguela</t>
        </is>
      </c>
      <c r="D440" s="39">
        <f>IFERROR(CLASIF_C_M!$F$10,"")</f>
        <v/>
      </c>
      <c r="E440" s="40" t="n"/>
      <c r="F440" s="39">
        <f>IFERROR(CLASIF_C_M!$F$15,"")</f>
        <v/>
      </c>
      <c r="G440" s="40" t="n"/>
      <c r="H440" s="41" t="n"/>
      <c r="I440" s="42">
        <f>IF($H440="","",MAX(0,$H440-N($E440)))</f>
        <v/>
      </c>
      <c r="J440" s="42">
        <f>IF($H440="","",MAX(0,$H440-N($G440)))</f>
        <v/>
      </c>
    </row>
    <row r="441" ht="19.5" customHeight="1" s="72">
      <c r="A441" s="38" t="inlineStr">
        <is>
          <t>CM-OCT-P06-SBA</t>
        </is>
      </c>
      <c r="B441" s="38" t="inlineStr">
        <is>
          <t>Octavas</t>
        </is>
      </c>
      <c r="C441" s="38" t="inlineStr">
        <is>
          <t>São Bento da Abadá</t>
        </is>
      </c>
      <c r="D441" s="39">
        <f>IFERROR(CLASIF_C_M!$F$10,"")</f>
        <v/>
      </c>
      <c r="E441" s="40" t="n"/>
      <c r="F441" s="39">
        <f>IFERROR(CLASIF_C_M!$F$15,"")</f>
        <v/>
      </c>
      <c r="G441" s="40" t="n"/>
      <c r="H441" s="41" t="n"/>
      <c r="I441" s="42">
        <f>IF($H441="","",MAX(0,$H441-N($E441)))</f>
        <v/>
      </c>
      <c r="J441" s="42">
        <f>IF($H441="","",MAX(0,$H441-N($G441)))</f>
        <v/>
      </c>
    </row>
    <row r="442" ht="19.5" customHeight="1" s="72">
      <c r="A442" s="38" t="inlineStr">
        <is>
          <t>CM-OCT-P06-SIR</t>
        </is>
      </c>
      <c r="B442" s="38" t="inlineStr">
        <is>
          <t>Octavas</t>
        </is>
      </c>
      <c r="C442" s="38" t="inlineStr">
        <is>
          <t>Siriuna</t>
        </is>
      </c>
      <c r="D442" s="39">
        <f>IFERROR(CLASIF_C_M!$F$10,"")</f>
        <v/>
      </c>
      <c r="E442" s="40" t="n"/>
      <c r="F442" s="39">
        <f>IFERROR(CLASIF_C_M!$F$15,"")</f>
        <v/>
      </c>
      <c r="G442" s="40" t="n"/>
      <c r="H442" s="41" t="n"/>
      <c r="I442" s="42">
        <f>IF($H442="","",MAX(0,$H442-N($E442)))</f>
        <v/>
      </c>
      <c r="J442" s="42">
        <f>IF($H442="","",MAX(0,$H442-N($G442)))</f>
        <v/>
      </c>
    </row>
    <row r="443" ht="19.5" customHeight="1" s="72">
      <c r="A443" s="38" t="inlineStr">
        <is>
          <t>CM-OCT-P07-BEN</t>
        </is>
      </c>
      <c r="B443" s="38" t="inlineStr">
        <is>
          <t>Octavas</t>
        </is>
      </c>
      <c r="C443" s="38" t="inlineStr">
        <is>
          <t>Benguela</t>
        </is>
      </c>
      <c r="D443" s="39">
        <f>IFERROR(CLASIF_C_M!$F$11,"")</f>
        <v/>
      </c>
      <c r="E443" s="40" t="n"/>
      <c r="F443" s="39">
        <f>IFERROR(CLASIF_C_M!$F$14,"")</f>
        <v/>
      </c>
      <c r="G443" s="40" t="n"/>
      <c r="H443" s="41" t="n"/>
      <c r="I443" s="42">
        <f>IF($H443="","",MAX(0,$H443-N($E443)))</f>
        <v/>
      </c>
      <c r="J443" s="42">
        <f>IF($H443="","",MAX(0,$H443-N($G443)))</f>
        <v/>
      </c>
    </row>
    <row r="444" ht="19.5" customHeight="1" s="72">
      <c r="A444" s="38" t="inlineStr">
        <is>
          <t>CM-OCT-P07-SBA</t>
        </is>
      </c>
      <c r="B444" s="38" t="inlineStr">
        <is>
          <t>Octavas</t>
        </is>
      </c>
      <c r="C444" s="38" t="inlineStr">
        <is>
          <t>São Bento da Abadá</t>
        </is>
      </c>
      <c r="D444" s="39">
        <f>IFERROR(CLASIF_C_M!$F$11,"")</f>
        <v/>
      </c>
      <c r="E444" s="40" t="n"/>
      <c r="F444" s="39">
        <f>IFERROR(CLASIF_C_M!$F$14,"")</f>
        <v/>
      </c>
      <c r="G444" s="40" t="n"/>
      <c r="H444" s="41" t="n"/>
      <c r="I444" s="42">
        <f>IF($H444="","",MAX(0,$H444-N($E444)))</f>
        <v/>
      </c>
      <c r="J444" s="42">
        <f>IF($H444="","",MAX(0,$H444-N($G444)))</f>
        <v/>
      </c>
    </row>
    <row r="445" ht="19.5" customHeight="1" s="72">
      <c r="A445" s="38" t="inlineStr">
        <is>
          <t>CM-OCT-P07-SIR</t>
        </is>
      </c>
      <c r="B445" s="38" t="inlineStr">
        <is>
          <t>Octavas</t>
        </is>
      </c>
      <c r="C445" s="38" t="inlineStr">
        <is>
          <t>Siriuna</t>
        </is>
      </c>
      <c r="D445" s="39">
        <f>IFERROR(CLASIF_C_M!$F$11,"")</f>
        <v/>
      </c>
      <c r="E445" s="40" t="n"/>
      <c r="F445" s="39">
        <f>IFERROR(CLASIF_C_M!$F$14,"")</f>
        <v/>
      </c>
      <c r="G445" s="40" t="n"/>
      <c r="H445" s="41" t="n"/>
      <c r="I445" s="42">
        <f>IF($H445="","",MAX(0,$H445-N($E445)))</f>
        <v/>
      </c>
      <c r="J445" s="42">
        <f>IF($H445="","",MAX(0,$H445-N($G445)))</f>
        <v/>
      </c>
    </row>
    <row r="446" ht="19.5" customHeight="1" s="72">
      <c r="A446" s="38" t="inlineStr">
        <is>
          <t>CM-OCT-P08-BEN</t>
        </is>
      </c>
      <c r="B446" s="38" t="inlineStr">
        <is>
          <t>Octavas</t>
        </is>
      </c>
      <c r="C446" s="38" t="inlineStr">
        <is>
          <t>Benguela</t>
        </is>
      </c>
      <c r="D446" s="39">
        <f>IFERROR(CLASIF_C_M!$F$12,"")</f>
        <v/>
      </c>
      <c r="E446" s="40" t="n"/>
      <c r="F446" s="39">
        <f>IFERROR(CLASIF_C_M!$F$13,"")</f>
        <v/>
      </c>
      <c r="G446" s="40" t="n"/>
      <c r="H446" s="41" t="n"/>
      <c r="I446" s="42">
        <f>IF($H446="","",MAX(0,$H446-N($E446)))</f>
        <v/>
      </c>
      <c r="J446" s="42">
        <f>IF($H446="","",MAX(0,$H446-N($G446)))</f>
        <v/>
      </c>
    </row>
    <row r="447" ht="19.5" customHeight="1" s="72">
      <c r="A447" s="38" t="inlineStr">
        <is>
          <t>CM-OCT-P08-SBA</t>
        </is>
      </c>
      <c r="B447" s="38" t="inlineStr">
        <is>
          <t>Octavas</t>
        </is>
      </c>
      <c r="C447" s="38" t="inlineStr">
        <is>
          <t>São Bento da Abadá</t>
        </is>
      </c>
      <c r="D447" s="39">
        <f>IFERROR(CLASIF_C_M!$F$12,"")</f>
        <v/>
      </c>
      <c r="E447" s="40" t="n"/>
      <c r="F447" s="39">
        <f>IFERROR(CLASIF_C_M!$F$13,"")</f>
        <v/>
      </c>
      <c r="G447" s="40" t="n"/>
      <c r="H447" s="41" t="n"/>
      <c r="I447" s="42">
        <f>IF($H447="","",MAX(0,$H447-N($E447)))</f>
        <v/>
      </c>
      <c r="J447" s="42">
        <f>IF($H447="","",MAX(0,$H447-N($G447)))</f>
        <v/>
      </c>
    </row>
    <row r="448" ht="19.5" customHeight="1" s="72">
      <c r="A448" s="38" t="inlineStr">
        <is>
          <t>CM-OCT-P08-SIR</t>
        </is>
      </c>
      <c r="B448" s="38" t="inlineStr">
        <is>
          <t>Octavas</t>
        </is>
      </c>
      <c r="C448" s="38" t="inlineStr">
        <is>
          <t>Siriuna</t>
        </is>
      </c>
      <c r="D448" s="39">
        <f>IFERROR(CLASIF_C_M!$F$12,"")</f>
        <v/>
      </c>
      <c r="E448" s="40" t="n"/>
      <c r="F448" s="39">
        <f>IFERROR(CLASIF_C_M!$F$13,"")</f>
        <v/>
      </c>
      <c r="G448" s="40" t="n"/>
      <c r="H448" s="41" t="n"/>
      <c r="I448" s="42">
        <f>IF($H448="","",MAX(0,$H448-N($E448)))</f>
        <v/>
      </c>
      <c r="J448" s="42">
        <f>IF($H448="","",MAX(0,$H448-N($G448)))</f>
        <v/>
      </c>
    </row>
    <row r="449" ht="19.5" customHeight="1" s="72">
      <c r="A449" s="38" t="inlineStr">
        <is>
          <t>CM-SEM-P01-BEN</t>
        </is>
      </c>
      <c r="B449" s="38" t="inlineStr">
        <is>
          <t>Semifinal</t>
        </is>
      </c>
      <c r="C449" s="38" t="inlineStr">
        <is>
          <t>Benguela</t>
        </is>
      </c>
      <c r="D449" s="39">
        <f>IFERROR(CLASIF_C_M!$O$5,"")</f>
        <v/>
      </c>
      <c r="E449" s="40" t="n"/>
      <c r="F449" s="39">
        <f>IFERROR(CLASIF_C_M!$O$12,"")</f>
        <v/>
      </c>
      <c r="G449" s="40" t="n"/>
      <c r="H449" s="41" t="n"/>
      <c r="I449" s="42">
        <f>IF($H449="","",MAX(0,$H449-N($E449)))</f>
        <v/>
      </c>
      <c r="J449" s="42">
        <f>IF($H449="","",MAX(0,$H449-N($G449)))</f>
        <v/>
      </c>
    </row>
    <row r="450" ht="19.5" customHeight="1" s="72">
      <c r="A450" s="38" t="inlineStr">
        <is>
          <t>CM-SEM-P01-SBA</t>
        </is>
      </c>
      <c r="B450" s="38" t="inlineStr">
        <is>
          <t>Semifinal</t>
        </is>
      </c>
      <c r="C450" s="38" t="inlineStr">
        <is>
          <t>São Bento da Abadá</t>
        </is>
      </c>
      <c r="D450" s="39">
        <f>IFERROR(CLASIF_C_M!$O$5,"")</f>
        <v/>
      </c>
      <c r="E450" s="40" t="n"/>
      <c r="F450" s="39">
        <f>IFERROR(CLASIF_C_M!$O$12,"")</f>
        <v/>
      </c>
      <c r="G450" s="40" t="n"/>
      <c r="H450" s="41" t="n"/>
      <c r="I450" s="42">
        <f>IF($H450="","",MAX(0,$H450-N($E450)))</f>
        <v/>
      </c>
      <c r="J450" s="42">
        <f>IF($H450="","",MAX(0,$H450-N($G450)))</f>
        <v/>
      </c>
    </row>
    <row r="451" ht="19.5" customHeight="1" s="72">
      <c r="A451" s="38" t="inlineStr">
        <is>
          <t>CM-SEM-P01-SIR</t>
        </is>
      </c>
      <c r="B451" s="38" t="inlineStr">
        <is>
          <t>Semifinal</t>
        </is>
      </c>
      <c r="C451" s="38" t="inlineStr">
        <is>
          <t>Siriuna</t>
        </is>
      </c>
      <c r="D451" s="39">
        <f>IFERROR(CLASIF_C_M!$O$5,"")</f>
        <v/>
      </c>
      <c r="E451" s="40" t="n"/>
      <c r="F451" s="39">
        <f>IFERROR(CLASIF_C_M!$O$12,"")</f>
        <v/>
      </c>
      <c r="G451" s="40" t="n"/>
      <c r="H451" s="41" t="n"/>
      <c r="I451" s="42">
        <f>IF($H451="","",MAX(0,$H451-N($E451)))</f>
        <v/>
      </c>
      <c r="J451" s="42">
        <f>IF($H451="","",MAX(0,$H451-N($G451)))</f>
        <v/>
      </c>
    </row>
    <row r="452" ht="19.5" customHeight="1" s="72">
      <c r="A452" s="38" t="inlineStr">
        <is>
          <t>CM-SEM-P02-BEN</t>
        </is>
      </c>
      <c r="B452" s="38" t="inlineStr">
        <is>
          <t>Semifinal</t>
        </is>
      </c>
      <c r="C452" s="38" t="inlineStr">
        <is>
          <t>Benguela</t>
        </is>
      </c>
      <c r="D452" s="39">
        <f>IFERROR(CLASIF_C_M!$O$6,"")</f>
        <v/>
      </c>
      <c r="E452" s="40" t="n"/>
      <c r="F452" s="39">
        <f>IFERROR(CLASIF_C_M!$O$11,"")</f>
        <v/>
      </c>
      <c r="G452" s="40" t="n"/>
      <c r="H452" s="41" t="n"/>
      <c r="I452" s="42">
        <f>IF($H452="","",MAX(0,$H452-N($E452)))</f>
        <v/>
      </c>
      <c r="J452" s="42">
        <f>IF($H452="","",MAX(0,$H452-N($G452)))</f>
        <v/>
      </c>
    </row>
    <row r="453" ht="19.5" customHeight="1" s="72">
      <c r="A453" s="38" t="inlineStr">
        <is>
          <t>CM-SEM-P02-SBA</t>
        </is>
      </c>
      <c r="B453" s="38" t="inlineStr">
        <is>
          <t>Semifinal</t>
        </is>
      </c>
      <c r="C453" s="38" t="inlineStr">
        <is>
          <t>São Bento da Abadá</t>
        </is>
      </c>
      <c r="D453" s="39">
        <f>IFERROR(CLASIF_C_M!$O$6,"")</f>
        <v/>
      </c>
      <c r="E453" s="40" t="n"/>
      <c r="F453" s="39">
        <f>IFERROR(CLASIF_C_M!$O$11,"")</f>
        <v/>
      </c>
      <c r="G453" s="40" t="n"/>
      <c r="H453" s="41" t="n"/>
      <c r="I453" s="42">
        <f>IF($H453="","",MAX(0,$H453-N($E453)))</f>
        <v/>
      </c>
      <c r="J453" s="42">
        <f>IF($H453="","",MAX(0,$H453-N($G453)))</f>
        <v/>
      </c>
    </row>
    <row r="454" ht="19.5" customHeight="1" s="72">
      <c r="A454" s="38" t="inlineStr">
        <is>
          <t>CM-SEM-P02-SIR</t>
        </is>
      </c>
      <c r="B454" s="38" t="inlineStr">
        <is>
          <t>Semifinal</t>
        </is>
      </c>
      <c r="C454" s="38" t="inlineStr">
        <is>
          <t>Siriuna</t>
        </is>
      </c>
      <c r="D454" s="39">
        <f>IFERROR(CLASIF_C_M!$O$6,"")</f>
        <v/>
      </c>
      <c r="E454" s="40" t="n"/>
      <c r="F454" s="39">
        <f>IFERROR(CLASIF_C_M!$O$11,"")</f>
        <v/>
      </c>
      <c r="G454" s="40" t="n"/>
      <c r="H454" s="41" t="n"/>
      <c r="I454" s="42">
        <f>IF($H454="","",MAX(0,$H454-N($E454)))</f>
        <v/>
      </c>
      <c r="J454" s="42">
        <f>IF($H454="","",MAX(0,$H454-N($G454)))</f>
        <v/>
      </c>
    </row>
    <row r="455" ht="19.5" customHeight="1" s="72">
      <c r="A455" s="38" t="inlineStr">
        <is>
          <t>CM-SEM-P03-BEN</t>
        </is>
      </c>
      <c r="B455" s="38" t="inlineStr">
        <is>
          <t>Semifinal</t>
        </is>
      </c>
      <c r="C455" s="38" t="inlineStr">
        <is>
          <t>Benguela</t>
        </is>
      </c>
      <c r="D455" s="39">
        <f>IFERROR(CLASIF_C_M!$O$7,"")</f>
        <v/>
      </c>
      <c r="E455" s="40" t="n"/>
      <c r="F455" s="39">
        <f>IFERROR(CLASIF_C_M!$O$10,"")</f>
        <v/>
      </c>
      <c r="G455" s="40" t="n"/>
      <c r="H455" s="41" t="n"/>
      <c r="I455" s="42">
        <f>IF($H455="","",MAX(0,$H455-N($E455)))</f>
        <v/>
      </c>
      <c r="J455" s="42">
        <f>IF($H455="","",MAX(0,$H455-N($G455)))</f>
        <v/>
      </c>
    </row>
    <row r="456" ht="19.5" customHeight="1" s="72">
      <c r="A456" s="38" t="inlineStr">
        <is>
          <t>CM-SEM-P03-SBA</t>
        </is>
      </c>
      <c r="B456" s="38" t="inlineStr">
        <is>
          <t>Semifinal</t>
        </is>
      </c>
      <c r="C456" s="38" t="inlineStr">
        <is>
          <t>São Bento da Abadá</t>
        </is>
      </c>
      <c r="D456" s="39">
        <f>IFERROR(CLASIF_C_M!$O$7,"")</f>
        <v/>
      </c>
      <c r="E456" s="40" t="n"/>
      <c r="F456" s="39">
        <f>IFERROR(CLASIF_C_M!$O$10,"")</f>
        <v/>
      </c>
      <c r="G456" s="40" t="n"/>
      <c r="H456" s="41" t="n"/>
      <c r="I456" s="42">
        <f>IF($H456="","",MAX(0,$H456-N($E456)))</f>
        <v/>
      </c>
      <c r="J456" s="42">
        <f>IF($H456="","",MAX(0,$H456-N($G456)))</f>
        <v/>
      </c>
    </row>
    <row r="457" ht="19.5" customHeight="1" s="72">
      <c r="A457" s="38" t="inlineStr">
        <is>
          <t>CM-SEM-P03-SIR</t>
        </is>
      </c>
      <c r="B457" s="38" t="inlineStr">
        <is>
          <t>Semifinal</t>
        </is>
      </c>
      <c r="C457" s="38" t="inlineStr">
        <is>
          <t>Siriuna</t>
        </is>
      </c>
      <c r="D457" s="39">
        <f>IFERROR(CLASIF_C_M!$O$7,"")</f>
        <v/>
      </c>
      <c r="E457" s="40" t="n"/>
      <c r="F457" s="39">
        <f>IFERROR(CLASIF_C_M!$O$10,"")</f>
        <v/>
      </c>
      <c r="G457" s="40" t="n"/>
      <c r="H457" s="41" t="n"/>
      <c r="I457" s="42">
        <f>IF($H457="","",MAX(0,$H457-N($E457)))</f>
        <v/>
      </c>
      <c r="J457" s="42">
        <f>IF($H457="","",MAX(0,$H457-N($G457)))</f>
        <v/>
      </c>
    </row>
    <row r="458" ht="19.5" customHeight="1" s="72">
      <c r="A458" s="38" t="inlineStr">
        <is>
          <t>CM-SEM-P04-BEN</t>
        </is>
      </c>
      <c r="B458" s="38" t="inlineStr">
        <is>
          <t>Semifinal</t>
        </is>
      </c>
      <c r="C458" s="38" t="inlineStr">
        <is>
          <t>Benguela</t>
        </is>
      </c>
      <c r="D458" s="39">
        <f>IFERROR(CLASIF_C_M!$O$8,"")</f>
        <v/>
      </c>
      <c r="E458" s="40" t="n"/>
      <c r="F458" s="39">
        <f>IFERROR(CLASIF_C_M!$O$9,"")</f>
        <v/>
      </c>
      <c r="G458" s="40" t="n"/>
      <c r="H458" s="41" t="n"/>
      <c r="I458" s="42">
        <f>IF($H458="","",MAX(0,$H458-N($E458)))</f>
        <v/>
      </c>
      <c r="J458" s="42">
        <f>IF($H458="","",MAX(0,$H458-N($G458)))</f>
        <v/>
      </c>
    </row>
    <row r="459" ht="19.5" customHeight="1" s="72">
      <c r="A459" s="38" t="inlineStr">
        <is>
          <t>CM-SEM-P04-SBA</t>
        </is>
      </c>
      <c r="B459" s="38" t="inlineStr">
        <is>
          <t>Semifinal</t>
        </is>
      </c>
      <c r="C459" s="38" t="inlineStr">
        <is>
          <t>São Bento da Abadá</t>
        </is>
      </c>
      <c r="D459" s="39">
        <f>IFERROR(CLASIF_C_M!$O$8,"")</f>
        <v/>
      </c>
      <c r="E459" s="40" t="n"/>
      <c r="F459" s="39">
        <f>IFERROR(CLASIF_C_M!$O$9,"")</f>
        <v/>
      </c>
      <c r="G459" s="40" t="n"/>
      <c r="H459" s="41" t="n"/>
      <c r="I459" s="42">
        <f>IF($H459="","",MAX(0,$H459-N($E459)))</f>
        <v/>
      </c>
      <c r="J459" s="42">
        <f>IF($H459="","",MAX(0,$H459-N($G459)))</f>
        <v/>
      </c>
    </row>
    <row r="460" ht="19.5" customHeight="1" s="72">
      <c r="A460" s="38" t="inlineStr">
        <is>
          <t>CM-SEM-P04-SIR</t>
        </is>
      </c>
      <c r="B460" s="38" t="inlineStr">
        <is>
          <t>Semifinal</t>
        </is>
      </c>
      <c r="C460" s="38" t="inlineStr">
        <is>
          <t>Siriuna</t>
        </is>
      </c>
      <c r="D460" s="39">
        <f>IFERROR(CLASIF_C_M!$O$8,"")</f>
        <v/>
      </c>
      <c r="E460" s="40" t="n"/>
      <c r="F460" s="39">
        <f>IFERROR(CLASIF_C_M!$O$9,"")</f>
        <v/>
      </c>
      <c r="G460" s="40" t="n"/>
      <c r="H460" s="41" t="n"/>
      <c r="I460" s="42">
        <f>IF($H460="","",MAX(0,$H460-N($E460)))</f>
        <v/>
      </c>
      <c r="J460" s="42">
        <f>IF($H460="","",MAX(0,$H460-N($G460)))</f>
        <v/>
      </c>
    </row>
    <row r="461" ht="19.5" customHeight="1" s="72">
      <c r="A461" s="38" t="inlineStr">
        <is>
          <t>CM-FIN-P01-BEN</t>
        </is>
      </c>
      <c r="B461" s="38" t="inlineStr">
        <is>
          <t>Final</t>
        </is>
      </c>
      <c r="C461" s="38" t="inlineStr">
        <is>
          <t>Benguela</t>
        </is>
      </c>
      <c r="D461" s="39">
        <f>IFERROR(CLASIF_C_M!$X$5,"")</f>
        <v/>
      </c>
      <c r="E461" s="40" t="n"/>
      <c r="F461" s="39">
        <f>IFERROR(CLASIF_C_M!$X$8,"")</f>
        <v/>
      </c>
      <c r="G461" s="40" t="n"/>
      <c r="H461" s="41" t="n"/>
      <c r="I461" s="42">
        <f>IF($H461="","",MAX(0,$H461-N($E461)))</f>
        <v/>
      </c>
      <c r="J461" s="42">
        <f>IF($H461="","",MAX(0,$H461-N($G461)))</f>
        <v/>
      </c>
    </row>
    <row r="462" ht="19.5" customHeight="1" s="72">
      <c r="A462" s="38" t="inlineStr">
        <is>
          <t>CM-FIN-P01-SBA</t>
        </is>
      </c>
      <c r="B462" s="38" t="inlineStr">
        <is>
          <t>Final</t>
        </is>
      </c>
      <c r="C462" s="38" t="inlineStr">
        <is>
          <t>São Bento da Abadá</t>
        </is>
      </c>
      <c r="D462" s="39">
        <f>IFERROR(CLASIF_C_M!$X$5,"")</f>
        <v/>
      </c>
      <c r="E462" s="40" t="n"/>
      <c r="F462" s="39">
        <f>IFERROR(CLASIF_C_M!$X$8,"")</f>
        <v/>
      </c>
      <c r="G462" s="40" t="n"/>
      <c r="H462" s="41" t="n"/>
      <c r="I462" s="42">
        <f>IF($H462="","",MAX(0,$H462-N($E462)))</f>
        <v/>
      </c>
      <c r="J462" s="42">
        <f>IF($H462="","",MAX(0,$H462-N($G462)))</f>
        <v/>
      </c>
    </row>
    <row r="463" ht="19.5" customHeight="1" s="72">
      <c r="A463" s="38" t="inlineStr">
        <is>
          <t>CM-FIN-P01-SIR</t>
        </is>
      </c>
      <c r="B463" s="38" t="inlineStr">
        <is>
          <t>Final</t>
        </is>
      </c>
      <c r="C463" s="38" t="inlineStr">
        <is>
          <t>Siriuna</t>
        </is>
      </c>
      <c r="D463" s="39">
        <f>IFERROR(CLASIF_C_M!$X$5,"")</f>
        <v/>
      </c>
      <c r="E463" s="40" t="n"/>
      <c r="F463" s="39">
        <f>IFERROR(CLASIF_C_M!$X$8,"")</f>
        <v/>
      </c>
      <c r="G463" s="40" t="n"/>
      <c r="H463" s="41" t="n"/>
      <c r="I463" s="42">
        <f>IF($H463="","",MAX(0,$H463-N($E463)))</f>
        <v/>
      </c>
      <c r="J463" s="42">
        <f>IF($H463="","",MAX(0,$H463-N($G463)))</f>
        <v/>
      </c>
    </row>
    <row r="464" ht="19.5" customHeight="1" s="72">
      <c r="A464" s="38" t="inlineStr">
        <is>
          <t>CM-FIN-P02-BEN</t>
        </is>
      </c>
      <c r="B464" s="38" t="inlineStr">
        <is>
          <t>Final</t>
        </is>
      </c>
      <c r="C464" s="38" t="inlineStr">
        <is>
          <t>Benguela</t>
        </is>
      </c>
      <c r="D464" s="39">
        <f>IFERROR(CLASIF_C_M!$X$6,"")</f>
        <v/>
      </c>
      <c r="E464" s="40" t="n"/>
      <c r="F464" s="39">
        <f>IFERROR(CLASIF_C_M!$X$7,"")</f>
        <v/>
      </c>
      <c r="G464" s="40" t="n"/>
      <c r="H464" s="41" t="n"/>
      <c r="I464" s="42">
        <f>IF($H464="","",MAX(0,$H464-N($E464)))</f>
        <v/>
      </c>
      <c r="J464" s="42">
        <f>IF($H464="","",MAX(0,$H464-N($G464)))</f>
        <v/>
      </c>
    </row>
    <row r="465" ht="19.5" customHeight="1" s="72">
      <c r="A465" s="38" t="inlineStr">
        <is>
          <t>CM-FIN-P02-SBA</t>
        </is>
      </c>
      <c r="B465" s="38" t="inlineStr">
        <is>
          <t>Final</t>
        </is>
      </c>
      <c r="C465" s="38" t="inlineStr">
        <is>
          <t>São Bento da Abadá</t>
        </is>
      </c>
      <c r="D465" s="39">
        <f>IFERROR(CLASIF_C_M!$X$6,"")</f>
        <v/>
      </c>
      <c r="E465" s="40" t="n"/>
      <c r="F465" s="39">
        <f>IFERROR(CLASIF_C_M!$X$7,"")</f>
        <v/>
      </c>
      <c r="G465" s="40" t="n"/>
      <c r="H465" s="41" t="n"/>
      <c r="I465" s="42">
        <f>IF($H465="","",MAX(0,$H465-N($E465)))</f>
        <v/>
      </c>
      <c r="J465" s="42">
        <f>IF($H465="","",MAX(0,$H465-N($G465)))</f>
        <v/>
      </c>
    </row>
    <row r="466" ht="19.5" customHeight="1" s="72">
      <c r="A466" s="38" t="inlineStr">
        <is>
          <t>CM-FIN-P02-SIR</t>
        </is>
      </c>
      <c r="B466" s="38" t="inlineStr">
        <is>
          <t>Final</t>
        </is>
      </c>
      <c r="C466" s="38" t="inlineStr">
        <is>
          <t>Siriuna</t>
        </is>
      </c>
      <c r="D466" s="39">
        <f>IFERROR(CLASIF_C_M!$X$6,"")</f>
        <v/>
      </c>
      <c r="E466" s="40" t="n"/>
      <c r="F466" s="39">
        <f>IFERROR(CLASIF_C_M!$X$7,"")</f>
        <v/>
      </c>
      <c r="G466" s="40" t="n"/>
      <c r="H466" s="41" t="n"/>
      <c r="I466" s="42">
        <f>IF($H466="","",MAX(0,$H466-N($E466)))</f>
        <v/>
      </c>
      <c r="J466" s="42">
        <f>IF($H466="","",MAX(0,$H466-N($G466)))</f>
        <v/>
      </c>
    </row>
    <row r="467" ht="19.5" customHeight="1" s="72">
      <c r="A467" s="43" t="n"/>
      <c r="B467" s="43" t="n"/>
      <c r="C467" s="43" t="n"/>
      <c r="D467" s="43" t="n"/>
      <c r="E467" s="43" t="n"/>
      <c r="F467" s="43" t="n"/>
      <c r="G467" s="43" t="n"/>
      <c r="H467" s="44" t="n"/>
      <c r="I467" s="43">
        <f>IF($H467="","",MAX(0,$H467-N($E467)))</f>
        <v/>
      </c>
      <c r="J467" s="43">
        <f>IF($H467="","",MAX(0,$H467-N($G467)))</f>
        <v/>
      </c>
    </row>
    <row r="468" ht="19.5" customHeight="1" s="72">
      <c r="A468" s="82" t="inlineStr">
        <is>
          <t>═══ CATEGORÍA C · Femenino · Verde (Graduados) · Toques: Benguela, São Bento da Abadá, Siriuna ═══</t>
        </is>
      </c>
    </row>
    <row r="469" ht="19.5" customHeight="1" s="72">
      <c r="A469" s="45" t="inlineStr">
        <is>
          <t>Jogo</t>
        </is>
      </c>
      <c r="B469" s="45" t="inlineStr">
        <is>
          <t>Fase</t>
        </is>
      </c>
      <c r="C469" s="45" t="inlineStr">
        <is>
          <t>Toque</t>
        </is>
      </c>
      <c r="D469" s="45" t="inlineStr">
        <is>
          <t>Jugador A</t>
        </is>
      </c>
      <c r="E469" s="45" t="inlineStr">
        <is>
          <t>Quita A</t>
        </is>
      </c>
      <c r="F469" s="45" t="inlineStr">
        <is>
          <t>Jugador B</t>
        </is>
      </c>
      <c r="G469" s="45" t="inlineStr">
        <is>
          <t>Quita B</t>
        </is>
      </c>
      <c r="H469" s="45" t="inlineStr">
        <is>
          <t>NOTA (0-5)</t>
        </is>
      </c>
      <c r="I469" s="45">
        <f>IF($H469="","",MAX(0,$H469-N($E469)))</f>
        <v/>
      </c>
      <c r="J469" s="45">
        <f>IF($H469="","",MAX(0,$H469-N($G469)))</f>
        <v/>
      </c>
    </row>
    <row r="470" ht="19.5" customHeight="1" s="72">
      <c r="A470" s="38" t="inlineStr">
        <is>
          <t>CF-32-P01-BEN</t>
        </is>
      </c>
      <c r="B470" s="38" t="inlineStr">
        <is>
          <t>Fase 32</t>
        </is>
      </c>
      <c r="C470" s="38" t="inlineStr">
        <is>
          <t>Benguela</t>
        </is>
      </c>
      <c r="D470" s="39" t="inlineStr">
        <is>
          <t>A_C_F_32_P1</t>
        </is>
      </c>
      <c r="E470" s="40" t="n"/>
      <c r="F470" s="39" t="inlineStr">
        <is>
          <t>B_C_F_32_P1</t>
        </is>
      </c>
      <c r="G470" s="40" t="n"/>
      <c r="H470" s="41" t="n"/>
      <c r="I470" s="42">
        <f>IF($H470="","",MAX(0,$H470-N($E470)))</f>
        <v/>
      </c>
      <c r="J470" s="42">
        <f>IF($H470="","",MAX(0,$H470-N($G470)))</f>
        <v/>
      </c>
    </row>
    <row r="471" ht="19.5" customHeight="1" s="72">
      <c r="A471" s="38" t="inlineStr">
        <is>
          <t>CF-32-P01-SBA</t>
        </is>
      </c>
      <c r="B471" s="38" t="inlineStr">
        <is>
          <t>Fase 32</t>
        </is>
      </c>
      <c r="C471" s="38" t="inlineStr">
        <is>
          <t>São Bento da Abadá</t>
        </is>
      </c>
      <c r="D471" s="39" t="inlineStr">
        <is>
          <t>A_C_F_32_P1</t>
        </is>
      </c>
      <c r="E471" s="40" t="n"/>
      <c r="F471" s="39" t="inlineStr">
        <is>
          <t>B_C_F_32_P1</t>
        </is>
      </c>
      <c r="G471" s="40" t="n"/>
      <c r="H471" s="41" t="n"/>
      <c r="I471" s="42">
        <f>IF($H471="","",MAX(0,$H471-N($E471)))</f>
        <v/>
      </c>
      <c r="J471" s="42">
        <f>IF($H471="","",MAX(0,$H471-N($G471)))</f>
        <v/>
      </c>
    </row>
    <row r="472" ht="19.5" customHeight="1" s="72">
      <c r="A472" s="38" t="inlineStr">
        <is>
          <t>CF-32-P01-SIR</t>
        </is>
      </c>
      <c r="B472" s="38" t="inlineStr">
        <is>
          <t>Fase 32</t>
        </is>
      </c>
      <c r="C472" s="38" t="inlineStr">
        <is>
          <t>Siriuna</t>
        </is>
      </c>
      <c r="D472" s="39" t="inlineStr">
        <is>
          <t>A_C_F_32_P1</t>
        </is>
      </c>
      <c r="E472" s="40" t="n"/>
      <c r="F472" s="39" t="inlineStr">
        <is>
          <t>B_C_F_32_P1</t>
        </is>
      </c>
      <c r="G472" s="40" t="n"/>
      <c r="H472" s="41" t="n"/>
      <c r="I472" s="42">
        <f>IF($H472="","",MAX(0,$H472-N($E472)))</f>
        <v/>
      </c>
      <c r="J472" s="42">
        <f>IF($H472="","",MAX(0,$H472-N($G472)))</f>
        <v/>
      </c>
    </row>
    <row r="473" ht="19.5" customHeight="1" s="72">
      <c r="A473" s="38" t="inlineStr">
        <is>
          <t>CF-32-P02-BEN</t>
        </is>
      </c>
      <c r="B473" s="38" t="inlineStr">
        <is>
          <t>Fase 32</t>
        </is>
      </c>
      <c r="C473" s="38" t="inlineStr">
        <is>
          <t>Benguela</t>
        </is>
      </c>
      <c r="D473" s="39" t="inlineStr">
        <is>
          <t>A_C_F_32_P2</t>
        </is>
      </c>
      <c r="E473" s="40" t="n"/>
      <c r="F473" s="39" t="inlineStr">
        <is>
          <t>B_C_F_32_P2</t>
        </is>
      </c>
      <c r="G473" s="40" t="n"/>
      <c r="H473" s="41" t="n"/>
      <c r="I473" s="42">
        <f>IF($H473="","",MAX(0,$H473-N($E473)))</f>
        <v/>
      </c>
      <c r="J473" s="42">
        <f>IF($H473="","",MAX(0,$H473-N($G473)))</f>
        <v/>
      </c>
    </row>
    <row r="474" ht="19.5" customHeight="1" s="72">
      <c r="A474" s="38" t="inlineStr">
        <is>
          <t>CF-32-P02-SBA</t>
        </is>
      </c>
      <c r="B474" s="38" t="inlineStr">
        <is>
          <t>Fase 32</t>
        </is>
      </c>
      <c r="C474" s="38" t="inlineStr">
        <is>
          <t>São Bento da Abadá</t>
        </is>
      </c>
      <c r="D474" s="39" t="inlineStr">
        <is>
          <t>A_C_F_32_P2</t>
        </is>
      </c>
      <c r="E474" s="40" t="n"/>
      <c r="F474" s="39" t="inlineStr">
        <is>
          <t>B_C_F_32_P2</t>
        </is>
      </c>
      <c r="G474" s="40" t="n"/>
      <c r="H474" s="41" t="n"/>
      <c r="I474" s="42">
        <f>IF($H474="","",MAX(0,$H474-N($E474)))</f>
        <v/>
      </c>
      <c r="J474" s="42">
        <f>IF($H474="","",MAX(0,$H474-N($G474)))</f>
        <v/>
      </c>
    </row>
    <row r="475" ht="19.5" customHeight="1" s="72">
      <c r="A475" s="38" t="inlineStr">
        <is>
          <t>CF-32-P02-SIR</t>
        </is>
      </c>
      <c r="B475" s="38" t="inlineStr">
        <is>
          <t>Fase 32</t>
        </is>
      </c>
      <c r="C475" s="38" t="inlineStr">
        <is>
          <t>Siriuna</t>
        </is>
      </c>
      <c r="D475" s="39" t="inlineStr">
        <is>
          <t>A_C_F_32_P2</t>
        </is>
      </c>
      <c r="E475" s="40" t="n"/>
      <c r="F475" s="39" t="inlineStr">
        <is>
          <t>B_C_F_32_P2</t>
        </is>
      </c>
      <c r="G475" s="40" t="n"/>
      <c r="H475" s="41" t="n"/>
      <c r="I475" s="42">
        <f>IF($H475="","",MAX(0,$H475-N($E475)))</f>
        <v/>
      </c>
      <c r="J475" s="42">
        <f>IF($H475="","",MAX(0,$H475-N($G475)))</f>
        <v/>
      </c>
    </row>
    <row r="476" ht="19.5" customHeight="1" s="72">
      <c r="A476" s="38" t="inlineStr">
        <is>
          <t>CF-32-P03-BEN</t>
        </is>
      </c>
      <c r="B476" s="38" t="inlineStr">
        <is>
          <t>Fase 32</t>
        </is>
      </c>
      <c r="C476" s="38" t="inlineStr">
        <is>
          <t>Benguela</t>
        </is>
      </c>
      <c r="D476" s="39" t="inlineStr">
        <is>
          <t>A_C_F_32_P3</t>
        </is>
      </c>
      <c r="E476" s="40" t="n"/>
      <c r="F476" s="39" t="inlineStr">
        <is>
          <t>B_C_F_32_P3</t>
        </is>
      </c>
      <c r="G476" s="40" t="n"/>
      <c r="H476" s="41" t="n"/>
      <c r="I476" s="42">
        <f>IF($H476="","",MAX(0,$H476-N($E476)))</f>
        <v/>
      </c>
      <c r="J476" s="42">
        <f>IF($H476="","",MAX(0,$H476-N($G476)))</f>
        <v/>
      </c>
    </row>
    <row r="477" ht="19.5" customHeight="1" s="72">
      <c r="A477" s="38" t="inlineStr">
        <is>
          <t>CF-32-P03-SBA</t>
        </is>
      </c>
      <c r="B477" s="38" t="inlineStr">
        <is>
          <t>Fase 32</t>
        </is>
      </c>
      <c r="C477" s="38" t="inlineStr">
        <is>
          <t>São Bento da Abadá</t>
        </is>
      </c>
      <c r="D477" s="39" t="inlineStr">
        <is>
          <t>A_C_F_32_P3</t>
        </is>
      </c>
      <c r="E477" s="40" t="n"/>
      <c r="F477" s="39" t="inlineStr">
        <is>
          <t>B_C_F_32_P3</t>
        </is>
      </c>
      <c r="G477" s="40" t="n"/>
      <c r="H477" s="41" t="n"/>
      <c r="I477" s="42">
        <f>IF($H477="","",MAX(0,$H477-N($E477)))</f>
        <v/>
      </c>
      <c r="J477" s="42">
        <f>IF($H477="","",MAX(0,$H477-N($G477)))</f>
        <v/>
      </c>
    </row>
    <row r="478" ht="19.5" customHeight="1" s="72">
      <c r="A478" s="38" t="inlineStr">
        <is>
          <t>CF-32-P03-SIR</t>
        </is>
      </c>
      <c r="B478" s="38" t="inlineStr">
        <is>
          <t>Fase 32</t>
        </is>
      </c>
      <c r="C478" s="38" t="inlineStr">
        <is>
          <t>Siriuna</t>
        </is>
      </c>
      <c r="D478" s="39" t="inlineStr">
        <is>
          <t>A_C_F_32_P3</t>
        </is>
      </c>
      <c r="E478" s="40" t="n"/>
      <c r="F478" s="39" t="inlineStr">
        <is>
          <t>B_C_F_32_P3</t>
        </is>
      </c>
      <c r="G478" s="40" t="n"/>
      <c r="H478" s="41" t="n"/>
      <c r="I478" s="42">
        <f>IF($H478="","",MAX(0,$H478-N($E478)))</f>
        <v/>
      </c>
      <c r="J478" s="42">
        <f>IF($H478="","",MAX(0,$H478-N($G478)))</f>
        <v/>
      </c>
    </row>
    <row r="479" ht="19.5" customHeight="1" s="72">
      <c r="A479" s="38" t="inlineStr">
        <is>
          <t>CF-32-P04-BEN</t>
        </is>
      </c>
      <c r="B479" s="38" t="inlineStr">
        <is>
          <t>Fase 32</t>
        </is>
      </c>
      <c r="C479" s="38" t="inlineStr">
        <is>
          <t>Benguela</t>
        </is>
      </c>
      <c r="D479" s="39" t="inlineStr">
        <is>
          <t>A_C_F_32_P4</t>
        </is>
      </c>
      <c r="E479" s="40" t="n"/>
      <c r="F479" s="39" t="inlineStr">
        <is>
          <t>B_C_F_32_P4</t>
        </is>
      </c>
      <c r="G479" s="40" t="n"/>
      <c r="H479" s="41" t="n"/>
      <c r="I479" s="42">
        <f>IF($H479="","",MAX(0,$H479-N($E479)))</f>
        <v/>
      </c>
      <c r="J479" s="42">
        <f>IF($H479="","",MAX(0,$H479-N($G479)))</f>
        <v/>
      </c>
    </row>
    <row r="480" ht="19.5" customHeight="1" s="72">
      <c r="A480" s="38" t="inlineStr">
        <is>
          <t>CF-32-P04-SBA</t>
        </is>
      </c>
      <c r="B480" s="38" t="inlineStr">
        <is>
          <t>Fase 32</t>
        </is>
      </c>
      <c r="C480" s="38" t="inlineStr">
        <is>
          <t>São Bento da Abadá</t>
        </is>
      </c>
      <c r="D480" s="39" t="inlineStr">
        <is>
          <t>A_C_F_32_P4</t>
        </is>
      </c>
      <c r="E480" s="40" t="n"/>
      <c r="F480" s="39" t="inlineStr">
        <is>
          <t>B_C_F_32_P4</t>
        </is>
      </c>
      <c r="G480" s="40" t="n"/>
      <c r="H480" s="41" t="n"/>
      <c r="I480" s="42">
        <f>IF($H480="","",MAX(0,$H480-N($E480)))</f>
        <v/>
      </c>
      <c r="J480" s="42">
        <f>IF($H480="","",MAX(0,$H480-N($G480)))</f>
        <v/>
      </c>
    </row>
    <row r="481" ht="19.5" customHeight="1" s="72">
      <c r="A481" s="38" t="inlineStr">
        <is>
          <t>CF-32-P04-SIR</t>
        </is>
      </c>
      <c r="B481" s="38" t="inlineStr">
        <is>
          <t>Fase 32</t>
        </is>
      </c>
      <c r="C481" s="38" t="inlineStr">
        <is>
          <t>Siriuna</t>
        </is>
      </c>
      <c r="D481" s="39" t="inlineStr">
        <is>
          <t>A_C_F_32_P4</t>
        </is>
      </c>
      <c r="E481" s="40" t="n"/>
      <c r="F481" s="39" t="inlineStr">
        <is>
          <t>B_C_F_32_P4</t>
        </is>
      </c>
      <c r="G481" s="40" t="n"/>
      <c r="H481" s="41" t="n"/>
      <c r="I481" s="42">
        <f>IF($H481="","",MAX(0,$H481-N($E481)))</f>
        <v/>
      </c>
      <c r="J481" s="42">
        <f>IF($H481="","",MAX(0,$H481-N($G481)))</f>
        <v/>
      </c>
    </row>
    <row r="482" ht="19.5" customHeight="1" s="72">
      <c r="A482" s="38" t="inlineStr">
        <is>
          <t>CF-32-P05-BEN</t>
        </is>
      </c>
      <c r="B482" s="38" t="inlineStr">
        <is>
          <t>Fase 32</t>
        </is>
      </c>
      <c r="C482" s="38" t="inlineStr">
        <is>
          <t>Benguela</t>
        </is>
      </c>
      <c r="D482" s="39" t="inlineStr">
        <is>
          <t>A_C_F_32_P5</t>
        </is>
      </c>
      <c r="E482" s="40" t="n"/>
      <c r="F482" s="39" t="inlineStr">
        <is>
          <t>B_C_F_32_P5</t>
        </is>
      </c>
      <c r="G482" s="40" t="n"/>
      <c r="H482" s="41" t="n"/>
      <c r="I482" s="42">
        <f>IF($H482="","",MAX(0,$H482-N($E482)))</f>
        <v/>
      </c>
      <c r="J482" s="42">
        <f>IF($H482="","",MAX(0,$H482-N($G482)))</f>
        <v/>
      </c>
    </row>
    <row r="483" ht="19.5" customHeight="1" s="72">
      <c r="A483" s="38" t="inlineStr">
        <is>
          <t>CF-32-P05-SBA</t>
        </is>
      </c>
      <c r="B483" s="38" t="inlineStr">
        <is>
          <t>Fase 32</t>
        </is>
      </c>
      <c r="C483" s="38" t="inlineStr">
        <is>
          <t>São Bento da Abadá</t>
        </is>
      </c>
      <c r="D483" s="39" t="inlineStr">
        <is>
          <t>A_C_F_32_P5</t>
        </is>
      </c>
      <c r="E483" s="40" t="n"/>
      <c r="F483" s="39" t="inlineStr">
        <is>
          <t>B_C_F_32_P5</t>
        </is>
      </c>
      <c r="G483" s="40" t="n"/>
      <c r="H483" s="41" t="n"/>
      <c r="I483" s="42">
        <f>IF($H483="","",MAX(0,$H483-N($E483)))</f>
        <v/>
      </c>
      <c r="J483" s="42">
        <f>IF($H483="","",MAX(0,$H483-N($G483)))</f>
        <v/>
      </c>
    </row>
    <row r="484" ht="19.5" customHeight="1" s="72">
      <c r="A484" s="38" t="inlineStr">
        <is>
          <t>CF-32-P05-SIR</t>
        </is>
      </c>
      <c r="B484" s="38" t="inlineStr">
        <is>
          <t>Fase 32</t>
        </is>
      </c>
      <c r="C484" s="38" t="inlineStr">
        <is>
          <t>Siriuna</t>
        </is>
      </c>
      <c r="D484" s="39" t="inlineStr">
        <is>
          <t>A_C_F_32_P5</t>
        </is>
      </c>
      <c r="E484" s="40" t="n"/>
      <c r="F484" s="39" t="inlineStr">
        <is>
          <t>B_C_F_32_P5</t>
        </is>
      </c>
      <c r="G484" s="40" t="n"/>
      <c r="H484" s="41" t="n"/>
      <c r="I484" s="42">
        <f>IF($H484="","",MAX(0,$H484-N($E484)))</f>
        <v/>
      </c>
      <c r="J484" s="42">
        <f>IF($H484="","",MAX(0,$H484-N($G484)))</f>
        <v/>
      </c>
    </row>
    <row r="485" ht="19.5" customHeight="1" s="72">
      <c r="A485" s="38" t="inlineStr">
        <is>
          <t>CF-32-P06-BEN</t>
        </is>
      </c>
      <c r="B485" s="38" t="inlineStr">
        <is>
          <t>Fase 32</t>
        </is>
      </c>
      <c r="C485" s="38" t="inlineStr">
        <is>
          <t>Benguela</t>
        </is>
      </c>
      <c r="D485" s="39" t="inlineStr">
        <is>
          <t>A_C_F_32_P6</t>
        </is>
      </c>
      <c r="E485" s="40" t="n"/>
      <c r="F485" s="39" t="inlineStr">
        <is>
          <t>B_C_F_32_P6</t>
        </is>
      </c>
      <c r="G485" s="40" t="n"/>
      <c r="H485" s="41" t="n"/>
      <c r="I485" s="42">
        <f>IF($H485="","",MAX(0,$H485-N($E485)))</f>
        <v/>
      </c>
      <c r="J485" s="42">
        <f>IF($H485="","",MAX(0,$H485-N($G485)))</f>
        <v/>
      </c>
    </row>
    <row r="486" ht="19.5" customHeight="1" s="72">
      <c r="A486" s="38" t="inlineStr">
        <is>
          <t>CF-32-P06-SBA</t>
        </is>
      </c>
      <c r="B486" s="38" t="inlineStr">
        <is>
          <t>Fase 32</t>
        </is>
      </c>
      <c r="C486" s="38" t="inlineStr">
        <is>
          <t>São Bento da Abadá</t>
        </is>
      </c>
      <c r="D486" s="39" t="inlineStr">
        <is>
          <t>A_C_F_32_P6</t>
        </is>
      </c>
      <c r="E486" s="40" t="n"/>
      <c r="F486" s="39" t="inlineStr">
        <is>
          <t>B_C_F_32_P6</t>
        </is>
      </c>
      <c r="G486" s="40" t="n"/>
      <c r="H486" s="41" t="n"/>
      <c r="I486" s="42">
        <f>IF($H486="","",MAX(0,$H486-N($E486)))</f>
        <v/>
      </c>
      <c r="J486" s="42">
        <f>IF($H486="","",MAX(0,$H486-N($G486)))</f>
        <v/>
      </c>
    </row>
    <row r="487" ht="19.5" customHeight="1" s="72">
      <c r="A487" s="38" t="inlineStr">
        <is>
          <t>CF-32-P06-SIR</t>
        </is>
      </c>
      <c r="B487" s="38" t="inlineStr">
        <is>
          <t>Fase 32</t>
        </is>
      </c>
      <c r="C487" s="38" t="inlineStr">
        <is>
          <t>Siriuna</t>
        </is>
      </c>
      <c r="D487" s="39" t="inlineStr">
        <is>
          <t>A_C_F_32_P6</t>
        </is>
      </c>
      <c r="E487" s="40" t="n"/>
      <c r="F487" s="39" t="inlineStr">
        <is>
          <t>B_C_F_32_P6</t>
        </is>
      </c>
      <c r="G487" s="40" t="n"/>
      <c r="H487" s="41" t="n"/>
      <c r="I487" s="42">
        <f>IF($H487="","",MAX(0,$H487-N($E487)))</f>
        <v/>
      </c>
      <c r="J487" s="42">
        <f>IF($H487="","",MAX(0,$H487-N($G487)))</f>
        <v/>
      </c>
    </row>
    <row r="488" ht="19.5" customHeight="1" s="72">
      <c r="A488" s="38" t="inlineStr">
        <is>
          <t>CF-32-P07-BEN</t>
        </is>
      </c>
      <c r="B488" s="38" t="inlineStr">
        <is>
          <t>Fase 32</t>
        </is>
      </c>
      <c r="C488" s="38" t="inlineStr">
        <is>
          <t>Benguela</t>
        </is>
      </c>
      <c r="D488" s="39" t="inlineStr">
        <is>
          <t>A_C_F_32_P7</t>
        </is>
      </c>
      <c r="E488" s="40" t="n"/>
      <c r="F488" s="39" t="inlineStr">
        <is>
          <t>B_C_F_32_P7</t>
        </is>
      </c>
      <c r="G488" s="40" t="n"/>
      <c r="H488" s="41" t="n"/>
      <c r="I488" s="42">
        <f>IF($H488="","",MAX(0,$H488-N($E488)))</f>
        <v/>
      </c>
      <c r="J488" s="42">
        <f>IF($H488="","",MAX(0,$H488-N($G488)))</f>
        <v/>
      </c>
    </row>
    <row r="489" ht="19.5" customHeight="1" s="72">
      <c r="A489" s="38" t="inlineStr">
        <is>
          <t>CF-32-P07-SBA</t>
        </is>
      </c>
      <c r="B489" s="38" t="inlineStr">
        <is>
          <t>Fase 32</t>
        </is>
      </c>
      <c r="C489" s="38" t="inlineStr">
        <is>
          <t>São Bento da Abadá</t>
        </is>
      </c>
      <c r="D489" s="39" t="inlineStr">
        <is>
          <t>A_C_F_32_P7</t>
        </is>
      </c>
      <c r="E489" s="40" t="n"/>
      <c r="F489" s="39" t="inlineStr">
        <is>
          <t>B_C_F_32_P7</t>
        </is>
      </c>
      <c r="G489" s="40" t="n"/>
      <c r="H489" s="41" t="n"/>
      <c r="I489" s="42">
        <f>IF($H489="","",MAX(0,$H489-N($E489)))</f>
        <v/>
      </c>
      <c r="J489" s="42">
        <f>IF($H489="","",MAX(0,$H489-N($G489)))</f>
        <v/>
      </c>
    </row>
    <row r="490" ht="19.5" customHeight="1" s="72">
      <c r="A490" s="38" t="inlineStr">
        <is>
          <t>CF-32-P07-SIR</t>
        </is>
      </c>
      <c r="B490" s="38" t="inlineStr">
        <is>
          <t>Fase 32</t>
        </is>
      </c>
      <c r="C490" s="38" t="inlineStr">
        <is>
          <t>Siriuna</t>
        </is>
      </c>
      <c r="D490" s="39" t="inlineStr">
        <is>
          <t>A_C_F_32_P7</t>
        </is>
      </c>
      <c r="E490" s="40" t="n"/>
      <c r="F490" s="39" t="inlineStr">
        <is>
          <t>B_C_F_32_P7</t>
        </is>
      </c>
      <c r="G490" s="40" t="n"/>
      <c r="H490" s="41" t="n"/>
      <c r="I490" s="42">
        <f>IF($H490="","",MAX(0,$H490-N($E490)))</f>
        <v/>
      </c>
      <c r="J490" s="42">
        <f>IF($H490="","",MAX(0,$H490-N($G490)))</f>
        <v/>
      </c>
    </row>
    <row r="491" ht="19.5" customHeight="1" s="72">
      <c r="A491" s="38" t="inlineStr">
        <is>
          <t>CF-32-P08-BEN</t>
        </is>
      </c>
      <c r="B491" s="38" t="inlineStr">
        <is>
          <t>Fase 32</t>
        </is>
      </c>
      <c r="C491" s="38" t="inlineStr">
        <is>
          <t>Benguela</t>
        </is>
      </c>
      <c r="D491" s="39" t="inlineStr">
        <is>
          <t>A_C_F_32_P8</t>
        </is>
      </c>
      <c r="E491" s="40" t="n"/>
      <c r="F491" s="39" t="inlineStr">
        <is>
          <t>B_C_F_32_P8</t>
        </is>
      </c>
      <c r="G491" s="40" t="n"/>
      <c r="H491" s="41" t="n"/>
      <c r="I491" s="42">
        <f>IF($H491="","",MAX(0,$H491-N($E491)))</f>
        <v/>
      </c>
      <c r="J491" s="42">
        <f>IF($H491="","",MAX(0,$H491-N($G491)))</f>
        <v/>
      </c>
    </row>
    <row r="492" ht="19.5" customHeight="1" s="72">
      <c r="A492" s="38" t="inlineStr">
        <is>
          <t>CF-32-P08-SBA</t>
        </is>
      </c>
      <c r="B492" s="38" t="inlineStr">
        <is>
          <t>Fase 32</t>
        </is>
      </c>
      <c r="C492" s="38" t="inlineStr">
        <is>
          <t>São Bento da Abadá</t>
        </is>
      </c>
      <c r="D492" s="39" t="inlineStr">
        <is>
          <t>A_C_F_32_P8</t>
        </is>
      </c>
      <c r="E492" s="40" t="n"/>
      <c r="F492" s="39" t="inlineStr">
        <is>
          <t>B_C_F_32_P8</t>
        </is>
      </c>
      <c r="G492" s="40" t="n"/>
      <c r="H492" s="41" t="n"/>
      <c r="I492" s="42">
        <f>IF($H492="","",MAX(0,$H492-N($E492)))</f>
        <v/>
      </c>
      <c r="J492" s="42">
        <f>IF($H492="","",MAX(0,$H492-N($G492)))</f>
        <v/>
      </c>
    </row>
    <row r="493" ht="19.5" customHeight="1" s="72">
      <c r="A493" s="38" t="inlineStr">
        <is>
          <t>CF-32-P08-SIR</t>
        </is>
      </c>
      <c r="B493" s="38" t="inlineStr">
        <is>
          <t>Fase 32</t>
        </is>
      </c>
      <c r="C493" s="38" t="inlineStr">
        <is>
          <t>Siriuna</t>
        </is>
      </c>
      <c r="D493" s="39" t="inlineStr">
        <is>
          <t>A_C_F_32_P8</t>
        </is>
      </c>
      <c r="E493" s="40" t="n"/>
      <c r="F493" s="39" t="inlineStr">
        <is>
          <t>B_C_F_32_P8</t>
        </is>
      </c>
      <c r="G493" s="40" t="n"/>
      <c r="H493" s="41" t="n"/>
      <c r="I493" s="42">
        <f>IF($H493="","",MAX(0,$H493-N($E493)))</f>
        <v/>
      </c>
      <c r="J493" s="42">
        <f>IF($H493="","",MAX(0,$H493-N($G493)))</f>
        <v/>
      </c>
    </row>
    <row r="494" ht="19.5" customHeight="1" s="72">
      <c r="A494" s="38" t="inlineStr">
        <is>
          <t>CF-32-P09-BEN</t>
        </is>
      </c>
      <c r="B494" s="38" t="inlineStr">
        <is>
          <t>Fase 32</t>
        </is>
      </c>
      <c r="C494" s="38" t="inlineStr">
        <is>
          <t>Benguela</t>
        </is>
      </c>
      <c r="D494" s="39" t="inlineStr">
        <is>
          <t>A_C_F_32_P9</t>
        </is>
      </c>
      <c r="E494" s="40" t="n"/>
      <c r="F494" s="39" t="inlineStr">
        <is>
          <t>B_C_F_32_P9</t>
        </is>
      </c>
      <c r="G494" s="40" t="n"/>
      <c r="H494" s="41" t="n"/>
      <c r="I494" s="42">
        <f>IF($H494="","",MAX(0,$H494-N($E494)))</f>
        <v/>
      </c>
      <c r="J494" s="42">
        <f>IF($H494="","",MAX(0,$H494-N($G494)))</f>
        <v/>
      </c>
    </row>
    <row r="495" ht="19.5" customHeight="1" s="72">
      <c r="A495" s="38" t="inlineStr">
        <is>
          <t>CF-32-P09-SBA</t>
        </is>
      </c>
      <c r="B495" s="38" t="inlineStr">
        <is>
          <t>Fase 32</t>
        </is>
      </c>
      <c r="C495" s="38" t="inlineStr">
        <is>
          <t>São Bento da Abadá</t>
        </is>
      </c>
      <c r="D495" s="39" t="inlineStr">
        <is>
          <t>A_C_F_32_P9</t>
        </is>
      </c>
      <c r="E495" s="40" t="n"/>
      <c r="F495" s="39" t="inlineStr">
        <is>
          <t>B_C_F_32_P9</t>
        </is>
      </c>
      <c r="G495" s="40" t="n"/>
      <c r="H495" s="41" t="n"/>
      <c r="I495" s="42">
        <f>IF($H495="","",MAX(0,$H495-N($E495)))</f>
        <v/>
      </c>
      <c r="J495" s="42">
        <f>IF($H495="","",MAX(0,$H495-N($G495)))</f>
        <v/>
      </c>
    </row>
    <row r="496" ht="19.5" customHeight="1" s="72">
      <c r="A496" s="38" t="inlineStr">
        <is>
          <t>CF-32-P09-SIR</t>
        </is>
      </c>
      <c r="B496" s="38" t="inlineStr">
        <is>
          <t>Fase 32</t>
        </is>
      </c>
      <c r="C496" s="38" t="inlineStr">
        <is>
          <t>Siriuna</t>
        </is>
      </c>
      <c r="D496" s="39" t="inlineStr">
        <is>
          <t>A_C_F_32_P9</t>
        </is>
      </c>
      <c r="E496" s="40" t="n"/>
      <c r="F496" s="39" t="inlineStr">
        <is>
          <t>B_C_F_32_P9</t>
        </is>
      </c>
      <c r="G496" s="40" t="n"/>
      <c r="H496" s="41" t="n"/>
      <c r="I496" s="42">
        <f>IF($H496="","",MAX(0,$H496-N($E496)))</f>
        <v/>
      </c>
      <c r="J496" s="42">
        <f>IF($H496="","",MAX(0,$H496-N($G496)))</f>
        <v/>
      </c>
    </row>
    <row r="497" ht="19.5" customHeight="1" s="72">
      <c r="A497" s="38" t="inlineStr">
        <is>
          <t>CF-32-P10-BEN</t>
        </is>
      </c>
      <c r="B497" s="38" t="inlineStr">
        <is>
          <t>Fase 32</t>
        </is>
      </c>
      <c r="C497" s="38" t="inlineStr">
        <is>
          <t>Benguela</t>
        </is>
      </c>
      <c r="D497" s="39" t="inlineStr">
        <is>
          <t>A_C_F_32_P10</t>
        </is>
      </c>
      <c r="E497" s="40" t="n"/>
      <c r="F497" s="39" t="inlineStr">
        <is>
          <t>B_C_F_32_P10</t>
        </is>
      </c>
      <c r="G497" s="40" t="n"/>
      <c r="H497" s="41" t="n"/>
      <c r="I497" s="42">
        <f>IF($H497="","",MAX(0,$H497-N($E497)))</f>
        <v/>
      </c>
      <c r="J497" s="42">
        <f>IF($H497="","",MAX(0,$H497-N($G497)))</f>
        <v/>
      </c>
    </row>
    <row r="498" ht="19.5" customHeight="1" s="72">
      <c r="A498" s="38" t="inlineStr">
        <is>
          <t>CF-32-P10-SBA</t>
        </is>
      </c>
      <c r="B498" s="38" t="inlineStr">
        <is>
          <t>Fase 32</t>
        </is>
      </c>
      <c r="C498" s="38" t="inlineStr">
        <is>
          <t>São Bento da Abadá</t>
        </is>
      </c>
      <c r="D498" s="39" t="inlineStr">
        <is>
          <t>A_C_F_32_P10</t>
        </is>
      </c>
      <c r="E498" s="40" t="n"/>
      <c r="F498" s="39" t="inlineStr">
        <is>
          <t>B_C_F_32_P10</t>
        </is>
      </c>
      <c r="G498" s="40" t="n"/>
      <c r="H498" s="41" t="n"/>
      <c r="I498" s="42">
        <f>IF($H498="","",MAX(0,$H498-N($E498)))</f>
        <v/>
      </c>
      <c r="J498" s="42">
        <f>IF($H498="","",MAX(0,$H498-N($G498)))</f>
        <v/>
      </c>
    </row>
    <row r="499" ht="19.5" customHeight="1" s="72">
      <c r="A499" s="38" t="inlineStr">
        <is>
          <t>CF-32-P10-SIR</t>
        </is>
      </c>
      <c r="B499" s="38" t="inlineStr">
        <is>
          <t>Fase 32</t>
        </is>
      </c>
      <c r="C499" s="38" t="inlineStr">
        <is>
          <t>Siriuna</t>
        </is>
      </c>
      <c r="D499" s="39" t="inlineStr">
        <is>
          <t>A_C_F_32_P10</t>
        </is>
      </c>
      <c r="E499" s="40" t="n"/>
      <c r="F499" s="39" t="inlineStr">
        <is>
          <t>B_C_F_32_P10</t>
        </is>
      </c>
      <c r="G499" s="40" t="n"/>
      <c r="H499" s="41" t="n"/>
      <c r="I499" s="42">
        <f>IF($H499="","",MAX(0,$H499-N($E499)))</f>
        <v/>
      </c>
      <c r="J499" s="42">
        <f>IF($H499="","",MAX(0,$H499-N($G499)))</f>
        <v/>
      </c>
    </row>
    <row r="500" ht="19.5" customHeight="1" s="72">
      <c r="A500" s="38" t="inlineStr">
        <is>
          <t>CF-32-P11-BEN</t>
        </is>
      </c>
      <c r="B500" s="38" t="inlineStr">
        <is>
          <t>Fase 32</t>
        </is>
      </c>
      <c r="C500" s="38" t="inlineStr">
        <is>
          <t>Benguela</t>
        </is>
      </c>
      <c r="D500" s="39" t="inlineStr">
        <is>
          <t>A_C_F_32_P11</t>
        </is>
      </c>
      <c r="E500" s="40" t="n"/>
      <c r="F500" s="39" t="inlineStr">
        <is>
          <t>B_C_F_32_P11</t>
        </is>
      </c>
      <c r="G500" s="40" t="n"/>
      <c r="H500" s="41" t="n"/>
      <c r="I500" s="42">
        <f>IF($H500="","",MAX(0,$H500-N($E500)))</f>
        <v/>
      </c>
      <c r="J500" s="42">
        <f>IF($H500="","",MAX(0,$H500-N($G500)))</f>
        <v/>
      </c>
    </row>
    <row r="501" ht="19.5" customHeight="1" s="72">
      <c r="A501" s="38" t="inlineStr">
        <is>
          <t>CF-32-P11-SBA</t>
        </is>
      </c>
      <c r="B501" s="38" t="inlineStr">
        <is>
          <t>Fase 32</t>
        </is>
      </c>
      <c r="C501" s="38" t="inlineStr">
        <is>
          <t>São Bento da Abadá</t>
        </is>
      </c>
      <c r="D501" s="39" t="inlineStr">
        <is>
          <t>A_C_F_32_P11</t>
        </is>
      </c>
      <c r="E501" s="40" t="n"/>
      <c r="F501" s="39" t="inlineStr">
        <is>
          <t>B_C_F_32_P11</t>
        </is>
      </c>
      <c r="G501" s="40" t="n"/>
      <c r="H501" s="41" t="n"/>
      <c r="I501" s="42">
        <f>IF($H501="","",MAX(0,$H501-N($E501)))</f>
        <v/>
      </c>
      <c r="J501" s="42">
        <f>IF($H501="","",MAX(0,$H501-N($G501)))</f>
        <v/>
      </c>
    </row>
    <row r="502" ht="19.5" customHeight="1" s="72">
      <c r="A502" s="38" t="inlineStr">
        <is>
          <t>CF-32-P11-SIR</t>
        </is>
      </c>
      <c r="B502" s="38" t="inlineStr">
        <is>
          <t>Fase 32</t>
        </is>
      </c>
      <c r="C502" s="38" t="inlineStr">
        <is>
          <t>Siriuna</t>
        </is>
      </c>
      <c r="D502" s="39" t="inlineStr">
        <is>
          <t>A_C_F_32_P11</t>
        </is>
      </c>
      <c r="E502" s="40" t="n"/>
      <c r="F502" s="39" t="inlineStr">
        <is>
          <t>B_C_F_32_P11</t>
        </is>
      </c>
      <c r="G502" s="40" t="n"/>
      <c r="H502" s="41" t="n"/>
      <c r="I502" s="42">
        <f>IF($H502="","",MAX(0,$H502-N($E502)))</f>
        <v/>
      </c>
      <c r="J502" s="42">
        <f>IF($H502="","",MAX(0,$H502-N($G502)))</f>
        <v/>
      </c>
    </row>
    <row r="503" ht="19.5" customHeight="1" s="72">
      <c r="A503" s="38" t="inlineStr">
        <is>
          <t>CF-32-P12-BEN</t>
        </is>
      </c>
      <c r="B503" s="38" t="inlineStr">
        <is>
          <t>Fase 32</t>
        </is>
      </c>
      <c r="C503" s="38" t="inlineStr">
        <is>
          <t>Benguela</t>
        </is>
      </c>
      <c r="D503" s="39" t="inlineStr">
        <is>
          <t>A_C_F_32_P12</t>
        </is>
      </c>
      <c r="E503" s="40" t="n"/>
      <c r="F503" s="39" t="inlineStr">
        <is>
          <t>B_C_F_32_P12</t>
        </is>
      </c>
      <c r="G503" s="40" t="n"/>
      <c r="H503" s="41" t="n"/>
      <c r="I503" s="42">
        <f>IF($H503="","",MAX(0,$H503-N($E503)))</f>
        <v/>
      </c>
      <c r="J503" s="42">
        <f>IF($H503="","",MAX(0,$H503-N($G503)))</f>
        <v/>
      </c>
    </row>
    <row r="504" ht="19.5" customHeight="1" s="72">
      <c r="A504" s="38" t="inlineStr">
        <is>
          <t>CF-32-P12-SBA</t>
        </is>
      </c>
      <c r="B504" s="38" t="inlineStr">
        <is>
          <t>Fase 32</t>
        </is>
      </c>
      <c r="C504" s="38" t="inlineStr">
        <is>
          <t>São Bento da Abadá</t>
        </is>
      </c>
      <c r="D504" s="39" t="inlineStr">
        <is>
          <t>A_C_F_32_P12</t>
        </is>
      </c>
      <c r="E504" s="40" t="n"/>
      <c r="F504" s="39" t="inlineStr">
        <is>
          <t>B_C_F_32_P12</t>
        </is>
      </c>
      <c r="G504" s="40" t="n"/>
      <c r="H504" s="41" t="n"/>
      <c r="I504" s="42">
        <f>IF($H504="","",MAX(0,$H504-N($E504)))</f>
        <v/>
      </c>
      <c r="J504" s="42">
        <f>IF($H504="","",MAX(0,$H504-N($G504)))</f>
        <v/>
      </c>
    </row>
    <row r="505" ht="19.5" customHeight="1" s="72">
      <c r="A505" s="38" t="inlineStr">
        <is>
          <t>CF-32-P12-SIR</t>
        </is>
      </c>
      <c r="B505" s="38" t="inlineStr">
        <is>
          <t>Fase 32</t>
        </is>
      </c>
      <c r="C505" s="38" t="inlineStr">
        <is>
          <t>Siriuna</t>
        </is>
      </c>
      <c r="D505" s="39" t="inlineStr">
        <is>
          <t>A_C_F_32_P12</t>
        </is>
      </c>
      <c r="E505" s="40" t="n"/>
      <c r="F505" s="39" t="inlineStr">
        <is>
          <t>B_C_F_32_P12</t>
        </is>
      </c>
      <c r="G505" s="40" t="n"/>
      <c r="H505" s="41" t="n"/>
      <c r="I505" s="42">
        <f>IF($H505="","",MAX(0,$H505-N($E505)))</f>
        <v/>
      </c>
      <c r="J505" s="42">
        <f>IF($H505="","",MAX(0,$H505-N($G505)))</f>
        <v/>
      </c>
    </row>
    <row r="506" ht="19.5" customHeight="1" s="72">
      <c r="A506" s="38" t="inlineStr">
        <is>
          <t>CF-32-P13-BEN</t>
        </is>
      </c>
      <c r="B506" s="38" t="inlineStr">
        <is>
          <t>Fase 32</t>
        </is>
      </c>
      <c r="C506" s="38" t="inlineStr">
        <is>
          <t>Benguela</t>
        </is>
      </c>
      <c r="D506" s="39" t="inlineStr">
        <is>
          <t>A_C_F_32_P13</t>
        </is>
      </c>
      <c r="E506" s="40" t="n"/>
      <c r="F506" s="39" t="inlineStr">
        <is>
          <t>B_C_F_32_P13</t>
        </is>
      </c>
      <c r="G506" s="40" t="n"/>
      <c r="H506" s="41" t="n"/>
      <c r="I506" s="42">
        <f>IF($H506="","",MAX(0,$H506-N($E506)))</f>
        <v/>
      </c>
      <c r="J506" s="42">
        <f>IF($H506="","",MAX(0,$H506-N($G506)))</f>
        <v/>
      </c>
    </row>
    <row r="507" ht="19.5" customHeight="1" s="72">
      <c r="A507" s="38" t="inlineStr">
        <is>
          <t>CF-32-P13-SBA</t>
        </is>
      </c>
      <c r="B507" s="38" t="inlineStr">
        <is>
          <t>Fase 32</t>
        </is>
      </c>
      <c r="C507" s="38" t="inlineStr">
        <is>
          <t>São Bento da Abadá</t>
        </is>
      </c>
      <c r="D507" s="39" t="inlineStr">
        <is>
          <t>A_C_F_32_P13</t>
        </is>
      </c>
      <c r="E507" s="40" t="n"/>
      <c r="F507" s="39" t="inlineStr">
        <is>
          <t>B_C_F_32_P13</t>
        </is>
      </c>
      <c r="G507" s="40" t="n"/>
      <c r="H507" s="41" t="n"/>
      <c r="I507" s="42">
        <f>IF($H507="","",MAX(0,$H507-N($E507)))</f>
        <v/>
      </c>
      <c r="J507" s="42">
        <f>IF($H507="","",MAX(0,$H507-N($G507)))</f>
        <v/>
      </c>
    </row>
    <row r="508" ht="19.5" customHeight="1" s="72">
      <c r="A508" s="38" t="inlineStr">
        <is>
          <t>CF-32-P13-SIR</t>
        </is>
      </c>
      <c r="B508" s="38" t="inlineStr">
        <is>
          <t>Fase 32</t>
        </is>
      </c>
      <c r="C508" s="38" t="inlineStr">
        <is>
          <t>Siriuna</t>
        </is>
      </c>
      <c r="D508" s="39" t="inlineStr">
        <is>
          <t>A_C_F_32_P13</t>
        </is>
      </c>
      <c r="E508" s="40" t="n"/>
      <c r="F508" s="39" t="inlineStr">
        <is>
          <t>B_C_F_32_P13</t>
        </is>
      </c>
      <c r="G508" s="40" t="n"/>
      <c r="H508" s="41" t="n"/>
      <c r="I508" s="42">
        <f>IF($H508="","",MAX(0,$H508-N($E508)))</f>
        <v/>
      </c>
      <c r="J508" s="42">
        <f>IF($H508="","",MAX(0,$H508-N($G508)))</f>
        <v/>
      </c>
    </row>
    <row r="509" ht="19.5" customHeight="1" s="72">
      <c r="A509" s="38" t="inlineStr">
        <is>
          <t>CF-32-P14-BEN</t>
        </is>
      </c>
      <c r="B509" s="38" t="inlineStr">
        <is>
          <t>Fase 32</t>
        </is>
      </c>
      <c r="C509" s="38" t="inlineStr">
        <is>
          <t>Benguela</t>
        </is>
      </c>
      <c r="D509" s="39" t="inlineStr">
        <is>
          <t>A_C_F_32_P14</t>
        </is>
      </c>
      <c r="E509" s="40" t="n"/>
      <c r="F509" s="39" t="inlineStr">
        <is>
          <t>B_C_F_32_P14</t>
        </is>
      </c>
      <c r="G509" s="40" t="n"/>
      <c r="H509" s="41" t="n"/>
      <c r="I509" s="42">
        <f>IF($H509="","",MAX(0,$H509-N($E509)))</f>
        <v/>
      </c>
      <c r="J509" s="42">
        <f>IF($H509="","",MAX(0,$H509-N($G509)))</f>
        <v/>
      </c>
    </row>
    <row r="510" ht="19.5" customHeight="1" s="72">
      <c r="A510" s="38" t="inlineStr">
        <is>
          <t>CF-32-P14-SBA</t>
        </is>
      </c>
      <c r="B510" s="38" t="inlineStr">
        <is>
          <t>Fase 32</t>
        </is>
      </c>
      <c r="C510" s="38" t="inlineStr">
        <is>
          <t>São Bento da Abadá</t>
        </is>
      </c>
      <c r="D510" s="39" t="inlineStr">
        <is>
          <t>A_C_F_32_P14</t>
        </is>
      </c>
      <c r="E510" s="40" t="n"/>
      <c r="F510" s="39" t="inlineStr">
        <is>
          <t>B_C_F_32_P14</t>
        </is>
      </c>
      <c r="G510" s="40" t="n"/>
      <c r="H510" s="41" t="n"/>
      <c r="I510" s="42">
        <f>IF($H510="","",MAX(0,$H510-N($E510)))</f>
        <v/>
      </c>
      <c r="J510" s="42">
        <f>IF($H510="","",MAX(0,$H510-N($G510)))</f>
        <v/>
      </c>
    </row>
    <row r="511" ht="19.5" customHeight="1" s="72">
      <c r="A511" s="38" t="inlineStr">
        <is>
          <t>CF-32-P14-SIR</t>
        </is>
      </c>
      <c r="B511" s="38" t="inlineStr">
        <is>
          <t>Fase 32</t>
        </is>
      </c>
      <c r="C511" s="38" t="inlineStr">
        <is>
          <t>Siriuna</t>
        </is>
      </c>
      <c r="D511" s="39" t="inlineStr">
        <is>
          <t>A_C_F_32_P14</t>
        </is>
      </c>
      <c r="E511" s="40" t="n"/>
      <c r="F511" s="39" t="inlineStr">
        <is>
          <t>B_C_F_32_P14</t>
        </is>
      </c>
      <c r="G511" s="40" t="n"/>
      <c r="H511" s="41" t="n"/>
      <c r="I511" s="42">
        <f>IF($H511="","",MAX(0,$H511-N($E511)))</f>
        <v/>
      </c>
      <c r="J511" s="42">
        <f>IF($H511="","",MAX(0,$H511-N($G511)))</f>
        <v/>
      </c>
    </row>
    <row r="512" ht="19.5" customHeight="1" s="72">
      <c r="A512" s="38" t="inlineStr">
        <is>
          <t>CF-32-P15-BEN</t>
        </is>
      </c>
      <c r="B512" s="38" t="inlineStr">
        <is>
          <t>Fase 32</t>
        </is>
      </c>
      <c r="C512" s="38" t="inlineStr">
        <is>
          <t>Benguela</t>
        </is>
      </c>
      <c r="D512" s="39" t="inlineStr">
        <is>
          <t>A_C_F_32_P15</t>
        </is>
      </c>
      <c r="E512" s="40" t="n"/>
      <c r="F512" s="39" t="inlineStr">
        <is>
          <t>B_C_F_32_P15</t>
        </is>
      </c>
      <c r="G512" s="40" t="n"/>
      <c r="H512" s="41" t="n"/>
      <c r="I512" s="42">
        <f>IF($H512="","",MAX(0,$H512-N($E512)))</f>
        <v/>
      </c>
      <c r="J512" s="42">
        <f>IF($H512="","",MAX(0,$H512-N($G512)))</f>
        <v/>
      </c>
    </row>
    <row r="513" ht="19.5" customHeight="1" s="72">
      <c r="A513" s="38" t="inlineStr">
        <is>
          <t>CF-32-P15-SBA</t>
        </is>
      </c>
      <c r="B513" s="38" t="inlineStr">
        <is>
          <t>Fase 32</t>
        </is>
      </c>
      <c r="C513" s="38" t="inlineStr">
        <is>
          <t>São Bento da Abadá</t>
        </is>
      </c>
      <c r="D513" s="39" t="inlineStr">
        <is>
          <t>A_C_F_32_P15</t>
        </is>
      </c>
      <c r="E513" s="40" t="n"/>
      <c r="F513" s="39" t="inlineStr">
        <is>
          <t>B_C_F_32_P15</t>
        </is>
      </c>
      <c r="G513" s="40" t="n"/>
      <c r="H513" s="41" t="n"/>
      <c r="I513" s="42">
        <f>IF($H513="","",MAX(0,$H513-N($E513)))</f>
        <v/>
      </c>
      <c r="J513" s="42">
        <f>IF($H513="","",MAX(0,$H513-N($G513)))</f>
        <v/>
      </c>
    </row>
    <row r="514" ht="19.5" customHeight="1" s="72">
      <c r="A514" s="38" t="inlineStr">
        <is>
          <t>CF-32-P15-SIR</t>
        </is>
      </c>
      <c r="B514" s="38" t="inlineStr">
        <is>
          <t>Fase 32</t>
        </is>
      </c>
      <c r="C514" s="38" t="inlineStr">
        <is>
          <t>Siriuna</t>
        </is>
      </c>
      <c r="D514" s="39" t="inlineStr">
        <is>
          <t>A_C_F_32_P15</t>
        </is>
      </c>
      <c r="E514" s="40" t="n"/>
      <c r="F514" s="39" t="inlineStr">
        <is>
          <t>B_C_F_32_P15</t>
        </is>
      </c>
      <c r="G514" s="40" t="n"/>
      <c r="H514" s="41" t="n"/>
      <c r="I514" s="42">
        <f>IF($H514="","",MAX(0,$H514-N($E514)))</f>
        <v/>
      </c>
      <c r="J514" s="42">
        <f>IF($H514="","",MAX(0,$H514-N($G514)))</f>
        <v/>
      </c>
    </row>
    <row r="515" ht="19.5" customHeight="1" s="72">
      <c r="A515" s="38" t="inlineStr">
        <is>
          <t>CF-32-P16-BEN</t>
        </is>
      </c>
      <c r="B515" s="38" t="inlineStr">
        <is>
          <t>Fase 32</t>
        </is>
      </c>
      <c r="C515" s="38" t="inlineStr">
        <is>
          <t>Benguela</t>
        </is>
      </c>
      <c r="D515" s="39" t="inlineStr">
        <is>
          <t>A_C_F_32_P16</t>
        </is>
      </c>
      <c r="E515" s="40" t="n"/>
      <c r="F515" s="39" t="inlineStr">
        <is>
          <t>B_C_F_32_P16</t>
        </is>
      </c>
      <c r="G515" s="40" t="n"/>
      <c r="H515" s="41" t="n"/>
      <c r="I515" s="42">
        <f>IF($H515="","",MAX(0,$H515-N($E515)))</f>
        <v/>
      </c>
      <c r="J515" s="42">
        <f>IF($H515="","",MAX(0,$H515-N($G515)))</f>
        <v/>
      </c>
    </row>
    <row r="516" ht="19.5" customHeight="1" s="72">
      <c r="A516" s="38" t="inlineStr">
        <is>
          <t>CF-32-P16-SBA</t>
        </is>
      </c>
      <c r="B516" s="38" t="inlineStr">
        <is>
          <t>Fase 32</t>
        </is>
      </c>
      <c r="C516" s="38" t="inlineStr">
        <is>
          <t>São Bento da Abadá</t>
        </is>
      </c>
      <c r="D516" s="39" t="inlineStr">
        <is>
          <t>A_C_F_32_P16</t>
        </is>
      </c>
      <c r="E516" s="40" t="n"/>
      <c r="F516" s="39" t="inlineStr">
        <is>
          <t>B_C_F_32_P16</t>
        </is>
      </c>
      <c r="G516" s="40" t="n"/>
      <c r="H516" s="41" t="n"/>
      <c r="I516" s="42">
        <f>IF($H516="","",MAX(0,$H516-N($E516)))</f>
        <v/>
      </c>
      <c r="J516" s="42">
        <f>IF($H516="","",MAX(0,$H516-N($G516)))</f>
        <v/>
      </c>
    </row>
    <row r="517" ht="19.5" customHeight="1" s="72">
      <c r="A517" s="38" t="inlineStr">
        <is>
          <t>CF-32-P16-SIR</t>
        </is>
      </c>
      <c r="B517" s="38" t="inlineStr">
        <is>
          <t>Fase 32</t>
        </is>
      </c>
      <c r="C517" s="38" t="inlineStr">
        <is>
          <t>Siriuna</t>
        </is>
      </c>
      <c r="D517" s="39" t="inlineStr">
        <is>
          <t>A_C_F_32_P16</t>
        </is>
      </c>
      <c r="E517" s="40" t="n"/>
      <c r="F517" s="39" t="inlineStr">
        <is>
          <t>B_C_F_32_P16</t>
        </is>
      </c>
      <c r="G517" s="40" t="n"/>
      <c r="H517" s="41" t="n"/>
      <c r="I517" s="42">
        <f>IF($H517="","",MAX(0,$H517-N($E517)))</f>
        <v/>
      </c>
      <c r="J517" s="42">
        <f>IF($H517="","",MAX(0,$H517-N($G517)))</f>
        <v/>
      </c>
    </row>
    <row r="518" ht="19.5" customHeight="1" s="72">
      <c r="A518" s="38" t="inlineStr">
        <is>
          <t>CF-OCT-P01-BEN</t>
        </is>
      </c>
      <c r="B518" s="38" t="inlineStr">
        <is>
          <t>Octavas</t>
        </is>
      </c>
      <c r="C518" s="38" t="inlineStr">
        <is>
          <t>Benguela</t>
        </is>
      </c>
      <c r="D518" s="39">
        <f>IFERROR(CLASIF_C_F!$F$5,"")</f>
        <v/>
      </c>
      <c r="E518" s="40" t="n"/>
      <c r="F518" s="39">
        <f>IFERROR(CLASIF_C_F!$F$20,"")</f>
        <v/>
      </c>
      <c r="G518" s="40" t="n"/>
      <c r="H518" s="41" t="n"/>
      <c r="I518" s="42">
        <f>IF($H518="","",MAX(0,$H518-N($E518)))</f>
        <v/>
      </c>
      <c r="J518" s="42">
        <f>IF($H518="","",MAX(0,$H518-N($G518)))</f>
        <v/>
      </c>
    </row>
    <row r="519" ht="19.5" customHeight="1" s="72">
      <c r="A519" s="38" t="inlineStr">
        <is>
          <t>CF-OCT-P01-SBA</t>
        </is>
      </c>
      <c r="B519" s="38" t="inlineStr">
        <is>
          <t>Octavas</t>
        </is>
      </c>
      <c r="C519" s="38" t="inlineStr">
        <is>
          <t>São Bento da Abadá</t>
        </is>
      </c>
      <c r="D519" s="39">
        <f>IFERROR(CLASIF_C_F!$F$5,"")</f>
        <v/>
      </c>
      <c r="E519" s="40" t="n"/>
      <c r="F519" s="39">
        <f>IFERROR(CLASIF_C_F!$F$20,"")</f>
        <v/>
      </c>
      <c r="G519" s="40" t="n"/>
      <c r="H519" s="41" t="n"/>
      <c r="I519" s="42">
        <f>IF($H519="","",MAX(0,$H519-N($E519)))</f>
        <v/>
      </c>
      <c r="J519" s="42">
        <f>IF($H519="","",MAX(0,$H519-N($G519)))</f>
        <v/>
      </c>
    </row>
    <row r="520" ht="19.5" customHeight="1" s="72">
      <c r="A520" s="38" t="inlineStr">
        <is>
          <t>CF-OCT-P01-SIR</t>
        </is>
      </c>
      <c r="B520" s="38" t="inlineStr">
        <is>
          <t>Octavas</t>
        </is>
      </c>
      <c r="C520" s="38" t="inlineStr">
        <is>
          <t>Siriuna</t>
        </is>
      </c>
      <c r="D520" s="39">
        <f>IFERROR(CLASIF_C_F!$F$5,"")</f>
        <v/>
      </c>
      <c r="E520" s="40" t="n"/>
      <c r="F520" s="39">
        <f>IFERROR(CLASIF_C_F!$F$20,"")</f>
        <v/>
      </c>
      <c r="G520" s="40" t="n"/>
      <c r="H520" s="41" t="n"/>
      <c r="I520" s="42">
        <f>IF($H520="","",MAX(0,$H520-N($E520)))</f>
        <v/>
      </c>
      <c r="J520" s="42">
        <f>IF($H520="","",MAX(0,$H520-N($G520)))</f>
        <v/>
      </c>
    </row>
    <row r="521" ht="19.5" customHeight="1" s="72">
      <c r="A521" s="38" t="inlineStr">
        <is>
          <t>CF-OCT-P02-BEN</t>
        </is>
      </c>
      <c r="B521" s="38" t="inlineStr">
        <is>
          <t>Octavas</t>
        </is>
      </c>
      <c r="C521" s="38" t="inlineStr">
        <is>
          <t>Benguela</t>
        </is>
      </c>
      <c r="D521" s="39">
        <f>IFERROR(CLASIF_C_F!$F$6,"")</f>
        <v/>
      </c>
      <c r="E521" s="40" t="n"/>
      <c r="F521" s="39">
        <f>IFERROR(CLASIF_C_F!$F$19,"")</f>
        <v/>
      </c>
      <c r="G521" s="40" t="n"/>
      <c r="H521" s="41" t="n"/>
      <c r="I521" s="42">
        <f>IF($H521="","",MAX(0,$H521-N($E521)))</f>
        <v/>
      </c>
      <c r="J521" s="42">
        <f>IF($H521="","",MAX(0,$H521-N($G521)))</f>
        <v/>
      </c>
    </row>
    <row r="522" ht="19.5" customHeight="1" s="72">
      <c r="A522" s="38" t="inlineStr">
        <is>
          <t>CF-OCT-P02-SBA</t>
        </is>
      </c>
      <c r="B522" s="38" t="inlineStr">
        <is>
          <t>Octavas</t>
        </is>
      </c>
      <c r="C522" s="38" t="inlineStr">
        <is>
          <t>São Bento da Abadá</t>
        </is>
      </c>
      <c r="D522" s="39">
        <f>IFERROR(CLASIF_C_F!$F$6,"")</f>
        <v/>
      </c>
      <c r="E522" s="40" t="n"/>
      <c r="F522" s="39">
        <f>IFERROR(CLASIF_C_F!$F$19,"")</f>
        <v/>
      </c>
      <c r="G522" s="40" t="n"/>
      <c r="H522" s="41" t="n"/>
      <c r="I522" s="42">
        <f>IF($H522="","",MAX(0,$H522-N($E522)))</f>
        <v/>
      </c>
      <c r="J522" s="42">
        <f>IF($H522="","",MAX(0,$H522-N($G522)))</f>
        <v/>
      </c>
    </row>
    <row r="523" ht="19.5" customHeight="1" s="72">
      <c r="A523" s="38" t="inlineStr">
        <is>
          <t>CF-OCT-P02-SIR</t>
        </is>
      </c>
      <c r="B523" s="38" t="inlineStr">
        <is>
          <t>Octavas</t>
        </is>
      </c>
      <c r="C523" s="38" t="inlineStr">
        <is>
          <t>Siriuna</t>
        </is>
      </c>
      <c r="D523" s="39">
        <f>IFERROR(CLASIF_C_F!$F$6,"")</f>
        <v/>
      </c>
      <c r="E523" s="40" t="n"/>
      <c r="F523" s="39">
        <f>IFERROR(CLASIF_C_F!$F$19,"")</f>
        <v/>
      </c>
      <c r="G523" s="40" t="n"/>
      <c r="H523" s="41" t="n"/>
      <c r="I523" s="42">
        <f>IF($H523="","",MAX(0,$H523-N($E523)))</f>
        <v/>
      </c>
      <c r="J523" s="42">
        <f>IF($H523="","",MAX(0,$H523-N($G523)))</f>
        <v/>
      </c>
    </row>
    <row r="524" ht="19.5" customHeight="1" s="72">
      <c r="A524" s="38" t="inlineStr">
        <is>
          <t>CF-OCT-P03-BEN</t>
        </is>
      </c>
      <c r="B524" s="38" t="inlineStr">
        <is>
          <t>Octavas</t>
        </is>
      </c>
      <c r="C524" s="38" t="inlineStr">
        <is>
          <t>Benguela</t>
        </is>
      </c>
      <c r="D524" s="39">
        <f>IFERROR(CLASIF_C_F!$F$7,"")</f>
        <v/>
      </c>
      <c r="E524" s="40" t="n"/>
      <c r="F524" s="39">
        <f>IFERROR(CLASIF_C_F!$F$18,"")</f>
        <v/>
      </c>
      <c r="G524" s="40" t="n"/>
      <c r="H524" s="41" t="n"/>
      <c r="I524" s="42">
        <f>IF($H524="","",MAX(0,$H524-N($E524)))</f>
        <v/>
      </c>
      <c r="J524" s="42">
        <f>IF($H524="","",MAX(0,$H524-N($G524)))</f>
        <v/>
      </c>
    </row>
    <row r="525" ht="19.5" customHeight="1" s="72">
      <c r="A525" s="38" t="inlineStr">
        <is>
          <t>CF-OCT-P03-SBA</t>
        </is>
      </c>
      <c r="B525" s="38" t="inlineStr">
        <is>
          <t>Octavas</t>
        </is>
      </c>
      <c r="C525" s="38" t="inlineStr">
        <is>
          <t>São Bento da Abadá</t>
        </is>
      </c>
      <c r="D525" s="39">
        <f>IFERROR(CLASIF_C_F!$F$7,"")</f>
        <v/>
      </c>
      <c r="E525" s="40" t="n"/>
      <c r="F525" s="39">
        <f>IFERROR(CLASIF_C_F!$F$18,"")</f>
        <v/>
      </c>
      <c r="G525" s="40" t="n"/>
      <c r="H525" s="41" t="n"/>
      <c r="I525" s="42">
        <f>IF($H525="","",MAX(0,$H525-N($E525)))</f>
        <v/>
      </c>
      <c r="J525" s="42">
        <f>IF($H525="","",MAX(0,$H525-N($G525)))</f>
        <v/>
      </c>
    </row>
    <row r="526" ht="19.5" customHeight="1" s="72">
      <c r="A526" s="38" t="inlineStr">
        <is>
          <t>CF-OCT-P03-SIR</t>
        </is>
      </c>
      <c r="B526" s="38" t="inlineStr">
        <is>
          <t>Octavas</t>
        </is>
      </c>
      <c r="C526" s="38" t="inlineStr">
        <is>
          <t>Siriuna</t>
        </is>
      </c>
      <c r="D526" s="39">
        <f>IFERROR(CLASIF_C_F!$F$7,"")</f>
        <v/>
      </c>
      <c r="E526" s="40" t="n"/>
      <c r="F526" s="39">
        <f>IFERROR(CLASIF_C_F!$F$18,"")</f>
        <v/>
      </c>
      <c r="G526" s="40" t="n"/>
      <c r="H526" s="41" t="n"/>
      <c r="I526" s="42">
        <f>IF($H526="","",MAX(0,$H526-N($E526)))</f>
        <v/>
      </c>
      <c r="J526" s="42">
        <f>IF($H526="","",MAX(0,$H526-N($G526)))</f>
        <v/>
      </c>
    </row>
    <row r="527" ht="19.5" customHeight="1" s="72">
      <c r="A527" s="38" t="inlineStr">
        <is>
          <t>CF-OCT-P04-BEN</t>
        </is>
      </c>
      <c r="B527" s="38" t="inlineStr">
        <is>
          <t>Octavas</t>
        </is>
      </c>
      <c r="C527" s="38" t="inlineStr">
        <is>
          <t>Benguela</t>
        </is>
      </c>
      <c r="D527" s="39">
        <f>IFERROR(CLASIF_C_F!$F$8,"")</f>
        <v/>
      </c>
      <c r="E527" s="40" t="n"/>
      <c r="F527" s="39">
        <f>IFERROR(CLASIF_C_F!$F$17,"")</f>
        <v/>
      </c>
      <c r="G527" s="40" t="n"/>
      <c r="H527" s="41" t="n"/>
      <c r="I527" s="42">
        <f>IF($H527="","",MAX(0,$H527-N($E527)))</f>
        <v/>
      </c>
      <c r="J527" s="42">
        <f>IF($H527="","",MAX(0,$H527-N($G527)))</f>
        <v/>
      </c>
    </row>
    <row r="528" ht="19.5" customHeight="1" s="72">
      <c r="A528" s="38" t="inlineStr">
        <is>
          <t>CF-OCT-P04-SBA</t>
        </is>
      </c>
      <c r="B528" s="38" t="inlineStr">
        <is>
          <t>Octavas</t>
        </is>
      </c>
      <c r="C528" s="38" t="inlineStr">
        <is>
          <t>São Bento da Abadá</t>
        </is>
      </c>
      <c r="D528" s="39">
        <f>IFERROR(CLASIF_C_F!$F$8,"")</f>
        <v/>
      </c>
      <c r="E528" s="40" t="n"/>
      <c r="F528" s="39">
        <f>IFERROR(CLASIF_C_F!$F$17,"")</f>
        <v/>
      </c>
      <c r="G528" s="40" t="n"/>
      <c r="H528" s="41" t="n"/>
      <c r="I528" s="42">
        <f>IF($H528="","",MAX(0,$H528-N($E528)))</f>
        <v/>
      </c>
      <c r="J528" s="42">
        <f>IF($H528="","",MAX(0,$H528-N($G528)))</f>
        <v/>
      </c>
    </row>
    <row r="529" ht="19.5" customHeight="1" s="72">
      <c r="A529" s="38" t="inlineStr">
        <is>
          <t>CF-OCT-P04-SIR</t>
        </is>
      </c>
      <c r="B529" s="38" t="inlineStr">
        <is>
          <t>Octavas</t>
        </is>
      </c>
      <c r="C529" s="38" t="inlineStr">
        <is>
          <t>Siriuna</t>
        </is>
      </c>
      <c r="D529" s="39">
        <f>IFERROR(CLASIF_C_F!$F$8,"")</f>
        <v/>
      </c>
      <c r="E529" s="40" t="n"/>
      <c r="F529" s="39">
        <f>IFERROR(CLASIF_C_F!$F$17,"")</f>
        <v/>
      </c>
      <c r="G529" s="40" t="n"/>
      <c r="H529" s="41" t="n"/>
      <c r="I529" s="42">
        <f>IF($H529="","",MAX(0,$H529-N($E529)))</f>
        <v/>
      </c>
      <c r="J529" s="42">
        <f>IF($H529="","",MAX(0,$H529-N($G529)))</f>
        <v/>
      </c>
    </row>
    <row r="530" ht="19.5" customHeight="1" s="72">
      <c r="A530" s="38" t="inlineStr">
        <is>
          <t>CF-OCT-P05-BEN</t>
        </is>
      </c>
      <c r="B530" s="38" t="inlineStr">
        <is>
          <t>Octavas</t>
        </is>
      </c>
      <c r="C530" s="38" t="inlineStr">
        <is>
          <t>Benguela</t>
        </is>
      </c>
      <c r="D530" s="39">
        <f>IFERROR(CLASIF_C_F!$F$9,"")</f>
        <v/>
      </c>
      <c r="E530" s="40" t="n"/>
      <c r="F530" s="39">
        <f>IFERROR(CLASIF_C_F!$F$16,"")</f>
        <v/>
      </c>
      <c r="G530" s="40" t="n"/>
      <c r="H530" s="41" t="n"/>
      <c r="I530" s="42">
        <f>IF($H530="","",MAX(0,$H530-N($E530)))</f>
        <v/>
      </c>
      <c r="J530" s="42">
        <f>IF($H530="","",MAX(0,$H530-N($G530)))</f>
        <v/>
      </c>
    </row>
    <row r="531" ht="19.5" customHeight="1" s="72">
      <c r="A531" s="38" t="inlineStr">
        <is>
          <t>CF-OCT-P05-SBA</t>
        </is>
      </c>
      <c r="B531" s="38" t="inlineStr">
        <is>
          <t>Octavas</t>
        </is>
      </c>
      <c r="C531" s="38" t="inlineStr">
        <is>
          <t>São Bento da Abadá</t>
        </is>
      </c>
      <c r="D531" s="39">
        <f>IFERROR(CLASIF_C_F!$F$9,"")</f>
        <v/>
      </c>
      <c r="E531" s="40" t="n"/>
      <c r="F531" s="39">
        <f>IFERROR(CLASIF_C_F!$F$16,"")</f>
        <v/>
      </c>
      <c r="G531" s="40" t="n"/>
      <c r="H531" s="41" t="n"/>
      <c r="I531" s="42">
        <f>IF($H531="","",MAX(0,$H531-N($E531)))</f>
        <v/>
      </c>
      <c r="J531" s="42">
        <f>IF($H531="","",MAX(0,$H531-N($G531)))</f>
        <v/>
      </c>
    </row>
    <row r="532" ht="19.5" customHeight="1" s="72">
      <c r="A532" s="38" t="inlineStr">
        <is>
          <t>CF-OCT-P05-SIR</t>
        </is>
      </c>
      <c r="B532" s="38" t="inlineStr">
        <is>
          <t>Octavas</t>
        </is>
      </c>
      <c r="C532" s="38" t="inlineStr">
        <is>
          <t>Siriuna</t>
        </is>
      </c>
      <c r="D532" s="39">
        <f>IFERROR(CLASIF_C_F!$F$9,"")</f>
        <v/>
      </c>
      <c r="E532" s="40" t="n"/>
      <c r="F532" s="39">
        <f>IFERROR(CLASIF_C_F!$F$16,"")</f>
        <v/>
      </c>
      <c r="G532" s="40" t="n"/>
      <c r="H532" s="41" t="n"/>
      <c r="I532" s="42">
        <f>IF($H532="","",MAX(0,$H532-N($E532)))</f>
        <v/>
      </c>
      <c r="J532" s="42">
        <f>IF($H532="","",MAX(0,$H532-N($G532)))</f>
        <v/>
      </c>
    </row>
    <row r="533" ht="19.5" customHeight="1" s="72">
      <c r="A533" s="38" t="inlineStr">
        <is>
          <t>CF-OCT-P06-BEN</t>
        </is>
      </c>
      <c r="B533" s="38" t="inlineStr">
        <is>
          <t>Octavas</t>
        </is>
      </c>
      <c r="C533" s="38" t="inlineStr">
        <is>
          <t>Benguela</t>
        </is>
      </c>
      <c r="D533" s="39">
        <f>IFERROR(CLASIF_C_F!$F$10,"")</f>
        <v/>
      </c>
      <c r="E533" s="40" t="n"/>
      <c r="F533" s="39">
        <f>IFERROR(CLASIF_C_F!$F$15,"")</f>
        <v/>
      </c>
      <c r="G533" s="40" t="n"/>
      <c r="H533" s="41" t="n"/>
      <c r="I533" s="42">
        <f>IF($H533="","",MAX(0,$H533-N($E533)))</f>
        <v/>
      </c>
      <c r="J533" s="42">
        <f>IF($H533="","",MAX(0,$H533-N($G533)))</f>
        <v/>
      </c>
    </row>
    <row r="534" ht="19.5" customHeight="1" s="72">
      <c r="A534" s="38" t="inlineStr">
        <is>
          <t>CF-OCT-P06-SBA</t>
        </is>
      </c>
      <c r="B534" s="38" t="inlineStr">
        <is>
          <t>Octavas</t>
        </is>
      </c>
      <c r="C534" s="38" t="inlineStr">
        <is>
          <t>São Bento da Abadá</t>
        </is>
      </c>
      <c r="D534" s="39">
        <f>IFERROR(CLASIF_C_F!$F$10,"")</f>
        <v/>
      </c>
      <c r="E534" s="40" t="n"/>
      <c r="F534" s="39">
        <f>IFERROR(CLASIF_C_F!$F$15,"")</f>
        <v/>
      </c>
      <c r="G534" s="40" t="n"/>
      <c r="H534" s="41" t="n"/>
      <c r="I534" s="42">
        <f>IF($H534="","",MAX(0,$H534-N($E534)))</f>
        <v/>
      </c>
      <c r="J534" s="42">
        <f>IF($H534="","",MAX(0,$H534-N($G534)))</f>
        <v/>
      </c>
    </row>
    <row r="535" ht="19.5" customHeight="1" s="72">
      <c r="A535" s="38" t="inlineStr">
        <is>
          <t>CF-OCT-P06-SIR</t>
        </is>
      </c>
      <c r="B535" s="38" t="inlineStr">
        <is>
          <t>Octavas</t>
        </is>
      </c>
      <c r="C535" s="38" t="inlineStr">
        <is>
          <t>Siriuna</t>
        </is>
      </c>
      <c r="D535" s="39">
        <f>IFERROR(CLASIF_C_F!$F$10,"")</f>
        <v/>
      </c>
      <c r="E535" s="40" t="n"/>
      <c r="F535" s="39">
        <f>IFERROR(CLASIF_C_F!$F$15,"")</f>
        <v/>
      </c>
      <c r="G535" s="40" t="n"/>
      <c r="H535" s="41" t="n"/>
      <c r="I535" s="42">
        <f>IF($H535="","",MAX(0,$H535-N($E535)))</f>
        <v/>
      </c>
      <c r="J535" s="42">
        <f>IF($H535="","",MAX(0,$H535-N($G535)))</f>
        <v/>
      </c>
    </row>
    <row r="536" ht="19.5" customHeight="1" s="72">
      <c r="A536" s="38" t="inlineStr">
        <is>
          <t>CF-OCT-P07-BEN</t>
        </is>
      </c>
      <c r="B536" s="38" t="inlineStr">
        <is>
          <t>Octavas</t>
        </is>
      </c>
      <c r="C536" s="38" t="inlineStr">
        <is>
          <t>Benguela</t>
        </is>
      </c>
      <c r="D536" s="39">
        <f>IFERROR(CLASIF_C_F!$F$11,"")</f>
        <v/>
      </c>
      <c r="E536" s="40" t="n"/>
      <c r="F536" s="39">
        <f>IFERROR(CLASIF_C_F!$F$14,"")</f>
        <v/>
      </c>
      <c r="G536" s="40" t="n"/>
      <c r="H536" s="41" t="n"/>
      <c r="I536" s="42">
        <f>IF($H536="","",MAX(0,$H536-N($E536)))</f>
        <v/>
      </c>
      <c r="J536" s="42">
        <f>IF($H536="","",MAX(0,$H536-N($G536)))</f>
        <v/>
      </c>
    </row>
    <row r="537" ht="19.5" customHeight="1" s="72">
      <c r="A537" s="38" t="inlineStr">
        <is>
          <t>CF-OCT-P07-SBA</t>
        </is>
      </c>
      <c r="B537" s="38" t="inlineStr">
        <is>
          <t>Octavas</t>
        </is>
      </c>
      <c r="C537" s="38" t="inlineStr">
        <is>
          <t>São Bento da Abadá</t>
        </is>
      </c>
      <c r="D537" s="39">
        <f>IFERROR(CLASIF_C_F!$F$11,"")</f>
        <v/>
      </c>
      <c r="E537" s="40" t="n"/>
      <c r="F537" s="39">
        <f>IFERROR(CLASIF_C_F!$F$14,"")</f>
        <v/>
      </c>
      <c r="G537" s="40" t="n"/>
      <c r="H537" s="41" t="n"/>
      <c r="I537" s="42">
        <f>IF($H537="","",MAX(0,$H537-N($E537)))</f>
        <v/>
      </c>
      <c r="J537" s="42">
        <f>IF($H537="","",MAX(0,$H537-N($G537)))</f>
        <v/>
      </c>
    </row>
    <row r="538" ht="19.5" customHeight="1" s="72">
      <c r="A538" s="38" t="inlineStr">
        <is>
          <t>CF-OCT-P07-SIR</t>
        </is>
      </c>
      <c r="B538" s="38" t="inlineStr">
        <is>
          <t>Octavas</t>
        </is>
      </c>
      <c r="C538" s="38" t="inlineStr">
        <is>
          <t>Siriuna</t>
        </is>
      </c>
      <c r="D538" s="39">
        <f>IFERROR(CLASIF_C_F!$F$11,"")</f>
        <v/>
      </c>
      <c r="E538" s="40" t="n"/>
      <c r="F538" s="39">
        <f>IFERROR(CLASIF_C_F!$F$14,"")</f>
        <v/>
      </c>
      <c r="G538" s="40" t="n"/>
      <c r="H538" s="41" t="n"/>
      <c r="I538" s="42">
        <f>IF($H538="","",MAX(0,$H538-N($E538)))</f>
        <v/>
      </c>
      <c r="J538" s="42">
        <f>IF($H538="","",MAX(0,$H538-N($G538)))</f>
        <v/>
      </c>
    </row>
    <row r="539" ht="19.5" customHeight="1" s="72">
      <c r="A539" s="38" t="inlineStr">
        <is>
          <t>CF-OCT-P08-BEN</t>
        </is>
      </c>
      <c r="B539" s="38" t="inlineStr">
        <is>
          <t>Octavas</t>
        </is>
      </c>
      <c r="C539" s="38" t="inlineStr">
        <is>
          <t>Benguela</t>
        </is>
      </c>
      <c r="D539" s="39">
        <f>IFERROR(CLASIF_C_F!$F$12,"")</f>
        <v/>
      </c>
      <c r="E539" s="40" t="n"/>
      <c r="F539" s="39">
        <f>IFERROR(CLASIF_C_F!$F$13,"")</f>
        <v/>
      </c>
      <c r="G539" s="40" t="n"/>
      <c r="H539" s="41" t="n"/>
      <c r="I539" s="42">
        <f>IF($H539="","",MAX(0,$H539-N($E539)))</f>
        <v/>
      </c>
      <c r="J539" s="42">
        <f>IF($H539="","",MAX(0,$H539-N($G539)))</f>
        <v/>
      </c>
    </row>
    <row r="540" ht="19.5" customHeight="1" s="72">
      <c r="A540" s="38" t="inlineStr">
        <is>
          <t>CF-OCT-P08-SBA</t>
        </is>
      </c>
      <c r="B540" s="38" t="inlineStr">
        <is>
          <t>Octavas</t>
        </is>
      </c>
      <c r="C540" s="38" t="inlineStr">
        <is>
          <t>São Bento da Abadá</t>
        </is>
      </c>
      <c r="D540" s="39">
        <f>IFERROR(CLASIF_C_F!$F$12,"")</f>
        <v/>
      </c>
      <c r="E540" s="40" t="n"/>
      <c r="F540" s="39">
        <f>IFERROR(CLASIF_C_F!$F$13,"")</f>
        <v/>
      </c>
      <c r="G540" s="40" t="n"/>
      <c r="H540" s="41" t="n"/>
      <c r="I540" s="42">
        <f>IF($H540="","",MAX(0,$H540-N($E540)))</f>
        <v/>
      </c>
      <c r="J540" s="42">
        <f>IF($H540="","",MAX(0,$H540-N($G540)))</f>
        <v/>
      </c>
    </row>
    <row r="541" ht="19.5" customHeight="1" s="72">
      <c r="A541" s="38" t="inlineStr">
        <is>
          <t>CF-OCT-P08-SIR</t>
        </is>
      </c>
      <c r="B541" s="38" t="inlineStr">
        <is>
          <t>Octavas</t>
        </is>
      </c>
      <c r="C541" s="38" t="inlineStr">
        <is>
          <t>Siriuna</t>
        </is>
      </c>
      <c r="D541" s="39">
        <f>IFERROR(CLASIF_C_F!$F$12,"")</f>
        <v/>
      </c>
      <c r="E541" s="40" t="n"/>
      <c r="F541" s="39">
        <f>IFERROR(CLASIF_C_F!$F$13,"")</f>
        <v/>
      </c>
      <c r="G541" s="40" t="n"/>
      <c r="H541" s="41" t="n"/>
      <c r="I541" s="42">
        <f>IF($H541="","",MAX(0,$H541-N($E541)))</f>
        <v/>
      </c>
      <c r="J541" s="42">
        <f>IF($H541="","",MAX(0,$H541-N($G541)))</f>
        <v/>
      </c>
    </row>
    <row r="542" ht="19.5" customHeight="1" s="72">
      <c r="A542" s="38" t="inlineStr">
        <is>
          <t>CF-SEM-P01-BEN</t>
        </is>
      </c>
      <c r="B542" s="38" t="inlineStr">
        <is>
          <t>Semifinal</t>
        </is>
      </c>
      <c r="C542" s="38" t="inlineStr">
        <is>
          <t>Benguela</t>
        </is>
      </c>
      <c r="D542" s="39">
        <f>IFERROR(CLASIF_C_F!$O$5,"")</f>
        <v/>
      </c>
      <c r="E542" s="40" t="n"/>
      <c r="F542" s="39">
        <f>IFERROR(CLASIF_C_F!$O$12,"")</f>
        <v/>
      </c>
      <c r="G542" s="40" t="n"/>
      <c r="H542" s="41" t="n"/>
      <c r="I542" s="42">
        <f>IF($H542="","",MAX(0,$H542-N($E542)))</f>
        <v/>
      </c>
      <c r="J542" s="42">
        <f>IF($H542="","",MAX(0,$H542-N($G542)))</f>
        <v/>
      </c>
    </row>
    <row r="543" ht="19.5" customHeight="1" s="72">
      <c r="A543" s="38" t="inlineStr">
        <is>
          <t>CF-SEM-P01-SBA</t>
        </is>
      </c>
      <c r="B543" s="38" t="inlineStr">
        <is>
          <t>Semifinal</t>
        </is>
      </c>
      <c r="C543" s="38" t="inlineStr">
        <is>
          <t>São Bento da Abadá</t>
        </is>
      </c>
      <c r="D543" s="39">
        <f>IFERROR(CLASIF_C_F!$O$5,"")</f>
        <v/>
      </c>
      <c r="E543" s="40" t="n"/>
      <c r="F543" s="39">
        <f>IFERROR(CLASIF_C_F!$O$12,"")</f>
        <v/>
      </c>
      <c r="G543" s="40" t="n"/>
      <c r="H543" s="41" t="n"/>
      <c r="I543" s="42">
        <f>IF($H543="","",MAX(0,$H543-N($E543)))</f>
        <v/>
      </c>
      <c r="J543" s="42">
        <f>IF($H543="","",MAX(0,$H543-N($G543)))</f>
        <v/>
      </c>
    </row>
    <row r="544" ht="19.5" customHeight="1" s="72">
      <c r="A544" s="38" t="inlineStr">
        <is>
          <t>CF-SEM-P01-SIR</t>
        </is>
      </c>
      <c r="B544" s="38" t="inlineStr">
        <is>
          <t>Semifinal</t>
        </is>
      </c>
      <c r="C544" s="38" t="inlineStr">
        <is>
          <t>Siriuna</t>
        </is>
      </c>
      <c r="D544" s="39">
        <f>IFERROR(CLASIF_C_F!$O$5,"")</f>
        <v/>
      </c>
      <c r="E544" s="40" t="n"/>
      <c r="F544" s="39">
        <f>IFERROR(CLASIF_C_F!$O$12,"")</f>
        <v/>
      </c>
      <c r="G544" s="40" t="n"/>
      <c r="H544" s="41" t="n"/>
      <c r="I544" s="42">
        <f>IF($H544="","",MAX(0,$H544-N($E544)))</f>
        <v/>
      </c>
      <c r="J544" s="42">
        <f>IF($H544="","",MAX(0,$H544-N($G544)))</f>
        <v/>
      </c>
    </row>
    <row r="545" ht="19.5" customHeight="1" s="72">
      <c r="A545" s="38" t="inlineStr">
        <is>
          <t>CF-SEM-P02-BEN</t>
        </is>
      </c>
      <c r="B545" s="38" t="inlineStr">
        <is>
          <t>Semifinal</t>
        </is>
      </c>
      <c r="C545" s="38" t="inlineStr">
        <is>
          <t>Benguela</t>
        </is>
      </c>
      <c r="D545" s="39">
        <f>IFERROR(CLASIF_C_F!$O$6,"")</f>
        <v/>
      </c>
      <c r="E545" s="40" t="n"/>
      <c r="F545" s="39">
        <f>IFERROR(CLASIF_C_F!$O$11,"")</f>
        <v/>
      </c>
      <c r="G545" s="40" t="n"/>
      <c r="H545" s="41" t="n"/>
      <c r="I545" s="42">
        <f>IF($H545="","",MAX(0,$H545-N($E545)))</f>
        <v/>
      </c>
      <c r="J545" s="42">
        <f>IF($H545="","",MAX(0,$H545-N($G545)))</f>
        <v/>
      </c>
    </row>
    <row r="546" ht="19.5" customHeight="1" s="72">
      <c r="A546" s="38" t="inlineStr">
        <is>
          <t>CF-SEM-P02-SBA</t>
        </is>
      </c>
      <c r="B546" s="38" t="inlineStr">
        <is>
          <t>Semifinal</t>
        </is>
      </c>
      <c r="C546" s="38" t="inlineStr">
        <is>
          <t>São Bento da Abadá</t>
        </is>
      </c>
      <c r="D546" s="39">
        <f>IFERROR(CLASIF_C_F!$O$6,"")</f>
        <v/>
      </c>
      <c r="E546" s="40" t="n"/>
      <c r="F546" s="39">
        <f>IFERROR(CLASIF_C_F!$O$11,"")</f>
        <v/>
      </c>
      <c r="G546" s="40" t="n"/>
      <c r="H546" s="41" t="n"/>
      <c r="I546" s="42">
        <f>IF($H546="","",MAX(0,$H546-N($E546)))</f>
        <v/>
      </c>
      <c r="J546" s="42">
        <f>IF($H546="","",MAX(0,$H546-N($G546)))</f>
        <v/>
      </c>
    </row>
    <row r="547" ht="19.5" customHeight="1" s="72">
      <c r="A547" s="38" t="inlineStr">
        <is>
          <t>CF-SEM-P02-SIR</t>
        </is>
      </c>
      <c r="B547" s="38" t="inlineStr">
        <is>
          <t>Semifinal</t>
        </is>
      </c>
      <c r="C547" s="38" t="inlineStr">
        <is>
          <t>Siriuna</t>
        </is>
      </c>
      <c r="D547" s="39">
        <f>IFERROR(CLASIF_C_F!$O$6,"")</f>
        <v/>
      </c>
      <c r="E547" s="40" t="n"/>
      <c r="F547" s="39">
        <f>IFERROR(CLASIF_C_F!$O$11,"")</f>
        <v/>
      </c>
      <c r="G547" s="40" t="n"/>
      <c r="H547" s="41" t="n"/>
      <c r="I547" s="42">
        <f>IF($H547="","",MAX(0,$H547-N($E547)))</f>
        <v/>
      </c>
      <c r="J547" s="42">
        <f>IF($H547="","",MAX(0,$H547-N($G547)))</f>
        <v/>
      </c>
    </row>
    <row r="548" ht="19.5" customHeight="1" s="72">
      <c r="A548" s="38" t="inlineStr">
        <is>
          <t>CF-SEM-P03-BEN</t>
        </is>
      </c>
      <c r="B548" s="38" t="inlineStr">
        <is>
          <t>Semifinal</t>
        </is>
      </c>
      <c r="C548" s="38" t="inlineStr">
        <is>
          <t>Benguela</t>
        </is>
      </c>
      <c r="D548" s="39">
        <f>IFERROR(CLASIF_C_F!$O$7,"")</f>
        <v/>
      </c>
      <c r="E548" s="40" t="n"/>
      <c r="F548" s="39">
        <f>IFERROR(CLASIF_C_F!$O$10,"")</f>
        <v/>
      </c>
      <c r="G548" s="40" t="n"/>
      <c r="H548" s="41" t="n"/>
      <c r="I548" s="42">
        <f>IF($H548="","",MAX(0,$H548-N($E548)))</f>
        <v/>
      </c>
      <c r="J548" s="42">
        <f>IF($H548="","",MAX(0,$H548-N($G548)))</f>
        <v/>
      </c>
    </row>
    <row r="549" ht="19.5" customHeight="1" s="72">
      <c r="A549" s="38" t="inlineStr">
        <is>
          <t>CF-SEM-P03-SBA</t>
        </is>
      </c>
      <c r="B549" s="38" t="inlineStr">
        <is>
          <t>Semifinal</t>
        </is>
      </c>
      <c r="C549" s="38" t="inlineStr">
        <is>
          <t>São Bento da Abadá</t>
        </is>
      </c>
      <c r="D549" s="39">
        <f>IFERROR(CLASIF_C_F!$O$7,"")</f>
        <v/>
      </c>
      <c r="E549" s="40" t="n"/>
      <c r="F549" s="39">
        <f>IFERROR(CLASIF_C_F!$O$10,"")</f>
        <v/>
      </c>
      <c r="G549" s="40" t="n"/>
      <c r="H549" s="41" t="n"/>
      <c r="I549" s="42">
        <f>IF($H549="","",MAX(0,$H549-N($E549)))</f>
        <v/>
      </c>
      <c r="J549" s="42">
        <f>IF($H549="","",MAX(0,$H549-N($G549)))</f>
        <v/>
      </c>
    </row>
    <row r="550" ht="19.5" customHeight="1" s="72">
      <c r="A550" s="38" t="inlineStr">
        <is>
          <t>CF-SEM-P03-SIR</t>
        </is>
      </c>
      <c r="B550" s="38" t="inlineStr">
        <is>
          <t>Semifinal</t>
        </is>
      </c>
      <c r="C550" s="38" t="inlineStr">
        <is>
          <t>Siriuna</t>
        </is>
      </c>
      <c r="D550" s="39">
        <f>IFERROR(CLASIF_C_F!$O$7,"")</f>
        <v/>
      </c>
      <c r="E550" s="40" t="n"/>
      <c r="F550" s="39">
        <f>IFERROR(CLASIF_C_F!$O$10,"")</f>
        <v/>
      </c>
      <c r="G550" s="40" t="n"/>
      <c r="H550" s="41" t="n"/>
      <c r="I550" s="42">
        <f>IF($H550="","",MAX(0,$H550-N($E550)))</f>
        <v/>
      </c>
      <c r="J550" s="42">
        <f>IF($H550="","",MAX(0,$H550-N($G550)))</f>
        <v/>
      </c>
    </row>
    <row r="551" ht="19.5" customHeight="1" s="72">
      <c r="A551" s="38" t="inlineStr">
        <is>
          <t>CF-SEM-P04-BEN</t>
        </is>
      </c>
      <c r="B551" s="38" t="inlineStr">
        <is>
          <t>Semifinal</t>
        </is>
      </c>
      <c r="C551" s="38" t="inlineStr">
        <is>
          <t>Benguela</t>
        </is>
      </c>
      <c r="D551" s="39">
        <f>IFERROR(CLASIF_C_F!$O$8,"")</f>
        <v/>
      </c>
      <c r="E551" s="40" t="n"/>
      <c r="F551" s="39">
        <f>IFERROR(CLASIF_C_F!$O$9,"")</f>
        <v/>
      </c>
      <c r="G551" s="40" t="n"/>
      <c r="H551" s="41" t="n"/>
      <c r="I551" s="42">
        <f>IF($H551="","",MAX(0,$H551-N($E551)))</f>
        <v/>
      </c>
      <c r="J551" s="42">
        <f>IF($H551="","",MAX(0,$H551-N($G551)))</f>
        <v/>
      </c>
    </row>
    <row r="552" ht="19.5" customHeight="1" s="72">
      <c r="A552" s="38" t="inlineStr">
        <is>
          <t>CF-SEM-P04-SBA</t>
        </is>
      </c>
      <c r="B552" s="38" t="inlineStr">
        <is>
          <t>Semifinal</t>
        </is>
      </c>
      <c r="C552" s="38" t="inlineStr">
        <is>
          <t>São Bento da Abadá</t>
        </is>
      </c>
      <c r="D552" s="39">
        <f>IFERROR(CLASIF_C_F!$O$8,"")</f>
        <v/>
      </c>
      <c r="E552" s="40" t="n"/>
      <c r="F552" s="39">
        <f>IFERROR(CLASIF_C_F!$O$9,"")</f>
        <v/>
      </c>
      <c r="G552" s="40" t="n"/>
      <c r="H552" s="41" t="n"/>
      <c r="I552" s="42">
        <f>IF($H552="","",MAX(0,$H552-N($E552)))</f>
        <v/>
      </c>
      <c r="J552" s="42">
        <f>IF($H552="","",MAX(0,$H552-N($G552)))</f>
        <v/>
      </c>
    </row>
    <row r="553" ht="19.5" customHeight="1" s="72">
      <c r="A553" s="38" t="inlineStr">
        <is>
          <t>CF-SEM-P04-SIR</t>
        </is>
      </c>
      <c r="B553" s="38" t="inlineStr">
        <is>
          <t>Semifinal</t>
        </is>
      </c>
      <c r="C553" s="38" t="inlineStr">
        <is>
          <t>Siriuna</t>
        </is>
      </c>
      <c r="D553" s="39">
        <f>IFERROR(CLASIF_C_F!$O$8,"")</f>
        <v/>
      </c>
      <c r="E553" s="40" t="n"/>
      <c r="F553" s="39">
        <f>IFERROR(CLASIF_C_F!$O$9,"")</f>
        <v/>
      </c>
      <c r="G553" s="40" t="n"/>
      <c r="H553" s="41" t="n"/>
      <c r="I553" s="42">
        <f>IF($H553="","",MAX(0,$H553-N($E553)))</f>
        <v/>
      </c>
      <c r="J553" s="42">
        <f>IF($H553="","",MAX(0,$H553-N($G553)))</f>
        <v/>
      </c>
    </row>
    <row r="554" ht="19.5" customHeight="1" s="72">
      <c r="A554" s="38" t="inlineStr">
        <is>
          <t>CF-FIN-P01-BEN</t>
        </is>
      </c>
      <c r="B554" s="38" t="inlineStr">
        <is>
          <t>Final</t>
        </is>
      </c>
      <c r="C554" s="38" t="inlineStr">
        <is>
          <t>Benguela</t>
        </is>
      </c>
      <c r="D554" s="39">
        <f>IFERROR(CLASIF_C_F!$X$5,"")</f>
        <v/>
      </c>
      <c r="E554" s="40" t="n"/>
      <c r="F554" s="39">
        <f>IFERROR(CLASIF_C_F!$X$8,"")</f>
        <v/>
      </c>
      <c r="G554" s="40" t="n"/>
      <c r="H554" s="41" t="n"/>
      <c r="I554" s="42">
        <f>IF($H554="","",MAX(0,$H554-N($E554)))</f>
        <v/>
      </c>
      <c r="J554" s="42">
        <f>IF($H554="","",MAX(0,$H554-N($G554)))</f>
        <v/>
      </c>
    </row>
    <row r="555" ht="19.5" customHeight="1" s="72">
      <c r="A555" s="38" t="inlineStr">
        <is>
          <t>CF-FIN-P01-SBA</t>
        </is>
      </c>
      <c r="B555" s="38" t="inlineStr">
        <is>
          <t>Final</t>
        </is>
      </c>
      <c r="C555" s="38" t="inlineStr">
        <is>
          <t>São Bento da Abadá</t>
        </is>
      </c>
      <c r="D555" s="39">
        <f>IFERROR(CLASIF_C_F!$X$5,"")</f>
        <v/>
      </c>
      <c r="E555" s="40" t="n"/>
      <c r="F555" s="39">
        <f>IFERROR(CLASIF_C_F!$X$8,"")</f>
        <v/>
      </c>
      <c r="G555" s="40" t="n"/>
      <c r="H555" s="41" t="n"/>
      <c r="I555" s="42">
        <f>IF($H555="","",MAX(0,$H555-N($E555)))</f>
        <v/>
      </c>
      <c r="J555" s="42">
        <f>IF($H555="","",MAX(0,$H555-N($G555)))</f>
        <v/>
      </c>
    </row>
    <row r="556" ht="19.5" customHeight="1" s="72">
      <c r="A556" s="38" t="inlineStr">
        <is>
          <t>CF-FIN-P01-SIR</t>
        </is>
      </c>
      <c r="B556" s="38" t="inlineStr">
        <is>
          <t>Final</t>
        </is>
      </c>
      <c r="C556" s="38" t="inlineStr">
        <is>
          <t>Siriuna</t>
        </is>
      </c>
      <c r="D556" s="39">
        <f>IFERROR(CLASIF_C_F!$X$5,"")</f>
        <v/>
      </c>
      <c r="E556" s="40" t="n"/>
      <c r="F556" s="39">
        <f>IFERROR(CLASIF_C_F!$X$8,"")</f>
        <v/>
      </c>
      <c r="G556" s="40" t="n"/>
      <c r="H556" s="41" t="n"/>
      <c r="I556" s="42">
        <f>IF($H556="","",MAX(0,$H556-N($E556)))</f>
        <v/>
      </c>
      <c r="J556" s="42">
        <f>IF($H556="","",MAX(0,$H556-N($G556)))</f>
        <v/>
      </c>
    </row>
    <row r="557" ht="19.5" customHeight="1" s="72">
      <c r="A557" s="38" t="inlineStr">
        <is>
          <t>CF-FIN-P02-BEN</t>
        </is>
      </c>
      <c r="B557" s="38" t="inlineStr">
        <is>
          <t>Final</t>
        </is>
      </c>
      <c r="C557" s="38" t="inlineStr">
        <is>
          <t>Benguela</t>
        </is>
      </c>
      <c r="D557" s="39">
        <f>IFERROR(CLASIF_C_F!$X$6,"")</f>
        <v/>
      </c>
      <c r="E557" s="40" t="n"/>
      <c r="F557" s="39">
        <f>IFERROR(CLASIF_C_F!$X$7,"")</f>
        <v/>
      </c>
      <c r="G557" s="40" t="n"/>
      <c r="H557" s="41" t="n"/>
      <c r="I557" s="42">
        <f>IF($H557="","",MAX(0,$H557-N($E557)))</f>
        <v/>
      </c>
      <c r="J557" s="42">
        <f>IF($H557="","",MAX(0,$H557-N($G557)))</f>
        <v/>
      </c>
    </row>
    <row r="558" ht="19.5" customHeight="1" s="72">
      <c r="A558" s="38" t="inlineStr">
        <is>
          <t>CF-FIN-P02-SBA</t>
        </is>
      </c>
      <c r="B558" s="38" t="inlineStr">
        <is>
          <t>Final</t>
        </is>
      </c>
      <c r="C558" s="38" t="inlineStr">
        <is>
          <t>São Bento da Abadá</t>
        </is>
      </c>
      <c r="D558" s="39">
        <f>IFERROR(CLASIF_C_F!$X$6,"")</f>
        <v/>
      </c>
      <c r="E558" s="40" t="n"/>
      <c r="F558" s="39">
        <f>IFERROR(CLASIF_C_F!$X$7,"")</f>
        <v/>
      </c>
      <c r="G558" s="40" t="n"/>
      <c r="H558" s="41" t="n"/>
      <c r="I558" s="42">
        <f>IF($H558="","",MAX(0,$H558-N($E558)))</f>
        <v/>
      </c>
      <c r="J558" s="42">
        <f>IF($H558="","",MAX(0,$H558-N($G558)))</f>
        <v/>
      </c>
    </row>
    <row r="559" ht="19.5" customHeight="1" s="72">
      <c r="A559" s="38" t="inlineStr">
        <is>
          <t>CF-FIN-P02-SIR</t>
        </is>
      </c>
      <c r="B559" s="38" t="inlineStr">
        <is>
          <t>Final</t>
        </is>
      </c>
      <c r="C559" s="38" t="inlineStr">
        <is>
          <t>Siriuna</t>
        </is>
      </c>
      <c r="D559" s="39">
        <f>IFERROR(CLASIF_C_F!$X$6,"")</f>
        <v/>
      </c>
      <c r="E559" s="40" t="n"/>
      <c r="F559" s="39">
        <f>IFERROR(CLASIF_C_F!$X$7,"")</f>
        <v/>
      </c>
      <c r="G559" s="40" t="n"/>
      <c r="H559" s="41" t="n"/>
      <c r="I559" s="42">
        <f>IF($H559="","",MAX(0,$H559-N($E559)))</f>
        <v/>
      </c>
      <c r="J559" s="42">
        <f>IF($H559="","",MAX(0,$H559-N($G559)))</f>
        <v/>
      </c>
    </row>
    <row r="560" ht="19.5" customHeight="1" s="72">
      <c r="A560" s="43" t="n"/>
      <c r="B560" s="43" t="n"/>
      <c r="C560" s="43" t="n"/>
      <c r="D560" s="43" t="n"/>
      <c r="E560" s="43" t="n"/>
      <c r="F560" s="43" t="n"/>
      <c r="G560" s="43" t="n"/>
      <c r="H560" s="44" t="n"/>
      <c r="I560" s="43">
        <f>IF($H560="","",MAX(0,$H560-N($E560)))</f>
        <v/>
      </c>
      <c r="J560" s="43">
        <f>IF($H560="","",MAX(0,$H560-N($G560)))</f>
        <v/>
      </c>
    </row>
    <row r="561" ht="19.5" customHeight="1" s="72">
      <c r="A561" s="83" t="inlineStr">
        <is>
          <t>═══ CATEGORÍA D · Masculino · Azul (Graduados) · Toques: Benguela, São Bento da Abadá, Siriuna ═══</t>
        </is>
      </c>
    </row>
    <row r="562" ht="19.5" customHeight="1" s="72">
      <c r="A562" s="8" t="inlineStr">
        <is>
          <t>Jogo</t>
        </is>
      </c>
      <c r="B562" s="8" t="inlineStr">
        <is>
          <t>Fase</t>
        </is>
      </c>
      <c r="C562" s="8" t="inlineStr">
        <is>
          <t>Toque</t>
        </is>
      </c>
      <c r="D562" s="8" t="inlineStr">
        <is>
          <t>Jugador A</t>
        </is>
      </c>
      <c r="E562" s="8" t="inlineStr">
        <is>
          <t>Quita A</t>
        </is>
      </c>
      <c r="F562" s="8" t="inlineStr">
        <is>
          <t>Jugador B</t>
        </is>
      </c>
      <c r="G562" s="8" t="inlineStr">
        <is>
          <t>Quita B</t>
        </is>
      </c>
      <c r="H562" s="8" t="inlineStr">
        <is>
          <t>NOTA (0-5)</t>
        </is>
      </c>
      <c r="I562" s="8">
        <f>IF($H562="","",MAX(0,$H562-N($E562)))</f>
        <v/>
      </c>
      <c r="J562" s="8">
        <f>IF($H562="","",MAX(0,$H562-N($G562)))</f>
        <v/>
      </c>
    </row>
    <row r="563" ht="19.5" customHeight="1" s="72">
      <c r="A563" s="38" t="inlineStr">
        <is>
          <t>DM-32-P01-BEN</t>
        </is>
      </c>
      <c r="B563" s="38" t="inlineStr">
        <is>
          <t>Fase 32</t>
        </is>
      </c>
      <c r="C563" s="38" t="inlineStr">
        <is>
          <t>Benguela</t>
        </is>
      </c>
      <c r="D563" s="39" t="inlineStr">
        <is>
          <t>A_D_M_32_P1</t>
        </is>
      </c>
      <c r="E563" s="40" t="n"/>
      <c r="F563" s="39" t="inlineStr">
        <is>
          <t>B_D_M_32_P1</t>
        </is>
      </c>
      <c r="G563" s="40" t="n"/>
      <c r="H563" s="41" t="n"/>
      <c r="I563" s="42">
        <f>IF($H563="","",MAX(0,$H563-N($E563)))</f>
        <v/>
      </c>
      <c r="J563" s="42">
        <f>IF($H563="","",MAX(0,$H563-N($G563)))</f>
        <v/>
      </c>
    </row>
    <row r="564" ht="19.5" customHeight="1" s="72">
      <c r="A564" s="38" t="inlineStr">
        <is>
          <t>DM-32-P01-SBA</t>
        </is>
      </c>
      <c r="B564" s="38" t="inlineStr">
        <is>
          <t>Fase 32</t>
        </is>
      </c>
      <c r="C564" s="38" t="inlineStr">
        <is>
          <t>São Bento da Abadá</t>
        </is>
      </c>
      <c r="D564" s="39" t="inlineStr">
        <is>
          <t>A_D_M_32_P1</t>
        </is>
      </c>
      <c r="E564" s="40" t="n"/>
      <c r="F564" s="39" t="inlineStr">
        <is>
          <t>B_D_M_32_P1</t>
        </is>
      </c>
      <c r="G564" s="40" t="n"/>
      <c r="H564" s="41" t="n"/>
      <c r="I564" s="42">
        <f>IF($H564="","",MAX(0,$H564-N($E564)))</f>
        <v/>
      </c>
      <c r="J564" s="42">
        <f>IF($H564="","",MAX(0,$H564-N($G564)))</f>
        <v/>
      </c>
    </row>
    <row r="565" ht="19.5" customHeight="1" s="72">
      <c r="A565" s="38" t="inlineStr">
        <is>
          <t>DM-32-P01-SIR</t>
        </is>
      </c>
      <c r="B565" s="38" t="inlineStr">
        <is>
          <t>Fase 32</t>
        </is>
      </c>
      <c r="C565" s="38" t="inlineStr">
        <is>
          <t>Siriuna</t>
        </is>
      </c>
      <c r="D565" s="39" t="inlineStr">
        <is>
          <t>A_D_M_32_P1</t>
        </is>
      </c>
      <c r="E565" s="40" t="n"/>
      <c r="F565" s="39" t="inlineStr">
        <is>
          <t>B_D_M_32_P1</t>
        </is>
      </c>
      <c r="G565" s="40" t="n"/>
      <c r="H565" s="41" t="n"/>
      <c r="I565" s="42">
        <f>IF($H565="","",MAX(0,$H565-N($E565)))</f>
        <v/>
      </c>
      <c r="J565" s="42">
        <f>IF($H565="","",MAX(0,$H565-N($G565)))</f>
        <v/>
      </c>
    </row>
    <row r="566" ht="19.5" customHeight="1" s="72">
      <c r="A566" s="38" t="inlineStr">
        <is>
          <t>DM-32-P02-BEN</t>
        </is>
      </c>
      <c r="B566" s="38" t="inlineStr">
        <is>
          <t>Fase 32</t>
        </is>
      </c>
      <c r="C566" s="38" t="inlineStr">
        <is>
          <t>Benguela</t>
        </is>
      </c>
      <c r="D566" s="39" t="inlineStr">
        <is>
          <t>A_D_M_32_P2</t>
        </is>
      </c>
      <c r="E566" s="40" t="n"/>
      <c r="F566" s="39" t="inlineStr">
        <is>
          <t>B_D_M_32_P2</t>
        </is>
      </c>
      <c r="G566" s="40" t="n"/>
      <c r="H566" s="41" t="n"/>
      <c r="I566" s="42">
        <f>IF($H566="","",MAX(0,$H566-N($E566)))</f>
        <v/>
      </c>
      <c r="J566" s="42">
        <f>IF($H566="","",MAX(0,$H566-N($G566)))</f>
        <v/>
      </c>
    </row>
    <row r="567" ht="19.5" customHeight="1" s="72">
      <c r="A567" s="38" t="inlineStr">
        <is>
          <t>DM-32-P02-SBA</t>
        </is>
      </c>
      <c r="B567" s="38" t="inlineStr">
        <is>
          <t>Fase 32</t>
        </is>
      </c>
      <c r="C567" s="38" t="inlineStr">
        <is>
          <t>São Bento da Abadá</t>
        </is>
      </c>
      <c r="D567" s="39" t="inlineStr">
        <is>
          <t>A_D_M_32_P2</t>
        </is>
      </c>
      <c r="E567" s="40" t="n"/>
      <c r="F567" s="39" t="inlineStr">
        <is>
          <t>B_D_M_32_P2</t>
        </is>
      </c>
      <c r="G567" s="40" t="n"/>
      <c r="H567" s="41" t="n"/>
      <c r="I567" s="42">
        <f>IF($H567="","",MAX(0,$H567-N($E567)))</f>
        <v/>
      </c>
      <c r="J567" s="42">
        <f>IF($H567="","",MAX(0,$H567-N($G567)))</f>
        <v/>
      </c>
    </row>
    <row r="568" ht="19.5" customHeight="1" s="72">
      <c r="A568" s="38" t="inlineStr">
        <is>
          <t>DM-32-P02-SIR</t>
        </is>
      </c>
      <c r="B568" s="38" t="inlineStr">
        <is>
          <t>Fase 32</t>
        </is>
      </c>
      <c r="C568" s="38" t="inlineStr">
        <is>
          <t>Siriuna</t>
        </is>
      </c>
      <c r="D568" s="39" t="inlineStr">
        <is>
          <t>A_D_M_32_P2</t>
        </is>
      </c>
      <c r="E568" s="40" t="n"/>
      <c r="F568" s="39" t="inlineStr">
        <is>
          <t>B_D_M_32_P2</t>
        </is>
      </c>
      <c r="G568" s="40" t="n"/>
      <c r="H568" s="41" t="n"/>
      <c r="I568" s="42">
        <f>IF($H568="","",MAX(0,$H568-N($E568)))</f>
        <v/>
      </c>
      <c r="J568" s="42">
        <f>IF($H568="","",MAX(0,$H568-N($G568)))</f>
        <v/>
      </c>
    </row>
    <row r="569" ht="19.5" customHeight="1" s="72">
      <c r="A569" s="38" t="inlineStr">
        <is>
          <t>DM-32-P03-BEN</t>
        </is>
      </c>
      <c r="B569" s="38" t="inlineStr">
        <is>
          <t>Fase 32</t>
        </is>
      </c>
      <c r="C569" s="38" t="inlineStr">
        <is>
          <t>Benguela</t>
        </is>
      </c>
      <c r="D569" s="39" t="inlineStr">
        <is>
          <t>A_D_M_32_P3</t>
        </is>
      </c>
      <c r="E569" s="40" t="n"/>
      <c r="F569" s="39" t="inlineStr">
        <is>
          <t>B_D_M_32_P3</t>
        </is>
      </c>
      <c r="G569" s="40" t="n"/>
      <c r="H569" s="41" t="n"/>
      <c r="I569" s="42">
        <f>IF($H569="","",MAX(0,$H569-N($E569)))</f>
        <v/>
      </c>
      <c r="J569" s="42">
        <f>IF($H569="","",MAX(0,$H569-N($G569)))</f>
        <v/>
      </c>
    </row>
    <row r="570" ht="19.5" customHeight="1" s="72">
      <c r="A570" s="38" t="inlineStr">
        <is>
          <t>DM-32-P03-SBA</t>
        </is>
      </c>
      <c r="B570" s="38" t="inlineStr">
        <is>
          <t>Fase 32</t>
        </is>
      </c>
      <c r="C570" s="38" t="inlineStr">
        <is>
          <t>São Bento da Abadá</t>
        </is>
      </c>
      <c r="D570" s="39" t="inlineStr">
        <is>
          <t>A_D_M_32_P3</t>
        </is>
      </c>
      <c r="E570" s="40" t="n"/>
      <c r="F570" s="39" t="inlineStr">
        <is>
          <t>B_D_M_32_P3</t>
        </is>
      </c>
      <c r="G570" s="40" t="n"/>
      <c r="H570" s="41" t="n"/>
      <c r="I570" s="42">
        <f>IF($H570="","",MAX(0,$H570-N($E570)))</f>
        <v/>
      </c>
      <c r="J570" s="42">
        <f>IF($H570="","",MAX(0,$H570-N($G570)))</f>
        <v/>
      </c>
    </row>
    <row r="571" ht="19.5" customHeight="1" s="72">
      <c r="A571" s="38" t="inlineStr">
        <is>
          <t>DM-32-P03-SIR</t>
        </is>
      </c>
      <c r="B571" s="38" t="inlineStr">
        <is>
          <t>Fase 32</t>
        </is>
      </c>
      <c r="C571" s="38" t="inlineStr">
        <is>
          <t>Siriuna</t>
        </is>
      </c>
      <c r="D571" s="39" t="inlineStr">
        <is>
          <t>A_D_M_32_P3</t>
        </is>
      </c>
      <c r="E571" s="40" t="n"/>
      <c r="F571" s="39" t="inlineStr">
        <is>
          <t>B_D_M_32_P3</t>
        </is>
      </c>
      <c r="G571" s="40" t="n"/>
      <c r="H571" s="41" t="n"/>
      <c r="I571" s="42">
        <f>IF($H571="","",MAX(0,$H571-N($E571)))</f>
        <v/>
      </c>
      <c r="J571" s="42">
        <f>IF($H571="","",MAX(0,$H571-N($G571)))</f>
        <v/>
      </c>
    </row>
    <row r="572" ht="19.5" customHeight="1" s="72">
      <c r="A572" s="38" t="inlineStr">
        <is>
          <t>DM-32-P04-BEN</t>
        </is>
      </c>
      <c r="B572" s="38" t="inlineStr">
        <is>
          <t>Fase 32</t>
        </is>
      </c>
      <c r="C572" s="38" t="inlineStr">
        <is>
          <t>Benguela</t>
        </is>
      </c>
      <c r="D572" s="39" t="inlineStr">
        <is>
          <t>A_D_M_32_P4</t>
        </is>
      </c>
      <c r="E572" s="40" t="n"/>
      <c r="F572" s="39" t="inlineStr">
        <is>
          <t>B_D_M_32_P4</t>
        </is>
      </c>
      <c r="G572" s="40" t="n"/>
      <c r="H572" s="41" t="n"/>
      <c r="I572" s="42">
        <f>IF($H572="","",MAX(0,$H572-N($E572)))</f>
        <v/>
      </c>
      <c r="J572" s="42">
        <f>IF($H572="","",MAX(0,$H572-N($G572)))</f>
        <v/>
      </c>
    </row>
    <row r="573" ht="19.5" customHeight="1" s="72">
      <c r="A573" s="38" t="inlineStr">
        <is>
          <t>DM-32-P04-SBA</t>
        </is>
      </c>
      <c r="B573" s="38" t="inlineStr">
        <is>
          <t>Fase 32</t>
        </is>
      </c>
      <c r="C573" s="38" t="inlineStr">
        <is>
          <t>São Bento da Abadá</t>
        </is>
      </c>
      <c r="D573" s="39" t="inlineStr">
        <is>
          <t>A_D_M_32_P4</t>
        </is>
      </c>
      <c r="E573" s="40" t="n"/>
      <c r="F573" s="39" t="inlineStr">
        <is>
          <t>B_D_M_32_P4</t>
        </is>
      </c>
      <c r="G573" s="40" t="n"/>
      <c r="H573" s="41" t="n"/>
      <c r="I573" s="42">
        <f>IF($H573="","",MAX(0,$H573-N($E573)))</f>
        <v/>
      </c>
      <c r="J573" s="42">
        <f>IF($H573="","",MAX(0,$H573-N($G573)))</f>
        <v/>
      </c>
    </row>
    <row r="574" ht="19.5" customHeight="1" s="72">
      <c r="A574" s="38" t="inlineStr">
        <is>
          <t>DM-32-P04-SIR</t>
        </is>
      </c>
      <c r="B574" s="38" t="inlineStr">
        <is>
          <t>Fase 32</t>
        </is>
      </c>
      <c r="C574" s="38" t="inlineStr">
        <is>
          <t>Siriuna</t>
        </is>
      </c>
      <c r="D574" s="39" t="inlineStr">
        <is>
          <t>A_D_M_32_P4</t>
        </is>
      </c>
      <c r="E574" s="40" t="n"/>
      <c r="F574" s="39" t="inlineStr">
        <is>
          <t>B_D_M_32_P4</t>
        </is>
      </c>
      <c r="G574" s="40" t="n"/>
      <c r="H574" s="41" t="n"/>
      <c r="I574" s="42">
        <f>IF($H574="","",MAX(0,$H574-N($E574)))</f>
        <v/>
      </c>
      <c r="J574" s="42">
        <f>IF($H574="","",MAX(0,$H574-N($G574)))</f>
        <v/>
      </c>
    </row>
    <row r="575" ht="19.5" customHeight="1" s="72">
      <c r="A575" s="38" t="inlineStr">
        <is>
          <t>DM-32-P05-BEN</t>
        </is>
      </c>
      <c r="B575" s="38" t="inlineStr">
        <is>
          <t>Fase 32</t>
        </is>
      </c>
      <c r="C575" s="38" t="inlineStr">
        <is>
          <t>Benguela</t>
        </is>
      </c>
      <c r="D575" s="39" t="inlineStr">
        <is>
          <t>A_D_M_32_P5</t>
        </is>
      </c>
      <c r="E575" s="40" t="n"/>
      <c r="F575" s="39" t="inlineStr">
        <is>
          <t>B_D_M_32_P5</t>
        </is>
      </c>
      <c r="G575" s="40" t="n"/>
      <c r="H575" s="41" t="n"/>
      <c r="I575" s="42">
        <f>IF($H575="","",MAX(0,$H575-N($E575)))</f>
        <v/>
      </c>
      <c r="J575" s="42">
        <f>IF($H575="","",MAX(0,$H575-N($G575)))</f>
        <v/>
      </c>
    </row>
    <row r="576" ht="19.5" customHeight="1" s="72">
      <c r="A576" s="38" t="inlineStr">
        <is>
          <t>DM-32-P05-SBA</t>
        </is>
      </c>
      <c r="B576" s="38" t="inlineStr">
        <is>
          <t>Fase 32</t>
        </is>
      </c>
      <c r="C576" s="38" t="inlineStr">
        <is>
          <t>São Bento da Abadá</t>
        </is>
      </c>
      <c r="D576" s="39" t="inlineStr">
        <is>
          <t>A_D_M_32_P5</t>
        </is>
      </c>
      <c r="E576" s="40" t="n"/>
      <c r="F576" s="39" t="inlineStr">
        <is>
          <t>B_D_M_32_P5</t>
        </is>
      </c>
      <c r="G576" s="40" t="n"/>
      <c r="H576" s="41" t="n"/>
      <c r="I576" s="42">
        <f>IF($H576="","",MAX(0,$H576-N($E576)))</f>
        <v/>
      </c>
      <c r="J576" s="42">
        <f>IF($H576="","",MAX(0,$H576-N($G576)))</f>
        <v/>
      </c>
    </row>
    <row r="577" ht="19.5" customHeight="1" s="72">
      <c r="A577" s="38" t="inlineStr">
        <is>
          <t>DM-32-P05-SIR</t>
        </is>
      </c>
      <c r="B577" s="38" t="inlineStr">
        <is>
          <t>Fase 32</t>
        </is>
      </c>
      <c r="C577" s="38" t="inlineStr">
        <is>
          <t>Siriuna</t>
        </is>
      </c>
      <c r="D577" s="39" t="inlineStr">
        <is>
          <t>A_D_M_32_P5</t>
        </is>
      </c>
      <c r="E577" s="40" t="n"/>
      <c r="F577" s="39" t="inlineStr">
        <is>
          <t>B_D_M_32_P5</t>
        </is>
      </c>
      <c r="G577" s="40" t="n"/>
      <c r="H577" s="41" t="n"/>
      <c r="I577" s="42">
        <f>IF($H577="","",MAX(0,$H577-N($E577)))</f>
        <v/>
      </c>
      <c r="J577" s="42">
        <f>IF($H577="","",MAX(0,$H577-N($G577)))</f>
        <v/>
      </c>
    </row>
    <row r="578" ht="19.5" customHeight="1" s="72">
      <c r="A578" s="38" t="inlineStr">
        <is>
          <t>DM-32-P06-BEN</t>
        </is>
      </c>
      <c r="B578" s="38" t="inlineStr">
        <is>
          <t>Fase 32</t>
        </is>
      </c>
      <c r="C578" s="38" t="inlineStr">
        <is>
          <t>Benguela</t>
        </is>
      </c>
      <c r="D578" s="39" t="inlineStr">
        <is>
          <t>A_D_M_32_P6</t>
        </is>
      </c>
      <c r="E578" s="40" t="n"/>
      <c r="F578" s="39" t="inlineStr">
        <is>
          <t>B_D_M_32_P6</t>
        </is>
      </c>
      <c r="G578" s="40" t="n"/>
      <c r="H578" s="41" t="n"/>
      <c r="I578" s="42">
        <f>IF($H578="","",MAX(0,$H578-N($E578)))</f>
        <v/>
      </c>
      <c r="J578" s="42">
        <f>IF($H578="","",MAX(0,$H578-N($G578)))</f>
        <v/>
      </c>
    </row>
    <row r="579" ht="19.5" customHeight="1" s="72">
      <c r="A579" s="38" t="inlineStr">
        <is>
          <t>DM-32-P06-SBA</t>
        </is>
      </c>
      <c r="B579" s="38" t="inlineStr">
        <is>
          <t>Fase 32</t>
        </is>
      </c>
      <c r="C579" s="38" t="inlineStr">
        <is>
          <t>São Bento da Abadá</t>
        </is>
      </c>
      <c r="D579" s="39" t="inlineStr">
        <is>
          <t>A_D_M_32_P6</t>
        </is>
      </c>
      <c r="E579" s="40" t="n"/>
      <c r="F579" s="39" t="inlineStr">
        <is>
          <t>B_D_M_32_P6</t>
        </is>
      </c>
      <c r="G579" s="40" t="n"/>
      <c r="H579" s="41" t="n"/>
      <c r="I579" s="42">
        <f>IF($H579="","",MAX(0,$H579-N($E579)))</f>
        <v/>
      </c>
      <c r="J579" s="42">
        <f>IF($H579="","",MAX(0,$H579-N($G579)))</f>
        <v/>
      </c>
    </row>
    <row r="580" ht="19.5" customHeight="1" s="72">
      <c r="A580" s="38" t="inlineStr">
        <is>
          <t>DM-32-P06-SIR</t>
        </is>
      </c>
      <c r="B580" s="38" t="inlineStr">
        <is>
          <t>Fase 32</t>
        </is>
      </c>
      <c r="C580" s="38" t="inlineStr">
        <is>
          <t>Siriuna</t>
        </is>
      </c>
      <c r="D580" s="39" t="inlineStr">
        <is>
          <t>A_D_M_32_P6</t>
        </is>
      </c>
      <c r="E580" s="40" t="n"/>
      <c r="F580" s="39" t="inlineStr">
        <is>
          <t>B_D_M_32_P6</t>
        </is>
      </c>
      <c r="G580" s="40" t="n"/>
      <c r="H580" s="41" t="n"/>
      <c r="I580" s="42">
        <f>IF($H580="","",MAX(0,$H580-N($E580)))</f>
        <v/>
      </c>
      <c r="J580" s="42">
        <f>IF($H580="","",MAX(0,$H580-N($G580)))</f>
        <v/>
      </c>
    </row>
    <row r="581" ht="19.5" customHeight="1" s="72">
      <c r="A581" s="38" t="inlineStr">
        <is>
          <t>DM-32-P07-BEN</t>
        </is>
      </c>
      <c r="B581" s="38" t="inlineStr">
        <is>
          <t>Fase 32</t>
        </is>
      </c>
      <c r="C581" s="38" t="inlineStr">
        <is>
          <t>Benguela</t>
        </is>
      </c>
      <c r="D581" s="39" t="inlineStr">
        <is>
          <t>A_D_M_32_P7</t>
        </is>
      </c>
      <c r="E581" s="40" t="n"/>
      <c r="F581" s="39" t="inlineStr">
        <is>
          <t>B_D_M_32_P7</t>
        </is>
      </c>
      <c r="G581" s="40" t="n"/>
      <c r="H581" s="41" t="n"/>
      <c r="I581" s="42">
        <f>IF($H581="","",MAX(0,$H581-N($E581)))</f>
        <v/>
      </c>
      <c r="J581" s="42">
        <f>IF($H581="","",MAX(0,$H581-N($G581)))</f>
        <v/>
      </c>
    </row>
    <row r="582" ht="19.5" customHeight="1" s="72">
      <c r="A582" s="38" t="inlineStr">
        <is>
          <t>DM-32-P07-SBA</t>
        </is>
      </c>
      <c r="B582" s="38" t="inlineStr">
        <is>
          <t>Fase 32</t>
        </is>
      </c>
      <c r="C582" s="38" t="inlineStr">
        <is>
          <t>São Bento da Abadá</t>
        </is>
      </c>
      <c r="D582" s="39" t="inlineStr">
        <is>
          <t>A_D_M_32_P7</t>
        </is>
      </c>
      <c r="E582" s="40" t="n"/>
      <c r="F582" s="39" t="inlineStr">
        <is>
          <t>B_D_M_32_P7</t>
        </is>
      </c>
      <c r="G582" s="40" t="n"/>
      <c r="H582" s="41" t="n"/>
      <c r="I582" s="42">
        <f>IF($H582="","",MAX(0,$H582-N($E582)))</f>
        <v/>
      </c>
      <c r="J582" s="42">
        <f>IF($H582="","",MAX(0,$H582-N($G582)))</f>
        <v/>
      </c>
    </row>
    <row r="583" ht="19.5" customHeight="1" s="72">
      <c r="A583" s="38" t="inlineStr">
        <is>
          <t>DM-32-P07-SIR</t>
        </is>
      </c>
      <c r="B583" s="38" t="inlineStr">
        <is>
          <t>Fase 32</t>
        </is>
      </c>
      <c r="C583" s="38" t="inlineStr">
        <is>
          <t>Siriuna</t>
        </is>
      </c>
      <c r="D583" s="39" t="inlineStr">
        <is>
          <t>A_D_M_32_P7</t>
        </is>
      </c>
      <c r="E583" s="40" t="n"/>
      <c r="F583" s="39" t="inlineStr">
        <is>
          <t>B_D_M_32_P7</t>
        </is>
      </c>
      <c r="G583" s="40" t="n"/>
      <c r="H583" s="41" t="n"/>
      <c r="I583" s="42">
        <f>IF($H583="","",MAX(0,$H583-N($E583)))</f>
        <v/>
      </c>
      <c r="J583" s="42">
        <f>IF($H583="","",MAX(0,$H583-N($G583)))</f>
        <v/>
      </c>
    </row>
    <row r="584" ht="19.5" customHeight="1" s="72">
      <c r="A584" s="38" t="inlineStr">
        <is>
          <t>DM-32-P08-BEN</t>
        </is>
      </c>
      <c r="B584" s="38" t="inlineStr">
        <is>
          <t>Fase 32</t>
        </is>
      </c>
      <c r="C584" s="38" t="inlineStr">
        <is>
          <t>Benguela</t>
        </is>
      </c>
      <c r="D584" s="39" t="inlineStr">
        <is>
          <t>A_D_M_32_P8</t>
        </is>
      </c>
      <c r="E584" s="40" t="n"/>
      <c r="F584" s="39" t="inlineStr">
        <is>
          <t>B_D_M_32_P8</t>
        </is>
      </c>
      <c r="G584" s="40" t="n"/>
      <c r="H584" s="41" t="n"/>
      <c r="I584" s="42">
        <f>IF($H584="","",MAX(0,$H584-N($E584)))</f>
        <v/>
      </c>
      <c r="J584" s="42">
        <f>IF($H584="","",MAX(0,$H584-N($G584)))</f>
        <v/>
      </c>
    </row>
    <row r="585" ht="19.5" customHeight="1" s="72">
      <c r="A585" s="38" t="inlineStr">
        <is>
          <t>DM-32-P08-SBA</t>
        </is>
      </c>
      <c r="B585" s="38" t="inlineStr">
        <is>
          <t>Fase 32</t>
        </is>
      </c>
      <c r="C585" s="38" t="inlineStr">
        <is>
          <t>São Bento da Abadá</t>
        </is>
      </c>
      <c r="D585" s="39" t="inlineStr">
        <is>
          <t>A_D_M_32_P8</t>
        </is>
      </c>
      <c r="E585" s="40" t="n"/>
      <c r="F585" s="39" t="inlineStr">
        <is>
          <t>B_D_M_32_P8</t>
        </is>
      </c>
      <c r="G585" s="40" t="n"/>
      <c r="H585" s="41" t="n"/>
      <c r="I585" s="42">
        <f>IF($H585="","",MAX(0,$H585-N($E585)))</f>
        <v/>
      </c>
      <c r="J585" s="42">
        <f>IF($H585="","",MAX(0,$H585-N($G585)))</f>
        <v/>
      </c>
    </row>
    <row r="586" ht="19.5" customHeight="1" s="72">
      <c r="A586" s="38" t="inlineStr">
        <is>
          <t>DM-32-P08-SIR</t>
        </is>
      </c>
      <c r="B586" s="38" t="inlineStr">
        <is>
          <t>Fase 32</t>
        </is>
      </c>
      <c r="C586" s="38" t="inlineStr">
        <is>
          <t>Siriuna</t>
        </is>
      </c>
      <c r="D586" s="39" t="inlineStr">
        <is>
          <t>A_D_M_32_P8</t>
        </is>
      </c>
      <c r="E586" s="40" t="n"/>
      <c r="F586" s="39" t="inlineStr">
        <is>
          <t>B_D_M_32_P8</t>
        </is>
      </c>
      <c r="G586" s="40" t="n"/>
      <c r="H586" s="41" t="n"/>
      <c r="I586" s="42">
        <f>IF($H586="","",MAX(0,$H586-N($E586)))</f>
        <v/>
      </c>
      <c r="J586" s="42">
        <f>IF($H586="","",MAX(0,$H586-N($G586)))</f>
        <v/>
      </c>
    </row>
    <row r="587" ht="19.5" customHeight="1" s="72">
      <c r="A587" s="38" t="inlineStr">
        <is>
          <t>DM-32-P09-BEN</t>
        </is>
      </c>
      <c r="B587" s="38" t="inlineStr">
        <is>
          <t>Fase 32</t>
        </is>
      </c>
      <c r="C587" s="38" t="inlineStr">
        <is>
          <t>Benguela</t>
        </is>
      </c>
      <c r="D587" s="39" t="inlineStr">
        <is>
          <t>A_D_M_32_P9</t>
        </is>
      </c>
      <c r="E587" s="40" t="n"/>
      <c r="F587" s="39" t="inlineStr">
        <is>
          <t>B_D_M_32_P9</t>
        </is>
      </c>
      <c r="G587" s="40" t="n"/>
      <c r="H587" s="41" t="n"/>
      <c r="I587" s="42">
        <f>IF($H587="","",MAX(0,$H587-N($E587)))</f>
        <v/>
      </c>
      <c r="J587" s="42">
        <f>IF($H587="","",MAX(0,$H587-N($G587)))</f>
        <v/>
      </c>
    </row>
    <row r="588" ht="19.5" customHeight="1" s="72">
      <c r="A588" s="38" t="inlineStr">
        <is>
          <t>DM-32-P09-SBA</t>
        </is>
      </c>
      <c r="B588" s="38" t="inlineStr">
        <is>
          <t>Fase 32</t>
        </is>
      </c>
      <c r="C588" s="38" t="inlineStr">
        <is>
          <t>São Bento da Abadá</t>
        </is>
      </c>
      <c r="D588" s="39" t="inlineStr">
        <is>
          <t>A_D_M_32_P9</t>
        </is>
      </c>
      <c r="E588" s="40" t="n"/>
      <c r="F588" s="39" t="inlineStr">
        <is>
          <t>B_D_M_32_P9</t>
        </is>
      </c>
      <c r="G588" s="40" t="n"/>
      <c r="H588" s="41" t="n"/>
      <c r="I588" s="42">
        <f>IF($H588="","",MAX(0,$H588-N($E588)))</f>
        <v/>
      </c>
      <c r="J588" s="42">
        <f>IF($H588="","",MAX(0,$H588-N($G588)))</f>
        <v/>
      </c>
    </row>
    <row r="589" ht="19.5" customHeight="1" s="72">
      <c r="A589" s="38" t="inlineStr">
        <is>
          <t>DM-32-P09-SIR</t>
        </is>
      </c>
      <c r="B589" s="38" t="inlineStr">
        <is>
          <t>Fase 32</t>
        </is>
      </c>
      <c r="C589" s="38" t="inlineStr">
        <is>
          <t>Siriuna</t>
        </is>
      </c>
      <c r="D589" s="39" t="inlineStr">
        <is>
          <t>A_D_M_32_P9</t>
        </is>
      </c>
      <c r="E589" s="40" t="n"/>
      <c r="F589" s="39" t="inlineStr">
        <is>
          <t>B_D_M_32_P9</t>
        </is>
      </c>
      <c r="G589" s="40" t="n"/>
      <c r="H589" s="41" t="n"/>
      <c r="I589" s="42">
        <f>IF($H589="","",MAX(0,$H589-N($E589)))</f>
        <v/>
      </c>
      <c r="J589" s="42">
        <f>IF($H589="","",MAX(0,$H589-N($G589)))</f>
        <v/>
      </c>
    </row>
    <row r="590" ht="19.5" customHeight="1" s="72">
      <c r="A590" s="38" t="inlineStr">
        <is>
          <t>DM-32-P10-BEN</t>
        </is>
      </c>
      <c r="B590" s="38" t="inlineStr">
        <is>
          <t>Fase 32</t>
        </is>
      </c>
      <c r="C590" s="38" t="inlineStr">
        <is>
          <t>Benguela</t>
        </is>
      </c>
      <c r="D590" s="39" t="inlineStr">
        <is>
          <t>A_D_M_32_P10</t>
        </is>
      </c>
      <c r="E590" s="40" t="n"/>
      <c r="F590" s="39" t="inlineStr">
        <is>
          <t>B_D_M_32_P10</t>
        </is>
      </c>
      <c r="G590" s="40" t="n"/>
      <c r="H590" s="41" t="n"/>
      <c r="I590" s="42">
        <f>IF($H590="","",MAX(0,$H590-N($E590)))</f>
        <v/>
      </c>
      <c r="J590" s="42">
        <f>IF($H590="","",MAX(0,$H590-N($G590)))</f>
        <v/>
      </c>
    </row>
    <row r="591" ht="19.5" customHeight="1" s="72">
      <c r="A591" s="38" t="inlineStr">
        <is>
          <t>DM-32-P10-SBA</t>
        </is>
      </c>
      <c r="B591" s="38" t="inlineStr">
        <is>
          <t>Fase 32</t>
        </is>
      </c>
      <c r="C591" s="38" t="inlineStr">
        <is>
          <t>São Bento da Abadá</t>
        </is>
      </c>
      <c r="D591" s="39" t="inlineStr">
        <is>
          <t>A_D_M_32_P10</t>
        </is>
      </c>
      <c r="E591" s="40" t="n"/>
      <c r="F591" s="39" t="inlineStr">
        <is>
          <t>B_D_M_32_P10</t>
        </is>
      </c>
      <c r="G591" s="40" t="n"/>
      <c r="H591" s="41" t="n"/>
      <c r="I591" s="42">
        <f>IF($H591="","",MAX(0,$H591-N($E591)))</f>
        <v/>
      </c>
      <c r="J591" s="42">
        <f>IF($H591="","",MAX(0,$H591-N($G591)))</f>
        <v/>
      </c>
    </row>
    <row r="592" ht="19.5" customHeight="1" s="72">
      <c r="A592" s="38" t="inlineStr">
        <is>
          <t>DM-32-P10-SIR</t>
        </is>
      </c>
      <c r="B592" s="38" t="inlineStr">
        <is>
          <t>Fase 32</t>
        </is>
      </c>
      <c r="C592" s="38" t="inlineStr">
        <is>
          <t>Siriuna</t>
        </is>
      </c>
      <c r="D592" s="39" t="inlineStr">
        <is>
          <t>A_D_M_32_P10</t>
        </is>
      </c>
      <c r="E592" s="40" t="n"/>
      <c r="F592" s="39" t="inlineStr">
        <is>
          <t>B_D_M_32_P10</t>
        </is>
      </c>
      <c r="G592" s="40" t="n"/>
      <c r="H592" s="41" t="n"/>
      <c r="I592" s="42">
        <f>IF($H592="","",MAX(0,$H592-N($E592)))</f>
        <v/>
      </c>
      <c r="J592" s="42">
        <f>IF($H592="","",MAX(0,$H592-N($G592)))</f>
        <v/>
      </c>
    </row>
    <row r="593" ht="19.5" customHeight="1" s="72">
      <c r="A593" s="38" t="inlineStr">
        <is>
          <t>DM-32-P11-BEN</t>
        </is>
      </c>
      <c r="B593" s="38" t="inlineStr">
        <is>
          <t>Fase 32</t>
        </is>
      </c>
      <c r="C593" s="38" t="inlineStr">
        <is>
          <t>Benguela</t>
        </is>
      </c>
      <c r="D593" s="39" t="inlineStr">
        <is>
          <t>A_D_M_32_P11</t>
        </is>
      </c>
      <c r="E593" s="40" t="n"/>
      <c r="F593" s="39" t="inlineStr">
        <is>
          <t>B_D_M_32_P11</t>
        </is>
      </c>
      <c r="G593" s="40" t="n"/>
      <c r="H593" s="41" t="n"/>
      <c r="I593" s="42">
        <f>IF($H593="","",MAX(0,$H593-N($E593)))</f>
        <v/>
      </c>
      <c r="J593" s="42">
        <f>IF($H593="","",MAX(0,$H593-N($G593)))</f>
        <v/>
      </c>
    </row>
    <row r="594" ht="19.5" customHeight="1" s="72">
      <c r="A594" s="38" t="inlineStr">
        <is>
          <t>DM-32-P11-SBA</t>
        </is>
      </c>
      <c r="B594" s="38" t="inlineStr">
        <is>
          <t>Fase 32</t>
        </is>
      </c>
      <c r="C594" s="38" t="inlineStr">
        <is>
          <t>São Bento da Abadá</t>
        </is>
      </c>
      <c r="D594" s="39" t="inlineStr">
        <is>
          <t>A_D_M_32_P11</t>
        </is>
      </c>
      <c r="E594" s="40" t="n"/>
      <c r="F594" s="39" t="inlineStr">
        <is>
          <t>B_D_M_32_P11</t>
        </is>
      </c>
      <c r="G594" s="40" t="n"/>
      <c r="H594" s="41" t="n"/>
      <c r="I594" s="42">
        <f>IF($H594="","",MAX(0,$H594-N($E594)))</f>
        <v/>
      </c>
      <c r="J594" s="42">
        <f>IF($H594="","",MAX(0,$H594-N($G594)))</f>
        <v/>
      </c>
    </row>
    <row r="595" ht="19.5" customHeight="1" s="72">
      <c r="A595" s="38" t="inlineStr">
        <is>
          <t>DM-32-P11-SIR</t>
        </is>
      </c>
      <c r="B595" s="38" t="inlineStr">
        <is>
          <t>Fase 32</t>
        </is>
      </c>
      <c r="C595" s="38" t="inlineStr">
        <is>
          <t>Siriuna</t>
        </is>
      </c>
      <c r="D595" s="39" t="inlineStr">
        <is>
          <t>A_D_M_32_P11</t>
        </is>
      </c>
      <c r="E595" s="40" t="n"/>
      <c r="F595" s="39" t="inlineStr">
        <is>
          <t>B_D_M_32_P11</t>
        </is>
      </c>
      <c r="G595" s="40" t="n"/>
      <c r="H595" s="41" t="n"/>
      <c r="I595" s="42">
        <f>IF($H595="","",MAX(0,$H595-N($E595)))</f>
        <v/>
      </c>
      <c r="J595" s="42">
        <f>IF($H595="","",MAX(0,$H595-N($G595)))</f>
        <v/>
      </c>
    </row>
    <row r="596" ht="19.5" customHeight="1" s="72">
      <c r="A596" s="38" t="inlineStr">
        <is>
          <t>DM-32-P12-BEN</t>
        </is>
      </c>
      <c r="B596" s="38" t="inlineStr">
        <is>
          <t>Fase 32</t>
        </is>
      </c>
      <c r="C596" s="38" t="inlineStr">
        <is>
          <t>Benguela</t>
        </is>
      </c>
      <c r="D596" s="39" t="inlineStr">
        <is>
          <t>A_D_M_32_P12</t>
        </is>
      </c>
      <c r="E596" s="40" t="n"/>
      <c r="F596" s="39" t="inlineStr">
        <is>
          <t>B_D_M_32_P12</t>
        </is>
      </c>
      <c r="G596" s="40" t="n"/>
      <c r="H596" s="41" t="n"/>
      <c r="I596" s="42">
        <f>IF($H596="","",MAX(0,$H596-N($E596)))</f>
        <v/>
      </c>
      <c r="J596" s="42">
        <f>IF($H596="","",MAX(0,$H596-N($G596)))</f>
        <v/>
      </c>
    </row>
    <row r="597" ht="19.5" customHeight="1" s="72">
      <c r="A597" s="38" t="inlineStr">
        <is>
          <t>DM-32-P12-SBA</t>
        </is>
      </c>
      <c r="B597" s="38" t="inlineStr">
        <is>
          <t>Fase 32</t>
        </is>
      </c>
      <c r="C597" s="38" t="inlineStr">
        <is>
          <t>São Bento da Abadá</t>
        </is>
      </c>
      <c r="D597" s="39" t="inlineStr">
        <is>
          <t>A_D_M_32_P12</t>
        </is>
      </c>
      <c r="E597" s="40" t="n"/>
      <c r="F597" s="39" t="inlineStr">
        <is>
          <t>B_D_M_32_P12</t>
        </is>
      </c>
      <c r="G597" s="40" t="n"/>
      <c r="H597" s="41" t="n"/>
      <c r="I597" s="42">
        <f>IF($H597="","",MAX(0,$H597-N($E597)))</f>
        <v/>
      </c>
      <c r="J597" s="42">
        <f>IF($H597="","",MAX(0,$H597-N($G597)))</f>
        <v/>
      </c>
    </row>
    <row r="598" ht="19.5" customHeight="1" s="72">
      <c r="A598" s="38" t="inlineStr">
        <is>
          <t>DM-32-P12-SIR</t>
        </is>
      </c>
      <c r="B598" s="38" t="inlineStr">
        <is>
          <t>Fase 32</t>
        </is>
      </c>
      <c r="C598" s="38" t="inlineStr">
        <is>
          <t>Siriuna</t>
        </is>
      </c>
      <c r="D598" s="39" t="inlineStr">
        <is>
          <t>A_D_M_32_P12</t>
        </is>
      </c>
      <c r="E598" s="40" t="n"/>
      <c r="F598" s="39" t="inlineStr">
        <is>
          <t>B_D_M_32_P12</t>
        </is>
      </c>
      <c r="G598" s="40" t="n"/>
      <c r="H598" s="41" t="n"/>
      <c r="I598" s="42">
        <f>IF($H598="","",MAX(0,$H598-N($E598)))</f>
        <v/>
      </c>
      <c r="J598" s="42">
        <f>IF($H598="","",MAX(0,$H598-N($G598)))</f>
        <v/>
      </c>
    </row>
    <row r="599" ht="19.5" customHeight="1" s="72">
      <c r="A599" s="38" t="inlineStr">
        <is>
          <t>DM-32-P13-BEN</t>
        </is>
      </c>
      <c r="B599" s="38" t="inlineStr">
        <is>
          <t>Fase 32</t>
        </is>
      </c>
      <c r="C599" s="38" t="inlineStr">
        <is>
          <t>Benguela</t>
        </is>
      </c>
      <c r="D599" s="39" t="inlineStr">
        <is>
          <t>A_D_M_32_P13</t>
        </is>
      </c>
      <c r="E599" s="40" t="n"/>
      <c r="F599" s="39" t="inlineStr">
        <is>
          <t>B_D_M_32_P13</t>
        </is>
      </c>
      <c r="G599" s="40" t="n"/>
      <c r="H599" s="41" t="n"/>
      <c r="I599" s="42">
        <f>IF($H599="","",MAX(0,$H599-N($E599)))</f>
        <v/>
      </c>
      <c r="J599" s="42">
        <f>IF($H599="","",MAX(0,$H599-N($G599)))</f>
        <v/>
      </c>
    </row>
    <row r="600" ht="19.5" customHeight="1" s="72">
      <c r="A600" s="38" t="inlineStr">
        <is>
          <t>DM-32-P13-SBA</t>
        </is>
      </c>
      <c r="B600" s="38" t="inlineStr">
        <is>
          <t>Fase 32</t>
        </is>
      </c>
      <c r="C600" s="38" t="inlineStr">
        <is>
          <t>São Bento da Abadá</t>
        </is>
      </c>
      <c r="D600" s="39" t="inlineStr">
        <is>
          <t>A_D_M_32_P13</t>
        </is>
      </c>
      <c r="E600" s="40" t="n"/>
      <c r="F600" s="39" t="inlineStr">
        <is>
          <t>B_D_M_32_P13</t>
        </is>
      </c>
      <c r="G600" s="40" t="n"/>
      <c r="H600" s="41" t="n"/>
      <c r="I600" s="42">
        <f>IF($H600="","",MAX(0,$H600-N($E600)))</f>
        <v/>
      </c>
      <c r="J600" s="42">
        <f>IF($H600="","",MAX(0,$H600-N($G600)))</f>
        <v/>
      </c>
    </row>
    <row r="601" ht="19.5" customHeight="1" s="72">
      <c r="A601" s="38" t="inlineStr">
        <is>
          <t>DM-32-P13-SIR</t>
        </is>
      </c>
      <c r="B601" s="38" t="inlineStr">
        <is>
          <t>Fase 32</t>
        </is>
      </c>
      <c r="C601" s="38" t="inlineStr">
        <is>
          <t>Siriuna</t>
        </is>
      </c>
      <c r="D601" s="39" t="inlineStr">
        <is>
          <t>A_D_M_32_P13</t>
        </is>
      </c>
      <c r="E601" s="40" t="n"/>
      <c r="F601" s="39" t="inlineStr">
        <is>
          <t>B_D_M_32_P13</t>
        </is>
      </c>
      <c r="G601" s="40" t="n"/>
      <c r="H601" s="41" t="n"/>
      <c r="I601" s="42">
        <f>IF($H601="","",MAX(0,$H601-N($E601)))</f>
        <v/>
      </c>
      <c r="J601" s="42">
        <f>IF($H601="","",MAX(0,$H601-N($G601)))</f>
        <v/>
      </c>
    </row>
    <row r="602" ht="19.5" customHeight="1" s="72">
      <c r="A602" s="38" t="inlineStr">
        <is>
          <t>DM-32-P14-BEN</t>
        </is>
      </c>
      <c r="B602" s="38" t="inlineStr">
        <is>
          <t>Fase 32</t>
        </is>
      </c>
      <c r="C602" s="38" t="inlineStr">
        <is>
          <t>Benguela</t>
        </is>
      </c>
      <c r="D602" s="39" t="inlineStr">
        <is>
          <t>A_D_M_32_P14</t>
        </is>
      </c>
      <c r="E602" s="40" t="n"/>
      <c r="F602" s="39" t="inlineStr">
        <is>
          <t>B_D_M_32_P14</t>
        </is>
      </c>
      <c r="G602" s="40" t="n"/>
      <c r="H602" s="41" t="n"/>
      <c r="I602" s="42">
        <f>IF($H602="","",MAX(0,$H602-N($E602)))</f>
        <v/>
      </c>
      <c r="J602" s="42">
        <f>IF($H602="","",MAX(0,$H602-N($G602)))</f>
        <v/>
      </c>
    </row>
    <row r="603" ht="19.5" customHeight="1" s="72">
      <c r="A603" s="38" t="inlineStr">
        <is>
          <t>DM-32-P14-SBA</t>
        </is>
      </c>
      <c r="B603" s="38" t="inlineStr">
        <is>
          <t>Fase 32</t>
        </is>
      </c>
      <c r="C603" s="38" t="inlineStr">
        <is>
          <t>São Bento da Abadá</t>
        </is>
      </c>
      <c r="D603" s="39" t="inlineStr">
        <is>
          <t>A_D_M_32_P14</t>
        </is>
      </c>
      <c r="E603" s="40" t="n"/>
      <c r="F603" s="39" t="inlineStr">
        <is>
          <t>B_D_M_32_P14</t>
        </is>
      </c>
      <c r="G603" s="40" t="n"/>
      <c r="H603" s="41" t="n"/>
      <c r="I603" s="42">
        <f>IF($H603="","",MAX(0,$H603-N($E603)))</f>
        <v/>
      </c>
      <c r="J603" s="42">
        <f>IF($H603="","",MAX(0,$H603-N($G603)))</f>
        <v/>
      </c>
    </row>
    <row r="604" ht="19.5" customHeight="1" s="72">
      <c r="A604" s="38" t="inlineStr">
        <is>
          <t>DM-32-P14-SIR</t>
        </is>
      </c>
      <c r="B604" s="38" t="inlineStr">
        <is>
          <t>Fase 32</t>
        </is>
      </c>
      <c r="C604" s="38" t="inlineStr">
        <is>
          <t>Siriuna</t>
        </is>
      </c>
      <c r="D604" s="39" t="inlineStr">
        <is>
          <t>A_D_M_32_P14</t>
        </is>
      </c>
      <c r="E604" s="40" t="n"/>
      <c r="F604" s="39" t="inlineStr">
        <is>
          <t>B_D_M_32_P14</t>
        </is>
      </c>
      <c r="G604" s="40" t="n"/>
      <c r="H604" s="41" t="n"/>
      <c r="I604" s="42">
        <f>IF($H604="","",MAX(0,$H604-N($E604)))</f>
        <v/>
      </c>
      <c r="J604" s="42">
        <f>IF($H604="","",MAX(0,$H604-N($G604)))</f>
        <v/>
      </c>
    </row>
    <row r="605" ht="19.5" customHeight="1" s="72">
      <c r="A605" s="38" t="inlineStr">
        <is>
          <t>DM-32-P15-BEN</t>
        </is>
      </c>
      <c r="B605" s="38" t="inlineStr">
        <is>
          <t>Fase 32</t>
        </is>
      </c>
      <c r="C605" s="38" t="inlineStr">
        <is>
          <t>Benguela</t>
        </is>
      </c>
      <c r="D605" s="39" t="inlineStr">
        <is>
          <t>A_D_M_32_P15</t>
        </is>
      </c>
      <c r="E605" s="40" t="n"/>
      <c r="F605" s="39" t="inlineStr">
        <is>
          <t>B_D_M_32_P15</t>
        </is>
      </c>
      <c r="G605" s="40" t="n"/>
      <c r="H605" s="41" t="n"/>
      <c r="I605" s="42">
        <f>IF($H605="","",MAX(0,$H605-N($E605)))</f>
        <v/>
      </c>
      <c r="J605" s="42">
        <f>IF($H605="","",MAX(0,$H605-N($G605)))</f>
        <v/>
      </c>
    </row>
    <row r="606" ht="19.5" customHeight="1" s="72">
      <c r="A606" s="38" t="inlineStr">
        <is>
          <t>DM-32-P15-SBA</t>
        </is>
      </c>
      <c r="B606" s="38" t="inlineStr">
        <is>
          <t>Fase 32</t>
        </is>
      </c>
      <c r="C606" s="38" t="inlineStr">
        <is>
          <t>São Bento da Abadá</t>
        </is>
      </c>
      <c r="D606" s="39" t="inlineStr">
        <is>
          <t>A_D_M_32_P15</t>
        </is>
      </c>
      <c r="E606" s="40" t="n"/>
      <c r="F606" s="39" t="inlineStr">
        <is>
          <t>B_D_M_32_P15</t>
        </is>
      </c>
      <c r="G606" s="40" t="n"/>
      <c r="H606" s="41" t="n"/>
      <c r="I606" s="42">
        <f>IF($H606="","",MAX(0,$H606-N($E606)))</f>
        <v/>
      </c>
      <c r="J606" s="42">
        <f>IF($H606="","",MAX(0,$H606-N($G606)))</f>
        <v/>
      </c>
    </row>
    <row r="607" ht="19.5" customHeight="1" s="72">
      <c r="A607" s="38" t="inlineStr">
        <is>
          <t>DM-32-P15-SIR</t>
        </is>
      </c>
      <c r="B607" s="38" t="inlineStr">
        <is>
          <t>Fase 32</t>
        </is>
      </c>
      <c r="C607" s="38" t="inlineStr">
        <is>
          <t>Siriuna</t>
        </is>
      </c>
      <c r="D607" s="39" t="inlineStr">
        <is>
          <t>A_D_M_32_P15</t>
        </is>
      </c>
      <c r="E607" s="40" t="n"/>
      <c r="F607" s="39" t="inlineStr">
        <is>
          <t>B_D_M_32_P15</t>
        </is>
      </c>
      <c r="G607" s="40" t="n"/>
      <c r="H607" s="41" t="n"/>
      <c r="I607" s="42">
        <f>IF($H607="","",MAX(0,$H607-N($E607)))</f>
        <v/>
      </c>
      <c r="J607" s="42">
        <f>IF($H607="","",MAX(0,$H607-N($G607)))</f>
        <v/>
      </c>
    </row>
    <row r="608" ht="19.5" customHeight="1" s="72">
      <c r="A608" s="38" t="inlineStr">
        <is>
          <t>DM-32-P16-BEN</t>
        </is>
      </c>
      <c r="B608" s="38" t="inlineStr">
        <is>
          <t>Fase 32</t>
        </is>
      </c>
      <c r="C608" s="38" t="inlineStr">
        <is>
          <t>Benguela</t>
        </is>
      </c>
      <c r="D608" s="39" t="inlineStr">
        <is>
          <t>A_D_M_32_P16</t>
        </is>
      </c>
      <c r="E608" s="40" t="n"/>
      <c r="F608" s="39" t="inlineStr">
        <is>
          <t>B_D_M_32_P16</t>
        </is>
      </c>
      <c r="G608" s="40" t="n"/>
      <c r="H608" s="41" t="n"/>
      <c r="I608" s="42">
        <f>IF($H608="","",MAX(0,$H608-N($E608)))</f>
        <v/>
      </c>
      <c r="J608" s="42">
        <f>IF($H608="","",MAX(0,$H608-N($G608)))</f>
        <v/>
      </c>
    </row>
    <row r="609" ht="19.5" customHeight="1" s="72">
      <c r="A609" s="38" t="inlineStr">
        <is>
          <t>DM-32-P16-SBA</t>
        </is>
      </c>
      <c r="B609" s="38" t="inlineStr">
        <is>
          <t>Fase 32</t>
        </is>
      </c>
      <c r="C609" s="38" t="inlineStr">
        <is>
          <t>São Bento da Abadá</t>
        </is>
      </c>
      <c r="D609" s="39" t="inlineStr">
        <is>
          <t>A_D_M_32_P16</t>
        </is>
      </c>
      <c r="E609" s="40" t="n"/>
      <c r="F609" s="39" t="inlineStr">
        <is>
          <t>B_D_M_32_P16</t>
        </is>
      </c>
      <c r="G609" s="40" t="n"/>
      <c r="H609" s="41" t="n"/>
      <c r="I609" s="42">
        <f>IF($H609="","",MAX(0,$H609-N($E609)))</f>
        <v/>
      </c>
      <c r="J609" s="42">
        <f>IF($H609="","",MAX(0,$H609-N($G609)))</f>
        <v/>
      </c>
    </row>
    <row r="610" ht="19.5" customHeight="1" s="72">
      <c r="A610" s="38" t="inlineStr">
        <is>
          <t>DM-32-P16-SIR</t>
        </is>
      </c>
      <c r="B610" s="38" t="inlineStr">
        <is>
          <t>Fase 32</t>
        </is>
      </c>
      <c r="C610" s="38" t="inlineStr">
        <is>
          <t>Siriuna</t>
        </is>
      </c>
      <c r="D610" s="39" t="inlineStr">
        <is>
          <t>A_D_M_32_P16</t>
        </is>
      </c>
      <c r="E610" s="40" t="n"/>
      <c r="F610" s="39" t="inlineStr">
        <is>
          <t>B_D_M_32_P16</t>
        </is>
      </c>
      <c r="G610" s="40" t="n"/>
      <c r="H610" s="41" t="n"/>
      <c r="I610" s="42">
        <f>IF($H610="","",MAX(0,$H610-N($E610)))</f>
        <v/>
      </c>
      <c r="J610" s="42">
        <f>IF($H610="","",MAX(0,$H610-N($G610)))</f>
        <v/>
      </c>
    </row>
    <row r="611" ht="19.5" customHeight="1" s="72">
      <c r="A611" s="38" t="inlineStr">
        <is>
          <t>DM-OCT-P01-BEN</t>
        </is>
      </c>
      <c r="B611" s="38" t="inlineStr">
        <is>
          <t>Octavas</t>
        </is>
      </c>
      <c r="C611" s="38" t="inlineStr">
        <is>
          <t>Benguela</t>
        </is>
      </c>
      <c r="D611" s="39">
        <f>IFERROR(CLASIF_D_M!$F$5,"")</f>
        <v/>
      </c>
      <c r="E611" s="40" t="n"/>
      <c r="F611" s="39">
        <f>IFERROR(CLASIF_D_M!$F$20,"")</f>
        <v/>
      </c>
      <c r="G611" s="40" t="n"/>
      <c r="H611" s="41" t="n"/>
      <c r="I611" s="42">
        <f>IF($H611="","",MAX(0,$H611-N($E611)))</f>
        <v/>
      </c>
      <c r="J611" s="42">
        <f>IF($H611="","",MAX(0,$H611-N($G611)))</f>
        <v/>
      </c>
    </row>
    <row r="612" ht="19.5" customHeight="1" s="72">
      <c r="A612" s="38" t="inlineStr">
        <is>
          <t>DM-OCT-P01-SBA</t>
        </is>
      </c>
      <c r="B612" s="38" t="inlineStr">
        <is>
          <t>Octavas</t>
        </is>
      </c>
      <c r="C612" s="38" t="inlineStr">
        <is>
          <t>São Bento da Abadá</t>
        </is>
      </c>
      <c r="D612" s="39">
        <f>IFERROR(CLASIF_D_M!$F$5,"")</f>
        <v/>
      </c>
      <c r="E612" s="40" t="n"/>
      <c r="F612" s="39">
        <f>IFERROR(CLASIF_D_M!$F$20,"")</f>
        <v/>
      </c>
      <c r="G612" s="40" t="n"/>
      <c r="H612" s="41" t="n"/>
      <c r="I612" s="42">
        <f>IF($H612="","",MAX(0,$H612-N($E612)))</f>
        <v/>
      </c>
      <c r="J612" s="42">
        <f>IF($H612="","",MAX(0,$H612-N($G612)))</f>
        <v/>
      </c>
    </row>
    <row r="613" ht="19.5" customHeight="1" s="72">
      <c r="A613" s="38" t="inlineStr">
        <is>
          <t>DM-OCT-P01-SIR</t>
        </is>
      </c>
      <c r="B613" s="38" t="inlineStr">
        <is>
          <t>Octavas</t>
        </is>
      </c>
      <c r="C613" s="38" t="inlineStr">
        <is>
          <t>Siriuna</t>
        </is>
      </c>
      <c r="D613" s="39">
        <f>IFERROR(CLASIF_D_M!$F$5,"")</f>
        <v/>
      </c>
      <c r="E613" s="40" t="n"/>
      <c r="F613" s="39">
        <f>IFERROR(CLASIF_D_M!$F$20,"")</f>
        <v/>
      </c>
      <c r="G613" s="40" t="n"/>
      <c r="H613" s="41" t="n"/>
      <c r="I613" s="42">
        <f>IF($H613="","",MAX(0,$H613-N($E613)))</f>
        <v/>
      </c>
      <c r="J613" s="42">
        <f>IF($H613="","",MAX(0,$H613-N($G613)))</f>
        <v/>
      </c>
    </row>
    <row r="614" ht="19.5" customHeight="1" s="72">
      <c r="A614" s="38" t="inlineStr">
        <is>
          <t>DM-OCT-P02-BEN</t>
        </is>
      </c>
      <c r="B614" s="38" t="inlineStr">
        <is>
          <t>Octavas</t>
        </is>
      </c>
      <c r="C614" s="38" t="inlineStr">
        <is>
          <t>Benguela</t>
        </is>
      </c>
      <c r="D614" s="39">
        <f>IFERROR(CLASIF_D_M!$F$6,"")</f>
        <v/>
      </c>
      <c r="E614" s="40" t="n"/>
      <c r="F614" s="39">
        <f>IFERROR(CLASIF_D_M!$F$19,"")</f>
        <v/>
      </c>
      <c r="G614" s="40" t="n"/>
      <c r="H614" s="41" t="n"/>
      <c r="I614" s="42">
        <f>IF($H614="","",MAX(0,$H614-N($E614)))</f>
        <v/>
      </c>
      <c r="J614" s="42">
        <f>IF($H614="","",MAX(0,$H614-N($G614)))</f>
        <v/>
      </c>
    </row>
    <row r="615" ht="19.5" customHeight="1" s="72">
      <c r="A615" s="38" t="inlineStr">
        <is>
          <t>DM-OCT-P02-SBA</t>
        </is>
      </c>
      <c r="B615" s="38" t="inlineStr">
        <is>
          <t>Octavas</t>
        </is>
      </c>
      <c r="C615" s="38" t="inlineStr">
        <is>
          <t>São Bento da Abadá</t>
        </is>
      </c>
      <c r="D615" s="39">
        <f>IFERROR(CLASIF_D_M!$F$6,"")</f>
        <v/>
      </c>
      <c r="E615" s="40" t="n"/>
      <c r="F615" s="39">
        <f>IFERROR(CLASIF_D_M!$F$19,"")</f>
        <v/>
      </c>
      <c r="G615" s="40" t="n"/>
      <c r="H615" s="41" t="n"/>
      <c r="I615" s="42">
        <f>IF($H615="","",MAX(0,$H615-N($E615)))</f>
        <v/>
      </c>
      <c r="J615" s="42">
        <f>IF($H615="","",MAX(0,$H615-N($G615)))</f>
        <v/>
      </c>
    </row>
    <row r="616" ht="19.5" customHeight="1" s="72">
      <c r="A616" s="38" t="inlineStr">
        <is>
          <t>DM-OCT-P02-SIR</t>
        </is>
      </c>
      <c r="B616" s="38" t="inlineStr">
        <is>
          <t>Octavas</t>
        </is>
      </c>
      <c r="C616" s="38" t="inlineStr">
        <is>
          <t>Siriuna</t>
        </is>
      </c>
      <c r="D616" s="39">
        <f>IFERROR(CLASIF_D_M!$F$6,"")</f>
        <v/>
      </c>
      <c r="E616" s="40" t="n"/>
      <c r="F616" s="39">
        <f>IFERROR(CLASIF_D_M!$F$19,"")</f>
        <v/>
      </c>
      <c r="G616" s="40" t="n"/>
      <c r="H616" s="41" t="n"/>
      <c r="I616" s="42">
        <f>IF($H616="","",MAX(0,$H616-N($E616)))</f>
        <v/>
      </c>
      <c r="J616" s="42">
        <f>IF($H616="","",MAX(0,$H616-N($G616)))</f>
        <v/>
      </c>
    </row>
    <row r="617" ht="19.5" customHeight="1" s="72">
      <c r="A617" s="38" t="inlineStr">
        <is>
          <t>DM-OCT-P03-BEN</t>
        </is>
      </c>
      <c r="B617" s="38" t="inlineStr">
        <is>
          <t>Octavas</t>
        </is>
      </c>
      <c r="C617" s="38" t="inlineStr">
        <is>
          <t>Benguela</t>
        </is>
      </c>
      <c r="D617" s="39">
        <f>IFERROR(CLASIF_D_M!$F$7,"")</f>
        <v/>
      </c>
      <c r="E617" s="40" t="n"/>
      <c r="F617" s="39">
        <f>IFERROR(CLASIF_D_M!$F$18,"")</f>
        <v/>
      </c>
      <c r="G617" s="40" t="n"/>
      <c r="H617" s="41" t="n"/>
      <c r="I617" s="42">
        <f>IF($H617="","",MAX(0,$H617-N($E617)))</f>
        <v/>
      </c>
      <c r="J617" s="42">
        <f>IF($H617="","",MAX(0,$H617-N($G617)))</f>
        <v/>
      </c>
    </row>
    <row r="618" ht="19.5" customHeight="1" s="72">
      <c r="A618" s="38" t="inlineStr">
        <is>
          <t>DM-OCT-P03-SBA</t>
        </is>
      </c>
      <c r="B618" s="38" t="inlineStr">
        <is>
          <t>Octavas</t>
        </is>
      </c>
      <c r="C618" s="38" t="inlineStr">
        <is>
          <t>São Bento da Abadá</t>
        </is>
      </c>
      <c r="D618" s="39">
        <f>IFERROR(CLASIF_D_M!$F$7,"")</f>
        <v/>
      </c>
      <c r="E618" s="40" t="n"/>
      <c r="F618" s="39">
        <f>IFERROR(CLASIF_D_M!$F$18,"")</f>
        <v/>
      </c>
      <c r="G618" s="40" t="n"/>
      <c r="H618" s="41" t="n"/>
      <c r="I618" s="42">
        <f>IF($H618="","",MAX(0,$H618-N($E618)))</f>
        <v/>
      </c>
      <c r="J618" s="42">
        <f>IF($H618="","",MAX(0,$H618-N($G618)))</f>
        <v/>
      </c>
    </row>
    <row r="619" ht="19.5" customHeight="1" s="72">
      <c r="A619" s="38" t="inlineStr">
        <is>
          <t>DM-OCT-P03-SIR</t>
        </is>
      </c>
      <c r="B619" s="38" t="inlineStr">
        <is>
          <t>Octavas</t>
        </is>
      </c>
      <c r="C619" s="38" t="inlineStr">
        <is>
          <t>Siriuna</t>
        </is>
      </c>
      <c r="D619" s="39">
        <f>IFERROR(CLASIF_D_M!$F$7,"")</f>
        <v/>
      </c>
      <c r="E619" s="40" t="n"/>
      <c r="F619" s="39">
        <f>IFERROR(CLASIF_D_M!$F$18,"")</f>
        <v/>
      </c>
      <c r="G619" s="40" t="n"/>
      <c r="H619" s="41" t="n"/>
      <c r="I619" s="42">
        <f>IF($H619="","",MAX(0,$H619-N($E619)))</f>
        <v/>
      </c>
      <c r="J619" s="42">
        <f>IF($H619="","",MAX(0,$H619-N($G619)))</f>
        <v/>
      </c>
    </row>
    <row r="620" ht="19.5" customHeight="1" s="72">
      <c r="A620" s="38" t="inlineStr">
        <is>
          <t>DM-OCT-P04-BEN</t>
        </is>
      </c>
      <c r="B620" s="38" t="inlineStr">
        <is>
          <t>Octavas</t>
        </is>
      </c>
      <c r="C620" s="38" t="inlineStr">
        <is>
          <t>Benguela</t>
        </is>
      </c>
      <c r="D620" s="39">
        <f>IFERROR(CLASIF_D_M!$F$8,"")</f>
        <v/>
      </c>
      <c r="E620" s="40" t="n"/>
      <c r="F620" s="39">
        <f>IFERROR(CLASIF_D_M!$F$17,"")</f>
        <v/>
      </c>
      <c r="G620" s="40" t="n"/>
      <c r="H620" s="41" t="n"/>
      <c r="I620" s="42">
        <f>IF($H620="","",MAX(0,$H620-N($E620)))</f>
        <v/>
      </c>
      <c r="J620" s="42">
        <f>IF($H620="","",MAX(0,$H620-N($G620)))</f>
        <v/>
      </c>
    </row>
    <row r="621" ht="19.5" customHeight="1" s="72">
      <c r="A621" s="38" t="inlineStr">
        <is>
          <t>DM-OCT-P04-SBA</t>
        </is>
      </c>
      <c r="B621" s="38" t="inlineStr">
        <is>
          <t>Octavas</t>
        </is>
      </c>
      <c r="C621" s="38" t="inlineStr">
        <is>
          <t>São Bento da Abadá</t>
        </is>
      </c>
      <c r="D621" s="39">
        <f>IFERROR(CLASIF_D_M!$F$8,"")</f>
        <v/>
      </c>
      <c r="E621" s="40" t="n"/>
      <c r="F621" s="39">
        <f>IFERROR(CLASIF_D_M!$F$17,"")</f>
        <v/>
      </c>
      <c r="G621" s="40" t="n"/>
      <c r="H621" s="41" t="n"/>
      <c r="I621" s="42">
        <f>IF($H621="","",MAX(0,$H621-N($E621)))</f>
        <v/>
      </c>
      <c r="J621" s="42">
        <f>IF($H621="","",MAX(0,$H621-N($G621)))</f>
        <v/>
      </c>
    </row>
    <row r="622" ht="19.5" customHeight="1" s="72">
      <c r="A622" s="38" t="inlineStr">
        <is>
          <t>DM-OCT-P04-SIR</t>
        </is>
      </c>
      <c r="B622" s="38" t="inlineStr">
        <is>
          <t>Octavas</t>
        </is>
      </c>
      <c r="C622" s="38" t="inlineStr">
        <is>
          <t>Siriuna</t>
        </is>
      </c>
      <c r="D622" s="39">
        <f>IFERROR(CLASIF_D_M!$F$8,"")</f>
        <v/>
      </c>
      <c r="E622" s="40" t="n"/>
      <c r="F622" s="39">
        <f>IFERROR(CLASIF_D_M!$F$17,"")</f>
        <v/>
      </c>
      <c r="G622" s="40" t="n"/>
      <c r="H622" s="41" t="n"/>
      <c r="I622" s="42">
        <f>IF($H622="","",MAX(0,$H622-N($E622)))</f>
        <v/>
      </c>
      <c r="J622" s="42">
        <f>IF($H622="","",MAX(0,$H622-N($G622)))</f>
        <v/>
      </c>
    </row>
    <row r="623" ht="19.5" customHeight="1" s="72">
      <c r="A623" s="38" t="inlineStr">
        <is>
          <t>DM-OCT-P05-BEN</t>
        </is>
      </c>
      <c r="B623" s="38" t="inlineStr">
        <is>
          <t>Octavas</t>
        </is>
      </c>
      <c r="C623" s="38" t="inlineStr">
        <is>
          <t>Benguela</t>
        </is>
      </c>
      <c r="D623" s="39">
        <f>IFERROR(CLASIF_D_M!$F$9,"")</f>
        <v/>
      </c>
      <c r="E623" s="40" t="n"/>
      <c r="F623" s="39">
        <f>IFERROR(CLASIF_D_M!$F$16,"")</f>
        <v/>
      </c>
      <c r="G623" s="40" t="n"/>
      <c r="H623" s="41" t="n"/>
      <c r="I623" s="42">
        <f>IF($H623="","",MAX(0,$H623-N($E623)))</f>
        <v/>
      </c>
      <c r="J623" s="42">
        <f>IF($H623="","",MAX(0,$H623-N($G623)))</f>
        <v/>
      </c>
    </row>
    <row r="624" ht="19.5" customHeight="1" s="72">
      <c r="A624" s="38" t="inlineStr">
        <is>
          <t>DM-OCT-P05-SBA</t>
        </is>
      </c>
      <c r="B624" s="38" t="inlineStr">
        <is>
          <t>Octavas</t>
        </is>
      </c>
      <c r="C624" s="38" t="inlineStr">
        <is>
          <t>São Bento da Abadá</t>
        </is>
      </c>
      <c r="D624" s="39">
        <f>IFERROR(CLASIF_D_M!$F$9,"")</f>
        <v/>
      </c>
      <c r="E624" s="40" t="n"/>
      <c r="F624" s="39">
        <f>IFERROR(CLASIF_D_M!$F$16,"")</f>
        <v/>
      </c>
      <c r="G624" s="40" t="n"/>
      <c r="H624" s="41" t="n"/>
      <c r="I624" s="42">
        <f>IF($H624="","",MAX(0,$H624-N($E624)))</f>
        <v/>
      </c>
      <c r="J624" s="42">
        <f>IF($H624="","",MAX(0,$H624-N($G624)))</f>
        <v/>
      </c>
    </row>
    <row r="625" ht="19.5" customHeight="1" s="72">
      <c r="A625" s="38" t="inlineStr">
        <is>
          <t>DM-OCT-P05-SIR</t>
        </is>
      </c>
      <c r="B625" s="38" t="inlineStr">
        <is>
          <t>Octavas</t>
        </is>
      </c>
      <c r="C625" s="38" t="inlineStr">
        <is>
          <t>Siriuna</t>
        </is>
      </c>
      <c r="D625" s="39">
        <f>IFERROR(CLASIF_D_M!$F$9,"")</f>
        <v/>
      </c>
      <c r="E625" s="40" t="n"/>
      <c r="F625" s="39">
        <f>IFERROR(CLASIF_D_M!$F$16,"")</f>
        <v/>
      </c>
      <c r="G625" s="40" t="n"/>
      <c r="H625" s="41" t="n"/>
      <c r="I625" s="42">
        <f>IF($H625="","",MAX(0,$H625-N($E625)))</f>
        <v/>
      </c>
      <c r="J625" s="42">
        <f>IF($H625="","",MAX(0,$H625-N($G625)))</f>
        <v/>
      </c>
    </row>
    <row r="626" ht="19.5" customHeight="1" s="72">
      <c r="A626" s="38" t="inlineStr">
        <is>
          <t>DM-OCT-P06-BEN</t>
        </is>
      </c>
      <c r="B626" s="38" t="inlineStr">
        <is>
          <t>Octavas</t>
        </is>
      </c>
      <c r="C626" s="38" t="inlineStr">
        <is>
          <t>Benguela</t>
        </is>
      </c>
      <c r="D626" s="39">
        <f>IFERROR(CLASIF_D_M!$F$10,"")</f>
        <v/>
      </c>
      <c r="E626" s="40" t="n"/>
      <c r="F626" s="39">
        <f>IFERROR(CLASIF_D_M!$F$15,"")</f>
        <v/>
      </c>
      <c r="G626" s="40" t="n"/>
      <c r="H626" s="41" t="n"/>
      <c r="I626" s="42">
        <f>IF($H626="","",MAX(0,$H626-N($E626)))</f>
        <v/>
      </c>
      <c r="J626" s="42">
        <f>IF($H626="","",MAX(0,$H626-N($G626)))</f>
        <v/>
      </c>
    </row>
    <row r="627" ht="19.5" customHeight="1" s="72">
      <c r="A627" s="38" t="inlineStr">
        <is>
          <t>DM-OCT-P06-SBA</t>
        </is>
      </c>
      <c r="B627" s="38" t="inlineStr">
        <is>
          <t>Octavas</t>
        </is>
      </c>
      <c r="C627" s="38" t="inlineStr">
        <is>
          <t>São Bento da Abadá</t>
        </is>
      </c>
      <c r="D627" s="39">
        <f>IFERROR(CLASIF_D_M!$F$10,"")</f>
        <v/>
      </c>
      <c r="E627" s="40" t="n"/>
      <c r="F627" s="39">
        <f>IFERROR(CLASIF_D_M!$F$15,"")</f>
        <v/>
      </c>
      <c r="G627" s="40" t="n"/>
      <c r="H627" s="41" t="n"/>
      <c r="I627" s="42">
        <f>IF($H627="","",MAX(0,$H627-N($E627)))</f>
        <v/>
      </c>
      <c r="J627" s="42">
        <f>IF($H627="","",MAX(0,$H627-N($G627)))</f>
        <v/>
      </c>
    </row>
    <row r="628" ht="19.5" customHeight="1" s="72">
      <c r="A628" s="38" t="inlineStr">
        <is>
          <t>DM-OCT-P06-SIR</t>
        </is>
      </c>
      <c r="B628" s="38" t="inlineStr">
        <is>
          <t>Octavas</t>
        </is>
      </c>
      <c r="C628" s="38" t="inlineStr">
        <is>
          <t>Siriuna</t>
        </is>
      </c>
      <c r="D628" s="39">
        <f>IFERROR(CLASIF_D_M!$F$10,"")</f>
        <v/>
      </c>
      <c r="E628" s="40" t="n"/>
      <c r="F628" s="39">
        <f>IFERROR(CLASIF_D_M!$F$15,"")</f>
        <v/>
      </c>
      <c r="G628" s="40" t="n"/>
      <c r="H628" s="41" t="n"/>
      <c r="I628" s="42">
        <f>IF($H628="","",MAX(0,$H628-N($E628)))</f>
        <v/>
      </c>
      <c r="J628" s="42">
        <f>IF($H628="","",MAX(0,$H628-N($G628)))</f>
        <v/>
      </c>
    </row>
    <row r="629" ht="19.5" customHeight="1" s="72">
      <c r="A629" s="38" t="inlineStr">
        <is>
          <t>DM-OCT-P07-BEN</t>
        </is>
      </c>
      <c r="B629" s="38" t="inlineStr">
        <is>
          <t>Octavas</t>
        </is>
      </c>
      <c r="C629" s="38" t="inlineStr">
        <is>
          <t>Benguela</t>
        </is>
      </c>
      <c r="D629" s="39">
        <f>IFERROR(CLASIF_D_M!$F$11,"")</f>
        <v/>
      </c>
      <c r="E629" s="40" t="n"/>
      <c r="F629" s="39">
        <f>IFERROR(CLASIF_D_M!$F$14,"")</f>
        <v/>
      </c>
      <c r="G629" s="40" t="n"/>
      <c r="H629" s="41" t="n"/>
      <c r="I629" s="42">
        <f>IF($H629="","",MAX(0,$H629-N($E629)))</f>
        <v/>
      </c>
      <c r="J629" s="42">
        <f>IF($H629="","",MAX(0,$H629-N($G629)))</f>
        <v/>
      </c>
    </row>
    <row r="630" ht="19.5" customHeight="1" s="72">
      <c r="A630" s="38" t="inlineStr">
        <is>
          <t>DM-OCT-P07-SBA</t>
        </is>
      </c>
      <c r="B630" s="38" t="inlineStr">
        <is>
          <t>Octavas</t>
        </is>
      </c>
      <c r="C630" s="38" t="inlineStr">
        <is>
          <t>São Bento da Abadá</t>
        </is>
      </c>
      <c r="D630" s="39">
        <f>IFERROR(CLASIF_D_M!$F$11,"")</f>
        <v/>
      </c>
      <c r="E630" s="40" t="n"/>
      <c r="F630" s="39">
        <f>IFERROR(CLASIF_D_M!$F$14,"")</f>
        <v/>
      </c>
      <c r="G630" s="40" t="n"/>
      <c r="H630" s="41" t="n"/>
      <c r="I630" s="42">
        <f>IF($H630="","",MAX(0,$H630-N($E630)))</f>
        <v/>
      </c>
      <c r="J630" s="42">
        <f>IF($H630="","",MAX(0,$H630-N($G630)))</f>
        <v/>
      </c>
    </row>
    <row r="631" ht="19.5" customHeight="1" s="72">
      <c r="A631" s="38" t="inlineStr">
        <is>
          <t>DM-OCT-P07-SIR</t>
        </is>
      </c>
      <c r="B631" s="38" t="inlineStr">
        <is>
          <t>Octavas</t>
        </is>
      </c>
      <c r="C631" s="38" t="inlineStr">
        <is>
          <t>Siriuna</t>
        </is>
      </c>
      <c r="D631" s="39">
        <f>IFERROR(CLASIF_D_M!$F$11,"")</f>
        <v/>
      </c>
      <c r="E631" s="40" t="n"/>
      <c r="F631" s="39">
        <f>IFERROR(CLASIF_D_M!$F$14,"")</f>
        <v/>
      </c>
      <c r="G631" s="40" t="n"/>
      <c r="H631" s="41" t="n"/>
      <c r="I631" s="42">
        <f>IF($H631="","",MAX(0,$H631-N($E631)))</f>
        <v/>
      </c>
      <c r="J631" s="42">
        <f>IF($H631="","",MAX(0,$H631-N($G631)))</f>
        <v/>
      </c>
    </row>
    <row r="632" ht="19.5" customHeight="1" s="72">
      <c r="A632" s="38" t="inlineStr">
        <is>
          <t>DM-OCT-P08-BEN</t>
        </is>
      </c>
      <c r="B632" s="38" t="inlineStr">
        <is>
          <t>Octavas</t>
        </is>
      </c>
      <c r="C632" s="38" t="inlineStr">
        <is>
          <t>Benguela</t>
        </is>
      </c>
      <c r="D632" s="39">
        <f>IFERROR(CLASIF_D_M!$F$12,"")</f>
        <v/>
      </c>
      <c r="E632" s="40" t="n"/>
      <c r="F632" s="39">
        <f>IFERROR(CLASIF_D_M!$F$13,"")</f>
        <v/>
      </c>
      <c r="G632" s="40" t="n"/>
      <c r="H632" s="41" t="n"/>
      <c r="I632" s="42">
        <f>IF($H632="","",MAX(0,$H632-N($E632)))</f>
        <v/>
      </c>
      <c r="J632" s="42">
        <f>IF($H632="","",MAX(0,$H632-N($G632)))</f>
        <v/>
      </c>
    </row>
    <row r="633" ht="19.5" customHeight="1" s="72">
      <c r="A633" s="38" t="inlineStr">
        <is>
          <t>DM-OCT-P08-SBA</t>
        </is>
      </c>
      <c r="B633" s="38" t="inlineStr">
        <is>
          <t>Octavas</t>
        </is>
      </c>
      <c r="C633" s="38" t="inlineStr">
        <is>
          <t>São Bento da Abadá</t>
        </is>
      </c>
      <c r="D633" s="39">
        <f>IFERROR(CLASIF_D_M!$F$12,"")</f>
        <v/>
      </c>
      <c r="E633" s="40" t="n"/>
      <c r="F633" s="39">
        <f>IFERROR(CLASIF_D_M!$F$13,"")</f>
        <v/>
      </c>
      <c r="G633" s="40" t="n"/>
      <c r="H633" s="41" t="n"/>
      <c r="I633" s="42">
        <f>IF($H633="","",MAX(0,$H633-N($E633)))</f>
        <v/>
      </c>
      <c r="J633" s="42">
        <f>IF($H633="","",MAX(0,$H633-N($G633)))</f>
        <v/>
      </c>
    </row>
    <row r="634" ht="19.5" customHeight="1" s="72">
      <c r="A634" s="38" t="inlineStr">
        <is>
          <t>DM-OCT-P08-SIR</t>
        </is>
      </c>
      <c r="B634" s="38" t="inlineStr">
        <is>
          <t>Octavas</t>
        </is>
      </c>
      <c r="C634" s="38" t="inlineStr">
        <is>
          <t>Siriuna</t>
        </is>
      </c>
      <c r="D634" s="39">
        <f>IFERROR(CLASIF_D_M!$F$12,"")</f>
        <v/>
      </c>
      <c r="E634" s="40" t="n"/>
      <c r="F634" s="39">
        <f>IFERROR(CLASIF_D_M!$F$13,"")</f>
        <v/>
      </c>
      <c r="G634" s="40" t="n"/>
      <c r="H634" s="41" t="n"/>
      <c r="I634" s="42">
        <f>IF($H634="","",MAX(0,$H634-N($E634)))</f>
        <v/>
      </c>
      <c r="J634" s="42">
        <f>IF($H634="","",MAX(0,$H634-N($G634)))</f>
        <v/>
      </c>
    </row>
    <row r="635" ht="19.5" customHeight="1" s="72">
      <c r="A635" s="38" t="inlineStr">
        <is>
          <t>DM-SEM-P01-BEN</t>
        </is>
      </c>
      <c r="B635" s="38" t="inlineStr">
        <is>
          <t>Semifinal</t>
        </is>
      </c>
      <c r="C635" s="38" t="inlineStr">
        <is>
          <t>Benguela</t>
        </is>
      </c>
      <c r="D635" s="39">
        <f>IFERROR(CLASIF_D_M!$O$5,"")</f>
        <v/>
      </c>
      <c r="E635" s="40" t="n"/>
      <c r="F635" s="39">
        <f>IFERROR(CLASIF_D_M!$O$12,"")</f>
        <v/>
      </c>
      <c r="G635" s="40" t="n"/>
      <c r="H635" s="41" t="n"/>
      <c r="I635" s="42">
        <f>IF($H635="","",MAX(0,$H635-N($E635)))</f>
        <v/>
      </c>
      <c r="J635" s="42">
        <f>IF($H635="","",MAX(0,$H635-N($G635)))</f>
        <v/>
      </c>
    </row>
    <row r="636" ht="19.5" customHeight="1" s="72">
      <c r="A636" s="38" t="inlineStr">
        <is>
          <t>DM-SEM-P01-SBA</t>
        </is>
      </c>
      <c r="B636" s="38" t="inlineStr">
        <is>
          <t>Semifinal</t>
        </is>
      </c>
      <c r="C636" s="38" t="inlineStr">
        <is>
          <t>São Bento da Abadá</t>
        </is>
      </c>
      <c r="D636" s="39">
        <f>IFERROR(CLASIF_D_M!$O$5,"")</f>
        <v/>
      </c>
      <c r="E636" s="40" t="n"/>
      <c r="F636" s="39">
        <f>IFERROR(CLASIF_D_M!$O$12,"")</f>
        <v/>
      </c>
      <c r="G636" s="40" t="n"/>
      <c r="H636" s="41" t="n"/>
      <c r="I636" s="42">
        <f>IF($H636="","",MAX(0,$H636-N($E636)))</f>
        <v/>
      </c>
      <c r="J636" s="42">
        <f>IF($H636="","",MAX(0,$H636-N($G636)))</f>
        <v/>
      </c>
    </row>
    <row r="637" ht="19.5" customHeight="1" s="72">
      <c r="A637" s="38" t="inlineStr">
        <is>
          <t>DM-SEM-P01-SIR</t>
        </is>
      </c>
      <c r="B637" s="38" t="inlineStr">
        <is>
          <t>Semifinal</t>
        </is>
      </c>
      <c r="C637" s="38" t="inlineStr">
        <is>
          <t>Siriuna</t>
        </is>
      </c>
      <c r="D637" s="39">
        <f>IFERROR(CLASIF_D_M!$O$5,"")</f>
        <v/>
      </c>
      <c r="E637" s="40" t="n"/>
      <c r="F637" s="39">
        <f>IFERROR(CLASIF_D_M!$O$12,"")</f>
        <v/>
      </c>
      <c r="G637" s="40" t="n"/>
      <c r="H637" s="41" t="n"/>
      <c r="I637" s="42">
        <f>IF($H637="","",MAX(0,$H637-N($E637)))</f>
        <v/>
      </c>
      <c r="J637" s="42">
        <f>IF($H637="","",MAX(0,$H637-N($G637)))</f>
        <v/>
      </c>
    </row>
    <row r="638" ht="19.5" customHeight="1" s="72">
      <c r="A638" s="38" t="inlineStr">
        <is>
          <t>DM-SEM-P02-BEN</t>
        </is>
      </c>
      <c r="B638" s="38" t="inlineStr">
        <is>
          <t>Semifinal</t>
        </is>
      </c>
      <c r="C638" s="38" t="inlineStr">
        <is>
          <t>Benguela</t>
        </is>
      </c>
      <c r="D638" s="39">
        <f>IFERROR(CLASIF_D_M!$O$6,"")</f>
        <v/>
      </c>
      <c r="E638" s="40" t="n"/>
      <c r="F638" s="39">
        <f>IFERROR(CLASIF_D_M!$O$11,"")</f>
        <v/>
      </c>
      <c r="G638" s="40" t="n"/>
      <c r="H638" s="41" t="n"/>
      <c r="I638" s="42">
        <f>IF($H638="","",MAX(0,$H638-N($E638)))</f>
        <v/>
      </c>
      <c r="J638" s="42">
        <f>IF($H638="","",MAX(0,$H638-N($G638)))</f>
        <v/>
      </c>
    </row>
    <row r="639" ht="19.5" customHeight="1" s="72">
      <c r="A639" s="38" t="inlineStr">
        <is>
          <t>DM-SEM-P02-SBA</t>
        </is>
      </c>
      <c r="B639" s="38" t="inlineStr">
        <is>
          <t>Semifinal</t>
        </is>
      </c>
      <c r="C639" s="38" t="inlineStr">
        <is>
          <t>São Bento da Abadá</t>
        </is>
      </c>
      <c r="D639" s="39">
        <f>IFERROR(CLASIF_D_M!$O$6,"")</f>
        <v/>
      </c>
      <c r="E639" s="40" t="n"/>
      <c r="F639" s="39">
        <f>IFERROR(CLASIF_D_M!$O$11,"")</f>
        <v/>
      </c>
      <c r="G639" s="40" t="n"/>
      <c r="H639" s="41" t="n"/>
      <c r="I639" s="42">
        <f>IF($H639="","",MAX(0,$H639-N($E639)))</f>
        <v/>
      </c>
      <c r="J639" s="42">
        <f>IF($H639="","",MAX(0,$H639-N($G639)))</f>
        <v/>
      </c>
    </row>
    <row r="640" ht="19.5" customHeight="1" s="72">
      <c r="A640" s="38" t="inlineStr">
        <is>
          <t>DM-SEM-P02-SIR</t>
        </is>
      </c>
      <c r="B640" s="38" t="inlineStr">
        <is>
          <t>Semifinal</t>
        </is>
      </c>
      <c r="C640" s="38" t="inlineStr">
        <is>
          <t>Siriuna</t>
        </is>
      </c>
      <c r="D640" s="39">
        <f>IFERROR(CLASIF_D_M!$O$6,"")</f>
        <v/>
      </c>
      <c r="E640" s="40" t="n"/>
      <c r="F640" s="39">
        <f>IFERROR(CLASIF_D_M!$O$11,"")</f>
        <v/>
      </c>
      <c r="G640" s="40" t="n"/>
      <c r="H640" s="41" t="n"/>
      <c r="I640" s="42">
        <f>IF($H640="","",MAX(0,$H640-N($E640)))</f>
        <v/>
      </c>
      <c r="J640" s="42">
        <f>IF($H640="","",MAX(0,$H640-N($G640)))</f>
        <v/>
      </c>
    </row>
    <row r="641" ht="19.5" customHeight="1" s="72">
      <c r="A641" s="38" t="inlineStr">
        <is>
          <t>DM-SEM-P03-BEN</t>
        </is>
      </c>
      <c r="B641" s="38" t="inlineStr">
        <is>
          <t>Semifinal</t>
        </is>
      </c>
      <c r="C641" s="38" t="inlineStr">
        <is>
          <t>Benguela</t>
        </is>
      </c>
      <c r="D641" s="39">
        <f>IFERROR(CLASIF_D_M!$O$7,"")</f>
        <v/>
      </c>
      <c r="E641" s="40" t="n"/>
      <c r="F641" s="39">
        <f>IFERROR(CLASIF_D_M!$O$10,"")</f>
        <v/>
      </c>
      <c r="G641" s="40" t="n"/>
      <c r="H641" s="41" t="n"/>
      <c r="I641" s="42">
        <f>IF($H641="","",MAX(0,$H641-N($E641)))</f>
        <v/>
      </c>
      <c r="J641" s="42">
        <f>IF($H641="","",MAX(0,$H641-N($G641)))</f>
        <v/>
      </c>
    </row>
    <row r="642" ht="19.5" customHeight="1" s="72">
      <c r="A642" s="38" t="inlineStr">
        <is>
          <t>DM-SEM-P03-SBA</t>
        </is>
      </c>
      <c r="B642" s="38" t="inlineStr">
        <is>
          <t>Semifinal</t>
        </is>
      </c>
      <c r="C642" s="38" t="inlineStr">
        <is>
          <t>São Bento da Abadá</t>
        </is>
      </c>
      <c r="D642" s="39">
        <f>IFERROR(CLASIF_D_M!$O$7,"")</f>
        <v/>
      </c>
      <c r="E642" s="40" t="n"/>
      <c r="F642" s="39">
        <f>IFERROR(CLASIF_D_M!$O$10,"")</f>
        <v/>
      </c>
      <c r="G642" s="40" t="n"/>
      <c r="H642" s="41" t="n"/>
      <c r="I642" s="42">
        <f>IF($H642="","",MAX(0,$H642-N($E642)))</f>
        <v/>
      </c>
      <c r="J642" s="42">
        <f>IF($H642="","",MAX(0,$H642-N($G642)))</f>
        <v/>
      </c>
    </row>
    <row r="643" ht="19.5" customHeight="1" s="72">
      <c r="A643" s="38" t="inlineStr">
        <is>
          <t>DM-SEM-P03-SIR</t>
        </is>
      </c>
      <c r="B643" s="38" t="inlineStr">
        <is>
          <t>Semifinal</t>
        </is>
      </c>
      <c r="C643" s="38" t="inlineStr">
        <is>
          <t>Siriuna</t>
        </is>
      </c>
      <c r="D643" s="39">
        <f>IFERROR(CLASIF_D_M!$O$7,"")</f>
        <v/>
      </c>
      <c r="E643" s="40" t="n"/>
      <c r="F643" s="39">
        <f>IFERROR(CLASIF_D_M!$O$10,"")</f>
        <v/>
      </c>
      <c r="G643" s="40" t="n"/>
      <c r="H643" s="41" t="n"/>
      <c r="I643" s="42">
        <f>IF($H643="","",MAX(0,$H643-N($E643)))</f>
        <v/>
      </c>
      <c r="J643" s="42">
        <f>IF($H643="","",MAX(0,$H643-N($G643)))</f>
        <v/>
      </c>
    </row>
    <row r="644" ht="19.5" customHeight="1" s="72">
      <c r="A644" s="38" t="inlineStr">
        <is>
          <t>DM-SEM-P04-BEN</t>
        </is>
      </c>
      <c r="B644" s="38" t="inlineStr">
        <is>
          <t>Semifinal</t>
        </is>
      </c>
      <c r="C644" s="38" t="inlineStr">
        <is>
          <t>Benguela</t>
        </is>
      </c>
      <c r="D644" s="39">
        <f>IFERROR(CLASIF_D_M!$O$8,"")</f>
        <v/>
      </c>
      <c r="E644" s="40" t="n"/>
      <c r="F644" s="39">
        <f>IFERROR(CLASIF_D_M!$O$9,"")</f>
        <v/>
      </c>
      <c r="G644" s="40" t="n"/>
      <c r="H644" s="41" t="n"/>
      <c r="I644" s="42">
        <f>IF($H644="","",MAX(0,$H644-N($E644)))</f>
        <v/>
      </c>
      <c r="J644" s="42">
        <f>IF($H644="","",MAX(0,$H644-N($G644)))</f>
        <v/>
      </c>
    </row>
    <row r="645" ht="19.5" customHeight="1" s="72">
      <c r="A645" s="38" t="inlineStr">
        <is>
          <t>DM-SEM-P04-SBA</t>
        </is>
      </c>
      <c r="B645" s="38" t="inlineStr">
        <is>
          <t>Semifinal</t>
        </is>
      </c>
      <c r="C645" s="38" t="inlineStr">
        <is>
          <t>São Bento da Abadá</t>
        </is>
      </c>
      <c r="D645" s="39">
        <f>IFERROR(CLASIF_D_M!$O$8,"")</f>
        <v/>
      </c>
      <c r="E645" s="40" t="n"/>
      <c r="F645" s="39">
        <f>IFERROR(CLASIF_D_M!$O$9,"")</f>
        <v/>
      </c>
      <c r="G645" s="40" t="n"/>
      <c r="H645" s="41" t="n"/>
      <c r="I645" s="42">
        <f>IF($H645="","",MAX(0,$H645-N($E645)))</f>
        <v/>
      </c>
      <c r="J645" s="42">
        <f>IF($H645="","",MAX(0,$H645-N($G645)))</f>
        <v/>
      </c>
    </row>
    <row r="646" ht="19.5" customHeight="1" s="72">
      <c r="A646" s="38" t="inlineStr">
        <is>
          <t>DM-SEM-P04-SIR</t>
        </is>
      </c>
      <c r="B646" s="38" t="inlineStr">
        <is>
          <t>Semifinal</t>
        </is>
      </c>
      <c r="C646" s="38" t="inlineStr">
        <is>
          <t>Siriuna</t>
        </is>
      </c>
      <c r="D646" s="39">
        <f>IFERROR(CLASIF_D_M!$O$8,"")</f>
        <v/>
      </c>
      <c r="E646" s="40" t="n"/>
      <c r="F646" s="39">
        <f>IFERROR(CLASIF_D_M!$O$9,"")</f>
        <v/>
      </c>
      <c r="G646" s="40" t="n"/>
      <c r="H646" s="41" t="n"/>
      <c r="I646" s="42">
        <f>IF($H646="","",MAX(0,$H646-N($E646)))</f>
        <v/>
      </c>
      <c r="J646" s="42">
        <f>IF($H646="","",MAX(0,$H646-N($G646)))</f>
        <v/>
      </c>
    </row>
    <row r="647" ht="19.5" customHeight="1" s="72">
      <c r="A647" s="38" t="inlineStr">
        <is>
          <t>DM-FIN-P01-BEN</t>
        </is>
      </c>
      <c r="B647" s="38" t="inlineStr">
        <is>
          <t>Final</t>
        </is>
      </c>
      <c r="C647" s="38" t="inlineStr">
        <is>
          <t>Benguela</t>
        </is>
      </c>
      <c r="D647" s="39">
        <f>IFERROR(CLASIF_D_M!$X$5,"")</f>
        <v/>
      </c>
      <c r="E647" s="40" t="n"/>
      <c r="F647" s="39">
        <f>IFERROR(CLASIF_D_M!$X$8,"")</f>
        <v/>
      </c>
      <c r="G647" s="40" t="n"/>
      <c r="H647" s="41" t="n"/>
      <c r="I647" s="42">
        <f>IF($H647="","",MAX(0,$H647-N($E647)))</f>
        <v/>
      </c>
      <c r="J647" s="42">
        <f>IF($H647="","",MAX(0,$H647-N($G647)))</f>
        <v/>
      </c>
    </row>
    <row r="648" ht="19.5" customHeight="1" s="72">
      <c r="A648" s="38" t="inlineStr">
        <is>
          <t>DM-FIN-P01-SBA</t>
        </is>
      </c>
      <c r="B648" s="38" t="inlineStr">
        <is>
          <t>Final</t>
        </is>
      </c>
      <c r="C648" s="38" t="inlineStr">
        <is>
          <t>São Bento da Abadá</t>
        </is>
      </c>
      <c r="D648" s="39">
        <f>IFERROR(CLASIF_D_M!$X$5,"")</f>
        <v/>
      </c>
      <c r="E648" s="40" t="n"/>
      <c r="F648" s="39">
        <f>IFERROR(CLASIF_D_M!$X$8,"")</f>
        <v/>
      </c>
      <c r="G648" s="40" t="n"/>
      <c r="H648" s="41" t="n"/>
      <c r="I648" s="42">
        <f>IF($H648="","",MAX(0,$H648-N($E648)))</f>
        <v/>
      </c>
      <c r="J648" s="42">
        <f>IF($H648="","",MAX(0,$H648-N($G648)))</f>
        <v/>
      </c>
    </row>
    <row r="649" ht="19.5" customHeight="1" s="72">
      <c r="A649" s="38" t="inlineStr">
        <is>
          <t>DM-FIN-P01-SIR</t>
        </is>
      </c>
      <c r="B649" s="38" t="inlineStr">
        <is>
          <t>Final</t>
        </is>
      </c>
      <c r="C649" s="38" t="inlineStr">
        <is>
          <t>Siriuna</t>
        </is>
      </c>
      <c r="D649" s="39">
        <f>IFERROR(CLASIF_D_M!$X$5,"")</f>
        <v/>
      </c>
      <c r="E649" s="40" t="n"/>
      <c r="F649" s="39">
        <f>IFERROR(CLASIF_D_M!$X$8,"")</f>
        <v/>
      </c>
      <c r="G649" s="40" t="n"/>
      <c r="H649" s="41" t="n"/>
      <c r="I649" s="42">
        <f>IF($H649="","",MAX(0,$H649-N($E649)))</f>
        <v/>
      </c>
      <c r="J649" s="42">
        <f>IF($H649="","",MAX(0,$H649-N($G649)))</f>
        <v/>
      </c>
    </row>
    <row r="650" ht="19.5" customHeight="1" s="72">
      <c r="A650" s="38" t="inlineStr">
        <is>
          <t>DM-FIN-P02-BEN</t>
        </is>
      </c>
      <c r="B650" s="38" t="inlineStr">
        <is>
          <t>Final</t>
        </is>
      </c>
      <c r="C650" s="38" t="inlineStr">
        <is>
          <t>Benguela</t>
        </is>
      </c>
      <c r="D650" s="39">
        <f>IFERROR(CLASIF_D_M!$X$6,"")</f>
        <v/>
      </c>
      <c r="E650" s="40" t="n"/>
      <c r="F650" s="39">
        <f>IFERROR(CLASIF_D_M!$X$7,"")</f>
        <v/>
      </c>
      <c r="G650" s="40" t="n"/>
      <c r="H650" s="41" t="n"/>
      <c r="I650" s="42">
        <f>IF($H650="","",MAX(0,$H650-N($E650)))</f>
        <v/>
      </c>
      <c r="J650" s="42">
        <f>IF($H650="","",MAX(0,$H650-N($G650)))</f>
        <v/>
      </c>
    </row>
    <row r="651" ht="19.5" customHeight="1" s="72">
      <c r="A651" s="38" t="inlineStr">
        <is>
          <t>DM-FIN-P02-SBA</t>
        </is>
      </c>
      <c r="B651" s="38" t="inlineStr">
        <is>
          <t>Final</t>
        </is>
      </c>
      <c r="C651" s="38" t="inlineStr">
        <is>
          <t>São Bento da Abadá</t>
        </is>
      </c>
      <c r="D651" s="39">
        <f>IFERROR(CLASIF_D_M!$X$6,"")</f>
        <v/>
      </c>
      <c r="E651" s="40" t="n"/>
      <c r="F651" s="39">
        <f>IFERROR(CLASIF_D_M!$X$7,"")</f>
        <v/>
      </c>
      <c r="G651" s="40" t="n"/>
      <c r="H651" s="41" t="n"/>
      <c r="I651" s="42">
        <f>IF($H651="","",MAX(0,$H651-N($E651)))</f>
        <v/>
      </c>
      <c r="J651" s="42">
        <f>IF($H651="","",MAX(0,$H651-N($G651)))</f>
        <v/>
      </c>
    </row>
    <row r="652" ht="19.5" customHeight="1" s="72">
      <c r="A652" s="38" t="inlineStr">
        <is>
          <t>DM-FIN-P02-SIR</t>
        </is>
      </c>
      <c r="B652" s="38" t="inlineStr">
        <is>
          <t>Final</t>
        </is>
      </c>
      <c r="C652" s="38" t="inlineStr">
        <is>
          <t>Siriuna</t>
        </is>
      </c>
      <c r="D652" s="39">
        <f>IFERROR(CLASIF_D_M!$X$6,"")</f>
        <v/>
      </c>
      <c r="E652" s="40" t="n"/>
      <c r="F652" s="39">
        <f>IFERROR(CLASIF_D_M!$X$7,"")</f>
        <v/>
      </c>
      <c r="G652" s="40" t="n"/>
      <c r="H652" s="41" t="n"/>
      <c r="I652" s="42">
        <f>IF($H652="","",MAX(0,$H652-N($E652)))</f>
        <v/>
      </c>
      <c r="J652" s="42">
        <f>IF($H652="","",MAX(0,$H652-N($G652)))</f>
        <v/>
      </c>
    </row>
    <row r="653" ht="19.5" customHeight="1" s="72">
      <c r="A653" s="43" t="n"/>
      <c r="B653" s="43" t="n"/>
      <c r="C653" s="43" t="n"/>
      <c r="D653" s="43" t="n"/>
      <c r="E653" s="43" t="n"/>
      <c r="F653" s="43" t="n"/>
      <c r="G653" s="43" t="n"/>
      <c r="H653" s="44" t="n"/>
      <c r="I653" s="43">
        <f>IF($H653="","",MAX(0,$H653-N($E653)))</f>
        <v/>
      </c>
      <c r="J653" s="43">
        <f>IF($H653="","",MAX(0,$H653-N($G653)))</f>
        <v/>
      </c>
    </row>
    <row r="654" ht="19.5" customHeight="1" s="72">
      <c r="A654" s="83" t="inlineStr">
        <is>
          <t>═══ CATEGORÍA D · Femenino · Azul (Graduados) · Toques: Benguela, São Bento da Abadá, Siriuna ═══</t>
        </is>
      </c>
    </row>
    <row r="655" ht="19.5" customHeight="1" s="72">
      <c r="A655" s="45" t="inlineStr">
        <is>
          <t>Jogo</t>
        </is>
      </c>
      <c r="B655" s="45" t="inlineStr">
        <is>
          <t>Fase</t>
        </is>
      </c>
      <c r="C655" s="45" t="inlineStr">
        <is>
          <t>Toque</t>
        </is>
      </c>
      <c r="D655" s="45" t="inlineStr">
        <is>
          <t>Jugador A</t>
        </is>
      </c>
      <c r="E655" s="45" t="inlineStr">
        <is>
          <t>Quita A</t>
        </is>
      </c>
      <c r="F655" s="45" t="inlineStr">
        <is>
          <t>Jugador B</t>
        </is>
      </c>
      <c r="G655" s="45" t="inlineStr">
        <is>
          <t>Quita B</t>
        </is>
      </c>
      <c r="H655" s="45" t="inlineStr">
        <is>
          <t>NOTA (0-5)</t>
        </is>
      </c>
      <c r="I655" s="45">
        <f>IF($H655="","",MAX(0,$H655-N($E655)))</f>
        <v/>
      </c>
      <c r="J655" s="45">
        <f>IF($H655="","",MAX(0,$H655-N($G655)))</f>
        <v/>
      </c>
    </row>
    <row r="656" ht="19.5" customHeight="1" s="72">
      <c r="A656" s="38" t="inlineStr">
        <is>
          <t>DF-32-P01-BEN</t>
        </is>
      </c>
      <c r="B656" s="38" t="inlineStr">
        <is>
          <t>Fase 32</t>
        </is>
      </c>
      <c r="C656" s="38" t="inlineStr">
        <is>
          <t>Benguela</t>
        </is>
      </c>
      <c r="D656" s="39" t="inlineStr">
        <is>
          <t>A_D_F_32_P1</t>
        </is>
      </c>
      <c r="E656" s="40" t="n"/>
      <c r="F656" s="39" t="inlineStr">
        <is>
          <t>B_D_F_32_P1</t>
        </is>
      </c>
      <c r="G656" s="40" t="n"/>
      <c r="H656" s="41" t="n"/>
      <c r="I656" s="42">
        <f>IF($H656="","",MAX(0,$H656-N($E656)))</f>
        <v/>
      </c>
      <c r="J656" s="42">
        <f>IF($H656="","",MAX(0,$H656-N($G656)))</f>
        <v/>
      </c>
    </row>
    <row r="657" ht="19.5" customHeight="1" s="72">
      <c r="A657" s="38" t="inlineStr">
        <is>
          <t>DF-32-P01-SBA</t>
        </is>
      </c>
      <c r="B657" s="38" t="inlineStr">
        <is>
          <t>Fase 32</t>
        </is>
      </c>
      <c r="C657" s="38" t="inlineStr">
        <is>
          <t>São Bento da Abadá</t>
        </is>
      </c>
      <c r="D657" s="39" t="inlineStr">
        <is>
          <t>A_D_F_32_P1</t>
        </is>
      </c>
      <c r="E657" s="40" t="n"/>
      <c r="F657" s="39" t="inlineStr">
        <is>
          <t>B_D_F_32_P1</t>
        </is>
      </c>
      <c r="G657" s="40" t="n"/>
      <c r="H657" s="41" t="n"/>
      <c r="I657" s="42">
        <f>IF($H657="","",MAX(0,$H657-N($E657)))</f>
        <v/>
      </c>
      <c r="J657" s="42">
        <f>IF($H657="","",MAX(0,$H657-N($G657)))</f>
        <v/>
      </c>
    </row>
    <row r="658" ht="19.5" customHeight="1" s="72">
      <c r="A658" s="38" t="inlineStr">
        <is>
          <t>DF-32-P01-SIR</t>
        </is>
      </c>
      <c r="B658" s="38" t="inlineStr">
        <is>
          <t>Fase 32</t>
        </is>
      </c>
      <c r="C658" s="38" t="inlineStr">
        <is>
          <t>Siriuna</t>
        </is>
      </c>
      <c r="D658" s="39" t="inlineStr">
        <is>
          <t>A_D_F_32_P1</t>
        </is>
      </c>
      <c r="E658" s="40" t="n"/>
      <c r="F658" s="39" t="inlineStr">
        <is>
          <t>B_D_F_32_P1</t>
        </is>
      </c>
      <c r="G658" s="40" t="n"/>
      <c r="H658" s="41" t="n"/>
      <c r="I658" s="42">
        <f>IF($H658="","",MAX(0,$H658-N($E658)))</f>
        <v/>
      </c>
      <c r="J658" s="42">
        <f>IF($H658="","",MAX(0,$H658-N($G658)))</f>
        <v/>
      </c>
    </row>
    <row r="659" ht="19.5" customHeight="1" s="72">
      <c r="A659" s="38" t="inlineStr">
        <is>
          <t>DF-32-P02-BEN</t>
        </is>
      </c>
      <c r="B659" s="38" t="inlineStr">
        <is>
          <t>Fase 32</t>
        </is>
      </c>
      <c r="C659" s="38" t="inlineStr">
        <is>
          <t>Benguela</t>
        </is>
      </c>
      <c r="D659" s="39" t="inlineStr">
        <is>
          <t>A_D_F_32_P2</t>
        </is>
      </c>
      <c r="E659" s="40" t="n"/>
      <c r="F659" s="39" t="inlineStr">
        <is>
          <t>B_D_F_32_P2</t>
        </is>
      </c>
      <c r="G659" s="40" t="n"/>
      <c r="H659" s="41" t="n"/>
      <c r="I659" s="42">
        <f>IF($H659="","",MAX(0,$H659-N($E659)))</f>
        <v/>
      </c>
      <c r="J659" s="42">
        <f>IF($H659="","",MAX(0,$H659-N($G659)))</f>
        <v/>
      </c>
    </row>
    <row r="660" ht="19.5" customHeight="1" s="72">
      <c r="A660" s="38" t="inlineStr">
        <is>
          <t>DF-32-P02-SBA</t>
        </is>
      </c>
      <c r="B660" s="38" t="inlineStr">
        <is>
          <t>Fase 32</t>
        </is>
      </c>
      <c r="C660" s="38" t="inlineStr">
        <is>
          <t>São Bento da Abadá</t>
        </is>
      </c>
      <c r="D660" s="39" t="inlineStr">
        <is>
          <t>A_D_F_32_P2</t>
        </is>
      </c>
      <c r="E660" s="40" t="n"/>
      <c r="F660" s="39" t="inlineStr">
        <is>
          <t>B_D_F_32_P2</t>
        </is>
      </c>
      <c r="G660" s="40" t="n"/>
      <c r="H660" s="41" t="n"/>
      <c r="I660" s="42">
        <f>IF($H660="","",MAX(0,$H660-N($E660)))</f>
        <v/>
      </c>
      <c r="J660" s="42">
        <f>IF($H660="","",MAX(0,$H660-N($G660)))</f>
        <v/>
      </c>
    </row>
    <row r="661" ht="19.5" customHeight="1" s="72">
      <c r="A661" s="38" t="inlineStr">
        <is>
          <t>DF-32-P02-SIR</t>
        </is>
      </c>
      <c r="B661" s="38" t="inlineStr">
        <is>
          <t>Fase 32</t>
        </is>
      </c>
      <c r="C661" s="38" t="inlineStr">
        <is>
          <t>Siriuna</t>
        </is>
      </c>
      <c r="D661" s="39" t="inlineStr">
        <is>
          <t>A_D_F_32_P2</t>
        </is>
      </c>
      <c r="E661" s="40" t="n"/>
      <c r="F661" s="39" t="inlineStr">
        <is>
          <t>B_D_F_32_P2</t>
        </is>
      </c>
      <c r="G661" s="40" t="n"/>
      <c r="H661" s="41" t="n"/>
      <c r="I661" s="42">
        <f>IF($H661="","",MAX(0,$H661-N($E661)))</f>
        <v/>
      </c>
      <c r="J661" s="42">
        <f>IF($H661="","",MAX(0,$H661-N($G661)))</f>
        <v/>
      </c>
    </row>
    <row r="662" ht="19.5" customHeight="1" s="72">
      <c r="A662" s="38" t="inlineStr">
        <is>
          <t>DF-32-P03-BEN</t>
        </is>
      </c>
      <c r="B662" s="38" t="inlineStr">
        <is>
          <t>Fase 32</t>
        </is>
      </c>
      <c r="C662" s="38" t="inlineStr">
        <is>
          <t>Benguela</t>
        </is>
      </c>
      <c r="D662" s="39" t="inlineStr">
        <is>
          <t>A_D_F_32_P3</t>
        </is>
      </c>
      <c r="E662" s="40" t="n"/>
      <c r="F662" s="39" t="inlineStr">
        <is>
          <t>B_D_F_32_P3</t>
        </is>
      </c>
      <c r="G662" s="40" t="n"/>
      <c r="H662" s="41" t="n"/>
      <c r="I662" s="42">
        <f>IF($H662="","",MAX(0,$H662-N($E662)))</f>
        <v/>
      </c>
      <c r="J662" s="42">
        <f>IF($H662="","",MAX(0,$H662-N($G662)))</f>
        <v/>
      </c>
    </row>
    <row r="663" ht="19.5" customHeight="1" s="72">
      <c r="A663" s="38" t="inlineStr">
        <is>
          <t>DF-32-P03-SBA</t>
        </is>
      </c>
      <c r="B663" s="38" t="inlineStr">
        <is>
          <t>Fase 32</t>
        </is>
      </c>
      <c r="C663" s="38" t="inlineStr">
        <is>
          <t>São Bento da Abadá</t>
        </is>
      </c>
      <c r="D663" s="39" t="inlineStr">
        <is>
          <t>A_D_F_32_P3</t>
        </is>
      </c>
      <c r="E663" s="40" t="n"/>
      <c r="F663" s="39" t="inlineStr">
        <is>
          <t>B_D_F_32_P3</t>
        </is>
      </c>
      <c r="G663" s="40" t="n"/>
      <c r="H663" s="41" t="n"/>
      <c r="I663" s="42">
        <f>IF($H663="","",MAX(0,$H663-N($E663)))</f>
        <v/>
      </c>
      <c r="J663" s="42">
        <f>IF($H663="","",MAX(0,$H663-N($G663)))</f>
        <v/>
      </c>
    </row>
    <row r="664" ht="19.5" customHeight="1" s="72">
      <c r="A664" s="38" t="inlineStr">
        <is>
          <t>DF-32-P03-SIR</t>
        </is>
      </c>
      <c r="B664" s="38" t="inlineStr">
        <is>
          <t>Fase 32</t>
        </is>
      </c>
      <c r="C664" s="38" t="inlineStr">
        <is>
          <t>Siriuna</t>
        </is>
      </c>
      <c r="D664" s="39" t="inlineStr">
        <is>
          <t>A_D_F_32_P3</t>
        </is>
      </c>
      <c r="E664" s="40" t="n"/>
      <c r="F664" s="39" t="inlineStr">
        <is>
          <t>B_D_F_32_P3</t>
        </is>
      </c>
      <c r="G664" s="40" t="n"/>
      <c r="H664" s="41" t="n"/>
      <c r="I664" s="42">
        <f>IF($H664="","",MAX(0,$H664-N($E664)))</f>
        <v/>
      </c>
      <c r="J664" s="42">
        <f>IF($H664="","",MAX(0,$H664-N($G664)))</f>
        <v/>
      </c>
    </row>
    <row r="665" ht="19.5" customHeight="1" s="72">
      <c r="A665" s="38" t="inlineStr">
        <is>
          <t>DF-32-P04-BEN</t>
        </is>
      </c>
      <c r="B665" s="38" t="inlineStr">
        <is>
          <t>Fase 32</t>
        </is>
      </c>
      <c r="C665" s="38" t="inlineStr">
        <is>
          <t>Benguela</t>
        </is>
      </c>
      <c r="D665" s="39" t="inlineStr">
        <is>
          <t>A_D_F_32_P4</t>
        </is>
      </c>
      <c r="E665" s="40" t="n"/>
      <c r="F665" s="39" t="inlineStr">
        <is>
          <t>B_D_F_32_P4</t>
        </is>
      </c>
      <c r="G665" s="40" t="n"/>
      <c r="H665" s="41" t="n"/>
      <c r="I665" s="42">
        <f>IF($H665="","",MAX(0,$H665-N($E665)))</f>
        <v/>
      </c>
      <c r="J665" s="42">
        <f>IF($H665="","",MAX(0,$H665-N($G665)))</f>
        <v/>
      </c>
    </row>
    <row r="666" ht="19.5" customHeight="1" s="72">
      <c r="A666" s="38" t="inlineStr">
        <is>
          <t>DF-32-P04-SBA</t>
        </is>
      </c>
      <c r="B666" s="38" t="inlineStr">
        <is>
          <t>Fase 32</t>
        </is>
      </c>
      <c r="C666" s="38" t="inlineStr">
        <is>
          <t>São Bento da Abadá</t>
        </is>
      </c>
      <c r="D666" s="39" t="inlineStr">
        <is>
          <t>A_D_F_32_P4</t>
        </is>
      </c>
      <c r="E666" s="40" t="n"/>
      <c r="F666" s="39" t="inlineStr">
        <is>
          <t>B_D_F_32_P4</t>
        </is>
      </c>
      <c r="G666" s="40" t="n"/>
      <c r="H666" s="41" t="n"/>
      <c r="I666" s="42">
        <f>IF($H666="","",MAX(0,$H666-N($E666)))</f>
        <v/>
      </c>
      <c r="J666" s="42">
        <f>IF($H666="","",MAX(0,$H666-N($G666)))</f>
        <v/>
      </c>
    </row>
    <row r="667" ht="19.5" customHeight="1" s="72">
      <c r="A667" s="38" t="inlineStr">
        <is>
          <t>DF-32-P04-SIR</t>
        </is>
      </c>
      <c r="B667" s="38" t="inlineStr">
        <is>
          <t>Fase 32</t>
        </is>
      </c>
      <c r="C667" s="38" t="inlineStr">
        <is>
          <t>Siriuna</t>
        </is>
      </c>
      <c r="D667" s="39" t="inlineStr">
        <is>
          <t>A_D_F_32_P4</t>
        </is>
      </c>
      <c r="E667" s="40" t="n"/>
      <c r="F667" s="39" t="inlineStr">
        <is>
          <t>B_D_F_32_P4</t>
        </is>
      </c>
      <c r="G667" s="40" t="n"/>
      <c r="H667" s="41" t="n"/>
      <c r="I667" s="42">
        <f>IF($H667="","",MAX(0,$H667-N($E667)))</f>
        <v/>
      </c>
      <c r="J667" s="42">
        <f>IF($H667="","",MAX(0,$H667-N($G667)))</f>
        <v/>
      </c>
    </row>
    <row r="668" ht="19.5" customHeight="1" s="72">
      <c r="A668" s="38" t="inlineStr">
        <is>
          <t>DF-32-P05-BEN</t>
        </is>
      </c>
      <c r="B668" s="38" t="inlineStr">
        <is>
          <t>Fase 32</t>
        </is>
      </c>
      <c r="C668" s="38" t="inlineStr">
        <is>
          <t>Benguela</t>
        </is>
      </c>
      <c r="D668" s="39" t="inlineStr">
        <is>
          <t>A_D_F_32_P5</t>
        </is>
      </c>
      <c r="E668" s="40" t="n"/>
      <c r="F668" s="39" t="inlineStr">
        <is>
          <t>B_D_F_32_P5</t>
        </is>
      </c>
      <c r="G668" s="40" t="n"/>
      <c r="H668" s="41" t="n"/>
      <c r="I668" s="42">
        <f>IF($H668="","",MAX(0,$H668-N($E668)))</f>
        <v/>
      </c>
      <c r="J668" s="42">
        <f>IF($H668="","",MAX(0,$H668-N($G668)))</f>
        <v/>
      </c>
    </row>
    <row r="669" ht="19.5" customHeight="1" s="72">
      <c r="A669" s="38" t="inlineStr">
        <is>
          <t>DF-32-P05-SBA</t>
        </is>
      </c>
      <c r="B669" s="38" t="inlineStr">
        <is>
          <t>Fase 32</t>
        </is>
      </c>
      <c r="C669" s="38" t="inlineStr">
        <is>
          <t>São Bento da Abadá</t>
        </is>
      </c>
      <c r="D669" s="39" t="inlineStr">
        <is>
          <t>A_D_F_32_P5</t>
        </is>
      </c>
      <c r="E669" s="40" t="n"/>
      <c r="F669" s="39" t="inlineStr">
        <is>
          <t>B_D_F_32_P5</t>
        </is>
      </c>
      <c r="G669" s="40" t="n"/>
      <c r="H669" s="41" t="n"/>
      <c r="I669" s="42">
        <f>IF($H669="","",MAX(0,$H669-N($E669)))</f>
        <v/>
      </c>
      <c r="J669" s="42">
        <f>IF($H669="","",MAX(0,$H669-N($G669)))</f>
        <v/>
      </c>
    </row>
    <row r="670" ht="19.5" customHeight="1" s="72">
      <c r="A670" s="38" t="inlineStr">
        <is>
          <t>DF-32-P05-SIR</t>
        </is>
      </c>
      <c r="B670" s="38" t="inlineStr">
        <is>
          <t>Fase 32</t>
        </is>
      </c>
      <c r="C670" s="38" t="inlineStr">
        <is>
          <t>Siriuna</t>
        </is>
      </c>
      <c r="D670" s="39" t="inlineStr">
        <is>
          <t>A_D_F_32_P5</t>
        </is>
      </c>
      <c r="E670" s="40" t="n"/>
      <c r="F670" s="39" t="inlineStr">
        <is>
          <t>B_D_F_32_P5</t>
        </is>
      </c>
      <c r="G670" s="40" t="n"/>
      <c r="H670" s="41" t="n"/>
      <c r="I670" s="42">
        <f>IF($H670="","",MAX(0,$H670-N($E670)))</f>
        <v/>
      </c>
      <c r="J670" s="42">
        <f>IF($H670="","",MAX(0,$H670-N($G670)))</f>
        <v/>
      </c>
    </row>
    <row r="671" ht="19.5" customHeight="1" s="72">
      <c r="A671" s="38" t="inlineStr">
        <is>
          <t>DF-32-P06-BEN</t>
        </is>
      </c>
      <c r="B671" s="38" t="inlineStr">
        <is>
          <t>Fase 32</t>
        </is>
      </c>
      <c r="C671" s="38" t="inlineStr">
        <is>
          <t>Benguela</t>
        </is>
      </c>
      <c r="D671" s="39" t="inlineStr">
        <is>
          <t>A_D_F_32_P6</t>
        </is>
      </c>
      <c r="E671" s="40" t="n"/>
      <c r="F671" s="39" t="inlineStr">
        <is>
          <t>B_D_F_32_P6</t>
        </is>
      </c>
      <c r="G671" s="40" t="n"/>
      <c r="H671" s="41" t="n"/>
      <c r="I671" s="42">
        <f>IF($H671="","",MAX(0,$H671-N($E671)))</f>
        <v/>
      </c>
      <c r="J671" s="42">
        <f>IF($H671="","",MAX(0,$H671-N($G671)))</f>
        <v/>
      </c>
    </row>
    <row r="672" ht="19.5" customHeight="1" s="72">
      <c r="A672" s="38" t="inlineStr">
        <is>
          <t>DF-32-P06-SBA</t>
        </is>
      </c>
      <c r="B672" s="38" t="inlineStr">
        <is>
          <t>Fase 32</t>
        </is>
      </c>
      <c r="C672" s="38" t="inlineStr">
        <is>
          <t>São Bento da Abadá</t>
        </is>
      </c>
      <c r="D672" s="39" t="inlineStr">
        <is>
          <t>A_D_F_32_P6</t>
        </is>
      </c>
      <c r="E672" s="40" t="n"/>
      <c r="F672" s="39" t="inlineStr">
        <is>
          <t>B_D_F_32_P6</t>
        </is>
      </c>
      <c r="G672" s="40" t="n"/>
      <c r="H672" s="41" t="n"/>
      <c r="I672" s="42">
        <f>IF($H672="","",MAX(0,$H672-N($E672)))</f>
        <v/>
      </c>
      <c r="J672" s="42">
        <f>IF($H672="","",MAX(0,$H672-N($G672)))</f>
        <v/>
      </c>
    </row>
    <row r="673" ht="19.5" customHeight="1" s="72">
      <c r="A673" s="38" t="inlineStr">
        <is>
          <t>DF-32-P06-SIR</t>
        </is>
      </c>
      <c r="B673" s="38" t="inlineStr">
        <is>
          <t>Fase 32</t>
        </is>
      </c>
      <c r="C673" s="38" t="inlineStr">
        <is>
          <t>Siriuna</t>
        </is>
      </c>
      <c r="D673" s="39" t="inlineStr">
        <is>
          <t>A_D_F_32_P6</t>
        </is>
      </c>
      <c r="E673" s="40" t="n"/>
      <c r="F673" s="39" t="inlineStr">
        <is>
          <t>B_D_F_32_P6</t>
        </is>
      </c>
      <c r="G673" s="40" t="n"/>
      <c r="H673" s="41" t="n"/>
      <c r="I673" s="42">
        <f>IF($H673="","",MAX(0,$H673-N($E673)))</f>
        <v/>
      </c>
      <c r="J673" s="42">
        <f>IF($H673="","",MAX(0,$H673-N($G673)))</f>
        <v/>
      </c>
    </row>
    <row r="674" ht="19.5" customHeight="1" s="72">
      <c r="A674" s="38" t="inlineStr">
        <is>
          <t>DF-32-P07-BEN</t>
        </is>
      </c>
      <c r="B674" s="38" t="inlineStr">
        <is>
          <t>Fase 32</t>
        </is>
      </c>
      <c r="C674" s="38" t="inlineStr">
        <is>
          <t>Benguela</t>
        </is>
      </c>
      <c r="D674" s="39" t="inlineStr">
        <is>
          <t>A_D_F_32_P7</t>
        </is>
      </c>
      <c r="E674" s="40" t="n"/>
      <c r="F674" s="39" t="inlineStr">
        <is>
          <t>B_D_F_32_P7</t>
        </is>
      </c>
      <c r="G674" s="40" t="n"/>
      <c r="H674" s="41" t="n"/>
      <c r="I674" s="42">
        <f>IF($H674="","",MAX(0,$H674-N($E674)))</f>
        <v/>
      </c>
      <c r="J674" s="42">
        <f>IF($H674="","",MAX(0,$H674-N($G674)))</f>
        <v/>
      </c>
    </row>
    <row r="675" ht="19.5" customHeight="1" s="72">
      <c r="A675" s="38" t="inlineStr">
        <is>
          <t>DF-32-P07-SBA</t>
        </is>
      </c>
      <c r="B675" s="38" t="inlineStr">
        <is>
          <t>Fase 32</t>
        </is>
      </c>
      <c r="C675" s="38" t="inlineStr">
        <is>
          <t>São Bento da Abadá</t>
        </is>
      </c>
      <c r="D675" s="39" t="inlineStr">
        <is>
          <t>A_D_F_32_P7</t>
        </is>
      </c>
      <c r="E675" s="40" t="n"/>
      <c r="F675" s="39" t="inlineStr">
        <is>
          <t>B_D_F_32_P7</t>
        </is>
      </c>
      <c r="G675" s="40" t="n"/>
      <c r="H675" s="41" t="n"/>
      <c r="I675" s="42">
        <f>IF($H675="","",MAX(0,$H675-N($E675)))</f>
        <v/>
      </c>
      <c r="J675" s="42">
        <f>IF($H675="","",MAX(0,$H675-N($G675)))</f>
        <v/>
      </c>
    </row>
    <row r="676" ht="19.5" customHeight="1" s="72">
      <c r="A676" s="38" t="inlineStr">
        <is>
          <t>DF-32-P07-SIR</t>
        </is>
      </c>
      <c r="B676" s="38" t="inlineStr">
        <is>
          <t>Fase 32</t>
        </is>
      </c>
      <c r="C676" s="38" t="inlineStr">
        <is>
          <t>Siriuna</t>
        </is>
      </c>
      <c r="D676" s="39" t="inlineStr">
        <is>
          <t>A_D_F_32_P7</t>
        </is>
      </c>
      <c r="E676" s="40" t="n"/>
      <c r="F676" s="39" t="inlineStr">
        <is>
          <t>B_D_F_32_P7</t>
        </is>
      </c>
      <c r="G676" s="40" t="n"/>
      <c r="H676" s="41" t="n"/>
      <c r="I676" s="42">
        <f>IF($H676="","",MAX(0,$H676-N($E676)))</f>
        <v/>
      </c>
      <c r="J676" s="42">
        <f>IF($H676="","",MAX(0,$H676-N($G676)))</f>
        <v/>
      </c>
    </row>
    <row r="677" ht="19.5" customHeight="1" s="72">
      <c r="A677" s="38" t="inlineStr">
        <is>
          <t>DF-32-P08-BEN</t>
        </is>
      </c>
      <c r="B677" s="38" t="inlineStr">
        <is>
          <t>Fase 32</t>
        </is>
      </c>
      <c r="C677" s="38" t="inlineStr">
        <is>
          <t>Benguela</t>
        </is>
      </c>
      <c r="D677" s="39" t="inlineStr">
        <is>
          <t>A_D_F_32_P8</t>
        </is>
      </c>
      <c r="E677" s="40" t="n"/>
      <c r="F677" s="39" t="inlineStr">
        <is>
          <t>B_D_F_32_P8</t>
        </is>
      </c>
      <c r="G677" s="40" t="n"/>
      <c r="H677" s="41" t="n"/>
      <c r="I677" s="42">
        <f>IF($H677="","",MAX(0,$H677-N($E677)))</f>
        <v/>
      </c>
      <c r="J677" s="42">
        <f>IF($H677="","",MAX(0,$H677-N($G677)))</f>
        <v/>
      </c>
    </row>
    <row r="678" ht="19.5" customHeight="1" s="72">
      <c r="A678" s="38" t="inlineStr">
        <is>
          <t>DF-32-P08-SBA</t>
        </is>
      </c>
      <c r="B678" s="38" t="inlineStr">
        <is>
          <t>Fase 32</t>
        </is>
      </c>
      <c r="C678" s="38" t="inlineStr">
        <is>
          <t>São Bento da Abadá</t>
        </is>
      </c>
      <c r="D678" s="39" t="inlineStr">
        <is>
          <t>A_D_F_32_P8</t>
        </is>
      </c>
      <c r="E678" s="40" t="n"/>
      <c r="F678" s="39" t="inlineStr">
        <is>
          <t>B_D_F_32_P8</t>
        </is>
      </c>
      <c r="G678" s="40" t="n"/>
      <c r="H678" s="41" t="n"/>
      <c r="I678" s="42">
        <f>IF($H678="","",MAX(0,$H678-N($E678)))</f>
        <v/>
      </c>
      <c r="J678" s="42">
        <f>IF($H678="","",MAX(0,$H678-N($G678)))</f>
        <v/>
      </c>
    </row>
    <row r="679" ht="19.5" customHeight="1" s="72">
      <c r="A679" s="38" t="inlineStr">
        <is>
          <t>DF-32-P08-SIR</t>
        </is>
      </c>
      <c r="B679" s="38" t="inlineStr">
        <is>
          <t>Fase 32</t>
        </is>
      </c>
      <c r="C679" s="38" t="inlineStr">
        <is>
          <t>Siriuna</t>
        </is>
      </c>
      <c r="D679" s="39" t="inlineStr">
        <is>
          <t>A_D_F_32_P8</t>
        </is>
      </c>
      <c r="E679" s="40" t="n"/>
      <c r="F679" s="39" t="inlineStr">
        <is>
          <t>B_D_F_32_P8</t>
        </is>
      </c>
      <c r="G679" s="40" t="n"/>
      <c r="H679" s="41" t="n"/>
      <c r="I679" s="42">
        <f>IF($H679="","",MAX(0,$H679-N($E679)))</f>
        <v/>
      </c>
      <c r="J679" s="42">
        <f>IF($H679="","",MAX(0,$H679-N($G679)))</f>
        <v/>
      </c>
    </row>
    <row r="680" ht="19.5" customHeight="1" s="72">
      <c r="A680" s="38" t="inlineStr">
        <is>
          <t>DF-32-P09-BEN</t>
        </is>
      </c>
      <c r="B680" s="38" t="inlineStr">
        <is>
          <t>Fase 32</t>
        </is>
      </c>
      <c r="C680" s="38" t="inlineStr">
        <is>
          <t>Benguela</t>
        </is>
      </c>
      <c r="D680" s="39" t="inlineStr">
        <is>
          <t>A_D_F_32_P9</t>
        </is>
      </c>
      <c r="E680" s="40" t="n"/>
      <c r="F680" s="39" t="inlineStr">
        <is>
          <t>B_D_F_32_P9</t>
        </is>
      </c>
      <c r="G680" s="40" t="n"/>
      <c r="H680" s="41" t="n"/>
      <c r="I680" s="42">
        <f>IF($H680="","",MAX(0,$H680-N($E680)))</f>
        <v/>
      </c>
      <c r="J680" s="42">
        <f>IF($H680="","",MAX(0,$H680-N($G680)))</f>
        <v/>
      </c>
    </row>
    <row r="681" ht="19.5" customHeight="1" s="72">
      <c r="A681" s="38" t="inlineStr">
        <is>
          <t>DF-32-P09-SBA</t>
        </is>
      </c>
      <c r="B681" s="38" t="inlineStr">
        <is>
          <t>Fase 32</t>
        </is>
      </c>
      <c r="C681" s="38" t="inlineStr">
        <is>
          <t>São Bento da Abadá</t>
        </is>
      </c>
      <c r="D681" s="39" t="inlineStr">
        <is>
          <t>A_D_F_32_P9</t>
        </is>
      </c>
      <c r="E681" s="40" t="n"/>
      <c r="F681" s="39" t="inlineStr">
        <is>
          <t>B_D_F_32_P9</t>
        </is>
      </c>
      <c r="G681" s="40" t="n"/>
      <c r="H681" s="41" t="n"/>
      <c r="I681" s="42">
        <f>IF($H681="","",MAX(0,$H681-N($E681)))</f>
        <v/>
      </c>
      <c r="J681" s="42">
        <f>IF($H681="","",MAX(0,$H681-N($G681)))</f>
        <v/>
      </c>
    </row>
    <row r="682" ht="19.5" customHeight="1" s="72">
      <c r="A682" s="38" t="inlineStr">
        <is>
          <t>DF-32-P09-SIR</t>
        </is>
      </c>
      <c r="B682" s="38" t="inlineStr">
        <is>
          <t>Fase 32</t>
        </is>
      </c>
      <c r="C682" s="38" t="inlineStr">
        <is>
          <t>Siriuna</t>
        </is>
      </c>
      <c r="D682" s="39" t="inlineStr">
        <is>
          <t>A_D_F_32_P9</t>
        </is>
      </c>
      <c r="E682" s="40" t="n"/>
      <c r="F682" s="39" t="inlineStr">
        <is>
          <t>B_D_F_32_P9</t>
        </is>
      </c>
      <c r="G682" s="40" t="n"/>
      <c r="H682" s="41" t="n"/>
      <c r="I682" s="42">
        <f>IF($H682="","",MAX(0,$H682-N($E682)))</f>
        <v/>
      </c>
      <c r="J682" s="42">
        <f>IF($H682="","",MAX(0,$H682-N($G682)))</f>
        <v/>
      </c>
    </row>
    <row r="683" ht="19.5" customHeight="1" s="72">
      <c r="A683" s="38" t="inlineStr">
        <is>
          <t>DF-32-P10-BEN</t>
        </is>
      </c>
      <c r="B683" s="38" t="inlineStr">
        <is>
          <t>Fase 32</t>
        </is>
      </c>
      <c r="C683" s="38" t="inlineStr">
        <is>
          <t>Benguela</t>
        </is>
      </c>
      <c r="D683" s="39" t="inlineStr">
        <is>
          <t>A_D_F_32_P10</t>
        </is>
      </c>
      <c r="E683" s="40" t="n"/>
      <c r="F683" s="39" t="inlineStr">
        <is>
          <t>B_D_F_32_P10</t>
        </is>
      </c>
      <c r="G683" s="40" t="n"/>
      <c r="H683" s="41" t="n"/>
      <c r="I683" s="42">
        <f>IF($H683="","",MAX(0,$H683-N($E683)))</f>
        <v/>
      </c>
      <c r="J683" s="42">
        <f>IF($H683="","",MAX(0,$H683-N($G683)))</f>
        <v/>
      </c>
    </row>
    <row r="684" ht="19.5" customHeight="1" s="72">
      <c r="A684" s="38" t="inlineStr">
        <is>
          <t>DF-32-P10-SBA</t>
        </is>
      </c>
      <c r="B684" s="38" t="inlineStr">
        <is>
          <t>Fase 32</t>
        </is>
      </c>
      <c r="C684" s="38" t="inlineStr">
        <is>
          <t>São Bento da Abadá</t>
        </is>
      </c>
      <c r="D684" s="39" t="inlineStr">
        <is>
          <t>A_D_F_32_P10</t>
        </is>
      </c>
      <c r="E684" s="40" t="n"/>
      <c r="F684" s="39" t="inlineStr">
        <is>
          <t>B_D_F_32_P10</t>
        </is>
      </c>
      <c r="G684" s="40" t="n"/>
      <c r="H684" s="41" t="n"/>
      <c r="I684" s="42">
        <f>IF($H684="","",MAX(0,$H684-N($E684)))</f>
        <v/>
      </c>
      <c r="J684" s="42">
        <f>IF($H684="","",MAX(0,$H684-N($G684)))</f>
        <v/>
      </c>
    </row>
    <row r="685" ht="19.5" customHeight="1" s="72">
      <c r="A685" s="38" t="inlineStr">
        <is>
          <t>DF-32-P10-SIR</t>
        </is>
      </c>
      <c r="B685" s="38" t="inlineStr">
        <is>
          <t>Fase 32</t>
        </is>
      </c>
      <c r="C685" s="38" t="inlineStr">
        <is>
          <t>Siriuna</t>
        </is>
      </c>
      <c r="D685" s="39" t="inlineStr">
        <is>
          <t>A_D_F_32_P10</t>
        </is>
      </c>
      <c r="E685" s="40" t="n"/>
      <c r="F685" s="39" t="inlineStr">
        <is>
          <t>B_D_F_32_P10</t>
        </is>
      </c>
      <c r="G685" s="40" t="n"/>
      <c r="H685" s="41" t="n"/>
      <c r="I685" s="42">
        <f>IF($H685="","",MAX(0,$H685-N($E685)))</f>
        <v/>
      </c>
      <c r="J685" s="42">
        <f>IF($H685="","",MAX(0,$H685-N($G685)))</f>
        <v/>
      </c>
    </row>
    <row r="686" ht="19.5" customHeight="1" s="72">
      <c r="A686" s="38" t="inlineStr">
        <is>
          <t>DF-32-P11-BEN</t>
        </is>
      </c>
      <c r="B686" s="38" t="inlineStr">
        <is>
          <t>Fase 32</t>
        </is>
      </c>
      <c r="C686" s="38" t="inlineStr">
        <is>
          <t>Benguela</t>
        </is>
      </c>
      <c r="D686" s="39" t="inlineStr">
        <is>
          <t>A_D_F_32_P11</t>
        </is>
      </c>
      <c r="E686" s="40" t="n"/>
      <c r="F686" s="39" t="inlineStr">
        <is>
          <t>B_D_F_32_P11</t>
        </is>
      </c>
      <c r="G686" s="40" t="n"/>
      <c r="H686" s="41" t="n"/>
      <c r="I686" s="42">
        <f>IF($H686="","",MAX(0,$H686-N($E686)))</f>
        <v/>
      </c>
      <c r="J686" s="42">
        <f>IF($H686="","",MAX(0,$H686-N($G686)))</f>
        <v/>
      </c>
    </row>
    <row r="687" ht="19.5" customHeight="1" s="72">
      <c r="A687" s="38" t="inlineStr">
        <is>
          <t>DF-32-P11-SBA</t>
        </is>
      </c>
      <c r="B687" s="38" t="inlineStr">
        <is>
          <t>Fase 32</t>
        </is>
      </c>
      <c r="C687" s="38" t="inlineStr">
        <is>
          <t>São Bento da Abadá</t>
        </is>
      </c>
      <c r="D687" s="39" t="inlineStr">
        <is>
          <t>A_D_F_32_P11</t>
        </is>
      </c>
      <c r="E687" s="40" t="n"/>
      <c r="F687" s="39" t="inlineStr">
        <is>
          <t>B_D_F_32_P11</t>
        </is>
      </c>
      <c r="G687" s="40" t="n"/>
      <c r="H687" s="41" t="n"/>
      <c r="I687" s="42">
        <f>IF($H687="","",MAX(0,$H687-N($E687)))</f>
        <v/>
      </c>
      <c r="J687" s="42">
        <f>IF($H687="","",MAX(0,$H687-N($G687)))</f>
        <v/>
      </c>
    </row>
    <row r="688" ht="19.5" customHeight="1" s="72">
      <c r="A688" s="38" t="inlineStr">
        <is>
          <t>DF-32-P11-SIR</t>
        </is>
      </c>
      <c r="B688" s="38" t="inlineStr">
        <is>
          <t>Fase 32</t>
        </is>
      </c>
      <c r="C688" s="38" t="inlineStr">
        <is>
          <t>Siriuna</t>
        </is>
      </c>
      <c r="D688" s="39" t="inlineStr">
        <is>
          <t>A_D_F_32_P11</t>
        </is>
      </c>
      <c r="E688" s="40" t="n"/>
      <c r="F688" s="39" t="inlineStr">
        <is>
          <t>B_D_F_32_P11</t>
        </is>
      </c>
      <c r="G688" s="40" t="n"/>
      <c r="H688" s="41" t="n"/>
      <c r="I688" s="42">
        <f>IF($H688="","",MAX(0,$H688-N($E688)))</f>
        <v/>
      </c>
      <c r="J688" s="42">
        <f>IF($H688="","",MAX(0,$H688-N($G688)))</f>
        <v/>
      </c>
    </row>
    <row r="689" ht="19.5" customHeight="1" s="72">
      <c r="A689" s="38" t="inlineStr">
        <is>
          <t>DF-32-P12-BEN</t>
        </is>
      </c>
      <c r="B689" s="38" t="inlineStr">
        <is>
          <t>Fase 32</t>
        </is>
      </c>
      <c r="C689" s="38" t="inlineStr">
        <is>
          <t>Benguela</t>
        </is>
      </c>
      <c r="D689" s="39" t="inlineStr">
        <is>
          <t>A_D_F_32_P12</t>
        </is>
      </c>
      <c r="E689" s="40" t="n"/>
      <c r="F689" s="39" t="inlineStr">
        <is>
          <t>B_D_F_32_P12</t>
        </is>
      </c>
      <c r="G689" s="40" t="n"/>
      <c r="H689" s="41" t="n"/>
      <c r="I689" s="42">
        <f>IF($H689="","",MAX(0,$H689-N($E689)))</f>
        <v/>
      </c>
      <c r="J689" s="42">
        <f>IF($H689="","",MAX(0,$H689-N($G689)))</f>
        <v/>
      </c>
    </row>
    <row r="690" ht="19.5" customHeight="1" s="72">
      <c r="A690" s="38" t="inlineStr">
        <is>
          <t>DF-32-P12-SBA</t>
        </is>
      </c>
      <c r="B690" s="38" t="inlineStr">
        <is>
          <t>Fase 32</t>
        </is>
      </c>
      <c r="C690" s="38" t="inlineStr">
        <is>
          <t>São Bento da Abadá</t>
        </is>
      </c>
      <c r="D690" s="39" t="inlineStr">
        <is>
          <t>A_D_F_32_P12</t>
        </is>
      </c>
      <c r="E690" s="40" t="n"/>
      <c r="F690" s="39" t="inlineStr">
        <is>
          <t>B_D_F_32_P12</t>
        </is>
      </c>
      <c r="G690" s="40" t="n"/>
      <c r="H690" s="41" t="n"/>
      <c r="I690" s="42">
        <f>IF($H690="","",MAX(0,$H690-N($E690)))</f>
        <v/>
      </c>
      <c r="J690" s="42">
        <f>IF($H690="","",MAX(0,$H690-N($G690)))</f>
        <v/>
      </c>
    </row>
    <row r="691" ht="19.5" customHeight="1" s="72">
      <c r="A691" s="38" t="inlineStr">
        <is>
          <t>DF-32-P12-SIR</t>
        </is>
      </c>
      <c r="B691" s="38" t="inlineStr">
        <is>
          <t>Fase 32</t>
        </is>
      </c>
      <c r="C691" s="38" t="inlineStr">
        <is>
          <t>Siriuna</t>
        </is>
      </c>
      <c r="D691" s="39" t="inlineStr">
        <is>
          <t>A_D_F_32_P12</t>
        </is>
      </c>
      <c r="E691" s="40" t="n"/>
      <c r="F691" s="39" t="inlineStr">
        <is>
          <t>B_D_F_32_P12</t>
        </is>
      </c>
      <c r="G691" s="40" t="n"/>
      <c r="H691" s="41" t="n"/>
      <c r="I691" s="42">
        <f>IF($H691="","",MAX(0,$H691-N($E691)))</f>
        <v/>
      </c>
      <c r="J691" s="42">
        <f>IF($H691="","",MAX(0,$H691-N($G691)))</f>
        <v/>
      </c>
    </row>
    <row r="692" ht="19.5" customHeight="1" s="72">
      <c r="A692" s="38" t="inlineStr">
        <is>
          <t>DF-32-P13-BEN</t>
        </is>
      </c>
      <c r="B692" s="38" t="inlineStr">
        <is>
          <t>Fase 32</t>
        </is>
      </c>
      <c r="C692" s="38" t="inlineStr">
        <is>
          <t>Benguela</t>
        </is>
      </c>
      <c r="D692" s="39" t="inlineStr">
        <is>
          <t>A_D_F_32_P13</t>
        </is>
      </c>
      <c r="E692" s="40" t="n"/>
      <c r="F692" s="39" t="inlineStr">
        <is>
          <t>B_D_F_32_P13</t>
        </is>
      </c>
      <c r="G692" s="40" t="n"/>
      <c r="H692" s="41" t="n"/>
      <c r="I692" s="42">
        <f>IF($H692="","",MAX(0,$H692-N($E692)))</f>
        <v/>
      </c>
      <c r="J692" s="42">
        <f>IF($H692="","",MAX(0,$H692-N($G692)))</f>
        <v/>
      </c>
    </row>
    <row r="693" ht="19.5" customHeight="1" s="72">
      <c r="A693" s="38" t="inlineStr">
        <is>
          <t>DF-32-P13-SBA</t>
        </is>
      </c>
      <c r="B693" s="38" t="inlineStr">
        <is>
          <t>Fase 32</t>
        </is>
      </c>
      <c r="C693" s="38" t="inlineStr">
        <is>
          <t>São Bento da Abadá</t>
        </is>
      </c>
      <c r="D693" s="39" t="inlineStr">
        <is>
          <t>A_D_F_32_P13</t>
        </is>
      </c>
      <c r="E693" s="40" t="n"/>
      <c r="F693" s="39" t="inlineStr">
        <is>
          <t>B_D_F_32_P13</t>
        </is>
      </c>
      <c r="G693" s="40" t="n"/>
      <c r="H693" s="41" t="n"/>
      <c r="I693" s="42">
        <f>IF($H693="","",MAX(0,$H693-N($E693)))</f>
        <v/>
      </c>
      <c r="J693" s="42">
        <f>IF($H693="","",MAX(0,$H693-N($G693)))</f>
        <v/>
      </c>
    </row>
    <row r="694" ht="19.5" customHeight="1" s="72">
      <c r="A694" s="38" t="inlineStr">
        <is>
          <t>DF-32-P13-SIR</t>
        </is>
      </c>
      <c r="B694" s="38" t="inlineStr">
        <is>
          <t>Fase 32</t>
        </is>
      </c>
      <c r="C694" s="38" t="inlineStr">
        <is>
          <t>Siriuna</t>
        </is>
      </c>
      <c r="D694" s="39" t="inlineStr">
        <is>
          <t>A_D_F_32_P13</t>
        </is>
      </c>
      <c r="E694" s="40" t="n"/>
      <c r="F694" s="39" t="inlineStr">
        <is>
          <t>B_D_F_32_P13</t>
        </is>
      </c>
      <c r="G694" s="40" t="n"/>
      <c r="H694" s="41" t="n"/>
      <c r="I694" s="42">
        <f>IF($H694="","",MAX(0,$H694-N($E694)))</f>
        <v/>
      </c>
      <c r="J694" s="42">
        <f>IF($H694="","",MAX(0,$H694-N($G694)))</f>
        <v/>
      </c>
    </row>
    <row r="695" ht="19.5" customHeight="1" s="72">
      <c r="A695" s="38" t="inlineStr">
        <is>
          <t>DF-32-P14-BEN</t>
        </is>
      </c>
      <c r="B695" s="38" t="inlineStr">
        <is>
          <t>Fase 32</t>
        </is>
      </c>
      <c r="C695" s="38" t="inlineStr">
        <is>
          <t>Benguela</t>
        </is>
      </c>
      <c r="D695" s="39" t="inlineStr">
        <is>
          <t>A_D_F_32_P14</t>
        </is>
      </c>
      <c r="E695" s="40" t="n"/>
      <c r="F695" s="39" t="inlineStr">
        <is>
          <t>B_D_F_32_P14</t>
        </is>
      </c>
      <c r="G695" s="40" t="n"/>
      <c r="H695" s="41" t="n"/>
      <c r="I695" s="42">
        <f>IF($H695="","",MAX(0,$H695-N($E695)))</f>
        <v/>
      </c>
      <c r="J695" s="42">
        <f>IF($H695="","",MAX(0,$H695-N($G695)))</f>
        <v/>
      </c>
    </row>
    <row r="696" ht="19.5" customHeight="1" s="72">
      <c r="A696" s="38" t="inlineStr">
        <is>
          <t>DF-32-P14-SBA</t>
        </is>
      </c>
      <c r="B696" s="38" t="inlineStr">
        <is>
          <t>Fase 32</t>
        </is>
      </c>
      <c r="C696" s="38" t="inlineStr">
        <is>
          <t>São Bento da Abadá</t>
        </is>
      </c>
      <c r="D696" s="39" t="inlineStr">
        <is>
          <t>A_D_F_32_P14</t>
        </is>
      </c>
      <c r="E696" s="40" t="n"/>
      <c r="F696" s="39" t="inlineStr">
        <is>
          <t>B_D_F_32_P14</t>
        </is>
      </c>
      <c r="G696" s="40" t="n"/>
      <c r="H696" s="41" t="n"/>
      <c r="I696" s="42">
        <f>IF($H696="","",MAX(0,$H696-N($E696)))</f>
        <v/>
      </c>
      <c r="J696" s="42">
        <f>IF($H696="","",MAX(0,$H696-N($G696)))</f>
        <v/>
      </c>
    </row>
    <row r="697" ht="19.5" customHeight="1" s="72">
      <c r="A697" s="38" t="inlineStr">
        <is>
          <t>DF-32-P14-SIR</t>
        </is>
      </c>
      <c r="B697" s="38" t="inlineStr">
        <is>
          <t>Fase 32</t>
        </is>
      </c>
      <c r="C697" s="38" t="inlineStr">
        <is>
          <t>Siriuna</t>
        </is>
      </c>
      <c r="D697" s="39" t="inlineStr">
        <is>
          <t>A_D_F_32_P14</t>
        </is>
      </c>
      <c r="E697" s="40" t="n"/>
      <c r="F697" s="39" t="inlineStr">
        <is>
          <t>B_D_F_32_P14</t>
        </is>
      </c>
      <c r="G697" s="40" t="n"/>
      <c r="H697" s="41" t="n"/>
      <c r="I697" s="42">
        <f>IF($H697="","",MAX(0,$H697-N($E697)))</f>
        <v/>
      </c>
      <c r="J697" s="42">
        <f>IF($H697="","",MAX(0,$H697-N($G697)))</f>
        <v/>
      </c>
    </row>
    <row r="698" ht="19.5" customHeight="1" s="72">
      <c r="A698" s="38" t="inlineStr">
        <is>
          <t>DF-32-P15-BEN</t>
        </is>
      </c>
      <c r="B698" s="38" t="inlineStr">
        <is>
          <t>Fase 32</t>
        </is>
      </c>
      <c r="C698" s="38" t="inlineStr">
        <is>
          <t>Benguela</t>
        </is>
      </c>
      <c r="D698" s="39" t="inlineStr">
        <is>
          <t>A_D_F_32_P15</t>
        </is>
      </c>
      <c r="E698" s="40" t="n"/>
      <c r="F698" s="39" t="inlineStr">
        <is>
          <t>B_D_F_32_P15</t>
        </is>
      </c>
      <c r="G698" s="40" t="n"/>
      <c r="H698" s="41" t="n"/>
      <c r="I698" s="42">
        <f>IF($H698="","",MAX(0,$H698-N($E698)))</f>
        <v/>
      </c>
      <c r="J698" s="42">
        <f>IF($H698="","",MAX(0,$H698-N($G698)))</f>
        <v/>
      </c>
    </row>
    <row r="699" ht="19.5" customHeight="1" s="72">
      <c r="A699" s="38" t="inlineStr">
        <is>
          <t>DF-32-P15-SBA</t>
        </is>
      </c>
      <c r="B699" s="38" t="inlineStr">
        <is>
          <t>Fase 32</t>
        </is>
      </c>
      <c r="C699" s="38" t="inlineStr">
        <is>
          <t>São Bento da Abadá</t>
        </is>
      </c>
      <c r="D699" s="39" t="inlineStr">
        <is>
          <t>A_D_F_32_P15</t>
        </is>
      </c>
      <c r="E699" s="40" t="n"/>
      <c r="F699" s="39" t="inlineStr">
        <is>
          <t>B_D_F_32_P15</t>
        </is>
      </c>
      <c r="G699" s="40" t="n"/>
      <c r="H699" s="41" t="n"/>
      <c r="I699" s="42">
        <f>IF($H699="","",MAX(0,$H699-N($E699)))</f>
        <v/>
      </c>
      <c r="J699" s="42">
        <f>IF($H699="","",MAX(0,$H699-N($G699)))</f>
        <v/>
      </c>
    </row>
    <row r="700" ht="19.5" customHeight="1" s="72">
      <c r="A700" s="38" t="inlineStr">
        <is>
          <t>DF-32-P15-SIR</t>
        </is>
      </c>
      <c r="B700" s="38" t="inlineStr">
        <is>
          <t>Fase 32</t>
        </is>
      </c>
      <c r="C700" s="38" t="inlineStr">
        <is>
          <t>Siriuna</t>
        </is>
      </c>
      <c r="D700" s="39" t="inlineStr">
        <is>
          <t>A_D_F_32_P15</t>
        </is>
      </c>
      <c r="E700" s="40" t="n"/>
      <c r="F700" s="39" t="inlineStr">
        <is>
          <t>B_D_F_32_P15</t>
        </is>
      </c>
      <c r="G700" s="40" t="n"/>
      <c r="H700" s="41" t="n"/>
      <c r="I700" s="42">
        <f>IF($H700="","",MAX(0,$H700-N($E700)))</f>
        <v/>
      </c>
      <c r="J700" s="42">
        <f>IF($H700="","",MAX(0,$H700-N($G700)))</f>
        <v/>
      </c>
    </row>
    <row r="701" ht="19.5" customHeight="1" s="72">
      <c r="A701" s="38" t="inlineStr">
        <is>
          <t>DF-32-P16-BEN</t>
        </is>
      </c>
      <c r="B701" s="38" t="inlineStr">
        <is>
          <t>Fase 32</t>
        </is>
      </c>
      <c r="C701" s="38" t="inlineStr">
        <is>
          <t>Benguela</t>
        </is>
      </c>
      <c r="D701" s="39" t="inlineStr">
        <is>
          <t>A_D_F_32_P16</t>
        </is>
      </c>
      <c r="E701" s="40" t="n"/>
      <c r="F701" s="39" t="inlineStr">
        <is>
          <t>B_D_F_32_P16</t>
        </is>
      </c>
      <c r="G701" s="40" t="n"/>
      <c r="H701" s="41" t="n"/>
      <c r="I701" s="42">
        <f>IF($H701="","",MAX(0,$H701-N($E701)))</f>
        <v/>
      </c>
      <c r="J701" s="42">
        <f>IF($H701="","",MAX(0,$H701-N($G701)))</f>
        <v/>
      </c>
    </row>
    <row r="702" ht="19.5" customHeight="1" s="72">
      <c r="A702" s="38" t="inlineStr">
        <is>
          <t>DF-32-P16-SBA</t>
        </is>
      </c>
      <c r="B702" s="38" t="inlineStr">
        <is>
          <t>Fase 32</t>
        </is>
      </c>
      <c r="C702" s="38" t="inlineStr">
        <is>
          <t>São Bento da Abadá</t>
        </is>
      </c>
      <c r="D702" s="39" t="inlineStr">
        <is>
          <t>A_D_F_32_P16</t>
        </is>
      </c>
      <c r="E702" s="40" t="n"/>
      <c r="F702" s="39" t="inlineStr">
        <is>
          <t>B_D_F_32_P16</t>
        </is>
      </c>
      <c r="G702" s="40" t="n"/>
      <c r="H702" s="41" t="n"/>
      <c r="I702" s="42">
        <f>IF($H702="","",MAX(0,$H702-N($E702)))</f>
        <v/>
      </c>
      <c r="J702" s="42">
        <f>IF($H702="","",MAX(0,$H702-N($G702)))</f>
        <v/>
      </c>
    </row>
    <row r="703" ht="19.5" customHeight="1" s="72">
      <c r="A703" s="38" t="inlineStr">
        <is>
          <t>DF-32-P16-SIR</t>
        </is>
      </c>
      <c r="B703" s="38" t="inlineStr">
        <is>
          <t>Fase 32</t>
        </is>
      </c>
      <c r="C703" s="38" t="inlineStr">
        <is>
          <t>Siriuna</t>
        </is>
      </c>
      <c r="D703" s="39" t="inlineStr">
        <is>
          <t>A_D_F_32_P16</t>
        </is>
      </c>
      <c r="E703" s="40" t="n"/>
      <c r="F703" s="39" t="inlineStr">
        <is>
          <t>B_D_F_32_P16</t>
        </is>
      </c>
      <c r="G703" s="40" t="n"/>
      <c r="H703" s="41" t="n"/>
      <c r="I703" s="42">
        <f>IF($H703="","",MAX(0,$H703-N($E703)))</f>
        <v/>
      </c>
      <c r="J703" s="42">
        <f>IF($H703="","",MAX(0,$H703-N($G703)))</f>
        <v/>
      </c>
    </row>
    <row r="704" ht="19.5" customHeight="1" s="72">
      <c r="A704" s="38" t="inlineStr">
        <is>
          <t>DF-OCT-P01-BEN</t>
        </is>
      </c>
      <c r="B704" s="38" t="inlineStr">
        <is>
          <t>Octavas</t>
        </is>
      </c>
      <c r="C704" s="38" t="inlineStr">
        <is>
          <t>Benguela</t>
        </is>
      </c>
      <c r="D704" s="39">
        <f>IFERROR(CLASIF_D_F!$F$5,"")</f>
        <v/>
      </c>
      <c r="E704" s="40" t="n"/>
      <c r="F704" s="39">
        <f>IFERROR(CLASIF_D_F!$F$20,"")</f>
        <v/>
      </c>
      <c r="G704" s="40" t="n"/>
      <c r="H704" s="41" t="n"/>
      <c r="I704" s="42">
        <f>IF($H704="","",MAX(0,$H704-N($E704)))</f>
        <v/>
      </c>
      <c r="J704" s="42">
        <f>IF($H704="","",MAX(0,$H704-N($G704)))</f>
        <v/>
      </c>
    </row>
    <row r="705" ht="19.5" customHeight="1" s="72">
      <c r="A705" s="38" t="inlineStr">
        <is>
          <t>DF-OCT-P01-SBA</t>
        </is>
      </c>
      <c r="B705" s="38" t="inlineStr">
        <is>
          <t>Octavas</t>
        </is>
      </c>
      <c r="C705" s="38" t="inlineStr">
        <is>
          <t>São Bento da Abadá</t>
        </is>
      </c>
      <c r="D705" s="39">
        <f>IFERROR(CLASIF_D_F!$F$5,"")</f>
        <v/>
      </c>
      <c r="E705" s="40" t="n"/>
      <c r="F705" s="39">
        <f>IFERROR(CLASIF_D_F!$F$20,"")</f>
        <v/>
      </c>
      <c r="G705" s="40" t="n"/>
      <c r="H705" s="41" t="n"/>
      <c r="I705" s="42">
        <f>IF($H705="","",MAX(0,$H705-N($E705)))</f>
        <v/>
      </c>
      <c r="J705" s="42">
        <f>IF($H705="","",MAX(0,$H705-N($G705)))</f>
        <v/>
      </c>
    </row>
    <row r="706" ht="19.5" customHeight="1" s="72">
      <c r="A706" s="38" t="inlineStr">
        <is>
          <t>DF-OCT-P01-SIR</t>
        </is>
      </c>
      <c r="B706" s="38" t="inlineStr">
        <is>
          <t>Octavas</t>
        </is>
      </c>
      <c r="C706" s="38" t="inlineStr">
        <is>
          <t>Siriuna</t>
        </is>
      </c>
      <c r="D706" s="39">
        <f>IFERROR(CLASIF_D_F!$F$5,"")</f>
        <v/>
      </c>
      <c r="E706" s="40" t="n"/>
      <c r="F706" s="39">
        <f>IFERROR(CLASIF_D_F!$F$20,"")</f>
        <v/>
      </c>
      <c r="G706" s="40" t="n"/>
      <c r="H706" s="41" t="n"/>
      <c r="I706" s="42">
        <f>IF($H706="","",MAX(0,$H706-N($E706)))</f>
        <v/>
      </c>
      <c r="J706" s="42">
        <f>IF($H706="","",MAX(0,$H706-N($G706)))</f>
        <v/>
      </c>
    </row>
    <row r="707" ht="19.5" customHeight="1" s="72">
      <c r="A707" s="38" t="inlineStr">
        <is>
          <t>DF-OCT-P02-BEN</t>
        </is>
      </c>
      <c r="B707" s="38" t="inlineStr">
        <is>
          <t>Octavas</t>
        </is>
      </c>
      <c r="C707" s="38" t="inlineStr">
        <is>
          <t>Benguela</t>
        </is>
      </c>
      <c r="D707" s="39">
        <f>IFERROR(CLASIF_D_F!$F$6,"")</f>
        <v/>
      </c>
      <c r="E707" s="40" t="n"/>
      <c r="F707" s="39">
        <f>IFERROR(CLASIF_D_F!$F$19,"")</f>
        <v/>
      </c>
      <c r="G707" s="40" t="n"/>
      <c r="H707" s="41" t="n"/>
      <c r="I707" s="42">
        <f>IF($H707="","",MAX(0,$H707-N($E707)))</f>
        <v/>
      </c>
      <c r="J707" s="42">
        <f>IF($H707="","",MAX(0,$H707-N($G707)))</f>
        <v/>
      </c>
    </row>
    <row r="708" ht="19.5" customHeight="1" s="72">
      <c r="A708" s="38" t="inlineStr">
        <is>
          <t>DF-OCT-P02-SBA</t>
        </is>
      </c>
      <c r="B708" s="38" t="inlineStr">
        <is>
          <t>Octavas</t>
        </is>
      </c>
      <c r="C708" s="38" t="inlineStr">
        <is>
          <t>São Bento da Abadá</t>
        </is>
      </c>
      <c r="D708" s="39">
        <f>IFERROR(CLASIF_D_F!$F$6,"")</f>
        <v/>
      </c>
      <c r="E708" s="40" t="n"/>
      <c r="F708" s="39">
        <f>IFERROR(CLASIF_D_F!$F$19,"")</f>
        <v/>
      </c>
      <c r="G708" s="40" t="n"/>
      <c r="H708" s="41" t="n"/>
      <c r="I708" s="42">
        <f>IF($H708="","",MAX(0,$H708-N($E708)))</f>
        <v/>
      </c>
      <c r="J708" s="42">
        <f>IF($H708="","",MAX(0,$H708-N($G708)))</f>
        <v/>
      </c>
    </row>
    <row r="709" ht="19.5" customHeight="1" s="72">
      <c r="A709" s="38" t="inlineStr">
        <is>
          <t>DF-OCT-P02-SIR</t>
        </is>
      </c>
      <c r="B709" s="38" t="inlineStr">
        <is>
          <t>Octavas</t>
        </is>
      </c>
      <c r="C709" s="38" t="inlineStr">
        <is>
          <t>Siriuna</t>
        </is>
      </c>
      <c r="D709" s="39">
        <f>IFERROR(CLASIF_D_F!$F$6,"")</f>
        <v/>
      </c>
      <c r="E709" s="40" t="n"/>
      <c r="F709" s="39">
        <f>IFERROR(CLASIF_D_F!$F$19,"")</f>
        <v/>
      </c>
      <c r="G709" s="40" t="n"/>
      <c r="H709" s="41" t="n"/>
      <c r="I709" s="42">
        <f>IF($H709="","",MAX(0,$H709-N($E709)))</f>
        <v/>
      </c>
      <c r="J709" s="42">
        <f>IF($H709="","",MAX(0,$H709-N($G709)))</f>
        <v/>
      </c>
    </row>
    <row r="710" ht="19.5" customHeight="1" s="72">
      <c r="A710" s="38" t="inlineStr">
        <is>
          <t>DF-OCT-P03-BEN</t>
        </is>
      </c>
      <c r="B710" s="38" t="inlineStr">
        <is>
          <t>Octavas</t>
        </is>
      </c>
      <c r="C710" s="38" t="inlineStr">
        <is>
          <t>Benguela</t>
        </is>
      </c>
      <c r="D710" s="39">
        <f>IFERROR(CLASIF_D_F!$F$7,"")</f>
        <v/>
      </c>
      <c r="E710" s="40" t="n"/>
      <c r="F710" s="39">
        <f>IFERROR(CLASIF_D_F!$F$18,"")</f>
        <v/>
      </c>
      <c r="G710" s="40" t="n"/>
      <c r="H710" s="41" t="n"/>
      <c r="I710" s="42">
        <f>IF($H710="","",MAX(0,$H710-N($E710)))</f>
        <v/>
      </c>
      <c r="J710" s="42">
        <f>IF($H710="","",MAX(0,$H710-N($G710)))</f>
        <v/>
      </c>
    </row>
    <row r="711" ht="19.5" customHeight="1" s="72">
      <c r="A711" s="38" t="inlineStr">
        <is>
          <t>DF-OCT-P03-SBA</t>
        </is>
      </c>
      <c r="B711" s="38" t="inlineStr">
        <is>
          <t>Octavas</t>
        </is>
      </c>
      <c r="C711" s="38" t="inlineStr">
        <is>
          <t>São Bento da Abadá</t>
        </is>
      </c>
      <c r="D711" s="39">
        <f>IFERROR(CLASIF_D_F!$F$7,"")</f>
        <v/>
      </c>
      <c r="E711" s="40" t="n"/>
      <c r="F711" s="39">
        <f>IFERROR(CLASIF_D_F!$F$18,"")</f>
        <v/>
      </c>
      <c r="G711" s="40" t="n"/>
      <c r="H711" s="41" t="n"/>
      <c r="I711" s="42">
        <f>IF($H711="","",MAX(0,$H711-N($E711)))</f>
        <v/>
      </c>
      <c r="J711" s="42">
        <f>IF($H711="","",MAX(0,$H711-N($G711)))</f>
        <v/>
      </c>
    </row>
    <row r="712" ht="19.5" customHeight="1" s="72">
      <c r="A712" s="38" t="inlineStr">
        <is>
          <t>DF-OCT-P03-SIR</t>
        </is>
      </c>
      <c r="B712" s="38" t="inlineStr">
        <is>
          <t>Octavas</t>
        </is>
      </c>
      <c r="C712" s="38" t="inlineStr">
        <is>
          <t>Siriuna</t>
        </is>
      </c>
      <c r="D712" s="39">
        <f>IFERROR(CLASIF_D_F!$F$7,"")</f>
        <v/>
      </c>
      <c r="E712" s="40" t="n"/>
      <c r="F712" s="39">
        <f>IFERROR(CLASIF_D_F!$F$18,"")</f>
        <v/>
      </c>
      <c r="G712" s="40" t="n"/>
      <c r="H712" s="41" t="n"/>
      <c r="I712" s="42">
        <f>IF($H712="","",MAX(0,$H712-N($E712)))</f>
        <v/>
      </c>
      <c r="J712" s="42">
        <f>IF($H712="","",MAX(0,$H712-N($G712)))</f>
        <v/>
      </c>
    </row>
    <row r="713" ht="19.5" customHeight="1" s="72">
      <c r="A713" s="38" t="inlineStr">
        <is>
          <t>DF-OCT-P04-BEN</t>
        </is>
      </c>
      <c r="B713" s="38" t="inlineStr">
        <is>
          <t>Octavas</t>
        </is>
      </c>
      <c r="C713" s="38" t="inlineStr">
        <is>
          <t>Benguela</t>
        </is>
      </c>
      <c r="D713" s="39">
        <f>IFERROR(CLASIF_D_F!$F$8,"")</f>
        <v/>
      </c>
      <c r="E713" s="40" t="n"/>
      <c r="F713" s="39">
        <f>IFERROR(CLASIF_D_F!$F$17,"")</f>
        <v/>
      </c>
      <c r="G713" s="40" t="n"/>
      <c r="H713" s="41" t="n"/>
      <c r="I713" s="42">
        <f>IF($H713="","",MAX(0,$H713-N($E713)))</f>
        <v/>
      </c>
      <c r="J713" s="42">
        <f>IF($H713="","",MAX(0,$H713-N($G713)))</f>
        <v/>
      </c>
    </row>
    <row r="714" ht="19.5" customHeight="1" s="72">
      <c r="A714" s="38" t="inlineStr">
        <is>
          <t>DF-OCT-P04-SBA</t>
        </is>
      </c>
      <c r="B714" s="38" t="inlineStr">
        <is>
          <t>Octavas</t>
        </is>
      </c>
      <c r="C714" s="38" t="inlineStr">
        <is>
          <t>São Bento da Abadá</t>
        </is>
      </c>
      <c r="D714" s="39">
        <f>IFERROR(CLASIF_D_F!$F$8,"")</f>
        <v/>
      </c>
      <c r="E714" s="40" t="n"/>
      <c r="F714" s="39">
        <f>IFERROR(CLASIF_D_F!$F$17,"")</f>
        <v/>
      </c>
      <c r="G714" s="40" t="n"/>
      <c r="H714" s="41" t="n"/>
      <c r="I714" s="42">
        <f>IF($H714="","",MAX(0,$H714-N($E714)))</f>
        <v/>
      </c>
      <c r="J714" s="42">
        <f>IF($H714="","",MAX(0,$H714-N($G714)))</f>
        <v/>
      </c>
    </row>
    <row r="715" ht="19.5" customHeight="1" s="72">
      <c r="A715" s="38" t="inlineStr">
        <is>
          <t>DF-OCT-P04-SIR</t>
        </is>
      </c>
      <c r="B715" s="38" t="inlineStr">
        <is>
          <t>Octavas</t>
        </is>
      </c>
      <c r="C715" s="38" t="inlineStr">
        <is>
          <t>Siriuna</t>
        </is>
      </c>
      <c r="D715" s="39">
        <f>IFERROR(CLASIF_D_F!$F$8,"")</f>
        <v/>
      </c>
      <c r="E715" s="40" t="n"/>
      <c r="F715" s="39">
        <f>IFERROR(CLASIF_D_F!$F$17,"")</f>
        <v/>
      </c>
      <c r="G715" s="40" t="n"/>
      <c r="H715" s="41" t="n"/>
      <c r="I715" s="42">
        <f>IF($H715="","",MAX(0,$H715-N($E715)))</f>
        <v/>
      </c>
      <c r="J715" s="42">
        <f>IF($H715="","",MAX(0,$H715-N($G715)))</f>
        <v/>
      </c>
    </row>
    <row r="716" ht="19.5" customHeight="1" s="72">
      <c r="A716" s="38" t="inlineStr">
        <is>
          <t>DF-OCT-P05-BEN</t>
        </is>
      </c>
      <c r="B716" s="38" t="inlineStr">
        <is>
          <t>Octavas</t>
        </is>
      </c>
      <c r="C716" s="38" t="inlineStr">
        <is>
          <t>Benguela</t>
        </is>
      </c>
      <c r="D716" s="39">
        <f>IFERROR(CLASIF_D_F!$F$9,"")</f>
        <v/>
      </c>
      <c r="E716" s="40" t="n"/>
      <c r="F716" s="39">
        <f>IFERROR(CLASIF_D_F!$F$16,"")</f>
        <v/>
      </c>
      <c r="G716" s="40" t="n"/>
      <c r="H716" s="41" t="n"/>
      <c r="I716" s="42">
        <f>IF($H716="","",MAX(0,$H716-N($E716)))</f>
        <v/>
      </c>
      <c r="J716" s="42">
        <f>IF($H716="","",MAX(0,$H716-N($G716)))</f>
        <v/>
      </c>
    </row>
    <row r="717" ht="19.5" customHeight="1" s="72">
      <c r="A717" s="38" t="inlineStr">
        <is>
          <t>DF-OCT-P05-SBA</t>
        </is>
      </c>
      <c r="B717" s="38" t="inlineStr">
        <is>
          <t>Octavas</t>
        </is>
      </c>
      <c r="C717" s="38" t="inlineStr">
        <is>
          <t>São Bento da Abadá</t>
        </is>
      </c>
      <c r="D717" s="39">
        <f>IFERROR(CLASIF_D_F!$F$9,"")</f>
        <v/>
      </c>
      <c r="E717" s="40" t="n"/>
      <c r="F717" s="39">
        <f>IFERROR(CLASIF_D_F!$F$16,"")</f>
        <v/>
      </c>
      <c r="G717" s="40" t="n"/>
      <c r="H717" s="41" t="n"/>
      <c r="I717" s="42">
        <f>IF($H717="","",MAX(0,$H717-N($E717)))</f>
        <v/>
      </c>
      <c r="J717" s="42">
        <f>IF($H717="","",MAX(0,$H717-N($G717)))</f>
        <v/>
      </c>
    </row>
    <row r="718" ht="19.5" customHeight="1" s="72">
      <c r="A718" s="38" t="inlineStr">
        <is>
          <t>DF-OCT-P05-SIR</t>
        </is>
      </c>
      <c r="B718" s="38" t="inlineStr">
        <is>
          <t>Octavas</t>
        </is>
      </c>
      <c r="C718" s="38" t="inlineStr">
        <is>
          <t>Siriuna</t>
        </is>
      </c>
      <c r="D718" s="39">
        <f>IFERROR(CLASIF_D_F!$F$9,"")</f>
        <v/>
      </c>
      <c r="E718" s="40" t="n"/>
      <c r="F718" s="39">
        <f>IFERROR(CLASIF_D_F!$F$16,"")</f>
        <v/>
      </c>
      <c r="G718" s="40" t="n"/>
      <c r="H718" s="41" t="n"/>
      <c r="I718" s="42">
        <f>IF($H718="","",MAX(0,$H718-N($E718)))</f>
        <v/>
      </c>
      <c r="J718" s="42">
        <f>IF($H718="","",MAX(0,$H718-N($G718)))</f>
        <v/>
      </c>
    </row>
    <row r="719" ht="19.5" customHeight="1" s="72">
      <c r="A719" s="38" t="inlineStr">
        <is>
          <t>DF-OCT-P06-BEN</t>
        </is>
      </c>
      <c r="B719" s="38" t="inlineStr">
        <is>
          <t>Octavas</t>
        </is>
      </c>
      <c r="C719" s="38" t="inlineStr">
        <is>
          <t>Benguela</t>
        </is>
      </c>
      <c r="D719" s="39">
        <f>IFERROR(CLASIF_D_F!$F$10,"")</f>
        <v/>
      </c>
      <c r="E719" s="40" t="n"/>
      <c r="F719" s="39">
        <f>IFERROR(CLASIF_D_F!$F$15,"")</f>
        <v/>
      </c>
      <c r="G719" s="40" t="n"/>
      <c r="H719" s="41" t="n"/>
      <c r="I719" s="42">
        <f>IF($H719="","",MAX(0,$H719-N($E719)))</f>
        <v/>
      </c>
      <c r="J719" s="42">
        <f>IF($H719="","",MAX(0,$H719-N($G719)))</f>
        <v/>
      </c>
    </row>
    <row r="720" ht="19.5" customHeight="1" s="72">
      <c r="A720" s="38" t="inlineStr">
        <is>
          <t>DF-OCT-P06-SBA</t>
        </is>
      </c>
      <c r="B720" s="38" t="inlineStr">
        <is>
          <t>Octavas</t>
        </is>
      </c>
      <c r="C720" s="38" t="inlineStr">
        <is>
          <t>São Bento da Abadá</t>
        </is>
      </c>
      <c r="D720" s="39">
        <f>IFERROR(CLASIF_D_F!$F$10,"")</f>
        <v/>
      </c>
      <c r="E720" s="40" t="n"/>
      <c r="F720" s="39">
        <f>IFERROR(CLASIF_D_F!$F$15,"")</f>
        <v/>
      </c>
      <c r="G720" s="40" t="n"/>
      <c r="H720" s="41" t="n"/>
      <c r="I720" s="42">
        <f>IF($H720="","",MAX(0,$H720-N($E720)))</f>
        <v/>
      </c>
      <c r="J720" s="42">
        <f>IF($H720="","",MAX(0,$H720-N($G720)))</f>
        <v/>
      </c>
    </row>
    <row r="721" ht="19.5" customHeight="1" s="72">
      <c r="A721" s="38" t="inlineStr">
        <is>
          <t>DF-OCT-P06-SIR</t>
        </is>
      </c>
      <c r="B721" s="38" t="inlineStr">
        <is>
          <t>Octavas</t>
        </is>
      </c>
      <c r="C721" s="38" t="inlineStr">
        <is>
          <t>Siriuna</t>
        </is>
      </c>
      <c r="D721" s="39">
        <f>IFERROR(CLASIF_D_F!$F$10,"")</f>
        <v/>
      </c>
      <c r="E721" s="40" t="n"/>
      <c r="F721" s="39">
        <f>IFERROR(CLASIF_D_F!$F$15,"")</f>
        <v/>
      </c>
      <c r="G721" s="40" t="n"/>
      <c r="H721" s="41" t="n"/>
      <c r="I721" s="42">
        <f>IF($H721="","",MAX(0,$H721-N($E721)))</f>
        <v/>
      </c>
      <c r="J721" s="42">
        <f>IF($H721="","",MAX(0,$H721-N($G721)))</f>
        <v/>
      </c>
    </row>
    <row r="722" ht="19.5" customHeight="1" s="72">
      <c r="A722" s="38" t="inlineStr">
        <is>
          <t>DF-OCT-P07-BEN</t>
        </is>
      </c>
      <c r="B722" s="38" t="inlineStr">
        <is>
          <t>Octavas</t>
        </is>
      </c>
      <c r="C722" s="38" t="inlineStr">
        <is>
          <t>Benguela</t>
        </is>
      </c>
      <c r="D722" s="39">
        <f>IFERROR(CLASIF_D_F!$F$11,"")</f>
        <v/>
      </c>
      <c r="E722" s="40" t="n"/>
      <c r="F722" s="39">
        <f>IFERROR(CLASIF_D_F!$F$14,"")</f>
        <v/>
      </c>
      <c r="G722" s="40" t="n"/>
      <c r="H722" s="41" t="n"/>
      <c r="I722" s="42">
        <f>IF($H722="","",MAX(0,$H722-N($E722)))</f>
        <v/>
      </c>
      <c r="J722" s="42">
        <f>IF($H722="","",MAX(0,$H722-N($G722)))</f>
        <v/>
      </c>
    </row>
    <row r="723" ht="19.5" customHeight="1" s="72">
      <c r="A723" s="38" t="inlineStr">
        <is>
          <t>DF-OCT-P07-SBA</t>
        </is>
      </c>
      <c r="B723" s="38" t="inlineStr">
        <is>
          <t>Octavas</t>
        </is>
      </c>
      <c r="C723" s="38" t="inlineStr">
        <is>
          <t>São Bento da Abadá</t>
        </is>
      </c>
      <c r="D723" s="39">
        <f>IFERROR(CLASIF_D_F!$F$11,"")</f>
        <v/>
      </c>
      <c r="E723" s="40" t="n"/>
      <c r="F723" s="39">
        <f>IFERROR(CLASIF_D_F!$F$14,"")</f>
        <v/>
      </c>
      <c r="G723" s="40" t="n"/>
      <c r="H723" s="41" t="n"/>
      <c r="I723" s="42">
        <f>IF($H723="","",MAX(0,$H723-N($E723)))</f>
        <v/>
      </c>
      <c r="J723" s="42">
        <f>IF($H723="","",MAX(0,$H723-N($G723)))</f>
        <v/>
      </c>
    </row>
    <row r="724" ht="19.5" customHeight="1" s="72">
      <c r="A724" s="38" t="inlineStr">
        <is>
          <t>DF-OCT-P07-SIR</t>
        </is>
      </c>
      <c r="B724" s="38" t="inlineStr">
        <is>
          <t>Octavas</t>
        </is>
      </c>
      <c r="C724" s="38" t="inlineStr">
        <is>
          <t>Siriuna</t>
        </is>
      </c>
      <c r="D724" s="39">
        <f>IFERROR(CLASIF_D_F!$F$11,"")</f>
        <v/>
      </c>
      <c r="E724" s="40" t="n"/>
      <c r="F724" s="39">
        <f>IFERROR(CLASIF_D_F!$F$14,"")</f>
        <v/>
      </c>
      <c r="G724" s="40" t="n"/>
      <c r="H724" s="41" t="n"/>
      <c r="I724" s="42">
        <f>IF($H724="","",MAX(0,$H724-N($E724)))</f>
        <v/>
      </c>
      <c r="J724" s="42">
        <f>IF($H724="","",MAX(0,$H724-N($G724)))</f>
        <v/>
      </c>
    </row>
    <row r="725" ht="19.5" customHeight="1" s="72">
      <c r="A725" s="38" t="inlineStr">
        <is>
          <t>DF-OCT-P08-BEN</t>
        </is>
      </c>
      <c r="B725" s="38" t="inlineStr">
        <is>
          <t>Octavas</t>
        </is>
      </c>
      <c r="C725" s="38" t="inlineStr">
        <is>
          <t>Benguela</t>
        </is>
      </c>
      <c r="D725" s="39">
        <f>IFERROR(CLASIF_D_F!$F$12,"")</f>
        <v/>
      </c>
      <c r="E725" s="40" t="n"/>
      <c r="F725" s="39">
        <f>IFERROR(CLASIF_D_F!$F$13,"")</f>
        <v/>
      </c>
      <c r="G725" s="40" t="n"/>
      <c r="H725" s="41" t="n"/>
      <c r="I725" s="42">
        <f>IF($H725="","",MAX(0,$H725-N($E725)))</f>
        <v/>
      </c>
      <c r="J725" s="42">
        <f>IF($H725="","",MAX(0,$H725-N($G725)))</f>
        <v/>
      </c>
    </row>
    <row r="726" ht="19.5" customHeight="1" s="72">
      <c r="A726" s="38" t="inlineStr">
        <is>
          <t>DF-OCT-P08-SBA</t>
        </is>
      </c>
      <c r="B726" s="38" t="inlineStr">
        <is>
          <t>Octavas</t>
        </is>
      </c>
      <c r="C726" s="38" t="inlineStr">
        <is>
          <t>São Bento da Abadá</t>
        </is>
      </c>
      <c r="D726" s="39">
        <f>IFERROR(CLASIF_D_F!$F$12,"")</f>
        <v/>
      </c>
      <c r="E726" s="40" t="n"/>
      <c r="F726" s="39">
        <f>IFERROR(CLASIF_D_F!$F$13,"")</f>
        <v/>
      </c>
      <c r="G726" s="40" t="n"/>
      <c r="H726" s="41" t="n"/>
      <c r="I726" s="42">
        <f>IF($H726="","",MAX(0,$H726-N($E726)))</f>
        <v/>
      </c>
      <c r="J726" s="42">
        <f>IF($H726="","",MAX(0,$H726-N($G726)))</f>
        <v/>
      </c>
    </row>
    <row r="727" ht="19.5" customHeight="1" s="72">
      <c r="A727" s="38" t="inlineStr">
        <is>
          <t>DF-OCT-P08-SIR</t>
        </is>
      </c>
      <c r="B727" s="38" t="inlineStr">
        <is>
          <t>Octavas</t>
        </is>
      </c>
      <c r="C727" s="38" t="inlineStr">
        <is>
          <t>Siriuna</t>
        </is>
      </c>
      <c r="D727" s="39">
        <f>IFERROR(CLASIF_D_F!$F$12,"")</f>
        <v/>
      </c>
      <c r="E727" s="40" t="n"/>
      <c r="F727" s="39">
        <f>IFERROR(CLASIF_D_F!$F$13,"")</f>
        <v/>
      </c>
      <c r="G727" s="40" t="n"/>
      <c r="H727" s="41" t="n"/>
      <c r="I727" s="42">
        <f>IF($H727="","",MAX(0,$H727-N($E727)))</f>
        <v/>
      </c>
      <c r="J727" s="42">
        <f>IF($H727="","",MAX(0,$H727-N($G727)))</f>
        <v/>
      </c>
    </row>
    <row r="728" ht="19.5" customHeight="1" s="72">
      <c r="A728" s="38" t="inlineStr">
        <is>
          <t>DF-SEM-P01-BEN</t>
        </is>
      </c>
      <c r="B728" s="38" t="inlineStr">
        <is>
          <t>Semifinal</t>
        </is>
      </c>
      <c r="C728" s="38" t="inlineStr">
        <is>
          <t>Benguela</t>
        </is>
      </c>
      <c r="D728" s="39">
        <f>IFERROR(CLASIF_D_F!$O$5,"")</f>
        <v/>
      </c>
      <c r="E728" s="40" t="n"/>
      <c r="F728" s="39">
        <f>IFERROR(CLASIF_D_F!$O$12,"")</f>
        <v/>
      </c>
      <c r="G728" s="40" t="n"/>
      <c r="H728" s="41" t="n"/>
      <c r="I728" s="42">
        <f>IF($H728="","",MAX(0,$H728-N($E728)))</f>
        <v/>
      </c>
      <c r="J728" s="42">
        <f>IF($H728="","",MAX(0,$H728-N($G728)))</f>
        <v/>
      </c>
    </row>
    <row r="729" ht="19.5" customHeight="1" s="72">
      <c r="A729" s="38" t="inlineStr">
        <is>
          <t>DF-SEM-P01-SBA</t>
        </is>
      </c>
      <c r="B729" s="38" t="inlineStr">
        <is>
          <t>Semifinal</t>
        </is>
      </c>
      <c r="C729" s="38" t="inlineStr">
        <is>
          <t>São Bento da Abadá</t>
        </is>
      </c>
      <c r="D729" s="39">
        <f>IFERROR(CLASIF_D_F!$O$5,"")</f>
        <v/>
      </c>
      <c r="E729" s="40" t="n"/>
      <c r="F729" s="39">
        <f>IFERROR(CLASIF_D_F!$O$12,"")</f>
        <v/>
      </c>
      <c r="G729" s="40" t="n"/>
      <c r="H729" s="41" t="n"/>
      <c r="I729" s="42">
        <f>IF($H729="","",MAX(0,$H729-N($E729)))</f>
        <v/>
      </c>
      <c r="J729" s="42">
        <f>IF($H729="","",MAX(0,$H729-N($G729)))</f>
        <v/>
      </c>
    </row>
    <row r="730" ht="19.5" customHeight="1" s="72">
      <c r="A730" s="38" t="inlineStr">
        <is>
          <t>DF-SEM-P01-SIR</t>
        </is>
      </c>
      <c r="B730" s="38" t="inlineStr">
        <is>
          <t>Semifinal</t>
        </is>
      </c>
      <c r="C730" s="38" t="inlineStr">
        <is>
          <t>Siriuna</t>
        </is>
      </c>
      <c r="D730" s="39">
        <f>IFERROR(CLASIF_D_F!$O$5,"")</f>
        <v/>
      </c>
      <c r="E730" s="40" t="n"/>
      <c r="F730" s="39">
        <f>IFERROR(CLASIF_D_F!$O$12,"")</f>
        <v/>
      </c>
      <c r="G730" s="40" t="n"/>
      <c r="H730" s="41" t="n"/>
      <c r="I730" s="42">
        <f>IF($H730="","",MAX(0,$H730-N($E730)))</f>
        <v/>
      </c>
      <c r="J730" s="42">
        <f>IF($H730="","",MAX(0,$H730-N($G730)))</f>
        <v/>
      </c>
    </row>
    <row r="731" ht="19.5" customHeight="1" s="72">
      <c r="A731" s="38" t="inlineStr">
        <is>
          <t>DF-SEM-P02-BEN</t>
        </is>
      </c>
      <c r="B731" s="38" t="inlineStr">
        <is>
          <t>Semifinal</t>
        </is>
      </c>
      <c r="C731" s="38" t="inlineStr">
        <is>
          <t>Benguela</t>
        </is>
      </c>
      <c r="D731" s="39">
        <f>IFERROR(CLASIF_D_F!$O$6,"")</f>
        <v/>
      </c>
      <c r="E731" s="40" t="n"/>
      <c r="F731" s="39">
        <f>IFERROR(CLASIF_D_F!$O$11,"")</f>
        <v/>
      </c>
      <c r="G731" s="40" t="n"/>
      <c r="H731" s="41" t="n"/>
      <c r="I731" s="42">
        <f>IF($H731="","",MAX(0,$H731-N($E731)))</f>
        <v/>
      </c>
      <c r="J731" s="42">
        <f>IF($H731="","",MAX(0,$H731-N($G731)))</f>
        <v/>
      </c>
    </row>
    <row r="732" ht="19.5" customHeight="1" s="72">
      <c r="A732" s="38" t="inlineStr">
        <is>
          <t>DF-SEM-P02-SBA</t>
        </is>
      </c>
      <c r="B732" s="38" t="inlineStr">
        <is>
          <t>Semifinal</t>
        </is>
      </c>
      <c r="C732" s="38" t="inlineStr">
        <is>
          <t>São Bento da Abadá</t>
        </is>
      </c>
      <c r="D732" s="39">
        <f>IFERROR(CLASIF_D_F!$O$6,"")</f>
        <v/>
      </c>
      <c r="E732" s="40" t="n"/>
      <c r="F732" s="39">
        <f>IFERROR(CLASIF_D_F!$O$11,"")</f>
        <v/>
      </c>
      <c r="G732" s="40" t="n"/>
      <c r="H732" s="41" t="n"/>
      <c r="I732" s="42">
        <f>IF($H732="","",MAX(0,$H732-N($E732)))</f>
        <v/>
      </c>
      <c r="J732" s="42">
        <f>IF($H732="","",MAX(0,$H732-N($G732)))</f>
        <v/>
      </c>
    </row>
    <row r="733" ht="19.5" customHeight="1" s="72">
      <c r="A733" s="38" t="inlineStr">
        <is>
          <t>DF-SEM-P02-SIR</t>
        </is>
      </c>
      <c r="B733" s="38" t="inlineStr">
        <is>
          <t>Semifinal</t>
        </is>
      </c>
      <c r="C733" s="38" t="inlineStr">
        <is>
          <t>Siriuna</t>
        </is>
      </c>
      <c r="D733" s="39">
        <f>IFERROR(CLASIF_D_F!$O$6,"")</f>
        <v/>
      </c>
      <c r="E733" s="40" t="n"/>
      <c r="F733" s="39">
        <f>IFERROR(CLASIF_D_F!$O$11,"")</f>
        <v/>
      </c>
      <c r="G733" s="40" t="n"/>
      <c r="H733" s="41" t="n"/>
      <c r="I733" s="42">
        <f>IF($H733="","",MAX(0,$H733-N($E733)))</f>
        <v/>
      </c>
      <c r="J733" s="42">
        <f>IF($H733="","",MAX(0,$H733-N($G733)))</f>
        <v/>
      </c>
    </row>
    <row r="734" ht="19.5" customHeight="1" s="72">
      <c r="A734" s="38" t="inlineStr">
        <is>
          <t>DF-SEM-P03-BEN</t>
        </is>
      </c>
      <c r="B734" s="38" t="inlineStr">
        <is>
          <t>Semifinal</t>
        </is>
      </c>
      <c r="C734" s="38" t="inlineStr">
        <is>
          <t>Benguela</t>
        </is>
      </c>
      <c r="D734" s="39">
        <f>IFERROR(CLASIF_D_F!$O$7,"")</f>
        <v/>
      </c>
      <c r="E734" s="40" t="n"/>
      <c r="F734" s="39">
        <f>IFERROR(CLASIF_D_F!$O$10,"")</f>
        <v/>
      </c>
      <c r="G734" s="40" t="n"/>
      <c r="H734" s="41" t="n"/>
      <c r="I734" s="42">
        <f>IF($H734="","",MAX(0,$H734-N($E734)))</f>
        <v/>
      </c>
      <c r="J734" s="42">
        <f>IF($H734="","",MAX(0,$H734-N($G734)))</f>
        <v/>
      </c>
    </row>
    <row r="735" ht="19.5" customHeight="1" s="72">
      <c r="A735" s="38" t="inlineStr">
        <is>
          <t>DF-SEM-P03-SBA</t>
        </is>
      </c>
      <c r="B735" s="38" t="inlineStr">
        <is>
          <t>Semifinal</t>
        </is>
      </c>
      <c r="C735" s="38" t="inlineStr">
        <is>
          <t>São Bento da Abadá</t>
        </is>
      </c>
      <c r="D735" s="39">
        <f>IFERROR(CLASIF_D_F!$O$7,"")</f>
        <v/>
      </c>
      <c r="E735" s="40" t="n"/>
      <c r="F735" s="39">
        <f>IFERROR(CLASIF_D_F!$O$10,"")</f>
        <v/>
      </c>
      <c r="G735" s="40" t="n"/>
      <c r="H735" s="41" t="n"/>
      <c r="I735" s="42">
        <f>IF($H735="","",MAX(0,$H735-N($E735)))</f>
        <v/>
      </c>
      <c r="J735" s="42">
        <f>IF($H735="","",MAX(0,$H735-N($G735)))</f>
        <v/>
      </c>
    </row>
    <row r="736" ht="19.5" customHeight="1" s="72">
      <c r="A736" s="38" t="inlineStr">
        <is>
          <t>DF-SEM-P03-SIR</t>
        </is>
      </c>
      <c r="B736" s="38" t="inlineStr">
        <is>
          <t>Semifinal</t>
        </is>
      </c>
      <c r="C736" s="38" t="inlineStr">
        <is>
          <t>Siriuna</t>
        </is>
      </c>
      <c r="D736" s="39">
        <f>IFERROR(CLASIF_D_F!$O$7,"")</f>
        <v/>
      </c>
      <c r="E736" s="40" t="n"/>
      <c r="F736" s="39">
        <f>IFERROR(CLASIF_D_F!$O$10,"")</f>
        <v/>
      </c>
      <c r="G736" s="40" t="n"/>
      <c r="H736" s="41" t="n"/>
      <c r="I736" s="42">
        <f>IF($H736="","",MAX(0,$H736-N($E736)))</f>
        <v/>
      </c>
      <c r="J736" s="42">
        <f>IF($H736="","",MAX(0,$H736-N($G736)))</f>
        <v/>
      </c>
    </row>
    <row r="737" ht="19.5" customHeight="1" s="72">
      <c r="A737" s="38" t="inlineStr">
        <is>
          <t>DF-SEM-P04-BEN</t>
        </is>
      </c>
      <c r="B737" s="38" t="inlineStr">
        <is>
          <t>Semifinal</t>
        </is>
      </c>
      <c r="C737" s="38" t="inlineStr">
        <is>
          <t>Benguela</t>
        </is>
      </c>
      <c r="D737" s="39">
        <f>IFERROR(CLASIF_D_F!$O$8,"")</f>
        <v/>
      </c>
      <c r="E737" s="40" t="n"/>
      <c r="F737" s="39">
        <f>IFERROR(CLASIF_D_F!$O$9,"")</f>
        <v/>
      </c>
      <c r="G737" s="40" t="n"/>
      <c r="H737" s="41" t="n"/>
      <c r="I737" s="42">
        <f>IF($H737="","",MAX(0,$H737-N($E737)))</f>
        <v/>
      </c>
      <c r="J737" s="42">
        <f>IF($H737="","",MAX(0,$H737-N($G737)))</f>
        <v/>
      </c>
    </row>
    <row r="738" ht="19.5" customHeight="1" s="72">
      <c r="A738" s="38" t="inlineStr">
        <is>
          <t>DF-SEM-P04-SBA</t>
        </is>
      </c>
      <c r="B738" s="38" t="inlineStr">
        <is>
          <t>Semifinal</t>
        </is>
      </c>
      <c r="C738" s="38" t="inlineStr">
        <is>
          <t>São Bento da Abadá</t>
        </is>
      </c>
      <c r="D738" s="39">
        <f>IFERROR(CLASIF_D_F!$O$8,"")</f>
        <v/>
      </c>
      <c r="E738" s="40" t="n"/>
      <c r="F738" s="39">
        <f>IFERROR(CLASIF_D_F!$O$9,"")</f>
        <v/>
      </c>
      <c r="G738" s="40" t="n"/>
      <c r="H738" s="41" t="n"/>
      <c r="I738" s="42">
        <f>IF($H738="","",MAX(0,$H738-N($E738)))</f>
        <v/>
      </c>
      <c r="J738" s="42">
        <f>IF($H738="","",MAX(0,$H738-N($G738)))</f>
        <v/>
      </c>
    </row>
    <row r="739" ht="19.5" customHeight="1" s="72">
      <c r="A739" s="38" t="inlineStr">
        <is>
          <t>DF-SEM-P04-SIR</t>
        </is>
      </c>
      <c r="B739" s="38" t="inlineStr">
        <is>
          <t>Semifinal</t>
        </is>
      </c>
      <c r="C739" s="38" t="inlineStr">
        <is>
          <t>Siriuna</t>
        </is>
      </c>
      <c r="D739" s="39">
        <f>IFERROR(CLASIF_D_F!$O$8,"")</f>
        <v/>
      </c>
      <c r="E739" s="40" t="n"/>
      <c r="F739" s="39">
        <f>IFERROR(CLASIF_D_F!$O$9,"")</f>
        <v/>
      </c>
      <c r="G739" s="40" t="n"/>
      <c r="H739" s="41" t="n"/>
      <c r="I739" s="42">
        <f>IF($H739="","",MAX(0,$H739-N($E739)))</f>
        <v/>
      </c>
      <c r="J739" s="42">
        <f>IF($H739="","",MAX(0,$H739-N($G739)))</f>
        <v/>
      </c>
    </row>
    <row r="740" ht="19.5" customHeight="1" s="72">
      <c r="A740" s="38" t="inlineStr">
        <is>
          <t>DF-FIN-P01-BEN</t>
        </is>
      </c>
      <c r="B740" s="38" t="inlineStr">
        <is>
          <t>Final</t>
        </is>
      </c>
      <c r="C740" s="38" t="inlineStr">
        <is>
          <t>Benguela</t>
        </is>
      </c>
      <c r="D740" s="39">
        <f>IFERROR(CLASIF_D_F!$X$5,"")</f>
        <v/>
      </c>
      <c r="E740" s="40" t="n"/>
      <c r="F740" s="39">
        <f>IFERROR(CLASIF_D_F!$X$8,"")</f>
        <v/>
      </c>
      <c r="G740" s="40" t="n"/>
      <c r="H740" s="41" t="n"/>
      <c r="I740" s="42">
        <f>IF($H740="","",MAX(0,$H740-N($E740)))</f>
        <v/>
      </c>
      <c r="J740" s="42">
        <f>IF($H740="","",MAX(0,$H740-N($G740)))</f>
        <v/>
      </c>
    </row>
    <row r="741" ht="19.5" customHeight="1" s="72">
      <c r="A741" s="38" t="inlineStr">
        <is>
          <t>DF-FIN-P01-SBA</t>
        </is>
      </c>
      <c r="B741" s="38" t="inlineStr">
        <is>
          <t>Final</t>
        </is>
      </c>
      <c r="C741" s="38" t="inlineStr">
        <is>
          <t>São Bento da Abadá</t>
        </is>
      </c>
      <c r="D741" s="39">
        <f>IFERROR(CLASIF_D_F!$X$5,"")</f>
        <v/>
      </c>
      <c r="E741" s="40" t="n"/>
      <c r="F741" s="39">
        <f>IFERROR(CLASIF_D_F!$X$8,"")</f>
        <v/>
      </c>
      <c r="G741" s="40" t="n"/>
      <c r="H741" s="41" t="n"/>
      <c r="I741" s="42">
        <f>IF($H741="","",MAX(0,$H741-N($E741)))</f>
        <v/>
      </c>
      <c r="J741" s="42">
        <f>IF($H741="","",MAX(0,$H741-N($G741)))</f>
        <v/>
      </c>
    </row>
    <row r="742" ht="19.5" customHeight="1" s="72">
      <c r="A742" s="38" t="inlineStr">
        <is>
          <t>DF-FIN-P01-SIR</t>
        </is>
      </c>
      <c r="B742" s="38" t="inlineStr">
        <is>
          <t>Final</t>
        </is>
      </c>
      <c r="C742" s="38" t="inlineStr">
        <is>
          <t>Siriuna</t>
        </is>
      </c>
      <c r="D742" s="39">
        <f>IFERROR(CLASIF_D_F!$X$5,"")</f>
        <v/>
      </c>
      <c r="E742" s="40" t="n"/>
      <c r="F742" s="39">
        <f>IFERROR(CLASIF_D_F!$X$8,"")</f>
        <v/>
      </c>
      <c r="G742" s="40" t="n"/>
      <c r="H742" s="41" t="n"/>
      <c r="I742" s="42">
        <f>IF($H742="","",MAX(0,$H742-N($E742)))</f>
        <v/>
      </c>
      <c r="J742" s="42">
        <f>IF($H742="","",MAX(0,$H742-N($G742)))</f>
        <v/>
      </c>
    </row>
    <row r="743" ht="19.5" customHeight="1" s="72">
      <c r="A743" s="38" t="inlineStr">
        <is>
          <t>DF-FIN-P02-BEN</t>
        </is>
      </c>
      <c r="B743" s="38" t="inlineStr">
        <is>
          <t>Final</t>
        </is>
      </c>
      <c r="C743" s="38" t="inlineStr">
        <is>
          <t>Benguela</t>
        </is>
      </c>
      <c r="D743" s="39">
        <f>IFERROR(CLASIF_D_F!$X$6,"")</f>
        <v/>
      </c>
      <c r="E743" s="40" t="n"/>
      <c r="F743" s="39">
        <f>IFERROR(CLASIF_D_F!$X$7,"")</f>
        <v/>
      </c>
      <c r="G743" s="40" t="n"/>
      <c r="H743" s="41" t="n"/>
      <c r="I743" s="42">
        <f>IF($H743="","",MAX(0,$H743-N($E743)))</f>
        <v/>
      </c>
      <c r="J743" s="42">
        <f>IF($H743="","",MAX(0,$H743-N($G743)))</f>
        <v/>
      </c>
    </row>
    <row r="744" ht="19.5" customHeight="1" s="72">
      <c r="A744" s="38" t="inlineStr">
        <is>
          <t>DF-FIN-P02-SBA</t>
        </is>
      </c>
      <c r="B744" s="38" t="inlineStr">
        <is>
          <t>Final</t>
        </is>
      </c>
      <c r="C744" s="38" t="inlineStr">
        <is>
          <t>São Bento da Abadá</t>
        </is>
      </c>
      <c r="D744" s="39">
        <f>IFERROR(CLASIF_D_F!$X$6,"")</f>
        <v/>
      </c>
      <c r="E744" s="40" t="n"/>
      <c r="F744" s="39">
        <f>IFERROR(CLASIF_D_F!$X$7,"")</f>
        <v/>
      </c>
      <c r="G744" s="40" t="n"/>
      <c r="H744" s="41" t="n"/>
      <c r="I744" s="42">
        <f>IF($H744="","",MAX(0,$H744-N($E744)))</f>
        <v/>
      </c>
      <c r="J744" s="42">
        <f>IF($H744="","",MAX(0,$H744-N($G744)))</f>
        <v/>
      </c>
    </row>
    <row r="745" ht="19.5" customHeight="1" s="72">
      <c r="A745" s="38" t="inlineStr">
        <is>
          <t>DF-FIN-P02-SIR</t>
        </is>
      </c>
      <c r="B745" s="38" t="inlineStr">
        <is>
          <t>Final</t>
        </is>
      </c>
      <c r="C745" s="38" t="inlineStr">
        <is>
          <t>Siriuna</t>
        </is>
      </c>
      <c r="D745" s="39">
        <f>IFERROR(CLASIF_D_F!$X$6,"")</f>
        <v/>
      </c>
      <c r="E745" s="40" t="n"/>
      <c r="F745" s="39">
        <f>IFERROR(CLASIF_D_F!$X$7,"")</f>
        <v/>
      </c>
      <c r="G745" s="40" t="n"/>
      <c r="H745" s="41" t="n"/>
      <c r="I745" s="42">
        <f>IF($H745="","",MAX(0,$H745-N($E745)))</f>
        <v/>
      </c>
      <c r="J745" s="42">
        <f>IF($H745="","",MAX(0,$H745-N($G745)))</f>
        <v/>
      </c>
    </row>
    <row r="746" ht="19.5" customHeight="1" s="72">
      <c r="A746" s="43" t="n"/>
      <c r="B746" s="43" t="n"/>
      <c r="C746" s="43" t="n"/>
      <c r="D746" s="43" t="n"/>
      <c r="E746" s="43" t="n"/>
      <c r="F746" s="43" t="n"/>
      <c r="G746" s="43" t="n"/>
      <c r="H746" s="44" t="n"/>
      <c r="I746" s="43">
        <f>IF($H746="","",MAX(0,$H746-N($E746)))</f>
        <v/>
      </c>
      <c r="J746" s="43">
        <f>IF($H746="","",MAX(0,$H746-N($G746)))</f>
        <v/>
      </c>
    </row>
    <row r="747" ht="19.5" customHeight="1" s="72">
      <c r="A747" s="84" t="inlineStr">
        <is>
          <t>═══ CATEGORÍA E · Masculino · Naranja (Alumnos) · Toques: São Bento da Abadá, Benguela ═══</t>
        </is>
      </c>
    </row>
    <row r="748" ht="19.5" customHeight="1" s="72">
      <c r="A748" s="8" t="inlineStr">
        <is>
          <t>Jogo</t>
        </is>
      </c>
      <c r="B748" s="8" t="inlineStr">
        <is>
          <t>Fase</t>
        </is>
      </c>
      <c r="C748" s="8" t="inlineStr">
        <is>
          <t>Toque</t>
        </is>
      </c>
      <c r="D748" s="8" t="inlineStr">
        <is>
          <t>Jugador A</t>
        </is>
      </c>
      <c r="E748" s="8" t="inlineStr">
        <is>
          <t>Quita A</t>
        </is>
      </c>
      <c r="F748" s="8" t="inlineStr">
        <is>
          <t>Jugador B</t>
        </is>
      </c>
      <c r="G748" s="8" t="inlineStr">
        <is>
          <t>Quita B</t>
        </is>
      </c>
      <c r="H748" s="8" t="inlineStr">
        <is>
          <t>NOTA (0-5)</t>
        </is>
      </c>
      <c r="I748" s="8">
        <f>IF($H748="","",MAX(0,$H748-N($E748)))</f>
        <v/>
      </c>
      <c r="J748" s="8">
        <f>IF($H748="","",MAX(0,$H748-N($G748)))</f>
        <v/>
      </c>
    </row>
    <row r="749" ht="19.5" customHeight="1" s="72">
      <c r="A749" s="38" t="inlineStr">
        <is>
          <t>EM-32-P01-SBA</t>
        </is>
      </c>
      <c r="B749" s="38" t="inlineStr">
        <is>
          <t>Fase 32</t>
        </is>
      </c>
      <c r="C749" s="38" t="inlineStr">
        <is>
          <t>São Bento da Abadá</t>
        </is>
      </c>
      <c r="D749" s="39" t="inlineStr">
        <is>
          <t>A_E_M_32_P1</t>
        </is>
      </c>
      <c r="E749" s="40" t="n"/>
      <c r="F749" s="39" t="inlineStr">
        <is>
          <t>B_E_M_32_P1</t>
        </is>
      </c>
      <c r="G749" s="40" t="n"/>
      <c r="H749" s="41" t="n"/>
      <c r="I749" s="42">
        <f>IF($H749="","",MAX(0,$H749-N($E749)))</f>
        <v/>
      </c>
      <c r="J749" s="42">
        <f>IF($H749="","",MAX(0,$H749-N($G749)))</f>
        <v/>
      </c>
    </row>
    <row r="750" ht="19.5" customHeight="1" s="72">
      <c r="A750" s="38" t="inlineStr">
        <is>
          <t>EM-32-P01-BEN</t>
        </is>
      </c>
      <c r="B750" s="38" t="inlineStr">
        <is>
          <t>Fase 32</t>
        </is>
      </c>
      <c r="C750" s="38" t="inlineStr">
        <is>
          <t>Benguela</t>
        </is>
      </c>
      <c r="D750" s="39" t="inlineStr">
        <is>
          <t>A_E_M_32_P1</t>
        </is>
      </c>
      <c r="E750" s="40" t="n"/>
      <c r="F750" s="39" t="inlineStr">
        <is>
          <t>B_E_M_32_P1</t>
        </is>
      </c>
      <c r="G750" s="40" t="n"/>
      <c r="H750" s="41" t="n"/>
      <c r="I750" s="42">
        <f>IF($H750="","",MAX(0,$H750-N($E750)))</f>
        <v/>
      </c>
      <c r="J750" s="42">
        <f>IF($H750="","",MAX(0,$H750-N($G750)))</f>
        <v/>
      </c>
    </row>
    <row r="751" ht="19.5" customHeight="1" s="72">
      <c r="A751" s="38" t="inlineStr">
        <is>
          <t>EM-32-P02-SBA</t>
        </is>
      </c>
      <c r="B751" s="38" t="inlineStr">
        <is>
          <t>Fase 32</t>
        </is>
      </c>
      <c r="C751" s="38" t="inlineStr">
        <is>
          <t>São Bento da Abadá</t>
        </is>
      </c>
      <c r="D751" s="39" t="inlineStr">
        <is>
          <t>A_E_M_32_P2</t>
        </is>
      </c>
      <c r="E751" s="40" t="n"/>
      <c r="F751" s="39" t="inlineStr">
        <is>
          <t>B_E_M_32_P2</t>
        </is>
      </c>
      <c r="G751" s="40" t="n"/>
      <c r="H751" s="41" t="n"/>
      <c r="I751" s="42">
        <f>IF($H751="","",MAX(0,$H751-N($E751)))</f>
        <v/>
      </c>
      <c r="J751" s="42">
        <f>IF($H751="","",MAX(0,$H751-N($G751)))</f>
        <v/>
      </c>
    </row>
    <row r="752" ht="19.5" customHeight="1" s="72">
      <c r="A752" s="38" t="inlineStr">
        <is>
          <t>EM-32-P02-BEN</t>
        </is>
      </c>
      <c r="B752" s="38" t="inlineStr">
        <is>
          <t>Fase 32</t>
        </is>
      </c>
      <c r="C752" s="38" t="inlineStr">
        <is>
          <t>Benguela</t>
        </is>
      </c>
      <c r="D752" s="39" t="inlineStr">
        <is>
          <t>A_E_M_32_P2</t>
        </is>
      </c>
      <c r="E752" s="40" t="n"/>
      <c r="F752" s="39" t="inlineStr">
        <is>
          <t>B_E_M_32_P2</t>
        </is>
      </c>
      <c r="G752" s="40" t="n"/>
      <c r="H752" s="41" t="n"/>
      <c r="I752" s="42">
        <f>IF($H752="","",MAX(0,$H752-N($E752)))</f>
        <v/>
      </c>
      <c r="J752" s="42">
        <f>IF($H752="","",MAX(0,$H752-N($G752)))</f>
        <v/>
      </c>
    </row>
    <row r="753" ht="19.5" customHeight="1" s="72">
      <c r="A753" s="38" t="inlineStr">
        <is>
          <t>EM-32-P03-SBA</t>
        </is>
      </c>
      <c r="B753" s="38" t="inlineStr">
        <is>
          <t>Fase 32</t>
        </is>
      </c>
      <c r="C753" s="38" t="inlineStr">
        <is>
          <t>São Bento da Abadá</t>
        </is>
      </c>
      <c r="D753" s="39" t="inlineStr">
        <is>
          <t>A_E_M_32_P3</t>
        </is>
      </c>
      <c r="E753" s="40" t="n"/>
      <c r="F753" s="39" t="inlineStr">
        <is>
          <t>B_E_M_32_P3</t>
        </is>
      </c>
      <c r="G753" s="40" t="n"/>
      <c r="H753" s="41" t="n"/>
      <c r="I753" s="42">
        <f>IF($H753="","",MAX(0,$H753-N($E753)))</f>
        <v/>
      </c>
      <c r="J753" s="42">
        <f>IF($H753="","",MAX(0,$H753-N($G753)))</f>
        <v/>
      </c>
    </row>
    <row r="754" ht="19.5" customHeight="1" s="72">
      <c r="A754" s="38" t="inlineStr">
        <is>
          <t>EM-32-P03-BEN</t>
        </is>
      </c>
      <c r="B754" s="38" t="inlineStr">
        <is>
          <t>Fase 32</t>
        </is>
      </c>
      <c r="C754" s="38" t="inlineStr">
        <is>
          <t>Benguela</t>
        </is>
      </c>
      <c r="D754" s="39" t="inlineStr">
        <is>
          <t>A_E_M_32_P3</t>
        </is>
      </c>
      <c r="E754" s="40" t="n"/>
      <c r="F754" s="39" t="inlineStr">
        <is>
          <t>B_E_M_32_P3</t>
        </is>
      </c>
      <c r="G754" s="40" t="n"/>
      <c r="H754" s="41" t="n"/>
      <c r="I754" s="42">
        <f>IF($H754="","",MAX(0,$H754-N($E754)))</f>
        <v/>
      </c>
      <c r="J754" s="42">
        <f>IF($H754="","",MAX(0,$H754-N($G754)))</f>
        <v/>
      </c>
    </row>
    <row r="755" ht="19.5" customHeight="1" s="72">
      <c r="A755" s="38" t="inlineStr">
        <is>
          <t>EM-32-P04-SBA</t>
        </is>
      </c>
      <c r="B755" s="38" t="inlineStr">
        <is>
          <t>Fase 32</t>
        </is>
      </c>
      <c r="C755" s="38" t="inlineStr">
        <is>
          <t>São Bento da Abadá</t>
        </is>
      </c>
      <c r="D755" s="39" t="inlineStr">
        <is>
          <t>A_E_M_32_P4</t>
        </is>
      </c>
      <c r="E755" s="40" t="n"/>
      <c r="F755" s="39" t="inlineStr">
        <is>
          <t>B_E_M_32_P4</t>
        </is>
      </c>
      <c r="G755" s="40" t="n"/>
      <c r="H755" s="41" t="n"/>
      <c r="I755" s="42">
        <f>IF($H755="","",MAX(0,$H755-N($E755)))</f>
        <v/>
      </c>
      <c r="J755" s="42">
        <f>IF($H755="","",MAX(0,$H755-N($G755)))</f>
        <v/>
      </c>
    </row>
    <row r="756" ht="19.5" customHeight="1" s="72">
      <c r="A756" s="38" t="inlineStr">
        <is>
          <t>EM-32-P04-BEN</t>
        </is>
      </c>
      <c r="B756" s="38" t="inlineStr">
        <is>
          <t>Fase 32</t>
        </is>
      </c>
      <c r="C756" s="38" t="inlineStr">
        <is>
          <t>Benguela</t>
        </is>
      </c>
      <c r="D756" s="39" t="inlineStr">
        <is>
          <t>A_E_M_32_P4</t>
        </is>
      </c>
      <c r="E756" s="40" t="n"/>
      <c r="F756" s="39" t="inlineStr">
        <is>
          <t>B_E_M_32_P4</t>
        </is>
      </c>
      <c r="G756" s="40" t="n"/>
      <c r="H756" s="41" t="n"/>
      <c r="I756" s="42">
        <f>IF($H756="","",MAX(0,$H756-N($E756)))</f>
        <v/>
      </c>
      <c r="J756" s="42">
        <f>IF($H756="","",MAX(0,$H756-N($G756)))</f>
        <v/>
      </c>
    </row>
    <row r="757" ht="19.5" customHeight="1" s="72">
      <c r="A757" s="38" t="inlineStr">
        <is>
          <t>EM-32-P05-SBA</t>
        </is>
      </c>
      <c r="B757" s="38" t="inlineStr">
        <is>
          <t>Fase 32</t>
        </is>
      </c>
      <c r="C757" s="38" t="inlineStr">
        <is>
          <t>São Bento da Abadá</t>
        </is>
      </c>
      <c r="D757" s="39" t="inlineStr">
        <is>
          <t>A_E_M_32_P5</t>
        </is>
      </c>
      <c r="E757" s="40" t="n"/>
      <c r="F757" s="39" t="inlineStr">
        <is>
          <t>B_E_M_32_P5</t>
        </is>
      </c>
      <c r="G757" s="40" t="n"/>
      <c r="H757" s="41" t="n"/>
      <c r="I757" s="42">
        <f>IF($H757="","",MAX(0,$H757-N($E757)))</f>
        <v/>
      </c>
      <c r="J757" s="42">
        <f>IF($H757="","",MAX(0,$H757-N($G757)))</f>
        <v/>
      </c>
    </row>
    <row r="758" ht="19.5" customHeight="1" s="72">
      <c r="A758" s="38" t="inlineStr">
        <is>
          <t>EM-32-P05-BEN</t>
        </is>
      </c>
      <c r="B758" s="38" t="inlineStr">
        <is>
          <t>Fase 32</t>
        </is>
      </c>
      <c r="C758" s="38" t="inlineStr">
        <is>
          <t>Benguela</t>
        </is>
      </c>
      <c r="D758" s="39" t="inlineStr">
        <is>
          <t>A_E_M_32_P5</t>
        </is>
      </c>
      <c r="E758" s="40" t="n"/>
      <c r="F758" s="39" t="inlineStr">
        <is>
          <t>B_E_M_32_P5</t>
        </is>
      </c>
      <c r="G758" s="40" t="n"/>
      <c r="H758" s="41" t="n"/>
      <c r="I758" s="42">
        <f>IF($H758="","",MAX(0,$H758-N($E758)))</f>
        <v/>
      </c>
      <c r="J758" s="42">
        <f>IF($H758="","",MAX(0,$H758-N($G758)))</f>
        <v/>
      </c>
    </row>
    <row r="759" ht="19.5" customHeight="1" s="72">
      <c r="A759" s="38" t="inlineStr">
        <is>
          <t>EM-32-P06-SBA</t>
        </is>
      </c>
      <c r="B759" s="38" t="inlineStr">
        <is>
          <t>Fase 32</t>
        </is>
      </c>
      <c r="C759" s="38" t="inlineStr">
        <is>
          <t>São Bento da Abadá</t>
        </is>
      </c>
      <c r="D759" s="39" t="inlineStr">
        <is>
          <t>A_E_M_32_P6</t>
        </is>
      </c>
      <c r="E759" s="40" t="n"/>
      <c r="F759" s="39" t="inlineStr">
        <is>
          <t>B_E_M_32_P6</t>
        </is>
      </c>
      <c r="G759" s="40" t="n"/>
      <c r="H759" s="41" t="n"/>
      <c r="I759" s="42">
        <f>IF($H759="","",MAX(0,$H759-N($E759)))</f>
        <v/>
      </c>
      <c r="J759" s="42">
        <f>IF($H759="","",MAX(0,$H759-N($G759)))</f>
        <v/>
      </c>
    </row>
    <row r="760" ht="19.5" customHeight="1" s="72">
      <c r="A760" s="38" t="inlineStr">
        <is>
          <t>EM-32-P06-BEN</t>
        </is>
      </c>
      <c r="B760" s="38" t="inlineStr">
        <is>
          <t>Fase 32</t>
        </is>
      </c>
      <c r="C760" s="38" t="inlineStr">
        <is>
          <t>Benguela</t>
        </is>
      </c>
      <c r="D760" s="39" t="inlineStr">
        <is>
          <t>A_E_M_32_P6</t>
        </is>
      </c>
      <c r="E760" s="40" t="n"/>
      <c r="F760" s="39" t="inlineStr">
        <is>
          <t>B_E_M_32_P6</t>
        </is>
      </c>
      <c r="G760" s="40" t="n"/>
      <c r="H760" s="41" t="n"/>
      <c r="I760" s="42">
        <f>IF($H760="","",MAX(0,$H760-N($E760)))</f>
        <v/>
      </c>
      <c r="J760" s="42">
        <f>IF($H760="","",MAX(0,$H760-N($G760)))</f>
        <v/>
      </c>
    </row>
    <row r="761" ht="19.5" customHeight="1" s="72">
      <c r="A761" s="38" t="inlineStr">
        <is>
          <t>EM-32-P07-SBA</t>
        </is>
      </c>
      <c r="B761" s="38" t="inlineStr">
        <is>
          <t>Fase 32</t>
        </is>
      </c>
      <c r="C761" s="38" t="inlineStr">
        <is>
          <t>São Bento da Abadá</t>
        </is>
      </c>
      <c r="D761" s="39" t="inlineStr">
        <is>
          <t>A_E_M_32_P7</t>
        </is>
      </c>
      <c r="E761" s="40" t="n"/>
      <c r="F761" s="39" t="inlineStr">
        <is>
          <t>B_E_M_32_P7</t>
        </is>
      </c>
      <c r="G761" s="40" t="n"/>
      <c r="H761" s="41" t="n"/>
      <c r="I761" s="42">
        <f>IF($H761="","",MAX(0,$H761-N($E761)))</f>
        <v/>
      </c>
      <c r="J761" s="42">
        <f>IF($H761="","",MAX(0,$H761-N($G761)))</f>
        <v/>
      </c>
    </row>
    <row r="762" ht="19.5" customHeight="1" s="72">
      <c r="A762" s="38" t="inlineStr">
        <is>
          <t>EM-32-P07-BEN</t>
        </is>
      </c>
      <c r="B762" s="38" t="inlineStr">
        <is>
          <t>Fase 32</t>
        </is>
      </c>
      <c r="C762" s="38" t="inlineStr">
        <is>
          <t>Benguela</t>
        </is>
      </c>
      <c r="D762" s="39" t="inlineStr">
        <is>
          <t>A_E_M_32_P7</t>
        </is>
      </c>
      <c r="E762" s="40" t="n"/>
      <c r="F762" s="39" t="inlineStr">
        <is>
          <t>B_E_M_32_P7</t>
        </is>
      </c>
      <c r="G762" s="40" t="n"/>
      <c r="H762" s="41" t="n"/>
      <c r="I762" s="42">
        <f>IF($H762="","",MAX(0,$H762-N($E762)))</f>
        <v/>
      </c>
      <c r="J762" s="42">
        <f>IF($H762="","",MAX(0,$H762-N($G762)))</f>
        <v/>
      </c>
    </row>
    <row r="763" ht="19.5" customHeight="1" s="72">
      <c r="A763" s="38" t="inlineStr">
        <is>
          <t>EM-32-P08-SBA</t>
        </is>
      </c>
      <c r="B763" s="38" t="inlineStr">
        <is>
          <t>Fase 32</t>
        </is>
      </c>
      <c r="C763" s="38" t="inlineStr">
        <is>
          <t>São Bento da Abadá</t>
        </is>
      </c>
      <c r="D763" s="39" t="inlineStr">
        <is>
          <t>A_E_M_32_P8</t>
        </is>
      </c>
      <c r="E763" s="40" t="n"/>
      <c r="F763" s="39" t="inlineStr">
        <is>
          <t>B_E_M_32_P8</t>
        </is>
      </c>
      <c r="G763" s="40" t="n"/>
      <c r="H763" s="41" t="n"/>
      <c r="I763" s="42">
        <f>IF($H763="","",MAX(0,$H763-N($E763)))</f>
        <v/>
      </c>
      <c r="J763" s="42">
        <f>IF($H763="","",MAX(0,$H763-N($G763)))</f>
        <v/>
      </c>
    </row>
    <row r="764" ht="19.5" customHeight="1" s="72">
      <c r="A764" s="38" t="inlineStr">
        <is>
          <t>EM-32-P08-BEN</t>
        </is>
      </c>
      <c r="B764" s="38" t="inlineStr">
        <is>
          <t>Fase 32</t>
        </is>
      </c>
      <c r="C764" s="38" t="inlineStr">
        <is>
          <t>Benguela</t>
        </is>
      </c>
      <c r="D764" s="39" t="inlineStr">
        <is>
          <t>A_E_M_32_P8</t>
        </is>
      </c>
      <c r="E764" s="40" t="n"/>
      <c r="F764" s="39" t="inlineStr">
        <is>
          <t>B_E_M_32_P8</t>
        </is>
      </c>
      <c r="G764" s="40" t="n"/>
      <c r="H764" s="41" t="n"/>
      <c r="I764" s="42">
        <f>IF($H764="","",MAX(0,$H764-N($E764)))</f>
        <v/>
      </c>
      <c r="J764" s="42">
        <f>IF($H764="","",MAX(0,$H764-N($G764)))</f>
        <v/>
      </c>
    </row>
    <row r="765" ht="19.5" customHeight="1" s="72">
      <c r="A765" s="38" t="inlineStr">
        <is>
          <t>EM-32-P09-SBA</t>
        </is>
      </c>
      <c r="B765" s="38" t="inlineStr">
        <is>
          <t>Fase 32</t>
        </is>
      </c>
      <c r="C765" s="38" t="inlineStr">
        <is>
          <t>São Bento da Abadá</t>
        </is>
      </c>
      <c r="D765" s="39" t="inlineStr">
        <is>
          <t>A_E_M_32_P9</t>
        </is>
      </c>
      <c r="E765" s="40" t="n"/>
      <c r="F765" s="39" t="inlineStr">
        <is>
          <t>B_E_M_32_P9</t>
        </is>
      </c>
      <c r="G765" s="40" t="n"/>
      <c r="H765" s="41" t="n"/>
      <c r="I765" s="42">
        <f>IF($H765="","",MAX(0,$H765-N($E765)))</f>
        <v/>
      </c>
      <c r="J765" s="42">
        <f>IF($H765="","",MAX(0,$H765-N($G765)))</f>
        <v/>
      </c>
    </row>
    <row r="766" ht="19.5" customHeight="1" s="72">
      <c r="A766" s="38" t="inlineStr">
        <is>
          <t>EM-32-P09-BEN</t>
        </is>
      </c>
      <c r="B766" s="38" t="inlineStr">
        <is>
          <t>Fase 32</t>
        </is>
      </c>
      <c r="C766" s="38" t="inlineStr">
        <is>
          <t>Benguela</t>
        </is>
      </c>
      <c r="D766" s="39" t="inlineStr">
        <is>
          <t>A_E_M_32_P9</t>
        </is>
      </c>
      <c r="E766" s="40" t="n"/>
      <c r="F766" s="39" t="inlineStr">
        <is>
          <t>B_E_M_32_P9</t>
        </is>
      </c>
      <c r="G766" s="40" t="n"/>
      <c r="H766" s="41" t="n"/>
      <c r="I766" s="42">
        <f>IF($H766="","",MAX(0,$H766-N($E766)))</f>
        <v/>
      </c>
      <c r="J766" s="42">
        <f>IF($H766="","",MAX(0,$H766-N($G766)))</f>
        <v/>
      </c>
    </row>
    <row r="767" ht="19.5" customHeight="1" s="72">
      <c r="A767" s="38" t="inlineStr">
        <is>
          <t>EM-32-P10-SBA</t>
        </is>
      </c>
      <c r="B767" s="38" t="inlineStr">
        <is>
          <t>Fase 32</t>
        </is>
      </c>
      <c r="C767" s="38" t="inlineStr">
        <is>
          <t>São Bento da Abadá</t>
        </is>
      </c>
      <c r="D767" s="39" t="inlineStr">
        <is>
          <t>A_E_M_32_P10</t>
        </is>
      </c>
      <c r="E767" s="40" t="n"/>
      <c r="F767" s="39" t="inlineStr">
        <is>
          <t>B_E_M_32_P10</t>
        </is>
      </c>
      <c r="G767" s="40" t="n"/>
      <c r="H767" s="41" t="n"/>
      <c r="I767" s="42">
        <f>IF($H767="","",MAX(0,$H767-N($E767)))</f>
        <v/>
      </c>
      <c r="J767" s="42">
        <f>IF($H767="","",MAX(0,$H767-N($G767)))</f>
        <v/>
      </c>
    </row>
    <row r="768" ht="19.5" customHeight="1" s="72">
      <c r="A768" s="38" t="inlineStr">
        <is>
          <t>EM-32-P10-BEN</t>
        </is>
      </c>
      <c r="B768" s="38" t="inlineStr">
        <is>
          <t>Fase 32</t>
        </is>
      </c>
      <c r="C768" s="38" t="inlineStr">
        <is>
          <t>Benguela</t>
        </is>
      </c>
      <c r="D768" s="39" t="inlineStr">
        <is>
          <t>A_E_M_32_P10</t>
        </is>
      </c>
      <c r="E768" s="40" t="n"/>
      <c r="F768" s="39" t="inlineStr">
        <is>
          <t>B_E_M_32_P10</t>
        </is>
      </c>
      <c r="G768" s="40" t="n"/>
      <c r="H768" s="41" t="n"/>
      <c r="I768" s="42">
        <f>IF($H768="","",MAX(0,$H768-N($E768)))</f>
        <v/>
      </c>
      <c r="J768" s="42">
        <f>IF($H768="","",MAX(0,$H768-N($G768)))</f>
        <v/>
      </c>
    </row>
    <row r="769" ht="19.5" customHeight="1" s="72">
      <c r="A769" s="38" t="inlineStr">
        <is>
          <t>EM-32-P11-SBA</t>
        </is>
      </c>
      <c r="B769" s="38" t="inlineStr">
        <is>
          <t>Fase 32</t>
        </is>
      </c>
      <c r="C769" s="38" t="inlineStr">
        <is>
          <t>São Bento da Abadá</t>
        </is>
      </c>
      <c r="D769" s="39" t="inlineStr">
        <is>
          <t>A_E_M_32_P11</t>
        </is>
      </c>
      <c r="E769" s="40" t="n"/>
      <c r="F769" s="39" t="inlineStr">
        <is>
          <t>B_E_M_32_P11</t>
        </is>
      </c>
      <c r="G769" s="40" t="n"/>
      <c r="H769" s="41" t="n"/>
      <c r="I769" s="42">
        <f>IF($H769="","",MAX(0,$H769-N($E769)))</f>
        <v/>
      </c>
      <c r="J769" s="42">
        <f>IF($H769="","",MAX(0,$H769-N($G769)))</f>
        <v/>
      </c>
    </row>
    <row r="770" ht="19.5" customHeight="1" s="72">
      <c r="A770" s="38" t="inlineStr">
        <is>
          <t>EM-32-P11-BEN</t>
        </is>
      </c>
      <c r="B770" s="38" t="inlineStr">
        <is>
          <t>Fase 32</t>
        </is>
      </c>
      <c r="C770" s="38" t="inlineStr">
        <is>
          <t>Benguela</t>
        </is>
      </c>
      <c r="D770" s="39" t="inlineStr">
        <is>
          <t>A_E_M_32_P11</t>
        </is>
      </c>
      <c r="E770" s="40" t="n"/>
      <c r="F770" s="39" t="inlineStr">
        <is>
          <t>B_E_M_32_P11</t>
        </is>
      </c>
      <c r="G770" s="40" t="n"/>
      <c r="H770" s="41" t="n"/>
      <c r="I770" s="42">
        <f>IF($H770="","",MAX(0,$H770-N($E770)))</f>
        <v/>
      </c>
      <c r="J770" s="42">
        <f>IF($H770="","",MAX(0,$H770-N($G770)))</f>
        <v/>
      </c>
    </row>
    <row r="771" ht="19.5" customHeight="1" s="72">
      <c r="A771" s="38" t="inlineStr">
        <is>
          <t>EM-32-P12-SBA</t>
        </is>
      </c>
      <c r="B771" s="38" t="inlineStr">
        <is>
          <t>Fase 32</t>
        </is>
      </c>
      <c r="C771" s="38" t="inlineStr">
        <is>
          <t>São Bento da Abadá</t>
        </is>
      </c>
      <c r="D771" s="39" t="inlineStr">
        <is>
          <t>A_E_M_32_P12</t>
        </is>
      </c>
      <c r="E771" s="40" t="n"/>
      <c r="F771" s="39" t="inlineStr">
        <is>
          <t>B_E_M_32_P12</t>
        </is>
      </c>
      <c r="G771" s="40" t="n"/>
      <c r="H771" s="41" t="n"/>
      <c r="I771" s="42">
        <f>IF($H771="","",MAX(0,$H771-N($E771)))</f>
        <v/>
      </c>
      <c r="J771" s="42">
        <f>IF($H771="","",MAX(0,$H771-N($G771)))</f>
        <v/>
      </c>
    </row>
    <row r="772" ht="19.5" customHeight="1" s="72">
      <c r="A772" s="38" t="inlineStr">
        <is>
          <t>EM-32-P12-BEN</t>
        </is>
      </c>
      <c r="B772" s="38" t="inlineStr">
        <is>
          <t>Fase 32</t>
        </is>
      </c>
      <c r="C772" s="38" t="inlineStr">
        <is>
          <t>Benguela</t>
        </is>
      </c>
      <c r="D772" s="39" t="inlineStr">
        <is>
          <t>A_E_M_32_P12</t>
        </is>
      </c>
      <c r="E772" s="40" t="n"/>
      <c r="F772" s="39" t="inlineStr">
        <is>
          <t>B_E_M_32_P12</t>
        </is>
      </c>
      <c r="G772" s="40" t="n"/>
      <c r="H772" s="41" t="n"/>
      <c r="I772" s="42">
        <f>IF($H772="","",MAX(0,$H772-N($E772)))</f>
        <v/>
      </c>
      <c r="J772" s="42">
        <f>IF($H772="","",MAX(0,$H772-N($G772)))</f>
        <v/>
      </c>
    </row>
    <row r="773" ht="19.5" customHeight="1" s="72">
      <c r="A773" s="38" t="inlineStr">
        <is>
          <t>EM-32-P13-SBA</t>
        </is>
      </c>
      <c r="B773" s="38" t="inlineStr">
        <is>
          <t>Fase 32</t>
        </is>
      </c>
      <c r="C773" s="38" t="inlineStr">
        <is>
          <t>São Bento da Abadá</t>
        </is>
      </c>
      <c r="D773" s="39" t="inlineStr">
        <is>
          <t>A_E_M_32_P13</t>
        </is>
      </c>
      <c r="E773" s="40" t="n"/>
      <c r="F773" s="39" t="inlineStr">
        <is>
          <t>B_E_M_32_P13</t>
        </is>
      </c>
      <c r="G773" s="40" t="n"/>
      <c r="H773" s="41" t="n"/>
      <c r="I773" s="42">
        <f>IF($H773="","",MAX(0,$H773-N($E773)))</f>
        <v/>
      </c>
      <c r="J773" s="42">
        <f>IF($H773="","",MAX(0,$H773-N($G773)))</f>
        <v/>
      </c>
    </row>
    <row r="774" ht="19.5" customHeight="1" s="72">
      <c r="A774" s="38" t="inlineStr">
        <is>
          <t>EM-32-P13-BEN</t>
        </is>
      </c>
      <c r="B774" s="38" t="inlineStr">
        <is>
          <t>Fase 32</t>
        </is>
      </c>
      <c r="C774" s="38" t="inlineStr">
        <is>
          <t>Benguela</t>
        </is>
      </c>
      <c r="D774" s="39" t="inlineStr">
        <is>
          <t>A_E_M_32_P13</t>
        </is>
      </c>
      <c r="E774" s="40" t="n"/>
      <c r="F774" s="39" t="inlineStr">
        <is>
          <t>B_E_M_32_P13</t>
        </is>
      </c>
      <c r="G774" s="40" t="n"/>
      <c r="H774" s="41" t="n"/>
      <c r="I774" s="42">
        <f>IF($H774="","",MAX(0,$H774-N($E774)))</f>
        <v/>
      </c>
      <c r="J774" s="42">
        <f>IF($H774="","",MAX(0,$H774-N($G774)))</f>
        <v/>
      </c>
    </row>
    <row r="775" ht="19.5" customHeight="1" s="72">
      <c r="A775" s="38" t="inlineStr">
        <is>
          <t>EM-32-P14-SBA</t>
        </is>
      </c>
      <c r="B775" s="38" t="inlineStr">
        <is>
          <t>Fase 32</t>
        </is>
      </c>
      <c r="C775" s="38" t="inlineStr">
        <is>
          <t>São Bento da Abadá</t>
        </is>
      </c>
      <c r="D775" s="39" t="inlineStr">
        <is>
          <t>A_E_M_32_P14</t>
        </is>
      </c>
      <c r="E775" s="40" t="n"/>
      <c r="F775" s="39" t="inlineStr">
        <is>
          <t>B_E_M_32_P14</t>
        </is>
      </c>
      <c r="G775" s="40" t="n"/>
      <c r="H775" s="41" t="n"/>
      <c r="I775" s="42">
        <f>IF($H775="","",MAX(0,$H775-N($E775)))</f>
        <v/>
      </c>
      <c r="J775" s="42">
        <f>IF($H775="","",MAX(0,$H775-N($G775)))</f>
        <v/>
      </c>
    </row>
    <row r="776" ht="19.5" customHeight="1" s="72">
      <c r="A776" s="38" t="inlineStr">
        <is>
          <t>EM-32-P14-BEN</t>
        </is>
      </c>
      <c r="B776" s="38" t="inlineStr">
        <is>
          <t>Fase 32</t>
        </is>
      </c>
      <c r="C776" s="38" t="inlineStr">
        <is>
          <t>Benguela</t>
        </is>
      </c>
      <c r="D776" s="39" t="inlineStr">
        <is>
          <t>A_E_M_32_P14</t>
        </is>
      </c>
      <c r="E776" s="40" t="n"/>
      <c r="F776" s="39" t="inlineStr">
        <is>
          <t>B_E_M_32_P14</t>
        </is>
      </c>
      <c r="G776" s="40" t="n"/>
      <c r="H776" s="41" t="n"/>
      <c r="I776" s="42">
        <f>IF($H776="","",MAX(0,$H776-N($E776)))</f>
        <v/>
      </c>
      <c r="J776" s="42">
        <f>IF($H776="","",MAX(0,$H776-N($G776)))</f>
        <v/>
      </c>
    </row>
    <row r="777" ht="19.5" customHeight="1" s="72">
      <c r="A777" s="38" t="inlineStr">
        <is>
          <t>EM-32-P15-SBA</t>
        </is>
      </c>
      <c r="B777" s="38" t="inlineStr">
        <is>
          <t>Fase 32</t>
        </is>
      </c>
      <c r="C777" s="38" t="inlineStr">
        <is>
          <t>São Bento da Abadá</t>
        </is>
      </c>
      <c r="D777" s="39" t="inlineStr">
        <is>
          <t>A_E_M_32_P15</t>
        </is>
      </c>
      <c r="E777" s="40" t="n"/>
      <c r="F777" s="39" t="inlineStr">
        <is>
          <t>B_E_M_32_P15</t>
        </is>
      </c>
      <c r="G777" s="40" t="n"/>
      <c r="H777" s="41" t="n"/>
      <c r="I777" s="42">
        <f>IF($H777="","",MAX(0,$H777-N($E777)))</f>
        <v/>
      </c>
      <c r="J777" s="42">
        <f>IF($H777="","",MAX(0,$H777-N($G777)))</f>
        <v/>
      </c>
    </row>
    <row r="778" ht="19.5" customHeight="1" s="72">
      <c r="A778" s="38" t="inlineStr">
        <is>
          <t>EM-32-P15-BEN</t>
        </is>
      </c>
      <c r="B778" s="38" t="inlineStr">
        <is>
          <t>Fase 32</t>
        </is>
      </c>
      <c r="C778" s="38" t="inlineStr">
        <is>
          <t>Benguela</t>
        </is>
      </c>
      <c r="D778" s="39" t="inlineStr">
        <is>
          <t>A_E_M_32_P15</t>
        </is>
      </c>
      <c r="E778" s="40" t="n"/>
      <c r="F778" s="39" t="inlineStr">
        <is>
          <t>B_E_M_32_P15</t>
        </is>
      </c>
      <c r="G778" s="40" t="n"/>
      <c r="H778" s="41" t="n"/>
      <c r="I778" s="42">
        <f>IF($H778="","",MAX(0,$H778-N($E778)))</f>
        <v/>
      </c>
      <c r="J778" s="42">
        <f>IF($H778="","",MAX(0,$H778-N($G778)))</f>
        <v/>
      </c>
    </row>
    <row r="779" ht="19.5" customHeight="1" s="72">
      <c r="A779" s="38" t="inlineStr">
        <is>
          <t>EM-32-P16-SBA</t>
        </is>
      </c>
      <c r="B779" s="38" t="inlineStr">
        <is>
          <t>Fase 32</t>
        </is>
      </c>
      <c r="C779" s="38" t="inlineStr">
        <is>
          <t>São Bento da Abadá</t>
        </is>
      </c>
      <c r="D779" s="39" t="inlineStr">
        <is>
          <t>A_E_M_32_P16</t>
        </is>
      </c>
      <c r="E779" s="40" t="n"/>
      <c r="F779" s="39" t="inlineStr">
        <is>
          <t>B_E_M_32_P16</t>
        </is>
      </c>
      <c r="G779" s="40" t="n"/>
      <c r="H779" s="41" t="n"/>
      <c r="I779" s="42">
        <f>IF($H779="","",MAX(0,$H779-N($E779)))</f>
        <v/>
      </c>
      <c r="J779" s="42">
        <f>IF($H779="","",MAX(0,$H779-N($G779)))</f>
        <v/>
      </c>
    </row>
    <row r="780" ht="19.5" customHeight="1" s="72">
      <c r="A780" s="38" t="inlineStr">
        <is>
          <t>EM-32-P16-BEN</t>
        </is>
      </c>
      <c r="B780" s="38" t="inlineStr">
        <is>
          <t>Fase 32</t>
        </is>
      </c>
      <c r="C780" s="38" t="inlineStr">
        <is>
          <t>Benguela</t>
        </is>
      </c>
      <c r="D780" s="39" t="inlineStr">
        <is>
          <t>A_E_M_32_P16</t>
        </is>
      </c>
      <c r="E780" s="40" t="n"/>
      <c r="F780" s="39" t="inlineStr">
        <is>
          <t>B_E_M_32_P16</t>
        </is>
      </c>
      <c r="G780" s="40" t="n"/>
      <c r="H780" s="41" t="n"/>
      <c r="I780" s="42">
        <f>IF($H780="","",MAX(0,$H780-N($E780)))</f>
        <v/>
      </c>
      <c r="J780" s="42">
        <f>IF($H780="","",MAX(0,$H780-N($G780)))</f>
        <v/>
      </c>
    </row>
    <row r="781" ht="19.5" customHeight="1" s="72">
      <c r="A781" s="38" t="inlineStr">
        <is>
          <t>EM-OCT-P01-SBA</t>
        </is>
      </c>
      <c r="B781" s="38" t="inlineStr">
        <is>
          <t>Octavas</t>
        </is>
      </c>
      <c r="C781" s="38" t="inlineStr">
        <is>
          <t>São Bento da Abadá</t>
        </is>
      </c>
      <c r="D781" s="39">
        <f>IFERROR(CLASIF_E_M!$F$5,"")</f>
        <v/>
      </c>
      <c r="E781" s="40" t="n"/>
      <c r="F781" s="39">
        <f>IFERROR(CLASIF_E_M!$F$20,"")</f>
        <v/>
      </c>
      <c r="G781" s="40" t="n"/>
      <c r="H781" s="41" t="n"/>
      <c r="I781" s="42">
        <f>IF($H781="","",MAX(0,$H781-N($E781)))</f>
        <v/>
      </c>
      <c r="J781" s="42">
        <f>IF($H781="","",MAX(0,$H781-N($G781)))</f>
        <v/>
      </c>
    </row>
    <row r="782" ht="19.5" customHeight="1" s="72">
      <c r="A782" s="38" t="inlineStr">
        <is>
          <t>EM-OCT-P01-BEN</t>
        </is>
      </c>
      <c r="B782" s="38" t="inlineStr">
        <is>
          <t>Octavas</t>
        </is>
      </c>
      <c r="C782" s="38" t="inlineStr">
        <is>
          <t>Benguela</t>
        </is>
      </c>
      <c r="D782" s="39">
        <f>IFERROR(CLASIF_E_M!$F$5,"")</f>
        <v/>
      </c>
      <c r="E782" s="40" t="n"/>
      <c r="F782" s="39">
        <f>IFERROR(CLASIF_E_M!$F$20,"")</f>
        <v/>
      </c>
      <c r="G782" s="40" t="n"/>
      <c r="H782" s="41" t="n"/>
      <c r="I782" s="42">
        <f>IF($H782="","",MAX(0,$H782-N($E782)))</f>
        <v/>
      </c>
      <c r="J782" s="42">
        <f>IF($H782="","",MAX(0,$H782-N($G782)))</f>
        <v/>
      </c>
    </row>
    <row r="783" ht="19.5" customHeight="1" s="72">
      <c r="A783" s="38" t="inlineStr">
        <is>
          <t>EM-OCT-P02-SBA</t>
        </is>
      </c>
      <c r="B783" s="38" t="inlineStr">
        <is>
          <t>Octavas</t>
        </is>
      </c>
      <c r="C783" s="38" t="inlineStr">
        <is>
          <t>São Bento da Abadá</t>
        </is>
      </c>
      <c r="D783" s="39">
        <f>IFERROR(CLASIF_E_M!$F$6,"")</f>
        <v/>
      </c>
      <c r="E783" s="40" t="n"/>
      <c r="F783" s="39">
        <f>IFERROR(CLASIF_E_M!$F$19,"")</f>
        <v/>
      </c>
      <c r="G783" s="40" t="n"/>
      <c r="H783" s="41" t="n"/>
      <c r="I783" s="42">
        <f>IF($H783="","",MAX(0,$H783-N($E783)))</f>
        <v/>
      </c>
      <c r="J783" s="42">
        <f>IF($H783="","",MAX(0,$H783-N($G783)))</f>
        <v/>
      </c>
    </row>
    <row r="784" ht="19.5" customHeight="1" s="72">
      <c r="A784" s="38" t="inlineStr">
        <is>
          <t>EM-OCT-P02-BEN</t>
        </is>
      </c>
      <c r="B784" s="38" t="inlineStr">
        <is>
          <t>Octavas</t>
        </is>
      </c>
      <c r="C784" s="38" t="inlineStr">
        <is>
          <t>Benguela</t>
        </is>
      </c>
      <c r="D784" s="39">
        <f>IFERROR(CLASIF_E_M!$F$6,"")</f>
        <v/>
      </c>
      <c r="E784" s="40" t="n"/>
      <c r="F784" s="39">
        <f>IFERROR(CLASIF_E_M!$F$19,"")</f>
        <v/>
      </c>
      <c r="G784" s="40" t="n"/>
      <c r="H784" s="41" t="n"/>
      <c r="I784" s="42">
        <f>IF($H784="","",MAX(0,$H784-N($E784)))</f>
        <v/>
      </c>
      <c r="J784" s="42">
        <f>IF($H784="","",MAX(0,$H784-N($G784)))</f>
        <v/>
      </c>
    </row>
    <row r="785" ht="19.5" customHeight="1" s="72">
      <c r="A785" s="38" t="inlineStr">
        <is>
          <t>EM-OCT-P03-SBA</t>
        </is>
      </c>
      <c r="B785" s="38" t="inlineStr">
        <is>
          <t>Octavas</t>
        </is>
      </c>
      <c r="C785" s="38" t="inlineStr">
        <is>
          <t>São Bento da Abadá</t>
        </is>
      </c>
      <c r="D785" s="39">
        <f>IFERROR(CLASIF_E_M!$F$7,"")</f>
        <v/>
      </c>
      <c r="E785" s="40" t="n"/>
      <c r="F785" s="39">
        <f>IFERROR(CLASIF_E_M!$F$18,"")</f>
        <v/>
      </c>
      <c r="G785" s="40" t="n"/>
      <c r="H785" s="41" t="n"/>
      <c r="I785" s="42">
        <f>IF($H785="","",MAX(0,$H785-N($E785)))</f>
        <v/>
      </c>
      <c r="J785" s="42">
        <f>IF($H785="","",MAX(0,$H785-N($G785)))</f>
        <v/>
      </c>
    </row>
    <row r="786" ht="19.5" customHeight="1" s="72">
      <c r="A786" s="38" t="inlineStr">
        <is>
          <t>EM-OCT-P03-BEN</t>
        </is>
      </c>
      <c r="B786" s="38" t="inlineStr">
        <is>
          <t>Octavas</t>
        </is>
      </c>
      <c r="C786" s="38" t="inlineStr">
        <is>
          <t>Benguela</t>
        </is>
      </c>
      <c r="D786" s="39">
        <f>IFERROR(CLASIF_E_M!$F$7,"")</f>
        <v/>
      </c>
      <c r="E786" s="40" t="n"/>
      <c r="F786" s="39">
        <f>IFERROR(CLASIF_E_M!$F$18,"")</f>
        <v/>
      </c>
      <c r="G786" s="40" t="n"/>
      <c r="H786" s="41" t="n"/>
      <c r="I786" s="42">
        <f>IF($H786="","",MAX(0,$H786-N($E786)))</f>
        <v/>
      </c>
      <c r="J786" s="42">
        <f>IF($H786="","",MAX(0,$H786-N($G786)))</f>
        <v/>
      </c>
    </row>
    <row r="787" ht="19.5" customHeight="1" s="72">
      <c r="A787" s="38" t="inlineStr">
        <is>
          <t>EM-OCT-P04-SBA</t>
        </is>
      </c>
      <c r="B787" s="38" t="inlineStr">
        <is>
          <t>Octavas</t>
        </is>
      </c>
      <c r="C787" s="38" t="inlineStr">
        <is>
          <t>São Bento da Abadá</t>
        </is>
      </c>
      <c r="D787" s="39">
        <f>IFERROR(CLASIF_E_M!$F$8,"")</f>
        <v/>
      </c>
      <c r="E787" s="40" t="n"/>
      <c r="F787" s="39">
        <f>IFERROR(CLASIF_E_M!$F$17,"")</f>
        <v/>
      </c>
      <c r="G787" s="40" t="n"/>
      <c r="H787" s="41" t="n"/>
      <c r="I787" s="42">
        <f>IF($H787="","",MAX(0,$H787-N($E787)))</f>
        <v/>
      </c>
      <c r="J787" s="42">
        <f>IF($H787="","",MAX(0,$H787-N($G787)))</f>
        <v/>
      </c>
    </row>
    <row r="788" ht="19.5" customHeight="1" s="72">
      <c r="A788" s="38" t="inlineStr">
        <is>
          <t>EM-OCT-P04-BEN</t>
        </is>
      </c>
      <c r="B788" s="38" t="inlineStr">
        <is>
          <t>Octavas</t>
        </is>
      </c>
      <c r="C788" s="38" t="inlineStr">
        <is>
          <t>Benguela</t>
        </is>
      </c>
      <c r="D788" s="39">
        <f>IFERROR(CLASIF_E_M!$F$8,"")</f>
        <v/>
      </c>
      <c r="E788" s="40" t="n"/>
      <c r="F788" s="39">
        <f>IFERROR(CLASIF_E_M!$F$17,"")</f>
        <v/>
      </c>
      <c r="G788" s="40" t="n"/>
      <c r="H788" s="41" t="n"/>
      <c r="I788" s="42">
        <f>IF($H788="","",MAX(0,$H788-N($E788)))</f>
        <v/>
      </c>
      <c r="J788" s="42">
        <f>IF($H788="","",MAX(0,$H788-N($G788)))</f>
        <v/>
      </c>
    </row>
    <row r="789" ht="19.5" customHeight="1" s="72">
      <c r="A789" s="38" t="inlineStr">
        <is>
          <t>EM-OCT-P05-SBA</t>
        </is>
      </c>
      <c r="B789" s="38" t="inlineStr">
        <is>
          <t>Octavas</t>
        </is>
      </c>
      <c r="C789" s="38" t="inlineStr">
        <is>
          <t>São Bento da Abadá</t>
        </is>
      </c>
      <c r="D789" s="39">
        <f>IFERROR(CLASIF_E_M!$F$9,"")</f>
        <v/>
      </c>
      <c r="E789" s="40" t="n"/>
      <c r="F789" s="39">
        <f>IFERROR(CLASIF_E_M!$F$16,"")</f>
        <v/>
      </c>
      <c r="G789" s="40" t="n"/>
      <c r="H789" s="41" t="n"/>
      <c r="I789" s="42">
        <f>IF($H789="","",MAX(0,$H789-N($E789)))</f>
        <v/>
      </c>
      <c r="J789" s="42">
        <f>IF($H789="","",MAX(0,$H789-N($G789)))</f>
        <v/>
      </c>
    </row>
    <row r="790" ht="19.5" customHeight="1" s="72">
      <c r="A790" s="38" t="inlineStr">
        <is>
          <t>EM-OCT-P05-BEN</t>
        </is>
      </c>
      <c r="B790" s="38" t="inlineStr">
        <is>
          <t>Octavas</t>
        </is>
      </c>
      <c r="C790" s="38" t="inlineStr">
        <is>
          <t>Benguela</t>
        </is>
      </c>
      <c r="D790" s="39">
        <f>IFERROR(CLASIF_E_M!$F$9,"")</f>
        <v/>
      </c>
      <c r="E790" s="40" t="n"/>
      <c r="F790" s="39">
        <f>IFERROR(CLASIF_E_M!$F$16,"")</f>
        <v/>
      </c>
      <c r="G790" s="40" t="n"/>
      <c r="H790" s="41" t="n"/>
      <c r="I790" s="42">
        <f>IF($H790="","",MAX(0,$H790-N($E790)))</f>
        <v/>
      </c>
      <c r="J790" s="42">
        <f>IF($H790="","",MAX(0,$H790-N($G790)))</f>
        <v/>
      </c>
    </row>
    <row r="791" ht="19.5" customHeight="1" s="72">
      <c r="A791" s="38" t="inlineStr">
        <is>
          <t>EM-OCT-P06-SBA</t>
        </is>
      </c>
      <c r="B791" s="38" t="inlineStr">
        <is>
          <t>Octavas</t>
        </is>
      </c>
      <c r="C791" s="38" t="inlineStr">
        <is>
          <t>São Bento da Abadá</t>
        </is>
      </c>
      <c r="D791" s="39">
        <f>IFERROR(CLASIF_E_M!$F$10,"")</f>
        <v/>
      </c>
      <c r="E791" s="40" t="n"/>
      <c r="F791" s="39">
        <f>IFERROR(CLASIF_E_M!$F$15,"")</f>
        <v/>
      </c>
      <c r="G791" s="40" t="n"/>
      <c r="H791" s="41" t="n"/>
      <c r="I791" s="42">
        <f>IF($H791="","",MAX(0,$H791-N($E791)))</f>
        <v/>
      </c>
      <c r="J791" s="42">
        <f>IF($H791="","",MAX(0,$H791-N($G791)))</f>
        <v/>
      </c>
    </row>
    <row r="792" ht="19.5" customHeight="1" s="72">
      <c r="A792" s="38" t="inlineStr">
        <is>
          <t>EM-OCT-P06-BEN</t>
        </is>
      </c>
      <c r="B792" s="38" t="inlineStr">
        <is>
          <t>Octavas</t>
        </is>
      </c>
      <c r="C792" s="38" t="inlineStr">
        <is>
          <t>Benguela</t>
        </is>
      </c>
      <c r="D792" s="39">
        <f>IFERROR(CLASIF_E_M!$F$10,"")</f>
        <v/>
      </c>
      <c r="E792" s="40" t="n"/>
      <c r="F792" s="39">
        <f>IFERROR(CLASIF_E_M!$F$15,"")</f>
        <v/>
      </c>
      <c r="G792" s="40" t="n"/>
      <c r="H792" s="41" t="n"/>
      <c r="I792" s="42">
        <f>IF($H792="","",MAX(0,$H792-N($E792)))</f>
        <v/>
      </c>
      <c r="J792" s="42">
        <f>IF($H792="","",MAX(0,$H792-N($G792)))</f>
        <v/>
      </c>
    </row>
    <row r="793" ht="19.5" customHeight="1" s="72">
      <c r="A793" s="38" t="inlineStr">
        <is>
          <t>EM-OCT-P07-SBA</t>
        </is>
      </c>
      <c r="B793" s="38" t="inlineStr">
        <is>
          <t>Octavas</t>
        </is>
      </c>
      <c r="C793" s="38" t="inlineStr">
        <is>
          <t>São Bento da Abadá</t>
        </is>
      </c>
      <c r="D793" s="39">
        <f>IFERROR(CLASIF_E_M!$F$11,"")</f>
        <v/>
      </c>
      <c r="E793" s="40" t="n"/>
      <c r="F793" s="39">
        <f>IFERROR(CLASIF_E_M!$F$14,"")</f>
        <v/>
      </c>
      <c r="G793" s="40" t="n"/>
      <c r="H793" s="41" t="n"/>
      <c r="I793" s="42">
        <f>IF($H793="","",MAX(0,$H793-N($E793)))</f>
        <v/>
      </c>
      <c r="J793" s="42">
        <f>IF($H793="","",MAX(0,$H793-N($G793)))</f>
        <v/>
      </c>
    </row>
    <row r="794" ht="19.5" customHeight="1" s="72">
      <c r="A794" s="38" t="inlineStr">
        <is>
          <t>EM-OCT-P07-BEN</t>
        </is>
      </c>
      <c r="B794" s="38" t="inlineStr">
        <is>
          <t>Octavas</t>
        </is>
      </c>
      <c r="C794" s="38" t="inlineStr">
        <is>
          <t>Benguela</t>
        </is>
      </c>
      <c r="D794" s="39">
        <f>IFERROR(CLASIF_E_M!$F$11,"")</f>
        <v/>
      </c>
      <c r="E794" s="40" t="n"/>
      <c r="F794" s="39">
        <f>IFERROR(CLASIF_E_M!$F$14,"")</f>
        <v/>
      </c>
      <c r="G794" s="40" t="n"/>
      <c r="H794" s="41" t="n"/>
      <c r="I794" s="42">
        <f>IF($H794="","",MAX(0,$H794-N($E794)))</f>
        <v/>
      </c>
      <c r="J794" s="42">
        <f>IF($H794="","",MAX(0,$H794-N($G794)))</f>
        <v/>
      </c>
    </row>
    <row r="795" ht="19.5" customHeight="1" s="72">
      <c r="A795" s="38" t="inlineStr">
        <is>
          <t>EM-OCT-P08-SBA</t>
        </is>
      </c>
      <c r="B795" s="38" t="inlineStr">
        <is>
          <t>Octavas</t>
        </is>
      </c>
      <c r="C795" s="38" t="inlineStr">
        <is>
          <t>São Bento da Abadá</t>
        </is>
      </c>
      <c r="D795" s="39">
        <f>IFERROR(CLASIF_E_M!$F$12,"")</f>
        <v/>
      </c>
      <c r="E795" s="40" t="n"/>
      <c r="F795" s="39">
        <f>IFERROR(CLASIF_E_M!$F$13,"")</f>
        <v/>
      </c>
      <c r="G795" s="40" t="n"/>
      <c r="H795" s="41" t="n"/>
      <c r="I795" s="42">
        <f>IF($H795="","",MAX(0,$H795-N($E795)))</f>
        <v/>
      </c>
      <c r="J795" s="42">
        <f>IF($H795="","",MAX(0,$H795-N($G795)))</f>
        <v/>
      </c>
    </row>
    <row r="796" ht="19.5" customHeight="1" s="72">
      <c r="A796" s="38" t="inlineStr">
        <is>
          <t>EM-OCT-P08-BEN</t>
        </is>
      </c>
      <c r="B796" s="38" t="inlineStr">
        <is>
          <t>Octavas</t>
        </is>
      </c>
      <c r="C796" s="38" t="inlineStr">
        <is>
          <t>Benguela</t>
        </is>
      </c>
      <c r="D796" s="39">
        <f>IFERROR(CLASIF_E_M!$F$12,"")</f>
        <v/>
      </c>
      <c r="E796" s="40" t="n"/>
      <c r="F796" s="39">
        <f>IFERROR(CLASIF_E_M!$F$13,"")</f>
        <v/>
      </c>
      <c r="G796" s="40" t="n"/>
      <c r="H796" s="41" t="n"/>
      <c r="I796" s="42">
        <f>IF($H796="","",MAX(0,$H796-N($E796)))</f>
        <v/>
      </c>
      <c r="J796" s="42">
        <f>IF($H796="","",MAX(0,$H796-N($G796)))</f>
        <v/>
      </c>
    </row>
    <row r="797" ht="19.5" customHeight="1" s="72">
      <c r="A797" s="38" t="inlineStr">
        <is>
          <t>EM-SEM-P01-SBA</t>
        </is>
      </c>
      <c r="B797" s="38" t="inlineStr">
        <is>
          <t>Semifinal</t>
        </is>
      </c>
      <c r="C797" s="38" t="inlineStr">
        <is>
          <t>São Bento da Abadá</t>
        </is>
      </c>
      <c r="D797" s="39">
        <f>IFERROR(CLASIF_E_M!$O$5,"")</f>
        <v/>
      </c>
      <c r="E797" s="40" t="n"/>
      <c r="F797" s="39">
        <f>IFERROR(CLASIF_E_M!$O$12,"")</f>
        <v/>
      </c>
      <c r="G797" s="40" t="n"/>
      <c r="H797" s="41" t="n"/>
      <c r="I797" s="42">
        <f>IF($H797="","",MAX(0,$H797-N($E797)))</f>
        <v/>
      </c>
      <c r="J797" s="42">
        <f>IF($H797="","",MAX(0,$H797-N($G797)))</f>
        <v/>
      </c>
    </row>
    <row r="798" ht="19.5" customHeight="1" s="72">
      <c r="A798" s="38" t="inlineStr">
        <is>
          <t>EM-SEM-P01-BEN</t>
        </is>
      </c>
      <c r="B798" s="38" t="inlineStr">
        <is>
          <t>Semifinal</t>
        </is>
      </c>
      <c r="C798" s="38" t="inlineStr">
        <is>
          <t>Benguela</t>
        </is>
      </c>
      <c r="D798" s="39">
        <f>IFERROR(CLASIF_E_M!$O$5,"")</f>
        <v/>
      </c>
      <c r="E798" s="40" t="n"/>
      <c r="F798" s="39">
        <f>IFERROR(CLASIF_E_M!$O$12,"")</f>
        <v/>
      </c>
      <c r="G798" s="40" t="n"/>
      <c r="H798" s="41" t="n"/>
      <c r="I798" s="42">
        <f>IF($H798="","",MAX(0,$H798-N($E798)))</f>
        <v/>
      </c>
      <c r="J798" s="42">
        <f>IF($H798="","",MAX(0,$H798-N($G798)))</f>
        <v/>
      </c>
    </row>
    <row r="799" ht="19.5" customHeight="1" s="72">
      <c r="A799" s="38" t="inlineStr">
        <is>
          <t>EM-SEM-P02-SBA</t>
        </is>
      </c>
      <c r="B799" s="38" t="inlineStr">
        <is>
          <t>Semifinal</t>
        </is>
      </c>
      <c r="C799" s="38" t="inlineStr">
        <is>
          <t>São Bento da Abadá</t>
        </is>
      </c>
      <c r="D799" s="39">
        <f>IFERROR(CLASIF_E_M!$O$6,"")</f>
        <v/>
      </c>
      <c r="E799" s="40" t="n"/>
      <c r="F799" s="39">
        <f>IFERROR(CLASIF_E_M!$O$11,"")</f>
        <v/>
      </c>
      <c r="G799" s="40" t="n"/>
      <c r="H799" s="41" t="n"/>
      <c r="I799" s="42">
        <f>IF($H799="","",MAX(0,$H799-N($E799)))</f>
        <v/>
      </c>
      <c r="J799" s="42">
        <f>IF($H799="","",MAX(0,$H799-N($G799)))</f>
        <v/>
      </c>
    </row>
    <row r="800" ht="19.5" customHeight="1" s="72">
      <c r="A800" s="38" t="inlineStr">
        <is>
          <t>EM-SEM-P02-BEN</t>
        </is>
      </c>
      <c r="B800" s="38" t="inlineStr">
        <is>
          <t>Semifinal</t>
        </is>
      </c>
      <c r="C800" s="38" t="inlineStr">
        <is>
          <t>Benguela</t>
        </is>
      </c>
      <c r="D800" s="39">
        <f>IFERROR(CLASIF_E_M!$O$6,"")</f>
        <v/>
      </c>
      <c r="E800" s="40" t="n"/>
      <c r="F800" s="39">
        <f>IFERROR(CLASIF_E_M!$O$11,"")</f>
        <v/>
      </c>
      <c r="G800" s="40" t="n"/>
      <c r="H800" s="41" t="n"/>
      <c r="I800" s="42">
        <f>IF($H800="","",MAX(0,$H800-N($E800)))</f>
        <v/>
      </c>
      <c r="J800" s="42">
        <f>IF($H800="","",MAX(0,$H800-N($G800)))</f>
        <v/>
      </c>
    </row>
    <row r="801" ht="19.5" customHeight="1" s="72">
      <c r="A801" s="38" t="inlineStr">
        <is>
          <t>EM-SEM-P03-SBA</t>
        </is>
      </c>
      <c r="B801" s="38" t="inlineStr">
        <is>
          <t>Semifinal</t>
        </is>
      </c>
      <c r="C801" s="38" t="inlineStr">
        <is>
          <t>São Bento da Abadá</t>
        </is>
      </c>
      <c r="D801" s="39">
        <f>IFERROR(CLASIF_E_M!$O$7,"")</f>
        <v/>
      </c>
      <c r="E801" s="40" t="n"/>
      <c r="F801" s="39">
        <f>IFERROR(CLASIF_E_M!$O$10,"")</f>
        <v/>
      </c>
      <c r="G801" s="40" t="n"/>
      <c r="H801" s="41" t="n"/>
      <c r="I801" s="42">
        <f>IF($H801="","",MAX(0,$H801-N($E801)))</f>
        <v/>
      </c>
      <c r="J801" s="42">
        <f>IF($H801="","",MAX(0,$H801-N($G801)))</f>
        <v/>
      </c>
    </row>
    <row r="802" ht="19.5" customHeight="1" s="72">
      <c r="A802" s="38" t="inlineStr">
        <is>
          <t>EM-SEM-P03-BEN</t>
        </is>
      </c>
      <c r="B802" s="38" t="inlineStr">
        <is>
          <t>Semifinal</t>
        </is>
      </c>
      <c r="C802" s="38" t="inlineStr">
        <is>
          <t>Benguela</t>
        </is>
      </c>
      <c r="D802" s="39">
        <f>IFERROR(CLASIF_E_M!$O$7,"")</f>
        <v/>
      </c>
      <c r="E802" s="40" t="n"/>
      <c r="F802" s="39">
        <f>IFERROR(CLASIF_E_M!$O$10,"")</f>
        <v/>
      </c>
      <c r="G802" s="40" t="n"/>
      <c r="H802" s="41" t="n"/>
      <c r="I802" s="42">
        <f>IF($H802="","",MAX(0,$H802-N($E802)))</f>
        <v/>
      </c>
      <c r="J802" s="42">
        <f>IF($H802="","",MAX(0,$H802-N($G802)))</f>
        <v/>
      </c>
    </row>
    <row r="803" ht="19.5" customHeight="1" s="72">
      <c r="A803" s="38" t="inlineStr">
        <is>
          <t>EM-SEM-P04-SBA</t>
        </is>
      </c>
      <c r="B803" s="38" t="inlineStr">
        <is>
          <t>Semifinal</t>
        </is>
      </c>
      <c r="C803" s="38" t="inlineStr">
        <is>
          <t>São Bento da Abadá</t>
        </is>
      </c>
      <c r="D803" s="39">
        <f>IFERROR(CLASIF_E_M!$O$8,"")</f>
        <v/>
      </c>
      <c r="E803" s="40" t="n"/>
      <c r="F803" s="39">
        <f>IFERROR(CLASIF_E_M!$O$9,"")</f>
        <v/>
      </c>
      <c r="G803" s="40" t="n"/>
      <c r="H803" s="41" t="n"/>
      <c r="I803" s="42">
        <f>IF($H803="","",MAX(0,$H803-N($E803)))</f>
        <v/>
      </c>
      <c r="J803" s="42">
        <f>IF($H803="","",MAX(0,$H803-N($G803)))</f>
        <v/>
      </c>
    </row>
    <row r="804" ht="19.5" customHeight="1" s="72">
      <c r="A804" s="38" t="inlineStr">
        <is>
          <t>EM-SEM-P04-BEN</t>
        </is>
      </c>
      <c r="B804" s="38" t="inlineStr">
        <is>
          <t>Semifinal</t>
        </is>
      </c>
      <c r="C804" s="38" t="inlineStr">
        <is>
          <t>Benguela</t>
        </is>
      </c>
      <c r="D804" s="39">
        <f>IFERROR(CLASIF_E_M!$O$8,"")</f>
        <v/>
      </c>
      <c r="E804" s="40" t="n"/>
      <c r="F804" s="39">
        <f>IFERROR(CLASIF_E_M!$O$9,"")</f>
        <v/>
      </c>
      <c r="G804" s="40" t="n"/>
      <c r="H804" s="41" t="n"/>
      <c r="I804" s="42">
        <f>IF($H804="","",MAX(0,$H804-N($E804)))</f>
        <v/>
      </c>
      <c r="J804" s="42">
        <f>IF($H804="","",MAX(0,$H804-N($G804)))</f>
        <v/>
      </c>
    </row>
    <row r="805" ht="19.5" customHeight="1" s="72">
      <c r="A805" s="38" t="inlineStr">
        <is>
          <t>EM-FIN-P01-SBA</t>
        </is>
      </c>
      <c r="B805" s="38" t="inlineStr">
        <is>
          <t>Final</t>
        </is>
      </c>
      <c r="C805" s="38" t="inlineStr">
        <is>
          <t>São Bento da Abadá</t>
        </is>
      </c>
      <c r="D805" s="39">
        <f>IFERROR(CLASIF_E_M!$X$5,"")</f>
        <v/>
      </c>
      <c r="E805" s="40" t="n"/>
      <c r="F805" s="39">
        <f>IFERROR(CLASIF_E_M!$X$8,"")</f>
        <v/>
      </c>
      <c r="G805" s="40" t="n"/>
      <c r="H805" s="41" t="n"/>
      <c r="I805" s="42">
        <f>IF($H805="","",MAX(0,$H805-N($E805)))</f>
        <v/>
      </c>
      <c r="J805" s="42">
        <f>IF($H805="","",MAX(0,$H805-N($G805)))</f>
        <v/>
      </c>
    </row>
    <row r="806" ht="19.5" customHeight="1" s="72">
      <c r="A806" s="38" t="inlineStr">
        <is>
          <t>EM-FIN-P01-BEN</t>
        </is>
      </c>
      <c r="B806" s="38" t="inlineStr">
        <is>
          <t>Final</t>
        </is>
      </c>
      <c r="C806" s="38" t="inlineStr">
        <is>
          <t>Benguela</t>
        </is>
      </c>
      <c r="D806" s="39">
        <f>IFERROR(CLASIF_E_M!$X$5,"")</f>
        <v/>
      </c>
      <c r="E806" s="40" t="n"/>
      <c r="F806" s="39">
        <f>IFERROR(CLASIF_E_M!$X$8,"")</f>
        <v/>
      </c>
      <c r="G806" s="40" t="n"/>
      <c r="H806" s="41" t="n"/>
      <c r="I806" s="42">
        <f>IF($H806="","",MAX(0,$H806-N($E806)))</f>
        <v/>
      </c>
      <c r="J806" s="42">
        <f>IF($H806="","",MAX(0,$H806-N($G806)))</f>
        <v/>
      </c>
    </row>
    <row r="807" ht="19.5" customHeight="1" s="72">
      <c r="A807" s="38" t="inlineStr">
        <is>
          <t>EM-FIN-P02-SBA</t>
        </is>
      </c>
      <c r="B807" s="38" t="inlineStr">
        <is>
          <t>Final</t>
        </is>
      </c>
      <c r="C807" s="38" t="inlineStr">
        <is>
          <t>São Bento da Abadá</t>
        </is>
      </c>
      <c r="D807" s="39">
        <f>IFERROR(CLASIF_E_M!$X$6,"")</f>
        <v/>
      </c>
      <c r="E807" s="40" t="n"/>
      <c r="F807" s="39">
        <f>IFERROR(CLASIF_E_M!$X$7,"")</f>
        <v/>
      </c>
      <c r="G807" s="40" t="n"/>
      <c r="H807" s="41" t="n"/>
      <c r="I807" s="42">
        <f>IF($H807="","",MAX(0,$H807-N($E807)))</f>
        <v/>
      </c>
      <c r="J807" s="42">
        <f>IF($H807="","",MAX(0,$H807-N($G807)))</f>
        <v/>
      </c>
    </row>
    <row r="808" ht="19.5" customHeight="1" s="72">
      <c r="A808" s="38" t="inlineStr">
        <is>
          <t>EM-FIN-P02-BEN</t>
        </is>
      </c>
      <c r="B808" s="38" t="inlineStr">
        <is>
          <t>Final</t>
        </is>
      </c>
      <c r="C808" s="38" t="inlineStr">
        <is>
          <t>Benguela</t>
        </is>
      </c>
      <c r="D808" s="39">
        <f>IFERROR(CLASIF_E_M!$X$6,"")</f>
        <v/>
      </c>
      <c r="E808" s="40" t="n"/>
      <c r="F808" s="39">
        <f>IFERROR(CLASIF_E_M!$X$7,"")</f>
        <v/>
      </c>
      <c r="G808" s="40" t="n"/>
      <c r="H808" s="41" t="n"/>
      <c r="I808" s="42">
        <f>IF($H808="","",MAX(0,$H808-N($E808)))</f>
        <v/>
      </c>
      <c r="J808" s="42">
        <f>IF($H808="","",MAX(0,$H808-N($G808)))</f>
        <v/>
      </c>
    </row>
    <row r="809" ht="19.5" customHeight="1" s="72">
      <c r="A809" s="43" t="n"/>
      <c r="B809" s="43" t="n"/>
      <c r="C809" s="43" t="n"/>
      <c r="D809" s="43" t="n"/>
      <c r="E809" s="43" t="n"/>
      <c r="F809" s="43" t="n"/>
      <c r="G809" s="43" t="n"/>
      <c r="H809" s="44" t="n"/>
      <c r="I809" s="43">
        <f>IF($H809="","",MAX(0,$H809-N($E809)))</f>
        <v/>
      </c>
      <c r="J809" s="43">
        <f>IF($H809="","",MAX(0,$H809-N($G809)))</f>
        <v/>
      </c>
    </row>
    <row r="810" ht="19.5" customHeight="1" s="72">
      <c r="A810" s="84" t="inlineStr">
        <is>
          <t>═══ CATEGORÍA E · Femenino · Naranja (Alumnos) · Toques: São Bento da Abadá, Benguela ═══</t>
        </is>
      </c>
    </row>
    <row r="811" ht="19.5" customHeight="1" s="72">
      <c r="A811" s="45" t="inlineStr">
        <is>
          <t>Jogo</t>
        </is>
      </c>
      <c r="B811" s="45" t="inlineStr">
        <is>
          <t>Fase</t>
        </is>
      </c>
      <c r="C811" s="45" t="inlineStr">
        <is>
          <t>Toque</t>
        </is>
      </c>
      <c r="D811" s="45" t="inlineStr">
        <is>
          <t>Jugador A</t>
        </is>
      </c>
      <c r="E811" s="45" t="inlineStr">
        <is>
          <t>Quita A</t>
        </is>
      </c>
      <c r="F811" s="45" t="inlineStr">
        <is>
          <t>Jugador B</t>
        </is>
      </c>
      <c r="G811" s="45" t="inlineStr">
        <is>
          <t>Quita B</t>
        </is>
      </c>
      <c r="H811" s="45" t="inlineStr">
        <is>
          <t>NOTA (0-5)</t>
        </is>
      </c>
      <c r="I811" s="45">
        <f>IF($H811="","",MAX(0,$H811-N($E811)))</f>
        <v/>
      </c>
      <c r="J811" s="45">
        <f>IF($H811="","",MAX(0,$H811-N($G811)))</f>
        <v/>
      </c>
    </row>
    <row r="812" ht="19.5" customHeight="1" s="72">
      <c r="A812" s="38" t="inlineStr">
        <is>
          <t>EF-32-P01-SBA</t>
        </is>
      </c>
      <c r="B812" s="38" t="inlineStr">
        <is>
          <t>Fase 32</t>
        </is>
      </c>
      <c r="C812" s="38" t="inlineStr">
        <is>
          <t>São Bento da Abadá</t>
        </is>
      </c>
      <c r="D812" s="39" t="inlineStr">
        <is>
          <t>A_E_F_32_P1</t>
        </is>
      </c>
      <c r="E812" s="40" t="n"/>
      <c r="F812" s="39" t="inlineStr">
        <is>
          <t>B_E_F_32_P1</t>
        </is>
      </c>
      <c r="G812" s="40" t="n"/>
      <c r="H812" s="41" t="n"/>
      <c r="I812" s="42">
        <f>IF($H812="","",MAX(0,$H812-N($E812)))</f>
        <v/>
      </c>
      <c r="J812" s="42">
        <f>IF($H812="","",MAX(0,$H812-N($G812)))</f>
        <v/>
      </c>
    </row>
    <row r="813" ht="19.5" customHeight="1" s="72">
      <c r="A813" s="38" t="inlineStr">
        <is>
          <t>EF-32-P01-BEN</t>
        </is>
      </c>
      <c r="B813" s="38" t="inlineStr">
        <is>
          <t>Fase 32</t>
        </is>
      </c>
      <c r="C813" s="38" t="inlineStr">
        <is>
          <t>Benguela</t>
        </is>
      </c>
      <c r="D813" s="39" t="inlineStr">
        <is>
          <t>A_E_F_32_P1</t>
        </is>
      </c>
      <c r="E813" s="40" t="n"/>
      <c r="F813" s="39" t="inlineStr">
        <is>
          <t>B_E_F_32_P1</t>
        </is>
      </c>
      <c r="G813" s="40" t="n"/>
      <c r="H813" s="41" t="n"/>
      <c r="I813" s="42">
        <f>IF($H813="","",MAX(0,$H813-N($E813)))</f>
        <v/>
      </c>
      <c r="J813" s="42">
        <f>IF($H813="","",MAX(0,$H813-N($G813)))</f>
        <v/>
      </c>
    </row>
    <row r="814" ht="19.5" customHeight="1" s="72">
      <c r="A814" s="38" t="inlineStr">
        <is>
          <t>EF-32-P02-SBA</t>
        </is>
      </c>
      <c r="B814" s="38" t="inlineStr">
        <is>
          <t>Fase 32</t>
        </is>
      </c>
      <c r="C814" s="38" t="inlineStr">
        <is>
          <t>São Bento da Abadá</t>
        </is>
      </c>
      <c r="D814" s="39" t="inlineStr">
        <is>
          <t>A_E_F_32_P2</t>
        </is>
      </c>
      <c r="E814" s="40" t="n"/>
      <c r="F814" s="39" t="inlineStr">
        <is>
          <t>B_E_F_32_P2</t>
        </is>
      </c>
      <c r="G814" s="40" t="n"/>
      <c r="H814" s="41" t="n"/>
      <c r="I814" s="42">
        <f>IF($H814="","",MAX(0,$H814-N($E814)))</f>
        <v/>
      </c>
      <c r="J814" s="42">
        <f>IF($H814="","",MAX(0,$H814-N($G814)))</f>
        <v/>
      </c>
    </row>
    <row r="815" ht="19.5" customHeight="1" s="72">
      <c r="A815" s="38" t="inlineStr">
        <is>
          <t>EF-32-P02-BEN</t>
        </is>
      </c>
      <c r="B815" s="38" t="inlineStr">
        <is>
          <t>Fase 32</t>
        </is>
      </c>
      <c r="C815" s="38" t="inlineStr">
        <is>
          <t>Benguela</t>
        </is>
      </c>
      <c r="D815" s="39" t="inlineStr">
        <is>
          <t>A_E_F_32_P2</t>
        </is>
      </c>
      <c r="E815" s="40" t="n"/>
      <c r="F815" s="39" t="inlineStr">
        <is>
          <t>B_E_F_32_P2</t>
        </is>
      </c>
      <c r="G815" s="40" t="n"/>
      <c r="H815" s="41" t="n"/>
      <c r="I815" s="42">
        <f>IF($H815="","",MAX(0,$H815-N($E815)))</f>
        <v/>
      </c>
      <c r="J815" s="42">
        <f>IF($H815="","",MAX(0,$H815-N($G815)))</f>
        <v/>
      </c>
    </row>
    <row r="816" ht="19.5" customHeight="1" s="72">
      <c r="A816" s="38" t="inlineStr">
        <is>
          <t>EF-32-P03-SBA</t>
        </is>
      </c>
      <c r="B816" s="38" t="inlineStr">
        <is>
          <t>Fase 32</t>
        </is>
      </c>
      <c r="C816" s="38" t="inlineStr">
        <is>
          <t>São Bento da Abadá</t>
        </is>
      </c>
      <c r="D816" s="39" t="inlineStr">
        <is>
          <t>A_E_F_32_P3</t>
        </is>
      </c>
      <c r="E816" s="40" t="n"/>
      <c r="F816" s="39" t="inlineStr">
        <is>
          <t>B_E_F_32_P3</t>
        </is>
      </c>
      <c r="G816" s="40" t="n"/>
      <c r="H816" s="41" t="n"/>
      <c r="I816" s="42">
        <f>IF($H816="","",MAX(0,$H816-N($E816)))</f>
        <v/>
      </c>
      <c r="J816" s="42">
        <f>IF($H816="","",MAX(0,$H816-N($G816)))</f>
        <v/>
      </c>
    </row>
    <row r="817" ht="19.5" customHeight="1" s="72">
      <c r="A817" s="38" t="inlineStr">
        <is>
          <t>EF-32-P03-BEN</t>
        </is>
      </c>
      <c r="B817" s="38" t="inlineStr">
        <is>
          <t>Fase 32</t>
        </is>
      </c>
      <c r="C817" s="38" t="inlineStr">
        <is>
          <t>Benguela</t>
        </is>
      </c>
      <c r="D817" s="39" t="inlineStr">
        <is>
          <t>A_E_F_32_P3</t>
        </is>
      </c>
      <c r="E817" s="40" t="n"/>
      <c r="F817" s="39" t="inlineStr">
        <is>
          <t>B_E_F_32_P3</t>
        </is>
      </c>
      <c r="G817" s="40" t="n"/>
      <c r="H817" s="41" t="n"/>
      <c r="I817" s="42">
        <f>IF($H817="","",MAX(0,$H817-N($E817)))</f>
        <v/>
      </c>
      <c r="J817" s="42">
        <f>IF($H817="","",MAX(0,$H817-N($G817)))</f>
        <v/>
      </c>
    </row>
    <row r="818" ht="19.5" customHeight="1" s="72">
      <c r="A818" s="38" t="inlineStr">
        <is>
          <t>EF-32-P04-SBA</t>
        </is>
      </c>
      <c r="B818" s="38" t="inlineStr">
        <is>
          <t>Fase 32</t>
        </is>
      </c>
      <c r="C818" s="38" t="inlineStr">
        <is>
          <t>São Bento da Abadá</t>
        </is>
      </c>
      <c r="D818" s="39" t="inlineStr">
        <is>
          <t>A_E_F_32_P4</t>
        </is>
      </c>
      <c r="E818" s="40" t="n"/>
      <c r="F818" s="39" t="inlineStr">
        <is>
          <t>B_E_F_32_P4</t>
        </is>
      </c>
      <c r="G818" s="40" t="n"/>
      <c r="H818" s="41" t="n"/>
      <c r="I818" s="42">
        <f>IF($H818="","",MAX(0,$H818-N($E818)))</f>
        <v/>
      </c>
      <c r="J818" s="42">
        <f>IF($H818="","",MAX(0,$H818-N($G818)))</f>
        <v/>
      </c>
    </row>
    <row r="819" ht="19.5" customHeight="1" s="72">
      <c r="A819" s="38" t="inlineStr">
        <is>
          <t>EF-32-P04-BEN</t>
        </is>
      </c>
      <c r="B819" s="38" t="inlineStr">
        <is>
          <t>Fase 32</t>
        </is>
      </c>
      <c r="C819" s="38" t="inlineStr">
        <is>
          <t>Benguela</t>
        </is>
      </c>
      <c r="D819" s="39" t="inlineStr">
        <is>
          <t>A_E_F_32_P4</t>
        </is>
      </c>
      <c r="E819" s="40" t="n"/>
      <c r="F819" s="39" t="inlineStr">
        <is>
          <t>B_E_F_32_P4</t>
        </is>
      </c>
      <c r="G819" s="40" t="n"/>
      <c r="H819" s="41" t="n"/>
      <c r="I819" s="42">
        <f>IF($H819="","",MAX(0,$H819-N($E819)))</f>
        <v/>
      </c>
      <c r="J819" s="42">
        <f>IF($H819="","",MAX(0,$H819-N($G819)))</f>
        <v/>
      </c>
    </row>
    <row r="820" ht="19.5" customHeight="1" s="72">
      <c r="A820" s="38" t="inlineStr">
        <is>
          <t>EF-32-P05-SBA</t>
        </is>
      </c>
      <c r="B820" s="38" t="inlineStr">
        <is>
          <t>Fase 32</t>
        </is>
      </c>
      <c r="C820" s="38" t="inlineStr">
        <is>
          <t>São Bento da Abadá</t>
        </is>
      </c>
      <c r="D820" s="39" t="inlineStr">
        <is>
          <t>A_E_F_32_P5</t>
        </is>
      </c>
      <c r="E820" s="40" t="n"/>
      <c r="F820" s="39" t="inlineStr">
        <is>
          <t>B_E_F_32_P5</t>
        </is>
      </c>
      <c r="G820" s="40" t="n"/>
      <c r="H820" s="41" t="n"/>
      <c r="I820" s="42">
        <f>IF($H820="","",MAX(0,$H820-N($E820)))</f>
        <v/>
      </c>
      <c r="J820" s="42">
        <f>IF($H820="","",MAX(0,$H820-N($G820)))</f>
        <v/>
      </c>
    </row>
    <row r="821" ht="19.5" customHeight="1" s="72">
      <c r="A821" s="38" t="inlineStr">
        <is>
          <t>EF-32-P05-BEN</t>
        </is>
      </c>
      <c r="B821" s="38" t="inlineStr">
        <is>
          <t>Fase 32</t>
        </is>
      </c>
      <c r="C821" s="38" t="inlineStr">
        <is>
          <t>Benguela</t>
        </is>
      </c>
      <c r="D821" s="39" t="inlineStr">
        <is>
          <t>A_E_F_32_P5</t>
        </is>
      </c>
      <c r="E821" s="40" t="n"/>
      <c r="F821" s="39" t="inlineStr">
        <is>
          <t>B_E_F_32_P5</t>
        </is>
      </c>
      <c r="G821" s="40" t="n"/>
      <c r="H821" s="41" t="n"/>
      <c r="I821" s="42">
        <f>IF($H821="","",MAX(0,$H821-N($E821)))</f>
        <v/>
      </c>
      <c r="J821" s="42">
        <f>IF($H821="","",MAX(0,$H821-N($G821)))</f>
        <v/>
      </c>
    </row>
    <row r="822" ht="19.5" customHeight="1" s="72">
      <c r="A822" s="38" t="inlineStr">
        <is>
          <t>EF-32-P06-SBA</t>
        </is>
      </c>
      <c r="B822" s="38" t="inlineStr">
        <is>
          <t>Fase 32</t>
        </is>
      </c>
      <c r="C822" s="38" t="inlineStr">
        <is>
          <t>São Bento da Abadá</t>
        </is>
      </c>
      <c r="D822" s="39" t="inlineStr">
        <is>
          <t>A_E_F_32_P6</t>
        </is>
      </c>
      <c r="E822" s="40" t="n"/>
      <c r="F822" s="39" t="inlineStr">
        <is>
          <t>B_E_F_32_P6</t>
        </is>
      </c>
      <c r="G822" s="40" t="n"/>
      <c r="H822" s="41" t="n"/>
      <c r="I822" s="42">
        <f>IF($H822="","",MAX(0,$H822-N($E822)))</f>
        <v/>
      </c>
      <c r="J822" s="42">
        <f>IF($H822="","",MAX(0,$H822-N($G822)))</f>
        <v/>
      </c>
    </row>
    <row r="823" ht="19.5" customHeight="1" s="72">
      <c r="A823" s="38" t="inlineStr">
        <is>
          <t>EF-32-P06-BEN</t>
        </is>
      </c>
      <c r="B823" s="38" t="inlineStr">
        <is>
          <t>Fase 32</t>
        </is>
      </c>
      <c r="C823" s="38" t="inlineStr">
        <is>
          <t>Benguela</t>
        </is>
      </c>
      <c r="D823" s="39" t="inlineStr">
        <is>
          <t>A_E_F_32_P6</t>
        </is>
      </c>
      <c r="E823" s="40" t="n"/>
      <c r="F823" s="39" t="inlineStr">
        <is>
          <t>B_E_F_32_P6</t>
        </is>
      </c>
      <c r="G823" s="40" t="n"/>
      <c r="H823" s="41" t="n"/>
      <c r="I823" s="42">
        <f>IF($H823="","",MAX(0,$H823-N($E823)))</f>
        <v/>
      </c>
      <c r="J823" s="42">
        <f>IF($H823="","",MAX(0,$H823-N($G823)))</f>
        <v/>
      </c>
    </row>
    <row r="824" ht="19.5" customHeight="1" s="72">
      <c r="A824" s="38" t="inlineStr">
        <is>
          <t>EF-32-P07-SBA</t>
        </is>
      </c>
      <c r="B824" s="38" t="inlineStr">
        <is>
          <t>Fase 32</t>
        </is>
      </c>
      <c r="C824" s="38" t="inlineStr">
        <is>
          <t>São Bento da Abadá</t>
        </is>
      </c>
      <c r="D824" s="39" t="inlineStr">
        <is>
          <t>A_E_F_32_P7</t>
        </is>
      </c>
      <c r="E824" s="40" t="n"/>
      <c r="F824" s="39" t="inlineStr">
        <is>
          <t>B_E_F_32_P7</t>
        </is>
      </c>
      <c r="G824" s="40" t="n"/>
      <c r="H824" s="41" t="n"/>
      <c r="I824" s="42">
        <f>IF($H824="","",MAX(0,$H824-N($E824)))</f>
        <v/>
      </c>
      <c r="J824" s="42">
        <f>IF($H824="","",MAX(0,$H824-N($G824)))</f>
        <v/>
      </c>
    </row>
    <row r="825" ht="19.5" customHeight="1" s="72">
      <c r="A825" s="38" t="inlineStr">
        <is>
          <t>EF-32-P07-BEN</t>
        </is>
      </c>
      <c r="B825" s="38" t="inlineStr">
        <is>
          <t>Fase 32</t>
        </is>
      </c>
      <c r="C825" s="38" t="inlineStr">
        <is>
          <t>Benguela</t>
        </is>
      </c>
      <c r="D825" s="39" t="inlineStr">
        <is>
          <t>A_E_F_32_P7</t>
        </is>
      </c>
      <c r="E825" s="40" t="n"/>
      <c r="F825" s="39" t="inlineStr">
        <is>
          <t>B_E_F_32_P7</t>
        </is>
      </c>
      <c r="G825" s="40" t="n"/>
      <c r="H825" s="41" t="n"/>
      <c r="I825" s="42">
        <f>IF($H825="","",MAX(0,$H825-N($E825)))</f>
        <v/>
      </c>
      <c r="J825" s="42">
        <f>IF($H825="","",MAX(0,$H825-N($G825)))</f>
        <v/>
      </c>
    </row>
    <row r="826" ht="19.5" customHeight="1" s="72">
      <c r="A826" s="38" t="inlineStr">
        <is>
          <t>EF-32-P08-SBA</t>
        </is>
      </c>
      <c r="B826" s="38" t="inlineStr">
        <is>
          <t>Fase 32</t>
        </is>
      </c>
      <c r="C826" s="38" t="inlineStr">
        <is>
          <t>São Bento da Abadá</t>
        </is>
      </c>
      <c r="D826" s="39" t="inlineStr">
        <is>
          <t>A_E_F_32_P8</t>
        </is>
      </c>
      <c r="E826" s="40" t="n"/>
      <c r="F826" s="39" t="inlineStr">
        <is>
          <t>B_E_F_32_P8</t>
        </is>
      </c>
      <c r="G826" s="40" t="n"/>
      <c r="H826" s="41" t="n"/>
      <c r="I826" s="42">
        <f>IF($H826="","",MAX(0,$H826-N($E826)))</f>
        <v/>
      </c>
      <c r="J826" s="42">
        <f>IF($H826="","",MAX(0,$H826-N($G826)))</f>
        <v/>
      </c>
    </row>
    <row r="827" ht="19.5" customHeight="1" s="72">
      <c r="A827" s="38" t="inlineStr">
        <is>
          <t>EF-32-P08-BEN</t>
        </is>
      </c>
      <c r="B827" s="38" t="inlineStr">
        <is>
          <t>Fase 32</t>
        </is>
      </c>
      <c r="C827" s="38" t="inlineStr">
        <is>
          <t>Benguela</t>
        </is>
      </c>
      <c r="D827" s="39" t="inlineStr">
        <is>
          <t>A_E_F_32_P8</t>
        </is>
      </c>
      <c r="E827" s="40" t="n"/>
      <c r="F827" s="39" t="inlineStr">
        <is>
          <t>B_E_F_32_P8</t>
        </is>
      </c>
      <c r="G827" s="40" t="n"/>
      <c r="H827" s="41" t="n"/>
      <c r="I827" s="42">
        <f>IF($H827="","",MAX(0,$H827-N($E827)))</f>
        <v/>
      </c>
      <c r="J827" s="42">
        <f>IF($H827="","",MAX(0,$H827-N($G827)))</f>
        <v/>
      </c>
    </row>
    <row r="828" ht="19.5" customHeight="1" s="72">
      <c r="A828" s="38" t="inlineStr">
        <is>
          <t>EF-32-P09-SBA</t>
        </is>
      </c>
      <c r="B828" s="38" t="inlineStr">
        <is>
          <t>Fase 32</t>
        </is>
      </c>
      <c r="C828" s="38" t="inlineStr">
        <is>
          <t>São Bento da Abadá</t>
        </is>
      </c>
      <c r="D828" s="39" t="inlineStr">
        <is>
          <t>A_E_F_32_P9</t>
        </is>
      </c>
      <c r="E828" s="40" t="n"/>
      <c r="F828" s="39" t="inlineStr">
        <is>
          <t>B_E_F_32_P9</t>
        </is>
      </c>
      <c r="G828" s="40" t="n"/>
      <c r="H828" s="41" t="n"/>
      <c r="I828" s="42">
        <f>IF($H828="","",MAX(0,$H828-N($E828)))</f>
        <v/>
      </c>
      <c r="J828" s="42">
        <f>IF($H828="","",MAX(0,$H828-N($G828)))</f>
        <v/>
      </c>
    </row>
    <row r="829" ht="19.5" customHeight="1" s="72">
      <c r="A829" s="38" t="inlineStr">
        <is>
          <t>EF-32-P09-BEN</t>
        </is>
      </c>
      <c r="B829" s="38" t="inlineStr">
        <is>
          <t>Fase 32</t>
        </is>
      </c>
      <c r="C829" s="38" t="inlineStr">
        <is>
          <t>Benguela</t>
        </is>
      </c>
      <c r="D829" s="39" t="inlineStr">
        <is>
          <t>A_E_F_32_P9</t>
        </is>
      </c>
      <c r="E829" s="40" t="n"/>
      <c r="F829" s="39" t="inlineStr">
        <is>
          <t>B_E_F_32_P9</t>
        </is>
      </c>
      <c r="G829" s="40" t="n"/>
      <c r="H829" s="41" t="n"/>
      <c r="I829" s="42">
        <f>IF($H829="","",MAX(0,$H829-N($E829)))</f>
        <v/>
      </c>
      <c r="J829" s="42">
        <f>IF($H829="","",MAX(0,$H829-N($G829)))</f>
        <v/>
      </c>
    </row>
    <row r="830" ht="19.5" customHeight="1" s="72">
      <c r="A830" s="38" t="inlineStr">
        <is>
          <t>EF-32-P10-SBA</t>
        </is>
      </c>
      <c r="B830" s="38" t="inlineStr">
        <is>
          <t>Fase 32</t>
        </is>
      </c>
      <c r="C830" s="38" t="inlineStr">
        <is>
          <t>São Bento da Abadá</t>
        </is>
      </c>
      <c r="D830" s="39" t="inlineStr">
        <is>
          <t>A_E_F_32_P10</t>
        </is>
      </c>
      <c r="E830" s="40" t="n"/>
      <c r="F830" s="39" t="inlineStr">
        <is>
          <t>B_E_F_32_P10</t>
        </is>
      </c>
      <c r="G830" s="40" t="n"/>
      <c r="H830" s="41" t="n"/>
      <c r="I830" s="42">
        <f>IF($H830="","",MAX(0,$H830-N($E830)))</f>
        <v/>
      </c>
      <c r="J830" s="42">
        <f>IF($H830="","",MAX(0,$H830-N($G830)))</f>
        <v/>
      </c>
    </row>
    <row r="831" ht="19.5" customHeight="1" s="72">
      <c r="A831" s="38" t="inlineStr">
        <is>
          <t>EF-32-P10-BEN</t>
        </is>
      </c>
      <c r="B831" s="38" t="inlineStr">
        <is>
          <t>Fase 32</t>
        </is>
      </c>
      <c r="C831" s="38" t="inlineStr">
        <is>
          <t>Benguela</t>
        </is>
      </c>
      <c r="D831" s="39" t="inlineStr">
        <is>
          <t>A_E_F_32_P10</t>
        </is>
      </c>
      <c r="E831" s="40" t="n"/>
      <c r="F831" s="39" t="inlineStr">
        <is>
          <t>B_E_F_32_P10</t>
        </is>
      </c>
      <c r="G831" s="40" t="n"/>
      <c r="H831" s="41" t="n"/>
      <c r="I831" s="42">
        <f>IF($H831="","",MAX(0,$H831-N($E831)))</f>
        <v/>
      </c>
      <c r="J831" s="42">
        <f>IF($H831="","",MAX(0,$H831-N($G831)))</f>
        <v/>
      </c>
    </row>
    <row r="832" ht="19.5" customHeight="1" s="72">
      <c r="A832" s="38" t="inlineStr">
        <is>
          <t>EF-32-P11-SBA</t>
        </is>
      </c>
      <c r="B832" s="38" t="inlineStr">
        <is>
          <t>Fase 32</t>
        </is>
      </c>
      <c r="C832" s="38" t="inlineStr">
        <is>
          <t>São Bento da Abadá</t>
        </is>
      </c>
      <c r="D832" s="39" t="inlineStr">
        <is>
          <t>A_E_F_32_P11</t>
        </is>
      </c>
      <c r="E832" s="40" t="n"/>
      <c r="F832" s="39" t="inlineStr">
        <is>
          <t>B_E_F_32_P11</t>
        </is>
      </c>
      <c r="G832" s="40" t="n"/>
      <c r="H832" s="41" t="n"/>
      <c r="I832" s="42">
        <f>IF($H832="","",MAX(0,$H832-N($E832)))</f>
        <v/>
      </c>
      <c r="J832" s="42">
        <f>IF($H832="","",MAX(0,$H832-N($G832)))</f>
        <v/>
      </c>
    </row>
    <row r="833" ht="19.5" customHeight="1" s="72">
      <c r="A833" s="38" t="inlineStr">
        <is>
          <t>EF-32-P11-BEN</t>
        </is>
      </c>
      <c r="B833" s="38" t="inlineStr">
        <is>
          <t>Fase 32</t>
        </is>
      </c>
      <c r="C833" s="38" t="inlineStr">
        <is>
          <t>Benguela</t>
        </is>
      </c>
      <c r="D833" s="39" t="inlineStr">
        <is>
          <t>A_E_F_32_P11</t>
        </is>
      </c>
      <c r="E833" s="40" t="n"/>
      <c r="F833" s="39" t="inlineStr">
        <is>
          <t>B_E_F_32_P11</t>
        </is>
      </c>
      <c r="G833" s="40" t="n"/>
      <c r="H833" s="41" t="n"/>
      <c r="I833" s="42">
        <f>IF($H833="","",MAX(0,$H833-N($E833)))</f>
        <v/>
      </c>
      <c r="J833" s="42">
        <f>IF($H833="","",MAX(0,$H833-N($G833)))</f>
        <v/>
      </c>
    </row>
    <row r="834" ht="19.5" customHeight="1" s="72">
      <c r="A834" s="38" t="inlineStr">
        <is>
          <t>EF-32-P12-SBA</t>
        </is>
      </c>
      <c r="B834" s="38" t="inlineStr">
        <is>
          <t>Fase 32</t>
        </is>
      </c>
      <c r="C834" s="38" t="inlineStr">
        <is>
          <t>São Bento da Abadá</t>
        </is>
      </c>
      <c r="D834" s="39" t="inlineStr">
        <is>
          <t>A_E_F_32_P12</t>
        </is>
      </c>
      <c r="E834" s="40" t="n"/>
      <c r="F834" s="39" t="inlineStr">
        <is>
          <t>B_E_F_32_P12</t>
        </is>
      </c>
      <c r="G834" s="40" t="n"/>
      <c r="H834" s="41" t="n"/>
      <c r="I834" s="42">
        <f>IF($H834="","",MAX(0,$H834-N($E834)))</f>
        <v/>
      </c>
      <c r="J834" s="42">
        <f>IF($H834="","",MAX(0,$H834-N($G834)))</f>
        <v/>
      </c>
    </row>
    <row r="835" ht="19.5" customHeight="1" s="72">
      <c r="A835" s="38" t="inlineStr">
        <is>
          <t>EF-32-P12-BEN</t>
        </is>
      </c>
      <c r="B835" s="38" t="inlineStr">
        <is>
          <t>Fase 32</t>
        </is>
      </c>
      <c r="C835" s="38" t="inlineStr">
        <is>
          <t>Benguela</t>
        </is>
      </c>
      <c r="D835" s="39" t="inlineStr">
        <is>
          <t>A_E_F_32_P12</t>
        </is>
      </c>
      <c r="E835" s="40" t="n"/>
      <c r="F835" s="39" t="inlineStr">
        <is>
          <t>B_E_F_32_P12</t>
        </is>
      </c>
      <c r="G835" s="40" t="n"/>
      <c r="H835" s="41" t="n"/>
      <c r="I835" s="42">
        <f>IF($H835="","",MAX(0,$H835-N($E835)))</f>
        <v/>
      </c>
      <c r="J835" s="42">
        <f>IF($H835="","",MAX(0,$H835-N($G835)))</f>
        <v/>
      </c>
    </row>
    <row r="836" ht="19.5" customHeight="1" s="72">
      <c r="A836" s="38" t="inlineStr">
        <is>
          <t>EF-32-P13-SBA</t>
        </is>
      </c>
      <c r="B836" s="38" t="inlineStr">
        <is>
          <t>Fase 32</t>
        </is>
      </c>
      <c r="C836" s="38" t="inlineStr">
        <is>
          <t>São Bento da Abadá</t>
        </is>
      </c>
      <c r="D836" s="39" t="inlineStr">
        <is>
          <t>A_E_F_32_P13</t>
        </is>
      </c>
      <c r="E836" s="40" t="n"/>
      <c r="F836" s="39" t="inlineStr">
        <is>
          <t>B_E_F_32_P13</t>
        </is>
      </c>
      <c r="G836" s="40" t="n"/>
      <c r="H836" s="41" t="n"/>
      <c r="I836" s="42">
        <f>IF($H836="","",MAX(0,$H836-N($E836)))</f>
        <v/>
      </c>
      <c r="J836" s="42">
        <f>IF($H836="","",MAX(0,$H836-N($G836)))</f>
        <v/>
      </c>
    </row>
    <row r="837" ht="19.5" customHeight="1" s="72">
      <c r="A837" s="38" t="inlineStr">
        <is>
          <t>EF-32-P13-BEN</t>
        </is>
      </c>
      <c r="B837" s="38" t="inlineStr">
        <is>
          <t>Fase 32</t>
        </is>
      </c>
      <c r="C837" s="38" t="inlineStr">
        <is>
          <t>Benguela</t>
        </is>
      </c>
      <c r="D837" s="39" t="inlineStr">
        <is>
          <t>A_E_F_32_P13</t>
        </is>
      </c>
      <c r="E837" s="40" t="n"/>
      <c r="F837" s="39" t="inlineStr">
        <is>
          <t>B_E_F_32_P13</t>
        </is>
      </c>
      <c r="G837" s="40" t="n"/>
      <c r="H837" s="41" t="n"/>
      <c r="I837" s="42">
        <f>IF($H837="","",MAX(0,$H837-N($E837)))</f>
        <v/>
      </c>
      <c r="J837" s="42">
        <f>IF($H837="","",MAX(0,$H837-N($G837)))</f>
        <v/>
      </c>
    </row>
    <row r="838" ht="19.5" customHeight="1" s="72">
      <c r="A838" s="38" t="inlineStr">
        <is>
          <t>EF-32-P14-SBA</t>
        </is>
      </c>
      <c r="B838" s="38" t="inlineStr">
        <is>
          <t>Fase 32</t>
        </is>
      </c>
      <c r="C838" s="38" t="inlineStr">
        <is>
          <t>São Bento da Abadá</t>
        </is>
      </c>
      <c r="D838" s="39" t="inlineStr">
        <is>
          <t>A_E_F_32_P14</t>
        </is>
      </c>
      <c r="E838" s="40" t="n"/>
      <c r="F838" s="39" t="inlineStr">
        <is>
          <t>B_E_F_32_P14</t>
        </is>
      </c>
      <c r="G838" s="40" t="n"/>
      <c r="H838" s="41" t="n"/>
      <c r="I838" s="42">
        <f>IF($H838="","",MAX(0,$H838-N($E838)))</f>
        <v/>
      </c>
      <c r="J838" s="42">
        <f>IF($H838="","",MAX(0,$H838-N($G838)))</f>
        <v/>
      </c>
    </row>
    <row r="839" ht="19.5" customHeight="1" s="72">
      <c r="A839" s="38" t="inlineStr">
        <is>
          <t>EF-32-P14-BEN</t>
        </is>
      </c>
      <c r="B839" s="38" t="inlineStr">
        <is>
          <t>Fase 32</t>
        </is>
      </c>
      <c r="C839" s="38" t="inlineStr">
        <is>
          <t>Benguela</t>
        </is>
      </c>
      <c r="D839" s="39" t="inlineStr">
        <is>
          <t>A_E_F_32_P14</t>
        </is>
      </c>
      <c r="E839" s="40" t="n"/>
      <c r="F839" s="39" t="inlineStr">
        <is>
          <t>B_E_F_32_P14</t>
        </is>
      </c>
      <c r="G839" s="40" t="n"/>
      <c r="H839" s="41" t="n"/>
      <c r="I839" s="42">
        <f>IF($H839="","",MAX(0,$H839-N($E839)))</f>
        <v/>
      </c>
      <c r="J839" s="42">
        <f>IF($H839="","",MAX(0,$H839-N($G839)))</f>
        <v/>
      </c>
    </row>
    <row r="840" ht="19.5" customHeight="1" s="72">
      <c r="A840" s="38" t="inlineStr">
        <is>
          <t>EF-32-P15-SBA</t>
        </is>
      </c>
      <c r="B840" s="38" t="inlineStr">
        <is>
          <t>Fase 32</t>
        </is>
      </c>
      <c r="C840" s="38" t="inlineStr">
        <is>
          <t>São Bento da Abadá</t>
        </is>
      </c>
      <c r="D840" s="39" t="inlineStr">
        <is>
          <t>A_E_F_32_P15</t>
        </is>
      </c>
      <c r="E840" s="40" t="n"/>
      <c r="F840" s="39" t="inlineStr">
        <is>
          <t>B_E_F_32_P15</t>
        </is>
      </c>
      <c r="G840" s="40" t="n"/>
      <c r="H840" s="41" t="n"/>
      <c r="I840" s="42">
        <f>IF($H840="","",MAX(0,$H840-N($E840)))</f>
        <v/>
      </c>
      <c r="J840" s="42">
        <f>IF($H840="","",MAX(0,$H840-N($G840)))</f>
        <v/>
      </c>
    </row>
    <row r="841" ht="19.5" customHeight="1" s="72">
      <c r="A841" s="38" t="inlineStr">
        <is>
          <t>EF-32-P15-BEN</t>
        </is>
      </c>
      <c r="B841" s="38" t="inlineStr">
        <is>
          <t>Fase 32</t>
        </is>
      </c>
      <c r="C841" s="38" t="inlineStr">
        <is>
          <t>Benguela</t>
        </is>
      </c>
      <c r="D841" s="39" t="inlineStr">
        <is>
          <t>A_E_F_32_P15</t>
        </is>
      </c>
      <c r="E841" s="40" t="n"/>
      <c r="F841" s="39" t="inlineStr">
        <is>
          <t>B_E_F_32_P15</t>
        </is>
      </c>
      <c r="G841" s="40" t="n"/>
      <c r="H841" s="41" t="n"/>
      <c r="I841" s="42">
        <f>IF($H841="","",MAX(0,$H841-N($E841)))</f>
        <v/>
      </c>
      <c r="J841" s="42">
        <f>IF($H841="","",MAX(0,$H841-N($G841)))</f>
        <v/>
      </c>
    </row>
    <row r="842" ht="19.5" customHeight="1" s="72">
      <c r="A842" s="38" t="inlineStr">
        <is>
          <t>EF-32-P16-SBA</t>
        </is>
      </c>
      <c r="B842" s="38" t="inlineStr">
        <is>
          <t>Fase 32</t>
        </is>
      </c>
      <c r="C842" s="38" t="inlineStr">
        <is>
          <t>São Bento da Abadá</t>
        </is>
      </c>
      <c r="D842" s="39" t="inlineStr">
        <is>
          <t>A_E_F_32_P16</t>
        </is>
      </c>
      <c r="E842" s="40" t="n"/>
      <c r="F842" s="39" t="inlineStr">
        <is>
          <t>B_E_F_32_P16</t>
        </is>
      </c>
      <c r="G842" s="40" t="n"/>
      <c r="H842" s="41" t="n"/>
      <c r="I842" s="42">
        <f>IF($H842="","",MAX(0,$H842-N($E842)))</f>
        <v/>
      </c>
      <c r="J842" s="42">
        <f>IF($H842="","",MAX(0,$H842-N($G842)))</f>
        <v/>
      </c>
    </row>
    <row r="843" ht="19.5" customHeight="1" s="72">
      <c r="A843" s="38" t="inlineStr">
        <is>
          <t>EF-32-P16-BEN</t>
        </is>
      </c>
      <c r="B843" s="38" t="inlineStr">
        <is>
          <t>Fase 32</t>
        </is>
      </c>
      <c r="C843" s="38" t="inlineStr">
        <is>
          <t>Benguela</t>
        </is>
      </c>
      <c r="D843" s="39" t="inlineStr">
        <is>
          <t>A_E_F_32_P16</t>
        </is>
      </c>
      <c r="E843" s="40" t="n"/>
      <c r="F843" s="39" t="inlineStr">
        <is>
          <t>B_E_F_32_P16</t>
        </is>
      </c>
      <c r="G843" s="40" t="n"/>
      <c r="H843" s="41" t="n"/>
      <c r="I843" s="42">
        <f>IF($H843="","",MAX(0,$H843-N($E843)))</f>
        <v/>
      </c>
      <c r="J843" s="42">
        <f>IF($H843="","",MAX(0,$H843-N($G843)))</f>
        <v/>
      </c>
    </row>
    <row r="844" ht="19.5" customHeight="1" s="72">
      <c r="A844" s="38" t="inlineStr">
        <is>
          <t>EF-OCT-P01-SBA</t>
        </is>
      </c>
      <c r="B844" s="38" t="inlineStr">
        <is>
          <t>Octavas</t>
        </is>
      </c>
      <c r="C844" s="38" t="inlineStr">
        <is>
          <t>São Bento da Abadá</t>
        </is>
      </c>
      <c r="D844" s="39">
        <f>IFERROR(CLASIF_E_F!$F$5,"")</f>
        <v/>
      </c>
      <c r="E844" s="40" t="n"/>
      <c r="F844" s="39">
        <f>IFERROR(CLASIF_E_F!$F$20,"")</f>
        <v/>
      </c>
      <c r="G844" s="40" t="n"/>
      <c r="H844" s="41" t="n"/>
      <c r="I844" s="42">
        <f>IF($H844="","",MAX(0,$H844-N($E844)))</f>
        <v/>
      </c>
      <c r="J844" s="42">
        <f>IF($H844="","",MAX(0,$H844-N($G844)))</f>
        <v/>
      </c>
    </row>
    <row r="845" ht="19.5" customHeight="1" s="72">
      <c r="A845" s="38" t="inlineStr">
        <is>
          <t>EF-OCT-P01-BEN</t>
        </is>
      </c>
      <c r="B845" s="38" t="inlineStr">
        <is>
          <t>Octavas</t>
        </is>
      </c>
      <c r="C845" s="38" t="inlineStr">
        <is>
          <t>Benguela</t>
        </is>
      </c>
      <c r="D845" s="39">
        <f>IFERROR(CLASIF_E_F!$F$5,"")</f>
        <v/>
      </c>
      <c r="E845" s="40" t="n"/>
      <c r="F845" s="39">
        <f>IFERROR(CLASIF_E_F!$F$20,"")</f>
        <v/>
      </c>
      <c r="G845" s="40" t="n"/>
      <c r="H845" s="41" t="n"/>
      <c r="I845" s="42">
        <f>IF($H845="","",MAX(0,$H845-N($E845)))</f>
        <v/>
      </c>
      <c r="J845" s="42">
        <f>IF($H845="","",MAX(0,$H845-N($G845)))</f>
        <v/>
      </c>
    </row>
    <row r="846" ht="19.5" customHeight="1" s="72">
      <c r="A846" s="38" t="inlineStr">
        <is>
          <t>EF-OCT-P02-SBA</t>
        </is>
      </c>
      <c r="B846" s="38" t="inlineStr">
        <is>
          <t>Octavas</t>
        </is>
      </c>
      <c r="C846" s="38" t="inlineStr">
        <is>
          <t>São Bento da Abadá</t>
        </is>
      </c>
      <c r="D846" s="39">
        <f>IFERROR(CLASIF_E_F!$F$6,"")</f>
        <v/>
      </c>
      <c r="E846" s="40" t="n"/>
      <c r="F846" s="39">
        <f>IFERROR(CLASIF_E_F!$F$19,"")</f>
        <v/>
      </c>
      <c r="G846" s="40" t="n"/>
      <c r="H846" s="41" t="n"/>
      <c r="I846" s="42">
        <f>IF($H846="","",MAX(0,$H846-N($E846)))</f>
        <v/>
      </c>
      <c r="J846" s="42">
        <f>IF($H846="","",MAX(0,$H846-N($G846)))</f>
        <v/>
      </c>
    </row>
    <row r="847" ht="19.5" customHeight="1" s="72">
      <c r="A847" s="38" t="inlineStr">
        <is>
          <t>EF-OCT-P02-BEN</t>
        </is>
      </c>
      <c r="B847" s="38" t="inlineStr">
        <is>
          <t>Octavas</t>
        </is>
      </c>
      <c r="C847" s="38" t="inlineStr">
        <is>
          <t>Benguela</t>
        </is>
      </c>
      <c r="D847" s="39">
        <f>IFERROR(CLASIF_E_F!$F$6,"")</f>
        <v/>
      </c>
      <c r="E847" s="40" t="n"/>
      <c r="F847" s="39">
        <f>IFERROR(CLASIF_E_F!$F$19,"")</f>
        <v/>
      </c>
      <c r="G847" s="40" t="n"/>
      <c r="H847" s="41" t="n"/>
      <c r="I847" s="42">
        <f>IF($H847="","",MAX(0,$H847-N($E847)))</f>
        <v/>
      </c>
      <c r="J847" s="42">
        <f>IF($H847="","",MAX(0,$H847-N($G847)))</f>
        <v/>
      </c>
    </row>
    <row r="848" ht="19.5" customHeight="1" s="72">
      <c r="A848" s="38" t="inlineStr">
        <is>
          <t>EF-OCT-P03-SBA</t>
        </is>
      </c>
      <c r="B848" s="38" t="inlineStr">
        <is>
          <t>Octavas</t>
        </is>
      </c>
      <c r="C848" s="38" t="inlineStr">
        <is>
          <t>São Bento da Abadá</t>
        </is>
      </c>
      <c r="D848" s="39">
        <f>IFERROR(CLASIF_E_F!$F$7,"")</f>
        <v/>
      </c>
      <c r="E848" s="40" t="n"/>
      <c r="F848" s="39">
        <f>IFERROR(CLASIF_E_F!$F$18,"")</f>
        <v/>
      </c>
      <c r="G848" s="40" t="n"/>
      <c r="H848" s="41" t="n"/>
      <c r="I848" s="42">
        <f>IF($H848="","",MAX(0,$H848-N($E848)))</f>
        <v/>
      </c>
      <c r="J848" s="42">
        <f>IF($H848="","",MAX(0,$H848-N($G848)))</f>
        <v/>
      </c>
    </row>
    <row r="849" ht="19.5" customHeight="1" s="72">
      <c r="A849" s="38" t="inlineStr">
        <is>
          <t>EF-OCT-P03-BEN</t>
        </is>
      </c>
      <c r="B849" s="38" t="inlineStr">
        <is>
          <t>Octavas</t>
        </is>
      </c>
      <c r="C849" s="38" t="inlineStr">
        <is>
          <t>Benguela</t>
        </is>
      </c>
      <c r="D849" s="39">
        <f>IFERROR(CLASIF_E_F!$F$7,"")</f>
        <v/>
      </c>
      <c r="E849" s="40" t="n"/>
      <c r="F849" s="39">
        <f>IFERROR(CLASIF_E_F!$F$18,"")</f>
        <v/>
      </c>
      <c r="G849" s="40" t="n"/>
      <c r="H849" s="41" t="n"/>
      <c r="I849" s="42">
        <f>IF($H849="","",MAX(0,$H849-N($E849)))</f>
        <v/>
      </c>
      <c r="J849" s="42">
        <f>IF($H849="","",MAX(0,$H849-N($G849)))</f>
        <v/>
      </c>
    </row>
    <row r="850" ht="19.5" customHeight="1" s="72">
      <c r="A850" s="38" t="inlineStr">
        <is>
          <t>EF-OCT-P04-SBA</t>
        </is>
      </c>
      <c r="B850" s="38" t="inlineStr">
        <is>
          <t>Octavas</t>
        </is>
      </c>
      <c r="C850" s="38" t="inlineStr">
        <is>
          <t>São Bento da Abadá</t>
        </is>
      </c>
      <c r="D850" s="39">
        <f>IFERROR(CLASIF_E_F!$F$8,"")</f>
        <v/>
      </c>
      <c r="E850" s="40" t="n"/>
      <c r="F850" s="39">
        <f>IFERROR(CLASIF_E_F!$F$17,"")</f>
        <v/>
      </c>
      <c r="G850" s="40" t="n"/>
      <c r="H850" s="41" t="n"/>
      <c r="I850" s="42">
        <f>IF($H850="","",MAX(0,$H850-N($E850)))</f>
        <v/>
      </c>
      <c r="J850" s="42">
        <f>IF($H850="","",MAX(0,$H850-N($G850)))</f>
        <v/>
      </c>
    </row>
    <row r="851" ht="19.5" customHeight="1" s="72">
      <c r="A851" s="38" t="inlineStr">
        <is>
          <t>EF-OCT-P04-BEN</t>
        </is>
      </c>
      <c r="B851" s="38" t="inlineStr">
        <is>
          <t>Octavas</t>
        </is>
      </c>
      <c r="C851" s="38" t="inlineStr">
        <is>
          <t>Benguela</t>
        </is>
      </c>
      <c r="D851" s="39">
        <f>IFERROR(CLASIF_E_F!$F$8,"")</f>
        <v/>
      </c>
      <c r="E851" s="40" t="n"/>
      <c r="F851" s="39">
        <f>IFERROR(CLASIF_E_F!$F$17,"")</f>
        <v/>
      </c>
      <c r="G851" s="40" t="n"/>
      <c r="H851" s="41" t="n"/>
      <c r="I851" s="42">
        <f>IF($H851="","",MAX(0,$H851-N($E851)))</f>
        <v/>
      </c>
      <c r="J851" s="42">
        <f>IF($H851="","",MAX(0,$H851-N($G851)))</f>
        <v/>
      </c>
    </row>
    <row r="852" ht="19.5" customHeight="1" s="72">
      <c r="A852" s="38" t="inlineStr">
        <is>
          <t>EF-OCT-P05-SBA</t>
        </is>
      </c>
      <c r="B852" s="38" t="inlineStr">
        <is>
          <t>Octavas</t>
        </is>
      </c>
      <c r="C852" s="38" t="inlineStr">
        <is>
          <t>São Bento da Abadá</t>
        </is>
      </c>
      <c r="D852" s="39">
        <f>IFERROR(CLASIF_E_F!$F$9,"")</f>
        <v/>
      </c>
      <c r="E852" s="40" t="n"/>
      <c r="F852" s="39">
        <f>IFERROR(CLASIF_E_F!$F$16,"")</f>
        <v/>
      </c>
      <c r="G852" s="40" t="n"/>
      <c r="H852" s="41" t="n"/>
      <c r="I852" s="42">
        <f>IF($H852="","",MAX(0,$H852-N($E852)))</f>
        <v/>
      </c>
      <c r="J852" s="42">
        <f>IF($H852="","",MAX(0,$H852-N($G852)))</f>
        <v/>
      </c>
    </row>
    <row r="853" ht="19.5" customHeight="1" s="72">
      <c r="A853" s="38" t="inlineStr">
        <is>
          <t>EF-OCT-P05-BEN</t>
        </is>
      </c>
      <c r="B853" s="38" t="inlineStr">
        <is>
          <t>Octavas</t>
        </is>
      </c>
      <c r="C853" s="38" t="inlineStr">
        <is>
          <t>Benguela</t>
        </is>
      </c>
      <c r="D853" s="39">
        <f>IFERROR(CLASIF_E_F!$F$9,"")</f>
        <v/>
      </c>
      <c r="E853" s="40" t="n"/>
      <c r="F853" s="39">
        <f>IFERROR(CLASIF_E_F!$F$16,"")</f>
        <v/>
      </c>
      <c r="G853" s="40" t="n"/>
      <c r="H853" s="41" t="n"/>
      <c r="I853" s="42">
        <f>IF($H853="","",MAX(0,$H853-N($E853)))</f>
        <v/>
      </c>
      <c r="J853" s="42">
        <f>IF($H853="","",MAX(0,$H853-N($G853)))</f>
        <v/>
      </c>
    </row>
    <row r="854" ht="19.5" customHeight="1" s="72">
      <c r="A854" s="38" t="inlineStr">
        <is>
          <t>EF-OCT-P06-SBA</t>
        </is>
      </c>
      <c r="B854" s="38" t="inlineStr">
        <is>
          <t>Octavas</t>
        </is>
      </c>
      <c r="C854" s="38" t="inlineStr">
        <is>
          <t>São Bento da Abadá</t>
        </is>
      </c>
      <c r="D854" s="39">
        <f>IFERROR(CLASIF_E_F!$F$10,"")</f>
        <v/>
      </c>
      <c r="E854" s="40" t="n"/>
      <c r="F854" s="39">
        <f>IFERROR(CLASIF_E_F!$F$15,"")</f>
        <v/>
      </c>
      <c r="G854" s="40" t="n"/>
      <c r="H854" s="41" t="n"/>
      <c r="I854" s="42">
        <f>IF($H854="","",MAX(0,$H854-N($E854)))</f>
        <v/>
      </c>
      <c r="J854" s="42">
        <f>IF($H854="","",MAX(0,$H854-N($G854)))</f>
        <v/>
      </c>
    </row>
    <row r="855" ht="19.5" customHeight="1" s="72">
      <c r="A855" s="38" t="inlineStr">
        <is>
          <t>EF-OCT-P06-BEN</t>
        </is>
      </c>
      <c r="B855" s="38" t="inlineStr">
        <is>
          <t>Octavas</t>
        </is>
      </c>
      <c r="C855" s="38" t="inlineStr">
        <is>
          <t>Benguela</t>
        </is>
      </c>
      <c r="D855" s="39">
        <f>IFERROR(CLASIF_E_F!$F$10,"")</f>
        <v/>
      </c>
      <c r="E855" s="40" t="n"/>
      <c r="F855" s="39">
        <f>IFERROR(CLASIF_E_F!$F$15,"")</f>
        <v/>
      </c>
      <c r="G855" s="40" t="n"/>
      <c r="H855" s="41" t="n"/>
      <c r="I855" s="42">
        <f>IF($H855="","",MAX(0,$H855-N($E855)))</f>
        <v/>
      </c>
      <c r="J855" s="42">
        <f>IF($H855="","",MAX(0,$H855-N($G855)))</f>
        <v/>
      </c>
    </row>
    <row r="856" ht="19.5" customHeight="1" s="72">
      <c r="A856" s="38" t="inlineStr">
        <is>
          <t>EF-OCT-P07-SBA</t>
        </is>
      </c>
      <c r="B856" s="38" t="inlineStr">
        <is>
          <t>Octavas</t>
        </is>
      </c>
      <c r="C856" s="38" t="inlineStr">
        <is>
          <t>São Bento da Abadá</t>
        </is>
      </c>
      <c r="D856" s="39">
        <f>IFERROR(CLASIF_E_F!$F$11,"")</f>
        <v/>
      </c>
      <c r="E856" s="40" t="n"/>
      <c r="F856" s="39">
        <f>IFERROR(CLASIF_E_F!$F$14,"")</f>
        <v/>
      </c>
      <c r="G856" s="40" t="n"/>
      <c r="H856" s="41" t="n"/>
      <c r="I856" s="42">
        <f>IF($H856="","",MAX(0,$H856-N($E856)))</f>
        <v/>
      </c>
      <c r="J856" s="42">
        <f>IF($H856="","",MAX(0,$H856-N($G856)))</f>
        <v/>
      </c>
    </row>
    <row r="857" ht="19.5" customHeight="1" s="72">
      <c r="A857" s="38" t="inlineStr">
        <is>
          <t>EF-OCT-P07-BEN</t>
        </is>
      </c>
      <c r="B857" s="38" t="inlineStr">
        <is>
          <t>Octavas</t>
        </is>
      </c>
      <c r="C857" s="38" t="inlineStr">
        <is>
          <t>Benguela</t>
        </is>
      </c>
      <c r="D857" s="39">
        <f>IFERROR(CLASIF_E_F!$F$11,"")</f>
        <v/>
      </c>
      <c r="E857" s="40" t="n"/>
      <c r="F857" s="39">
        <f>IFERROR(CLASIF_E_F!$F$14,"")</f>
        <v/>
      </c>
      <c r="G857" s="40" t="n"/>
      <c r="H857" s="41" t="n"/>
      <c r="I857" s="42">
        <f>IF($H857="","",MAX(0,$H857-N($E857)))</f>
        <v/>
      </c>
      <c r="J857" s="42">
        <f>IF($H857="","",MAX(0,$H857-N($G857)))</f>
        <v/>
      </c>
    </row>
    <row r="858" ht="19.5" customHeight="1" s="72">
      <c r="A858" s="38" t="inlineStr">
        <is>
          <t>EF-OCT-P08-SBA</t>
        </is>
      </c>
      <c r="B858" s="38" t="inlineStr">
        <is>
          <t>Octavas</t>
        </is>
      </c>
      <c r="C858" s="38" t="inlineStr">
        <is>
          <t>São Bento da Abadá</t>
        </is>
      </c>
      <c r="D858" s="39">
        <f>IFERROR(CLASIF_E_F!$F$12,"")</f>
        <v/>
      </c>
      <c r="E858" s="40" t="n"/>
      <c r="F858" s="39">
        <f>IFERROR(CLASIF_E_F!$F$13,"")</f>
        <v/>
      </c>
      <c r="G858" s="40" t="n"/>
      <c r="H858" s="41" t="n"/>
      <c r="I858" s="42">
        <f>IF($H858="","",MAX(0,$H858-N($E858)))</f>
        <v/>
      </c>
      <c r="J858" s="42">
        <f>IF($H858="","",MAX(0,$H858-N($G858)))</f>
        <v/>
      </c>
    </row>
    <row r="859" ht="19.5" customHeight="1" s="72">
      <c r="A859" s="38" t="inlineStr">
        <is>
          <t>EF-OCT-P08-BEN</t>
        </is>
      </c>
      <c r="B859" s="38" t="inlineStr">
        <is>
          <t>Octavas</t>
        </is>
      </c>
      <c r="C859" s="38" t="inlineStr">
        <is>
          <t>Benguela</t>
        </is>
      </c>
      <c r="D859" s="39">
        <f>IFERROR(CLASIF_E_F!$F$12,"")</f>
        <v/>
      </c>
      <c r="E859" s="40" t="n"/>
      <c r="F859" s="39">
        <f>IFERROR(CLASIF_E_F!$F$13,"")</f>
        <v/>
      </c>
      <c r="G859" s="40" t="n"/>
      <c r="H859" s="41" t="n"/>
      <c r="I859" s="42">
        <f>IF($H859="","",MAX(0,$H859-N($E859)))</f>
        <v/>
      </c>
      <c r="J859" s="42">
        <f>IF($H859="","",MAX(0,$H859-N($G859)))</f>
        <v/>
      </c>
    </row>
    <row r="860" ht="19.5" customHeight="1" s="72">
      <c r="A860" s="38" t="inlineStr">
        <is>
          <t>EF-SEM-P01-SBA</t>
        </is>
      </c>
      <c r="B860" s="38" t="inlineStr">
        <is>
          <t>Semifinal</t>
        </is>
      </c>
      <c r="C860" s="38" t="inlineStr">
        <is>
          <t>São Bento da Abadá</t>
        </is>
      </c>
      <c r="D860" s="39">
        <f>IFERROR(CLASIF_E_F!$O$5,"")</f>
        <v/>
      </c>
      <c r="E860" s="40" t="n"/>
      <c r="F860" s="39">
        <f>IFERROR(CLASIF_E_F!$O$12,"")</f>
        <v/>
      </c>
      <c r="G860" s="40" t="n"/>
      <c r="H860" s="41" t="n"/>
      <c r="I860" s="42">
        <f>IF($H860="","",MAX(0,$H860-N($E860)))</f>
        <v/>
      </c>
      <c r="J860" s="42">
        <f>IF($H860="","",MAX(0,$H860-N($G860)))</f>
        <v/>
      </c>
    </row>
    <row r="861" ht="19.5" customHeight="1" s="72">
      <c r="A861" s="38" t="inlineStr">
        <is>
          <t>EF-SEM-P01-BEN</t>
        </is>
      </c>
      <c r="B861" s="38" t="inlineStr">
        <is>
          <t>Semifinal</t>
        </is>
      </c>
      <c r="C861" s="38" t="inlineStr">
        <is>
          <t>Benguela</t>
        </is>
      </c>
      <c r="D861" s="39">
        <f>IFERROR(CLASIF_E_F!$O$5,"")</f>
        <v/>
      </c>
      <c r="E861" s="40" t="n"/>
      <c r="F861" s="39">
        <f>IFERROR(CLASIF_E_F!$O$12,"")</f>
        <v/>
      </c>
      <c r="G861" s="40" t="n"/>
      <c r="H861" s="41" t="n"/>
      <c r="I861" s="42">
        <f>IF($H861="","",MAX(0,$H861-N($E861)))</f>
        <v/>
      </c>
      <c r="J861" s="42">
        <f>IF($H861="","",MAX(0,$H861-N($G861)))</f>
        <v/>
      </c>
    </row>
    <row r="862" ht="19.5" customHeight="1" s="72">
      <c r="A862" s="38" t="inlineStr">
        <is>
          <t>EF-SEM-P02-SBA</t>
        </is>
      </c>
      <c r="B862" s="38" t="inlineStr">
        <is>
          <t>Semifinal</t>
        </is>
      </c>
      <c r="C862" s="38" t="inlineStr">
        <is>
          <t>São Bento da Abadá</t>
        </is>
      </c>
      <c r="D862" s="39">
        <f>IFERROR(CLASIF_E_F!$O$6,"")</f>
        <v/>
      </c>
      <c r="E862" s="40" t="n"/>
      <c r="F862" s="39">
        <f>IFERROR(CLASIF_E_F!$O$11,"")</f>
        <v/>
      </c>
      <c r="G862" s="40" t="n"/>
      <c r="H862" s="41" t="n"/>
      <c r="I862" s="42">
        <f>IF($H862="","",MAX(0,$H862-N($E862)))</f>
        <v/>
      </c>
      <c r="J862" s="42">
        <f>IF($H862="","",MAX(0,$H862-N($G862)))</f>
        <v/>
      </c>
    </row>
    <row r="863" ht="19.5" customHeight="1" s="72">
      <c r="A863" s="38" t="inlineStr">
        <is>
          <t>EF-SEM-P02-BEN</t>
        </is>
      </c>
      <c r="B863" s="38" t="inlineStr">
        <is>
          <t>Semifinal</t>
        </is>
      </c>
      <c r="C863" s="38" t="inlineStr">
        <is>
          <t>Benguela</t>
        </is>
      </c>
      <c r="D863" s="39">
        <f>IFERROR(CLASIF_E_F!$O$6,"")</f>
        <v/>
      </c>
      <c r="E863" s="40" t="n"/>
      <c r="F863" s="39">
        <f>IFERROR(CLASIF_E_F!$O$11,"")</f>
        <v/>
      </c>
      <c r="G863" s="40" t="n"/>
      <c r="H863" s="41" t="n"/>
      <c r="I863" s="42">
        <f>IF($H863="","",MAX(0,$H863-N($E863)))</f>
        <v/>
      </c>
      <c r="J863" s="42">
        <f>IF($H863="","",MAX(0,$H863-N($G863)))</f>
        <v/>
      </c>
    </row>
    <row r="864" ht="19.5" customHeight="1" s="72">
      <c r="A864" s="38" t="inlineStr">
        <is>
          <t>EF-SEM-P03-SBA</t>
        </is>
      </c>
      <c r="B864" s="38" t="inlineStr">
        <is>
          <t>Semifinal</t>
        </is>
      </c>
      <c r="C864" s="38" t="inlineStr">
        <is>
          <t>São Bento da Abadá</t>
        </is>
      </c>
      <c r="D864" s="39">
        <f>IFERROR(CLASIF_E_F!$O$7,"")</f>
        <v/>
      </c>
      <c r="E864" s="40" t="n"/>
      <c r="F864" s="39">
        <f>IFERROR(CLASIF_E_F!$O$10,"")</f>
        <v/>
      </c>
      <c r="G864" s="40" t="n"/>
      <c r="H864" s="41" t="n"/>
      <c r="I864" s="42">
        <f>IF($H864="","",MAX(0,$H864-N($E864)))</f>
        <v/>
      </c>
      <c r="J864" s="42">
        <f>IF($H864="","",MAX(0,$H864-N($G864)))</f>
        <v/>
      </c>
    </row>
    <row r="865" ht="19.5" customHeight="1" s="72">
      <c r="A865" s="38" t="inlineStr">
        <is>
          <t>EF-SEM-P03-BEN</t>
        </is>
      </c>
      <c r="B865" s="38" t="inlineStr">
        <is>
          <t>Semifinal</t>
        </is>
      </c>
      <c r="C865" s="38" t="inlineStr">
        <is>
          <t>Benguela</t>
        </is>
      </c>
      <c r="D865" s="39">
        <f>IFERROR(CLASIF_E_F!$O$7,"")</f>
        <v/>
      </c>
      <c r="E865" s="40" t="n"/>
      <c r="F865" s="39">
        <f>IFERROR(CLASIF_E_F!$O$10,"")</f>
        <v/>
      </c>
      <c r="G865" s="40" t="n"/>
      <c r="H865" s="41" t="n"/>
      <c r="I865" s="42">
        <f>IF($H865="","",MAX(0,$H865-N($E865)))</f>
        <v/>
      </c>
      <c r="J865" s="42">
        <f>IF($H865="","",MAX(0,$H865-N($G865)))</f>
        <v/>
      </c>
    </row>
    <row r="866" ht="19.5" customHeight="1" s="72">
      <c r="A866" s="38" t="inlineStr">
        <is>
          <t>EF-SEM-P04-SBA</t>
        </is>
      </c>
      <c r="B866" s="38" t="inlineStr">
        <is>
          <t>Semifinal</t>
        </is>
      </c>
      <c r="C866" s="38" t="inlineStr">
        <is>
          <t>São Bento da Abadá</t>
        </is>
      </c>
      <c r="D866" s="39">
        <f>IFERROR(CLASIF_E_F!$O$8,"")</f>
        <v/>
      </c>
      <c r="E866" s="40" t="n"/>
      <c r="F866" s="39">
        <f>IFERROR(CLASIF_E_F!$O$9,"")</f>
        <v/>
      </c>
      <c r="G866" s="40" t="n"/>
      <c r="H866" s="41" t="n"/>
      <c r="I866" s="42">
        <f>IF($H866="","",MAX(0,$H866-N($E866)))</f>
        <v/>
      </c>
      <c r="J866" s="42">
        <f>IF($H866="","",MAX(0,$H866-N($G866)))</f>
        <v/>
      </c>
    </row>
    <row r="867" ht="19.5" customHeight="1" s="72">
      <c r="A867" s="38" t="inlineStr">
        <is>
          <t>EF-SEM-P04-BEN</t>
        </is>
      </c>
      <c r="B867" s="38" t="inlineStr">
        <is>
          <t>Semifinal</t>
        </is>
      </c>
      <c r="C867" s="38" t="inlineStr">
        <is>
          <t>Benguela</t>
        </is>
      </c>
      <c r="D867" s="39">
        <f>IFERROR(CLASIF_E_F!$O$8,"")</f>
        <v/>
      </c>
      <c r="E867" s="40" t="n"/>
      <c r="F867" s="39">
        <f>IFERROR(CLASIF_E_F!$O$9,"")</f>
        <v/>
      </c>
      <c r="G867" s="40" t="n"/>
      <c r="H867" s="41" t="n"/>
      <c r="I867" s="42">
        <f>IF($H867="","",MAX(0,$H867-N($E867)))</f>
        <v/>
      </c>
      <c r="J867" s="42">
        <f>IF($H867="","",MAX(0,$H867-N($G867)))</f>
        <v/>
      </c>
    </row>
    <row r="868" ht="19.5" customHeight="1" s="72">
      <c r="A868" s="38" t="inlineStr">
        <is>
          <t>EF-FIN-P01-SBA</t>
        </is>
      </c>
      <c r="B868" s="38" t="inlineStr">
        <is>
          <t>Final</t>
        </is>
      </c>
      <c r="C868" s="38" t="inlineStr">
        <is>
          <t>São Bento da Abadá</t>
        </is>
      </c>
      <c r="D868" s="39">
        <f>IFERROR(CLASIF_E_F!$X$5,"")</f>
        <v/>
      </c>
      <c r="E868" s="40" t="n"/>
      <c r="F868" s="39">
        <f>IFERROR(CLASIF_E_F!$X$8,"")</f>
        <v/>
      </c>
      <c r="G868" s="40" t="n"/>
      <c r="H868" s="41" t="n"/>
      <c r="I868" s="42">
        <f>IF($H868="","",MAX(0,$H868-N($E868)))</f>
        <v/>
      </c>
      <c r="J868" s="42">
        <f>IF($H868="","",MAX(0,$H868-N($G868)))</f>
        <v/>
      </c>
    </row>
    <row r="869" ht="19.5" customHeight="1" s="72">
      <c r="A869" s="38" t="inlineStr">
        <is>
          <t>EF-FIN-P01-BEN</t>
        </is>
      </c>
      <c r="B869" s="38" t="inlineStr">
        <is>
          <t>Final</t>
        </is>
      </c>
      <c r="C869" s="38" t="inlineStr">
        <is>
          <t>Benguela</t>
        </is>
      </c>
      <c r="D869" s="39">
        <f>IFERROR(CLASIF_E_F!$X$5,"")</f>
        <v/>
      </c>
      <c r="E869" s="40" t="n"/>
      <c r="F869" s="39">
        <f>IFERROR(CLASIF_E_F!$X$8,"")</f>
        <v/>
      </c>
      <c r="G869" s="40" t="n"/>
      <c r="H869" s="41" t="n"/>
      <c r="I869" s="42">
        <f>IF($H869="","",MAX(0,$H869-N($E869)))</f>
        <v/>
      </c>
      <c r="J869" s="42">
        <f>IF($H869="","",MAX(0,$H869-N($G869)))</f>
        <v/>
      </c>
    </row>
    <row r="870" ht="19.5" customHeight="1" s="72">
      <c r="A870" s="38" t="inlineStr">
        <is>
          <t>EF-FIN-P02-SBA</t>
        </is>
      </c>
      <c r="B870" s="38" t="inlineStr">
        <is>
          <t>Final</t>
        </is>
      </c>
      <c r="C870" s="38" t="inlineStr">
        <is>
          <t>São Bento da Abadá</t>
        </is>
      </c>
      <c r="D870" s="39">
        <f>IFERROR(CLASIF_E_F!$X$6,"")</f>
        <v/>
      </c>
      <c r="E870" s="40" t="n"/>
      <c r="F870" s="39">
        <f>IFERROR(CLASIF_E_F!$X$7,"")</f>
        <v/>
      </c>
      <c r="G870" s="40" t="n"/>
      <c r="H870" s="41" t="n"/>
      <c r="I870" s="42">
        <f>IF($H870="","",MAX(0,$H870-N($E870)))</f>
        <v/>
      </c>
      <c r="J870" s="42">
        <f>IF($H870="","",MAX(0,$H870-N($G870)))</f>
        <v/>
      </c>
    </row>
    <row r="871" ht="19.5" customHeight="1" s="72">
      <c r="A871" s="38" t="inlineStr">
        <is>
          <t>EF-FIN-P02-BEN</t>
        </is>
      </c>
      <c r="B871" s="38" t="inlineStr">
        <is>
          <t>Final</t>
        </is>
      </c>
      <c r="C871" s="38" t="inlineStr">
        <is>
          <t>Benguela</t>
        </is>
      </c>
      <c r="D871" s="39">
        <f>IFERROR(CLASIF_E_F!$X$6,"")</f>
        <v/>
      </c>
      <c r="E871" s="40" t="n"/>
      <c r="F871" s="39">
        <f>IFERROR(CLASIF_E_F!$X$7,"")</f>
        <v/>
      </c>
      <c r="G871" s="40" t="n"/>
      <c r="H871" s="41" t="n"/>
      <c r="I871" s="42">
        <f>IF($H871="","",MAX(0,$H871-N($E871)))</f>
        <v/>
      </c>
      <c r="J871" s="42">
        <f>IF($H871="","",MAX(0,$H871-N($G871)))</f>
        <v/>
      </c>
    </row>
    <row r="872" ht="19.5" customHeight="1" s="72">
      <c r="A872" s="43" t="n"/>
      <c r="B872" s="43" t="n"/>
      <c r="C872" s="43" t="n"/>
      <c r="D872" s="43" t="n"/>
      <c r="E872" s="43" t="n"/>
      <c r="F872" s="43" t="n"/>
      <c r="G872" s="43" t="n"/>
      <c r="H872" s="44" t="n"/>
      <c r="I872" s="43">
        <f>IF($H872="","",MAX(0,$H872-N($E872)))</f>
        <v/>
      </c>
      <c r="J872" s="43">
        <f>IF($H872="","",MAX(0,$H872-N($G872)))</f>
        <v/>
      </c>
    </row>
    <row r="873" ht="19.5" customHeight="1" s="72">
      <c r="A873" s="85" t="inlineStr">
        <is>
          <t>═══ CATEGORÍA Baobá · Masculino · +45 años · Toques: São Bento da Abadá, Benguela, Siriuna ═══</t>
        </is>
      </c>
    </row>
    <row r="874" ht="19.5" customHeight="1" s="72">
      <c r="A874" s="8" t="inlineStr">
        <is>
          <t>Jogo</t>
        </is>
      </c>
      <c r="B874" s="8" t="inlineStr">
        <is>
          <t>Fase</t>
        </is>
      </c>
      <c r="C874" s="8" t="inlineStr">
        <is>
          <t>Toque</t>
        </is>
      </c>
      <c r="D874" s="8" t="inlineStr">
        <is>
          <t>Jugador A</t>
        </is>
      </c>
      <c r="E874" s="8" t="inlineStr">
        <is>
          <t>Quita A</t>
        </is>
      </c>
      <c r="F874" s="8" t="inlineStr">
        <is>
          <t>Jugador B</t>
        </is>
      </c>
      <c r="G874" s="8" t="inlineStr">
        <is>
          <t>Quita B</t>
        </is>
      </c>
      <c r="H874" s="8" t="inlineStr">
        <is>
          <t>NOTA (0-5)</t>
        </is>
      </c>
      <c r="I874" s="8">
        <f>IF($H874="","",MAX(0,$H874-N($E874)))</f>
        <v/>
      </c>
      <c r="J874" s="8">
        <f>IF($H874="","",MAX(0,$H874-N($G874)))</f>
        <v/>
      </c>
    </row>
    <row r="875" ht="19.5" customHeight="1" s="72">
      <c r="A875" s="38" t="inlineStr">
        <is>
          <t>BaobáM-32-P01-SBA</t>
        </is>
      </c>
      <c r="B875" s="38" t="inlineStr">
        <is>
          <t>Fase 32</t>
        </is>
      </c>
      <c r="C875" s="38" t="inlineStr">
        <is>
          <t>São Bento da Abadá</t>
        </is>
      </c>
      <c r="D875" s="39" t="inlineStr">
        <is>
          <t>A_Baobá_M_32_P1</t>
        </is>
      </c>
      <c r="E875" s="40" t="n"/>
      <c r="F875" s="39" t="inlineStr">
        <is>
          <t>B_Baobá_M_32_P1</t>
        </is>
      </c>
      <c r="G875" s="40" t="n"/>
      <c r="H875" s="41" t="n"/>
      <c r="I875" s="42">
        <f>IF($H875="","",MAX(0,$H875-N($E875)))</f>
        <v/>
      </c>
      <c r="J875" s="42">
        <f>IF($H875="","",MAX(0,$H875-N($G875)))</f>
        <v/>
      </c>
    </row>
    <row r="876" ht="19.5" customHeight="1" s="72">
      <c r="A876" s="38" t="inlineStr">
        <is>
          <t>BaobáM-32-P01-BEN</t>
        </is>
      </c>
      <c r="B876" s="38" t="inlineStr">
        <is>
          <t>Fase 32</t>
        </is>
      </c>
      <c r="C876" s="38" t="inlineStr">
        <is>
          <t>Benguela</t>
        </is>
      </c>
      <c r="D876" s="39" t="inlineStr">
        <is>
          <t>A_Baobá_M_32_P1</t>
        </is>
      </c>
      <c r="E876" s="40" t="n"/>
      <c r="F876" s="39" t="inlineStr">
        <is>
          <t>B_Baobá_M_32_P1</t>
        </is>
      </c>
      <c r="G876" s="40" t="n"/>
      <c r="H876" s="41" t="n"/>
      <c r="I876" s="42">
        <f>IF($H876="","",MAX(0,$H876-N($E876)))</f>
        <v/>
      </c>
      <c r="J876" s="42">
        <f>IF($H876="","",MAX(0,$H876-N($G876)))</f>
        <v/>
      </c>
    </row>
    <row r="877" ht="19.5" customHeight="1" s="72">
      <c r="A877" s="38" t="inlineStr">
        <is>
          <t>BaobáM-32-P01-SIR</t>
        </is>
      </c>
      <c r="B877" s="38" t="inlineStr">
        <is>
          <t>Fase 32</t>
        </is>
      </c>
      <c r="C877" s="38" t="inlineStr">
        <is>
          <t>Siriuna</t>
        </is>
      </c>
      <c r="D877" s="39" t="inlineStr">
        <is>
          <t>A_Baobá_M_32_P1</t>
        </is>
      </c>
      <c r="E877" s="40" t="n"/>
      <c r="F877" s="39" t="inlineStr">
        <is>
          <t>B_Baobá_M_32_P1</t>
        </is>
      </c>
      <c r="G877" s="40" t="n"/>
      <c r="H877" s="41" t="n"/>
      <c r="I877" s="42">
        <f>IF($H877="","",MAX(0,$H877-N($E877)))</f>
        <v/>
      </c>
      <c r="J877" s="42">
        <f>IF($H877="","",MAX(0,$H877-N($G877)))</f>
        <v/>
      </c>
    </row>
    <row r="878" ht="19.5" customHeight="1" s="72">
      <c r="A878" s="38" t="inlineStr">
        <is>
          <t>BaobáM-32-P02-SBA</t>
        </is>
      </c>
      <c r="B878" s="38" t="inlineStr">
        <is>
          <t>Fase 32</t>
        </is>
      </c>
      <c r="C878" s="38" t="inlineStr">
        <is>
          <t>São Bento da Abadá</t>
        </is>
      </c>
      <c r="D878" s="39" t="inlineStr">
        <is>
          <t>A_Baobá_M_32_P2</t>
        </is>
      </c>
      <c r="E878" s="40" t="n"/>
      <c r="F878" s="39" t="inlineStr">
        <is>
          <t>B_Baobá_M_32_P2</t>
        </is>
      </c>
      <c r="G878" s="40" t="n"/>
      <c r="H878" s="41" t="n"/>
      <c r="I878" s="42">
        <f>IF($H878="","",MAX(0,$H878-N($E878)))</f>
        <v/>
      </c>
      <c r="J878" s="42">
        <f>IF($H878="","",MAX(0,$H878-N($G878)))</f>
        <v/>
      </c>
    </row>
    <row r="879" ht="19.5" customHeight="1" s="72">
      <c r="A879" s="38" t="inlineStr">
        <is>
          <t>BaobáM-32-P02-BEN</t>
        </is>
      </c>
      <c r="B879" s="38" t="inlineStr">
        <is>
          <t>Fase 32</t>
        </is>
      </c>
      <c r="C879" s="38" t="inlineStr">
        <is>
          <t>Benguela</t>
        </is>
      </c>
      <c r="D879" s="39" t="inlineStr">
        <is>
          <t>A_Baobá_M_32_P2</t>
        </is>
      </c>
      <c r="E879" s="40" t="n"/>
      <c r="F879" s="39" t="inlineStr">
        <is>
          <t>B_Baobá_M_32_P2</t>
        </is>
      </c>
      <c r="G879" s="40" t="n"/>
      <c r="H879" s="41" t="n"/>
      <c r="I879" s="42">
        <f>IF($H879="","",MAX(0,$H879-N($E879)))</f>
        <v/>
      </c>
      <c r="J879" s="42">
        <f>IF($H879="","",MAX(0,$H879-N($G879)))</f>
        <v/>
      </c>
    </row>
    <row r="880" ht="19.5" customHeight="1" s="72">
      <c r="A880" s="38" t="inlineStr">
        <is>
          <t>BaobáM-32-P02-SIR</t>
        </is>
      </c>
      <c r="B880" s="38" t="inlineStr">
        <is>
          <t>Fase 32</t>
        </is>
      </c>
      <c r="C880" s="38" t="inlineStr">
        <is>
          <t>Siriuna</t>
        </is>
      </c>
      <c r="D880" s="39" t="inlineStr">
        <is>
          <t>A_Baobá_M_32_P2</t>
        </is>
      </c>
      <c r="E880" s="40" t="n"/>
      <c r="F880" s="39" t="inlineStr">
        <is>
          <t>B_Baobá_M_32_P2</t>
        </is>
      </c>
      <c r="G880" s="40" t="n"/>
      <c r="H880" s="41" t="n"/>
      <c r="I880" s="42">
        <f>IF($H880="","",MAX(0,$H880-N($E880)))</f>
        <v/>
      </c>
      <c r="J880" s="42">
        <f>IF($H880="","",MAX(0,$H880-N($G880)))</f>
        <v/>
      </c>
    </row>
    <row r="881" ht="19.5" customHeight="1" s="72">
      <c r="A881" s="38" t="inlineStr">
        <is>
          <t>BaobáM-32-P03-SBA</t>
        </is>
      </c>
      <c r="B881" s="38" t="inlineStr">
        <is>
          <t>Fase 32</t>
        </is>
      </c>
      <c r="C881" s="38" t="inlineStr">
        <is>
          <t>São Bento da Abadá</t>
        </is>
      </c>
      <c r="D881" s="39" t="inlineStr">
        <is>
          <t>A_Baobá_M_32_P3</t>
        </is>
      </c>
      <c r="E881" s="40" t="n"/>
      <c r="F881" s="39" t="inlineStr">
        <is>
          <t>B_Baobá_M_32_P3</t>
        </is>
      </c>
      <c r="G881" s="40" t="n"/>
      <c r="H881" s="41" t="n"/>
      <c r="I881" s="42">
        <f>IF($H881="","",MAX(0,$H881-N($E881)))</f>
        <v/>
      </c>
      <c r="J881" s="42">
        <f>IF($H881="","",MAX(0,$H881-N($G881)))</f>
        <v/>
      </c>
    </row>
    <row r="882" ht="19.5" customHeight="1" s="72">
      <c r="A882" s="38" t="inlineStr">
        <is>
          <t>BaobáM-32-P03-BEN</t>
        </is>
      </c>
      <c r="B882" s="38" t="inlineStr">
        <is>
          <t>Fase 32</t>
        </is>
      </c>
      <c r="C882" s="38" t="inlineStr">
        <is>
          <t>Benguela</t>
        </is>
      </c>
      <c r="D882" s="39" t="inlineStr">
        <is>
          <t>A_Baobá_M_32_P3</t>
        </is>
      </c>
      <c r="E882" s="40" t="n"/>
      <c r="F882" s="39" t="inlineStr">
        <is>
          <t>B_Baobá_M_32_P3</t>
        </is>
      </c>
      <c r="G882" s="40" t="n"/>
      <c r="H882" s="41" t="n"/>
      <c r="I882" s="42">
        <f>IF($H882="","",MAX(0,$H882-N($E882)))</f>
        <v/>
      </c>
      <c r="J882" s="42">
        <f>IF($H882="","",MAX(0,$H882-N($G882)))</f>
        <v/>
      </c>
    </row>
    <row r="883" ht="19.5" customHeight="1" s="72">
      <c r="A883" s="38" t="inlineStr">
        <is>
          <t>BaobáM-32-P03-SIR</t>
        </is>
      </c>
      <c r="B883" s="38" t="inlineStr">
        <is>
          <t>Fase 32</t>
        </is>
      </c>
      <c r="C883" s="38" t="inlineStr">
        <is>
          <t>Siriuna</t>
        </is>
      </c>
      <c r="D883" s="39" t="inlineStr">
        <is>
          <t>A_Baobá_M_32_P3</t>
        </is>
      </c>
      <c r="E883" s="40" t="n"/>
      <c r="F883" s="39" t="inlineStr">
        <is>
          <t>B_Baobá_M_32_P3</t>
        </is>
      </c>
      <c r="G883" s="40" t="n"/>
      <c r="H883" s="41" t="n"/>
      <c r="I883" s="42">
        <f>IF($H883="","",MAX(0,$H883-N($E883)))</f>
        <v/>
      </c>
      <c r="J883" s="42">
        <f>IF($H883="","",MAX(0,$H883-N($G883)))</f>
        <v/>
      </c>
    </row>
    <row r="884" ht="19.5" customHeight="1" s="72">
      <c r="A884" s="38" t="inlineStr">
        <is>
          <t>BaobáM-32-P04-SBA</t>
        </is>
      </c>
      <c r="B884" s="38" t="inlineStr">
        <is>
          <t>Fase 32</t>
        </is>
      </c>
      <c r="C884" s="38" t="inlineStr">
        <is>
          <t>São Bento da Abadá</t>
        </is>
      </c>
      <c r="D884" s="39" t="inlineStr">
        <is>
          <t>A_Baobá_M_32_P4</t>
        </is>
      </c>
      <c r="E884" s="40" t="n"/>
      <c r="F884" s="39" t="inlineStr">
        <is>
          <t>B_Baobá_M_32_P4</t>
        </is>
      </c>
      <c r="G884" s="40" t="n"/>
      <c r="H884" s="41" t="n"/>
      <c r="I884" s="42">
        <f>IF($H884="","",MAX(0,$H884-N($E884)))</f>
        <v/>
      </c>
      <c r="J884" s="42">
        <f>IF($H884="","",MAX(0,$H884-N($G884)))</f>
        <v/>
      </c>
    </row>
    <row r="885" ht="19.5" customHeight="1" s="72">
      <c r="A885" s="38" t="inlineStr">
        <is>
          <t>BaobáM-32-P04-BEN</t>
        </is>
      </c>
      <c r="B885" s="38" t="inlineStr">
        <is>
          <t>Fase 32</t>
        </is>
      </c>
      <c r="C885" s="38" t="inlineStr">
        <is>
          <t>Benguela</t>
        </is>
      </c>
      <c r="D885" s="39" t="inlineStr">
        <is>
          <t>A_Baobá_M_32_P4</t>
        </is>
      </c>
      <c r="E885" s="40" t="n"/>
      <c r="F885" s="39" t="inlineStr">
        <is>
          <t>B_Baobá_M_32_P4</t>
        </is>
      </c>
      <c r="G885" s="40" t="n"/>
      <c r="H885" s="41" t="n"/>
      <c r="I885" s="42">
        <f>IF($H885="","",MAX(0,$H885-N($E885)))</f>
        <v/>
      </c>
      <c r="J885" s="42">
        <f>IF($H885="","",MAX(0,$H885-N($G885)))</f>
        <v/>
      </c>
    </row>
    <row r="886" ht="19.5" customHeight="1" s="72">
      <c r="A886" s="38" t="inlineStr">
        <is>
          <t>BaobáM-32-P04-SIR</t>
        </is>
      </c>
      <c r="B886" s="38" t="inlineStr">
        <is>
          <t>Fase 32</t>
        </is>
      </c>
      <c r="C886" s="38" t="inlineStr">
        <is>
          <t>Siriuna</t>
        </is>
      </c>
      <c r="D886" s="39" t="inlineStr">
        <is>
          <t>A_Baobá_M_32_P4</t>
        </is>
      </c>
      <c r="E886" s="40" t="n"/>
      <c r="F886" s="39" t="inlineStr">
        <is>
          <t>B_Baobá_M_32_P4</t>
        </is>
      </c>
      <c r="G886" s="40" t="n"/>
      <c r="H886" s="41" t="n"/>
      <c r="I886" s="42">
        <f>IF($H886="","",MAX(0,$H886-N($E886)))</f>
        <v/>
      </c>
      <c r="J886" s="42">
        <f>IF($H886="","",MAX(0,$H886-N($G886)))</f>
        <v/>
      </c>
    </row>
    <row r="887" ht="19.5" customHeight="1" s="72">
      <c r="A887" s="38" t="inlineStr">
        <is>
          <t>BaobáM-32-P05-SBA</t>
        </is>
      </c>
      <c r="B887" s="38" t="inlineStr">
        <is>
          <t>Fase 32</t>
        </is>
      </c>
      <c r="C887" s="38" t="inlineStr">
        <is>
          <t>São Bento da Abadá</t>
        </is>
      </c>
      <c r="D887" s="39" t="inlineStr">
        <is>
          <t>A_Baobá_M_32_P5</t>
        </is>
      </c>
      <c r="E887" s="40" t="n"/>
      <c r="F887" s="39" t="inlineStr">
        <is>
          <t>B_Baobá_M_32_P5</t>
        </is>
      </c>
      <c r="G887" s="40" t="n"/>
      <c r="H887" s="41" t="n"/>
      <c r="I887" s="42">
        <f>IF($H887="","",MAX(0,$H887-N($E887)))</f>
        <v/>
      </c>
      <c r="J887" s="42">
        <f>IF($H887="","",MAX(0,$H887-N($G887)))</f>
        <v/>
      </c>
    </row>
    <row r="888" ht="19.5" customHeight="1" s="72">
      <c r="A888" s="38" t="inlineStr">
        <is>
          <t>BaobáM-32-P05-BEN</t>
        </is>
      </c>
      <c r="B888" s="38" t="inlineStr">
        <is>
          <t>Fase 32</t>
        </is>
      </c>
      <c r="C888" s="38" t="inlineStr">
        <is>
          <t>Benguela</t>
        </is>
      </c>
      <c r="D888" s="39" t="inlineStr">
        <is>
          <t>A_Baobá_M_32_P5</t>
        </is>
      </c>
      <c r="E888" s="40" t="n"/>
      <c r="F888" s="39" t="inlineStr">
        <is>
          <t>B_Baobá_M_32_P5</t>
        </is>
      </c>
      <c r="G888" s="40" t="n"/>
      <c r="H888" s="41" t="n"/>
      <c r="I888" s="42">
        <f>IF($H888="","",MAX(0,$H888-N($E888)))</f>
        <v/>
      </c>
      <c r="J888" s="42">
        <f>IF($H888="","",MAX(0,$H888-N($G888)))</f>
        <v/>
      </c>
    </row>
    <row r="889" ht="19.5" customHeight="1" s="72">
      <c r="A889" s="38" t="inlineStr">
        <is>
          <t>BaobáM-32-P05-SIR</t>
        </is>
      </c>
      <c r="B889" s="38" t="inlineStr">
        <is>
          <t>Fase 32</t>
        </is>
      </c>
      <c r="C889" s="38" t="inlineStr">
        <is>
          <t>Siriuna</t>
        </is>
      </c>
      <c r="D889" s="39" t="inlineStr">
        <is>
          <t>A_Baobá_M_32_P5</t>
        </is>
      </c>
      <c r="E889" s="40" t="n"/>
      <c r="F889" s="39" t="inlineStr">
        <is>
          <t>B_Baobá_M_32_P5</t>
        </is>
      </c>
      <c r="G889" s="40" t="n"/>
      <c r="H889" s="41" t="n"/>
      <c r="I889" s="42">
        <f>IF($H889="","",MAX(0,$H889-N($E889)))</f>
        <v/>
      </c>
      <c r="J889" s="42">
        <f>IF($H889="","",MAX(0,$H889-N($G889)))</f>
        <v/>
      </c>
    </row>
    <row r="890" ht="19.5" customHeight="1" s="72">
      <c r="A890" s="38" t="inlineStr">
        <is>
          <t>BaobáM-32-P06-SBA</t>
        </is>
      </c>
      <c r="B890" s="38" t="inlineStr">
        <is>
          <t>Fase 32</t>
        </is>
      </c>
      <c r="C890" s="38" t="inlineStr">
        <is>
          <t>São Bento da Abadá</t>
        </is>
      </c>
      <c r="D890" s="39" t="inlineStr">
        <is>
          <t>A_Baobá_M_32_P6</t>
        </is>
      </c>
      <c r="E890" s="40" t="n"/>
      <c r="F890" s="39" t="inlineStr">
        <is>
          <t>B_Baobá_M_32_P6</t>
        </is>
      </c>
      <c r="G890" s="40" t="n"/>
      <c r="H890" s="41" t="n"/>
      <c r="I890" s="42">
        <f>IF($H890="","",MAX(0,$H890-N($E890)))</f>
        <v/>
      </c>
      <c r="J890" s="42">
        <f>IF($H890="","",MAX(0,$H890-N($G890)))</f>
        <v/>
      </c>
    </row>
    <row r="891" ht="19.5" customHeight="1" s="72">
      <c r="A891" s="38" t="inlineStr">
        <is>
          <t>BaobáM-32-P06-BEN</t>
        </is>
      </c>
      <c r="B891" s="38" t="inlineStr">
        <is>
          <t>Fase 32</t>
        </is>
      </c>
      <c r="C891" s="38" t="inlineStr">
        <is>
          <t>Benguela</t>
        </is>
      </c>
      <c r="D891" s="39" t="inlineStr">
        <is>
          <t>A_Baobá_M_32_P6</t>
        </is>
      </c>
      <c r="E891" s="40" t="n"/>
      <c r="F891" s="39" t="inlineStr">
        <is>
          <t>B_Baobá_M_32_P6</t>
        </is>
      </c>
      <c r="G891" s="40" t="n"/>
      <c r="H891" s="41" t="n"/>
      <c r="I891" s="42">
        <f>IF($H891="","",MAX(0,$H891-N($E891)))</f>
        <v/>
      </c>
      <c r="J891" s="42">
        <f>IF($H891="","",MAX(0,$H891-N($G891)))</f>
        <v/>
      </c>
    </row>
    <row r="892" ht="19.5" customHeight="1" s="72">
      <c r="A892" s="38" t="inlineStr">
        <is>
          <t>BaobáM-32-P06-SIR</t>
        </is>
      </c>
      <c r="B892" s="38" t="inlineStr">
        <is>
          <t>Fase 32</t>
        </is>
      </c>
      <c r="C892" s="38" t="inlineStr">
        <is>
          <t>Siriuna</t>
        </is>
      </c>
      <c r="D892" s="39" t="inlineStr">
        <is>
          <t>A_Baobá_M_32_P6</t>
        </is>
      </c>
      <c r="E892" s="40" t="n"/>
      <c r="F892" s="39" t="inlineStr">
        <is>
          <t>B_Baobá_M_32_P6</t>
        </is>
      </c>
      <c r="G892" s="40" t="n"/>
      <c r="H892" s="41" t="n"/>
      <c r="I892" s="42">
        <f>IF($H892="","",MAX(0,$H892-N($E892)))</f>
        <v/>
      </c>
      <c r="J892" s="42">
        <f>IF($H892="","",MAX(0,$H892-N($G892)))</f>
        <v/>
      </c>
    </row>
    <row r="893" ht="19.5" customHeight="1" s="72">
      <c r="A893" s="38" t="inlineStr">
        <is>
          <t>BaobáM-32-P07-SBA</t>
        </is>
      </c>
      <c r="B893" s="38" t="inlineStr">
        <is>
          <t>Fase 32</t>
        </is>
      </c>
      <c r="C893" s="38" t="inlineStr">
        <is>
          <t>São Bento da Abadá</t>
        </is>
      </c>
      <c r="D893" s="39" t="inlineStr">
        <is>
          <t>A_Baobá_M_32_P7</t>
        </is>
      </c>
      <c r="E893" s="40" t="n"/>
      <c r="F893" s="39" t="inlineStr">
        <is>
          <t>B_Baobá_M_32_P7</t>
        </is>
      </c>
      <c r="G893" s="40" t="n"/>
      <c r="H893" s="41" t="n"/>
      <c r="I893" s="42">
        <f>IF($H893="","",MAX(0,$H893-N($E893)))</f>
        <v/>
      </c>
      <c r="J893" s="42">
        <f>IF($H893="","",MAX(0,$H893-N($G893)))</f>
        <v/>
      </c>
    </row>
    <row r="894" ht="19.5" customHeight="1" s="72">
      <c r="A894" s="38" t="inlineStr">
        <is>
          <t>BaobáM-32-P07-BEN</t>
        </is>
      </c>
      <c r="B894" s="38" t="inlineStr">
        <is>
          <t>Fase 32</t>
        </is>
      </c>
      <c r="C894" s="38" t="inlineStr">
        <is>
          <t>Benguela</t>
        </is>
      </c>
      <c r="D894" s="39" t="inlineStr">
        <is>
          <t>A_Baobá_M_32_P7</t>
        </is>
      </c>
      <c r="E894" s="40" t="n"/>
      <c r="F894" s="39" t="inlineStr">
        <is>
          <t>B_Baobá_M_32_P7</t>
        </is>
      </c>
      <c r="G894" s="40" t="n"/>
      <c r="H894" s="41" t="n"/>
      <c r="I894" s="42">
        <f>IF($H894="","",MAX(0,$H894-N($E894)))</f>
        <v/>
      </c>
      <c r="J894" s="42">
        <f>IF($H894="","",MAX(0,$H894-N($G894)))</f>
        <v/>
      </c>
    </row>
    <row r="895" ht="19.5" customHeight="1" s="72">
      <c r="A895" s="38" t="inlineStr">
        <is>
          <t>BaobáM-32-P07-SIR</t>
        </is>
      </c>
      <c r="B895" s="38" t="inlineStr">
        <is>
          <t>Fase 32</t>
        </is>
      </c>
      <c r="C895" s="38" t="inlineStr">
        <is>
          <t>Siriuna</t>
        </is>
      </c>
      <c r="D895" s="39" t="inlineStr">
        <is>
          <t>A_Baobá_M_32_P7</t>
        </is>
      </c>
      <c r="E895" s="40" t="n"/>
      <c r="F895" s="39" t="inlineStr">
        <is>
          <t>B_Baobá_M_32_P7</t>
        </is>
      </c>
      <c r="G895" s="40" t="n"/>
      <c r="H895" s="41" t="n"/>
      <c r="I895" s="42">
        <f>IF($H895="","",MAX(0,$H895-N($E895)))</f>
        <v/>
      </c>
      <c r="J895" s="42">
        <f>IF($H895="","",MAX(0,$H895-N($G895)))</f>
        <v/>
      </c>
    </row>
    <row r="896" ht="19.5" customHeight="1" s="72">
      <c r="A896" s="38" t="inlineStr">
        <is>
          <t>BaobáM-32-P08-SBA</t>
        </is>
      </c>
      <c r="B896" s="38" t="inlineStr">
        <is>
          <t>Fase 32</t>
        </is>
      </c>
      <c r="C896" s="38" t="inlineStr">
        <is>
          <t>São Bento da Abadá</t>
        </is>
      </c>
      <c r="D896" s="39" t="inlineStr">
        <is>
          <t>A_Baobá_M_32_P8</t>
        </is>
      </c>
      <c r="E896" s="40" t="n"/>
      <c r="F896" s="39" t="inlineStr">
        <is>
          <t>B_Baobá_M_32_P8</t>
        </is>
      </c>
      <c r="G896" s="40" t="n"/>
      <c r="H896" s="41" t="n"/>
      <c r="I896" s="42">
        <f>IF($H896="","",MAX(0,$H896-N($E896)))</f>
        <v/>
      </c>
      <c r="J896" s="42">
        <f>IF($H896="","",MAX(0,$H896-N($G896)))</f>
        <v/>
      </c>
    </row>
    <row r="897" ht="19.5" customHeight="1" s="72">
      <c r="A897" s="38" t="inlineStr">
        <is>
          <t>BaobáM-32-P08-BEN</t>
        </is>
      </c>
      <c r="B897" s="38" t="inlineStr">
        <is>
          <t>Fase 32</t>
        </is>
      </c>
      <c r="C897" s="38" t="inlineStr">
        <is>
          <t>Benguela</t>
        </is>
      </c>
      <c r="D897" s="39" t="inlineStr">
        <is>
          <t>A_Baobá_M_32_P8</t>
        </is>
      </c>
      <c r="E897" s="40" t="n"/>
      <c r="F897" s="39" t="inlineStr">
        <is>
          <t>B_Baobá_M_32_P8</t>
        </is>
      </c>
      <c r="G897" s="40" t="n"/>
      <c r="H897" s="41" t="n"/>
      <c r="I897" s="42">
        <f>IF($H897="","",MAX(0,$H897-N($E897)))</f>
        <v/>
      </c>
      <c r="J897" s="42">
        <f>IF($H897="","",MAX(0,$H897-N($G897)))</f>
        <v/>
      </c>
    </row>
    <row r="898" ht="19.5" customHeight="1" s="72">
      <c r="A898" s="38" t="inlineStr">
        <is>
          <t>BaobáM-32-P08-SIR</t>
        </is>
      </c>
      <c r="B898" s="38" t="inlineStr">
        <is>
          <t>Fase 32</t>
        </is>
      </c>
      <c r="C898" s="38" t="inlineStr">
        <is>
          <t>Siriuna</t>
        </is>
      </c>
      <c r="D898" s="39" t="inlineStr">
        <is>
          <t>A_Baobá_M_32_P8</t>
        </is>
      </c>
      <c r="E898" s="40" t="n"/>
      <c r="F898" s="39" t="inlineStr">
        <is>
          <t>B_Baobá_M_32_P8</t>
        </is>
      </c>
      <c r="G898" s="40" t="n"/>
      <c r="H898" s="41" t="n"/>
      <c r="I898" s="42">
        <f>IF($H898="","",MAX(0,$H898-N($E898)))</f>
        <v/>
      </c>
      <c r="J898" s="42">
        <f>IF($H898="","",MAX(0,$H898-N($G898)))</f>
        <v/>
      </c>
    </row>
    <row r="899" ht="19.5" customHeight="1" s="72">
      <c r="A899" s="38" t="inlineStr">
        <is>
          <t>BaobáM-32-P09-SBA</t>
        </is>
      </c>
      <c r="B899" s="38" t="inlineStr">
        <is>
          <t>Fase 32</t>
        </is>
      </c>
      <c r="C899" s="38" t="inlineStr">
        <is>
          <t>São Bento da Abadá</t>
        </is>
      </c>
      <c r="D899" s="39" t="inlineStr">
        <is>
          <t>A_Baobá_M_32_P9</t>
        </is>
      </c>
      <c r="E899" s="40" t="n"/>
      <c r="F899" s="39" t="inlineStr">
        <is>
          <t>B_Baobá_M_32_P9</t>
        </is>
      </c>
      <c r="G899" s="40" t="n"/>
      <c r="H899" s="41" t="n"/>
      <c r="I899" s="42">
        <f>IF($H899="","",MAX(0,$H899-N($E899)))</f>
        <v/>
      </c>
      <c r="J899" s="42">
        <f>IF($H899="","",MAX(0,$H899-N($G899)))</f>
        <v/>
      </c>
    </row>
    <row r="900" ht="19.5" customHeight="1" s="72">
      <c r="A900" s="38" t="inlineStr">
        <is>
          <t>BaobáM-32-P09-BEN</t>
        </is>
      </c>
      <c r="B900" s="38" t="inlineStr">
        <is>
          <t>Fase 32</t>
        </is>
      </c>
      <c r="C900" s="38" t="inlineStr">
        <is>
          <t>Benguela</t>
        </is>
      </c>
      <c r="D900" s="39" t="inlineStr">
        <is>
          <t>A_Baobá_M_32_P9</t>
        </is>
      </c>
      <c r="E900" s="40" t="n"/>
      <c r="F900" s="39" t="inlineStr">
        <is>
          <t>B_Baobá_M_32_P9</t>
        </is>
      </c>
      <c r="G900" s="40" t="n"/>
      <c r="H900" s="41" t="n"/>
      <c r="I900" s="42">
        <f>IF($H900="","",MAX(0,$H900-N($E900)))</f>
        <v/>
      </c>
      <c r="J900" s="42">
        <f>IF($H900="","",MAX(0,$H900-N($G900)))</f>
        <v/>
      </c>
    </row>
    <row r="901" ht="19.5" customHeight="1" s="72">
      <c r="A901" s="38" t="inlineStr">
        <is>
          <t>BaobáM-32-P09-SIR</t>
        </is>
      </c>
      <c r="B901" s="38" t="inlineStr">
        <is>
          <t>Fase 32</t>
        </is>
      </c>
      <c r="C901" s="38" t="inlineStr">
        <is>
          <t>Siriuna</t>
        </is>
      </c>
      <c r="D901" s="39" t="inlineStr">
        <is>
          <t>A_Baobá_M_32_P9</t>
        </is>
      </c>
      <c r="E901" s="40" t="n"/>
      <c r="F901" s="39" t="inlineStr">
        <is>
          <t>B_Baobá_M_32_P9</t>
        </is>
      </c>
      <c r="G901" s="40" t="n"/>
      <c r="H901" s="41" t="n"/>
      <c r="I901" s="42">
        <f>IF($H901="","",MAX(0,$H901-N($E901)))</f>
        <v/>
      </c>
      <c r="J901" s="42">
        <f>IF($H901="","",MAX(0,$H901-N($G901)))</f>
        <v/>
      </c>
    </row>
    <row r="902" ht="19.5" customHeight="1" s="72">
      <c r="A902" s="38" t="inlineStr">
        <is>
          <t>BaobáM-32-P10-SBA</t>
        </is>
      </c>
      <c r="B902" s="38" t="inlineStr">
        <is>
          <t>Fase 32</t>
        </is>
      </c>
      <c r="C902" s="38" t="inlineStr">
        <is>
          <t>São Bento da Abadá</t>
        </is>
      </c>
      <c r="D902" s="39" t="inlineStr">
        <is>
          <t>A_Baobá_M_32_P10</t>
        </is>
      </c>
      <c r="E902" s="40" t="n"/>
      <c r="F902" s="39" t="inlineStr">
        <is>
          <t>B_Baobá_M_32_P10</t>
        </is>
      </c>
      <c r="G902" s="40" t="n"/>
      <c r="H902" s="41" t="n"/>
      <c r="I902" s="42">
        <f>IF($H902="","",MAX(0,$H902-N($E902)))</f>
        <v/>
      </c>
      <c r="J902" s="42">
        <f>IF($H902="","",MAX(0,$H902-N($G902)))</f>
        <v/>
      </c>
    </row>
    <row r="903" ht="19.5" customHeight="1" s="72">
      <c r="A903" s="38" t="inlineStr">
        <is>
          <t>BaobáM-32-P10-BEN</t>
        </is>
      </c>
      <c r="B903" s="38" t="inlineStr">
        <is>
          <t>Fase 32</t>
        </is>
      </c>
      <c r="C903" s="38" t="inlineStr">
        <is>
          <t>Benguela</t>
        </is>
      </c>
      <c r="D903" s="39" t="inlineStr">
        <is>
          <t>A_Baobá_M_32_P10</t>
        </is>
      </c>
      <c r="E903" s="40" t="n"/>
      <c r="F903" s="39" t="inlineStr">
        <is>
          <t>B_Baobá_M_32_P10</t>
        </is>
      </c>
      <c r="G903" s="40" t="n"/>
      <c r="H903" s="41" t="n"/>
      <c r="I903" s="42">
        <f>IF($H903="","",MAX(0,$H903-N($E903)))</f>
        <v/>
      </c>
      <c r="J903" s="42">
        <f>IF($H903="","",MAX(0,$H903-N($G903)))</f>
        <v/>
      </c>
    </row>
    <row r="904" ht="19.5" customHeight="1" s="72">
      <c r="A904" s="38" t="inlineStr">
        <is>
          <t>BaobáM-32-P10-SIR</t>
        </is>
      </c>
      <c r="B904" s="38" t="inlineStr">
        <is>
          <t>Fase 32</t>
        </is>
      </c>
      <c r="C904" s="38" t="inlineStr">
        <is>
          <t>Siriuna</t>
        </is>
      </c>
      <c r="D904" s="39" t="inlineStr">
        <is>
          <t>A_Baobá_M_32_P10</t>
        </is>
      </c>
      <c r="E904" s="40" t="n"/>
      <c r="F904" s="39" t="inlineStr">
        <is>
          <t>B_Baobá_M_32_P10</t>
        </is>
      </c>
      <c r="G904" s="40" t="n"/>
      <c r="H904" s="41" t="n"/>
      <c r="I904" s="42">
        <f>IF($H904="","",MAX(0,$H904-N($E904)))</f>
        <v/>
      </c>
      <c r="J904" s="42">
        <f>IF($H904="","",MAX(0,$H904-N($G904)))</f>
        <v/>
      </c>
    </row>
    <row r="905" ht="19.5" customHeight="1" s="72">
      <c r="A905" s="38" t="inlineStr">
        <is>
          <t>BaobáM-32-P11-SBA</t>
        </is>
      </c>
      <c r="B905" s="38" t="inlineStr">
        <is>
          <t>Fase 32</t>
        </is>
      </c>
      <c r="C905" s="38" t="inlineStr">
        <is>
          <t>São Bento da Abadá</t>
        </is>
      </c>
      <c r="D905" s="39" t="inlineStr">
        <is>
          <t>A_Baobá_M_32_P11</t>
        </is>
      </c>
      <c r="E905" s="40" t="n"/>
      <c r="F905" s="39" t="inlineStr">
        <is>
          <t>B_Baobá_M_32_P11</t>
        </is>
      </c>
      <c r="G905" s="40" t="n"/>
      <c r="H905" s="41" t="n"/>
      <c r="I905" s="42">
        <f>IF($H905="","",MAX(0,$H905-N($E905)))</f>
        <v/>
      </c>
      <c r="J905" s="42">
        <f>IF($H905="","",MAX(0,$H905-N($G905)))</f>
        <v/>
      </c>
    </row>
    <row r="906" ht="19.5" customHeight="1" s="72">
      <c r="A906" s="38" t="inlineStr">
        <is>
          <t>BaobáM-32-P11-BEN</t>
        </is>
      </c>
      <c r="B906" s="38" t="inlineStr">
        <is>
          <t>Fase 32</t>
        </is>
      </c>
      <c r="C906" s="38" t="inlineStr">
        <is>
          <t>Benguela</t>
        </is>
      </c>
      <c r="D906" s="39" t="inlineStr">
        <is>
          <t>A_Baobá_M_32_P11</t>
        </is>
      </c>
      <c r="E906" s="40" t="n"/>
      <c r="F906" s="39" t="inlineStr">
        <is>
          <t>B_Baobá_M_32_P11</t>
        </is>
      </c>
      <c r="G906" s="40" t="n"/>
      <c r="H906" s="41" t="n"/>
      <c r="I906" s="42">
        <f>IF($H906="","",MAX(0,$H906-N($E906)))</f>
        <v/>
      </c>
      <c r="J906" s="42">
        <f>IF($H906="","",MAX(0,$H906-N($G906)))</f>
        <v/>
      </c>
    </row>
    <row r="907" ht="19.5" customHeight="1" s="72">
      <c r="A907" s="38" t="inlineStr">
        <is>
          <t>BaobáM-32-P11-SIR</t>
        </is>
      </c>
      <c r="B907" s="38" t="inlineStr">
        <is>
          <t>Fase 32</t>
        </is>
      </c>
      <c r="C907" s="38" t="inlineStr">
        <is>
          <t>Siriuna</t>
        </is>
      </c>
      <c r="D907" s="39" t="inlineStr">
        <is>
          <t>A_Baobá_M_32_P11</t>
        </is>
      </c>
      <c r="E907" s="40" t="n"/>
      <c r="F907" s="39" t="inlineStr">
        <is>
          <t>B_Baobá_M_32_P11</t>
        </is>
      </c>
      <c r="G907" s="40" t="n"/>
      <c r="H907" s="41" t="n"/>
      <c r="I907" s="42">
        <f>IF($H907="","",MAX(0,$H907-N($E907)))</f>
        <v/>
      </c>
      <c r="J907" s="42">
        <f>IF($H907="","",MAX(0,$H907-N($G907)))</f>
        <v/>
      </c>
    </row>
    <row r="908" ht="19.5" customHeight="1" s="72">
      <c r="A908" s="38" t="inlineStr">
        <is>
          <t>BaobáM-32-P12-SBA</t>
        </is>
      </c>
      <c r="B908" s="38" t="inlineStr">
        <is>
          <t>Fase 32</t>
        </is>
      </c>
      <c r="C908" s="38" t="inlineStr">
        <is>
          <t>São Bento da Abadá</t>
        </is>
      </c>
      <c r="D908" s="39" t="inlineStr">
        <is>
          <t>A_Baobá_M_32_P12</t>
        </is>
      </c>
      <c r="E908" s="40" t="n"/>
      <c r="F908" s="39" t="inlineStr">
        <is>
          <t>B_Baobá_M_32_P12</t>
        </is>
      </c>
      <c r="G908" s="40" t="n"/>
      <c r="H908" s="41" t="n"/>
      <c r="I908" s="42">
        <f>IF($H908="","",MAX(0,$H908-N($E908)))</f>
        <v/>
      </c>
      <c r="J908" s="42">
        <f>IF($H908="","",MAX(0,$H908-N($G908)))</f>
        <v/>
      </c>
    </row>
    <row r="909" ht="19.5" customHeight="1" s="72">
      <c r="A909" s="38" t="inlineStr">
        <is>
          <t>BaobáM-32-P12-BEN</t>
        </is>
      </c>
      <c r="B909" s="38" t="inlineStr">
        <is>
          <t>Fase 32</t>
        </is>
      </c>
      <c r="C909" s="38" t="inlineStr">
        <is>
          <t>Benguela</t>
        </is>
      </c>
      <c r="D909" s="39" t="inlineStr">
        <is>
          <t>A_Baobá_M_32_P12</t>
        </is>
      </c>
      <c r="E909" s="40" t="n"/>
      <c r="F909" s="39" t="inlineStr">
        <is>
          <t>B_Baobá_M_32_P12</t>
        </is>
      </c>
      <c r="G909" s="40" t="n"/>
      <c r="H909" s="41" t="n"/>
      <c r="I909" s="42">
        <f>IF($H909="","",MAX(0,$H909-N($E909)))</f>
        <v/>
      </c>
      <c r="J909" s="42">
        <f>IF($H909="","",MAX(0,$H909-N($G909)))</f>
        <v/>
      </c>
    </row>
    <row r="910" ht="19.5" customHeight="1" s="72">
      <c r="A910" s="38" t="inlineStr">
        <is>
          <t>BaobáM-32-P12-SIR</t>
        </is>
      </c>
      <c r="B910" s="38" t="inlineStr">
        <is>
          <t>Fase 32</t>
        </is>
      </c>
      <c r="C910" s="38" t="inlineStr">
        <is>
          <t>Siriuna</t>
        </is>
      </c>
      <c r="D910" s="39" t="inlineStr">
        <is>
          <t>A_Baobá_M_32_P12</t>
        </is>
      </c>
      <c r="E910" s="40" t="n"/>
      <c r="F910" s="39" t="inlineStr">
        <is>
          <t>B_Baobá_M_32_P12</t>
        </is>
      </c>
      <c r="G910" s="40" t="n"/>
      <c r="H910" s="41" t="n"/>
      <c r="I910" s="42">
        <f>IF($H910="","",MAX(0,$H910-N($E910)))</f>
        <v/>
      </c>
      <c r="J910" s="42">
        <f>IF($H910="","",MAX(0,$H910-N($G910)))</f>
        <v/>
      </c>
    </row>
    <row r="911" ht="19.5" customHeight="1" s="72">
      <c r="A911" s="38" t="inlineStr">
        <is>
          <t>BaobáM-32-P13-SBA</t>
        </is>
      </c>
      <c r="B911" s="38" t="inlineStr">
        <is>
          <t>Fase 32</t>
        </is>
      </c>
      <c r="C911" s="38" t="inlineStr">
        <is>
          <t>São Bento da Abadá</t>
        </is>
      </c>
      <c r="D911" s="39" t="inlineStr">
        <is>
          <t>A_Baobá_M_32_P13</t>
        </is>
      </c>
      <c r="E911" s="40" t="n"/>
      <c r="F911" s="39" t="inlineStr">
        <is>
          <t>B_Baobá_M_32_P13</t>
        </is>
      </c>
      <c r="G911" s="40" t="n"/>
      <c r="H911" s="41" t="n"/>
      <c r="I911" s="42">
        <f>IF($H911="","",MAX(0,$H911-N($E911)))</f>
        <v/>
      </c>
      <c r="J911" s="42">
        <f>IF($H911="","",MAX(0,$H911-N($G911)))</f>
        <v/>
      </c>
    </row>
    <row r="912" ht="19.5" customHeight="1" s="72">
      <c r="A912" s="38" t="inlineStr">
        <is>
          <t>BaobáM-32-P13-BEN</t>
        </is>
      </c>
      <c r="B912" s="38" t="inlineStr">
        <is>
          <t>Fase 32</t>
        </is>
      </c>
      <c r="C912" s="38" t="inlineStr">
        <is>
          <t>Benguela</t>
        </is>
      </c>
      <c r="D912" s="39" t="inlineStr">
        <is>
          <t>A_Baobá_M_32_P13</t>
        </is>
      </c>
      <c r="E912" s="40" t="n"/>
      <c r="F912" s="39" t="inlineStr">
        <is>
          <t>B_Baobá_M_32_P13</t>
        </is>
      </c>
      <c r="G912" s="40" t="n"/>
      <c r="H912" s="41" t="n"/>
      <c r="I912" s="42">
        <f>IF($H912="","",MAX(0,$H912-N($E912)))</f>
        <v/>
      </c>
      <c r="J912" s="42">
        <f>IF($H912="","",MAX(0,$H912-N($G912)))</f>
        <v/>
      </c>
    </row>
    <row r="913" ht="19.5" customHeight="1" s="72">
      <c r="A913" s="38" t="inlineStr">
        <is>
          <t>BaobáM-32-P13-SIR</t>
        </is>
      </c>
      <c r="B913" s="38" t="inlineStr">
        <is>
          <t>Fase 32</t>
        </is>
      </c>
      <c r="C913" s="38" t="inlineStr">
        <is>
          <t>Siriuna</t>
        </is>
      </c>
      <c r="D913" s="39" t="inlineStr">
        <is>
          <t>A_Baobá_M_32_P13</t>
        </is>
      </c>
      <c r="E913" s="40" t="n"/>
      <c r="F913" s="39" t="inlineStr">
        <is>
          <t>B_Baobá_M_32_P13</t>
        </is>
      </c>
      <c r="G913" s="40" t="n"/>
      <c r="H913" s="41" t="n"/>
      <c r="I913" s="42">
        <f>IF($H913="","",MAX(0,$H913-N($E913)))</f>
        <v/>
      </c>
      <c r="J913" s="42">
        <f>IF($H913="","",MAX(0,$H913-N($G913)))</f>
        <v/>
      </c>
    </row>
    <row r="914" ht="19.5" customHeight="1" s="72">
      <c r="A914" s="38" t="inlineStr">
        <is>
          <t>BaobáM-32-P14-SBA</t>
        </is>
      </c>
      <c r="B914" s="38" t="inlineStr">
        <is>
          <t>Fase 32</t>
        </is>
      </c>
      <c r="C914" s="38" t="inlineStr">
        <is>
          <t>São Bento da Abadá</t>
        </is>
      </c>
      <c r="D914" s="39" t="inlineStr">
        <is>
          <t>A_Baobá_M_32_P14</t>
        </is>
      </c>
      <c r="E914" s="40" t="n"/>
      <c r="F914" s="39" t="inlineStr">
        <is>
          <t>B_Baobá_M_32_P14</t>
        </is>
      </c>
      <c r="G914" s="40" t="n"/>
      <c r="H914" s="41" t="n"/>
      <c r="I914" s="42">
        <f>IF($H914="","",MAX(0,$H914-N($E914)))</f>
        <v/>
      </c>
      <c r="J914" s="42">
        <f>IF($H914="","",MAX(0,$H914-N($G914)))</f>
        <v/>
      </c>
    </row>
    <row r="915" ht="19.5" customHeight="1" s="72">
      <c r="A915" s="38" t="inlineStr">
        <is>
          <t>BaobáM-32-P14-BEN</t>
        </is>
      </c>
      <c r="B915" s="38" t="inlineStr">
        <is>
          <t>Fase 32</t>
        </is>
      </c>
      <c r="C915" s="38" t="inlineStr">
        <is>
          <t>Benguela</t>
        </is>
      </c>
      <c r="D915" s="39" t="inlineStr">
        <is>
          <t>A_Baobá_M_32_P14</t>
        </is>
      </c>
      <c r="E915" s="40" t="n"/>
      <c r="F915" s="39" t="inlineStr">
        <is>
          <t>B_Baobá_M_32_P14</t>
        </is>
      </c>
      <c r="G915" s="40" t="n"/>
      <c r="H915" s="41" t="n"/>
      <c r="I915" s="42">
        <f>IF($H915="","",MAX(0,$H915-N($E915)))</f>
        <v/>
      </c>
      <c r="J915" s="42">
        <f>IF($H915="","",MAX(0,$H915-N($G915)))</f>
        <v/>
      </c>
    </row>
    <row r="916" ht="19.5" customHeight="1" s="72">
      <c r="A916" s="38" t="inlineStr">
        <is>
          <t>BaobáM-32-P14-SIR</t>
        </is>
      </c>
      <c r="B916" s="38" t="inlineStr">
        <is>
          <t>Fase 32</t>
        </is>
      </c>
      <c r="C916" s="38" t="inlineStr">
        <is>
          <t>Siriuna</t>
        </is>
      </c>
      <c r="D916" s="39" t="inlineStr">
        <is>
          <t>A_Baobá_M_32_P14</t>
        </is>
      </c>
      <c r="E916" s="40" t="n"/>
      <c r="F916" s="39" t="inlineStr">
        <is>
          <t>B_Baobá_M_32_P14</t>
        </is>
      </c>
      <c r="G916" s="40" t="n"/>
      <c r="H916" s="41" t="n"/>
      <c r="I916" s="42">
        <f>IF($H916="","",MAX(0,$H916-N($E916)))</f>
        <v/>
      </c>
      <c r="J916" s="42">
        <f>IF($H916="","",MAX(0,$H916-N($G916)))</f>
        <v/>
      </c>
    </row>
    <row r="917" ht="19.5" customHeight="1" s="72">
      <c r="A917" s="38" t="inlineStr">
        <is>
          <t>BaobáM-32-P15-SBA</t>
        </is>
      </c>
      <c r="B917" s="38" t="inlineStr">
        <is>
          <t>Fase 32</t>
        </is>
      </c>
      <c r="C917" s="38" t="inlineStr">
        <is>
          <t>São Bento da Abadá</t>
        </is>
      </c>
      <c r="D917" s="39" t="inlineStr">
        <is>
          <t>A_Baobá_M_32_P15</t>
        </is>
      </c>
      <c r="E917" s="40" t="n"/>
      <c r="F917" s="39" t="inlineStr">
        <is>
          <t>B_Baobá_M_32_P15</t>
        </is>
      </c>
      <c r="G917" s="40" t="n"/>
      <c r="H917" s="41" t="n"/>
      <c r="I917" s="42">
        <f>IF($H917="","",MAX(0,$H917-N($E917)))</f>
        <v/>
      </c>
      <c r="J917" s="42">
        <f>IF($H917="","",MAX(0,$H917-N($G917)))</f>
        <v/>
      </c>
    </row>
    <row r="918" ht="19.5" customHeight="1" s="72">
      <c r="A918" s="38" t="inlineStr">
        <is>
          <t>BaobáM-32-P15-BEN</t>
        </is>
      </c>
      <c r="B918" s="38" t="inlineStr">
        <is>
          <t>Fase 32</t>
        </is>
      </c>
      <c r="C918" s="38" t="inlineStr">
        <is>
          <t>Benguela</t>
        </is>
      </c>
      <c r="D918" s="39" t="inlineStr">
        <is>
          <t>A_Baobá_M_32_P15</t>
        </is>
      </c>
      <c r="E918" s="40" t="n"/>
      <c r="F918" s="39" t="inlineStr">
        <is>
          <t>B_Baobá_M_32_P15</t>
        </is>
      </c>
      <c r="G918" s="40" t="n"/>
      <c r="H918" s="41" t="n"/>
      <c r="I918" s="42">
        <f>IF($H918="","",MAX(0,$H918-N($E918)))</f>
        <v/>
      </c>
      <c r="J918" s="42">
        <f>IF($H918="","",MAX(0,$H918-N($G918)))</f>
        <v/>
      </c>
    </row>
    <row r="919" ht="19.5" customHeight="1" s="72">
      <c r="A919" s="38" t="inlineStr">
        <is>
          <t>BaobáM-32-P15-SIR</t>
        </is>
      </c>
      <c r="B919" s="38" t="inlineStr">
        <is>
          <t>Fase 32</t>
        </is>
      </c>
      <c r="C919" s="38" t="inlineStr">
        <is>
          <t>Siriuna</t>
        </is>
      </c>
      <c r="D919" s="39" t="inlineStr">
        <is>
          <t>A_Baobá_M_32_P15</t>
        </is>
      </c>
      <c r="E919" s="40" t="n"/>
      <c r="F919" s="39" t="inlineStr">
        <is>
          <t>B_Baobá_M_32_P15</t>
        </is>
      </c>
      <c r="G919" s="40" t="n"/>
      <c r="H919" s="41" t="n"/>
      <c r="I919" s="42">
        <f>IF($H919="","",MAX(0,$H919-N($E919)))</f>
        <v/>
      </c>
      <c r="J919" s="42">
        <f>IF($H919="","",MAX(0,$H919-N($G919)))</f>
        <v/>
      </c>
    </row>
    <row r="920" ht="19.5" customHeight="1" s="72">
      <c r="A920" s="38" t="inlineStr">
        <is>
          <t>BaobáM-32-P16-SBA</t>
        </is>
      </c>
      <c r="B920" s="38" t="inlineStr">
        <is>
          <t>Fase 32</t>
        </is>
      </c>
      <c r="C920" s="38" t="inlineStr">
        <is>
          <t>São Bento da Abadá</t>
        </is>
      </c>
      <c r="D920" s="39" t="inlineStr">
        <is>
          <t>A_Baobá_M_32_P16</t>
        </is>
      </c>
      <c r="E920" s="40" t="n"/>
      <c r="F920" s="39" t="inlineStr">
        <is>
          <t>B_Baobá_M_32_P16</t>
        </is>
      </c>
      <c r="G920" s="40" t="n"/>
      <c r="H920" s="41" t="n"/>
      <c r="I920" s="42">
        <f>IF($H920="","",MAX(0,$H920-N($E920)))</f>
        <v/>
      </c>
      <c r="J920" s="42">
        <f>IF($H920="","",MAX(0,$H920-N($G920)))</f>
        <v/>
      </c>
    </row>
    <row r="921" ht="19.5" customHeight="1" s="72">
      <c r="A921" s="38" t="inlineStr">
        <is>
          <t>BaobáM-32-P16-BEN</t>
        </is>
      </c>
      <c r="B921" s="38" t="inlineStr">
        <is>
          <t>Fase 32</t>
        </is>
      </c>
      <c r="C921" s="38" t="inlineStr">
        <is>
          <t>Benguela</t>
        </is>
      </c>
      <c r="D921" s="39" t="inlineStr">
        <is>
          <t>A_Baobá_M_32_P16</t>
        </is>
      </c>
      <c r="E921" s="40" t="n"/>
      <c r="F921" s="39" t="inlineStr">
        <is>
          <t>B_Baobá_M_32_P16</t>
        </is>
      </c>
      <c r="G921" s="40" t="n"/>
      <c r="H921" s="41" t="n"/>
      <c r="I921" s="42">
        <f>IF($H921="","",MAX(0,$H921-N($E921)))</f>
        <v/>
      </c>
      <c r="J921" s="42">
        <f>IF($H921="","",MAX(0,$H921-N($G921)))</f>
        <v/>
      </c>
    </row>
    <row r="922" ht="19.5" customHeight="1" s="72">
      <c r="A922" s="38" t="inlineStr">
        <is>
          <t>BaobáM-32-P16-SIR</t>
        </is>
      </c>
      <c r="B922" s="38" t="inlineStr">
        <is>
          <t>Fase 32</t>
        </is>
      </c>
      <c r="C922" s="38" t="inlineStr">
        <is>
          <t>Siriuna</t>
        </is>
      </c>
      <c r="D922" s="39" t="inlineStr">
        <is>
          <t>A_Baobá_M_32_P16</t>
        </is>
      </c>
      <c r="E922" s="40" t="n"/>
      <c r="F922" s="39" t="inlineStr">
        <is>
          <t>B_Baobá_M_32_P16</t>
        </is>
      </c>
      <c r="G922" s="40" t="n"/>
      <c r="H922" s="41" t="n"/>
      <c r="I922" s="42">
        <f>IF($H922="","",MAX(0,$H922-N($E922)))</f>
        <v/>
      </c>
      <c r="J922" s="42">
        <f>IF($H922="","",MAX(0,$H922-N($G922)))</f>
        <v/>
      </c>
    </row>
    <row r="923" ht="19.5" customHeight="1" s="72">
      <c r="A923" s="38" t="inlineStr">
        <is>
          <t>BaobáM-OCT-P01-SBA</t>
        </is>
      </c>
      <c r="B923" s="38" t="inlineStr">
        <is>
          <t>Octavas</t>
        </is>
      </c>
      <c r="C923" s="38" t="inlineStr">
        <is>
          <t>São Bento da Abadá</t>
        </is>
      </c>
      <c r="D923" s="39">
        <f>IFERROR('CLASIF_Baobá_M'!$F$5,"")</f>
        <v/>
      </c>
      <c r="E923" s="40" t="n"/>
      <c r="F923" s="39">
        <f>IFERROR('CLASIF_Baobá_M'!$F$20,"")</f>
        <v/>
      </c>
      <c r="G923" s="40" t="n"/>
      <c r="H923" s="41" t="n"/>
      <c r="I923" s="42">
        <f>IF($H923="","",MAX(0,$H923-N($E923)))</f>
        <v/>
      </c>
      <c r="J923" s="42">
        <f>IF($H923="","",MAX(0,$H923-N($G923)))</f>
        <v/>
      </c>
    </row>
    <row r="924" ht="19.5" customHeight="1" s="72">
      <c r="A924" s="38" t="inlineStr">
        <is>
          <t>BaobáM-OCT-P01-BEN</t>
        </is>
      </c>
      <c r="B924" s="38" t="inlineStr">
        <is>
          <t>Octavas</t>
        </is>
      </c>
      <c r="C924" s="38" t="inlineStr">
        <is>
          <t>Benguela</t>
        </is>
      </c>
      <c r="D924" s="39">
        <f>IFERROR('CLASIF_Baobá_M'!$F$5,"")</f>
        <v/>
      </c>
      <c r="E924" s="40" t="n"/>
      <c r="F924" s="39">
        <f>IFERROR('CLASIF_Baobá_M'!$F$20,"")</f>
        <v/>
      </c>
      <c r="G924" s="40" t="n"/>
      <c r="H924" s="41" t="n"/>
      <c r="I924" s="42">
        <f>IF($H924="","",MAX(0,$H924-N($E924)))</f>
        <v/>
      </c>
      <c r="J924" s="42">
        <f>IF($H924="","",MAX(0,$H924-N($G924)))</f>
        <v/>
      </c>
    </row>
    <row r="925" ht="19.5" customHeight="1" s="72">
      <c r="A925" s="38" t="inlineStr">
        <is>
          <t>BaobáM-OCT-P01-SIR</t>
        </is>
      </c>
      <c r="B925" s="38" t="inlineStr">
        <is>
          <t>Octavas</t>
        </is>
      </c>
      <c r="C925" s="38" t="inlineStr">
        <is>
          <t>Siriuna</t>
        </is>
      </c>
      <c r="D925" s="39">
        <f>IFERROR('CLASIF_Baobá_M'!$F$5,"")</f>
        <v/>
      </c>
      <c r="E925" s="40" t="n"/>
      <c r="F925" s="39">
        <f>IFERROR('CLASIF_Baobá_M'!$F$20,"")</f>
        <v/>
      </c>
      <c r="G925" s="40" t="n"/>
      <c r="H925" s="41" t="n"/>
      <c r="I925" s="42">
        <f>IF($H925="","",MAX(0,$H925-N($E925)))</f>
        <v/>
      </c>
      <c r="J925" s="42">
        <f>IF($H925="","",MAX(0,$H925-N($G925)))</f>
        <v/>
      </c>
    </row>
    <row r="926" ht="19.5" customHeight="1" s="72">
      <c r="A926" s="38" t="inlineStr">
        <is>
          <t>BaobáM-OCT-P02-SBA</t>
        </is>
      </c>
      <c r="B926" s="38" t="inlineStr">
        <is>
          <t>Octavas</t>
        </is>
      </c>
      <c r="C926" s="38" t="inlineStr">
        <is>
          <t>São Bento da Abadá</t>
        </is>
      </c>
      <c r="D926" s="39">
        <f>IFERROR('CLASIF_Baobá_M'!$F$6,"")</f>
        <v/>
      </c>
      <c r="E926" s="40" t="n"/>
      <c r="F926" s="39">
        <f>IFERROR('CLASIF_Baobá_M'!$F$19,"")</f>
        <v/>
      </c>
      <c r="G926" s="40" t="n"/>
      <c r="H926" s="41" t="n"/>
      <c r="I926" s="42">
        <f>IF($H926="","",MAX(0,$H926-N($E926)))</f>
        <v/>
      </c>
      <c r="J926" s="42">
        <f>IF($H926="","",MAX(0,$H926-N($G926)))</f>
        <v/>
      </c>
    </row>
    <row r="927" ht="19.5" customHeight="1" s="72">
      <c r="A927" s="38" t="inlineStr">
        <is>
          <t>BaobáM-OCT-P02-BEN</t>
        </is>
      </c>
      <c r="B927" s="38" t="inlineStr">
        <is>
          <t>Octavas</t>
        </is>
      </c>
      <c r="C927" s="38" t="inlineStr">
        <is>
          <t>Benguela</t>
        </is>
      </c>
      <c r="D927" s="39">
        <f>IFERROR('CLASIF_Baobá_M'!$F$6,"")</f>
        <v/>
      </c>
      <c r="E927" s="40" t="n"/>
      <c r="F927" s="39">
        <f>IFERROR('CLASIF_Baobá_M'!$F$19,"")</f>
        <v/>
      </c>
      <c r="G927" s="40" t="n"/>
      <c r="H927" s="41" t="n"/>
      <c r="I927" s="42">
        <f>IF($H927="","",MAX(0,$H927-N($E927)))</f>
        <v/>
      </c>
      <c r="J927" s="42">
        <f>IF($H927="","",MAX(0,$H927-N($G927)))</f>
        <v/>
      </c>
    </row>
    <row r="928" ht="19.5" customHeight="1" s="72">
      <c r="A928" s="38" t="inlineStr">
        <is>
          <t>BaobáM-OCT-P02-SIR</t>
        </is>
      </c>
      <c r="B928" s="38" t="inlineStr">
        <is>
          <t>Octavas</t>
        </is>
      </c>
      <c r="C928" s="38" t="inlineStr">
        <is>
          <t>Siriuna</t>
        </is>
      </c>
      <c r="D928" s="39">
        <f>IFERROR('CLASIF_Baobá_M'!$F$6,"")</f>
        <v/>
      </c>
      <c r="E928" s="40" t="n"/>
      <c r="F928" s="39">
        <f>IFERROR('CLASIF_Baobá_M'!$F$19,"")</f>
        <v/>
      </c>
      <c r="G928" s="40" t="n"/>
      <c r="H928" s="41" t="n"/>
      <c r="I928" s="42">
        <f>IF($H928="","",MAX(0,$H928-N($E928)))</f>
        <v/>
      </c>
      <c r="J928" s="42">
        <f>IF($H928="","",MAX(0,$H928-N($G928)))</f>
        <v/>
      </c>
    </row>
    <row r="929" ht="19.5" customHeight="1" s="72">
      <c r="A929" s="38" t="inlineStr">
        <is>
          <t>BaobáM-OCT-P03-SBA</t>
        </is>
      </c>
      <c r="B929" s="38" t="inlineStr">
        <is>
          <t>Octavas</t>
        </is>
      </c>
      <c r="C929" s="38" t="inlineStr">
        <is>
          <t>São Bento da Abadá</t>
        </is>
      </c>
      <c r="D929" s="39">
        <f>IFERROR('CLASIF_Baobá_M'!$F$7,"")</f>
        <v/>
      </c>
      <c r="E929" s="40" t="n"/>
      <c r="F929" s="39">
        <f>IFERROR('CLASIF_Baobá_M'!$F$18,"")</f>
        <v/>
      </c>
      <c r="G929" s="40" t="n"/>
      <c r="H929" s="41" t="n"/>
      <c r="I929" s="42">
        <f>IF($H929="","",MAX(0,$H929-N($E929)))</f>
        <v/>
      </c>
      <c r="J929" s="42">
        <f>IF($H929="","",MAX(0,$H929-N($G929)))</f>
        <v/>
      </c>
    </row>
    <row r="930" ht="19.5" customHeight="1" s="72">
      <c r="A930" s="38" t="inlineStr">
        <is>
          <t>BaobáM-OCT-P03-BEN</t>
        </is>
      </c>
      <c r="B930" s="38" t="inlineStr">
        <is>
          <t>Octavas</t>
        </is>
      </c>
      <c r="C930" s="38" t="inlineStr">
        <is>
          <t>Benguela</t>
        </is>
      </c>
      <c r="D930" s="39">
        <f>IFERROR('CLASIF_Baobá_M'!$F$7,"")</f>
        <v/>
      </c>
      <c r="E930" s="40" t="n"/>
      <c r="F930" s="39">
        <f>IFERROR('CLASIF_Baobá_M'!$F$18,"")</f>
        <v/>
      </c>
      <c r="G930" s="40" t="n"/>
      <c r="H930" s="41" t="n"/>
      <c r="I930" s="42">
        <f>IF($H930="","",MAX(0,$H930-N($E930)))</f>
        <v/>
      </c>
      <c r="J930" s="42">
        <f>IF($H930="","",MAX(0,$H930-N($G930)))</f>
        <v/>
      </c>
    </row>
    <row r="931" ht="19.5" customHeight="1" s="72">
      <c r="A931" s="38" t="inlineStr">
        <is>
          <t>BaobáM-OCT-P03-SIR</t>
        </is>
      </c>
      <c r="B931" s="38" t="inlineStr">
        <is>
          <t>Octavas</t>
        </is>
      </c>
      <c r="C931" s="38" t="inlineStr">
        <is>
          <t>Siriuna</t>
        </is>
      </c>
      <c r="D931" s="39">
        <f>IFERROR('CLASIF_Baobá_M'!$F$7,"")</f>
        <v/>
      </c>
      <c r="E931" s="40" t="n"/>
      <c r="F931" s="39">
        <f>IFERROR('CLASIF_Baobá_M'!$F$18,"")</f>
        <v/>
      </c>
      <c r="G931" s="40" t="n"/>
      <c r="H931" s="41" t="n"/>
      <c r="I931" s="42">
        <f>IF($H931="","",MAX(0,$H931-N($E931)))</f>
        <v/>
      </c>
      <c r="J931" s="42">
        <f>IF($H931="","",MAX(0,$H931-N($G931)))</f>
        <v/>
      </c>
    </row>
    <row r="932" ht="19.5" customHeight="1" s="72">
      <c r="A932" s="38" t="inlineStr">
        <is>
          <t>BaobáM-OCT-P04-SBA</t>
        </is>
      </c>
      <c r="B932" s="38" t="inlineStr">
        <is>
          <t>Octavas</t>
        </is>
      </c>
      <c r="C932" s="38" t="inlineStr">
        <is>
          <t>São Bento da Abadá</t>
        </is>
      </c>
      <c r="D932" s="39">
        <f>IFERROR('CLASIF_Baobá_M'!$F$8,"")</f>
        <v/>
      </c>
      <c r="E932" s="40" t="n"/>
      <c r="F932" s="39">
        <f>IFERROR('CLASIF_Baobá_M'!$F$17,"")</f>
        <v/>
      </c>
      <c r="G932" s="40" t="n"/>
      <c r="H932" s="41" t="n"/>
      <c r="I932" s="42">
        <f>IF($H932="","",MAX(0,$H932-N($E932)))</f>
        <v/>
      </c>
      <c r="J932" s="42">
        <f>IF($H932="","",MAX(0,$H932-N($G932)))</f>
        <v/>
      </c>
    </row>
    <row r="933" ht="19.5" customHeight="1" s="72">
      <c r="A933" s="38" t="inlineStr">
        <is>
          <t>BaobáM-OCT-P04-BEN</t>
        </is>
      </c>
      <c r="B933" s="38" t="inlineStr">
        <is>
          <t>Octavas</t>
        </is>
      </c>
      <c r="C933" s="38" t="inlineStr">
        <is>
          <t>Benguela</t>
        </is>
      </c>
      <c r="D933" s="39">
        <f>IFERROR('CLASIF_Baobá_M'!$F$8,"")</f>
        <v/>
      </c>
      <c r="E933" s="40" t="n"/>
      <c r="F933" s="39">
        <f>IFERROR('CLASIF_Baobá_M'!$F$17,"")</f>
        <v/>
      </c>
      <c r="G933" s="40" t="n"/>
      <c r="H933" s="41" t="n"/>
      <c r="I933" s="42">
        <f>IF($H933="","",MAX(0,$H933-N($E933)))</f>
        <v/>
      </c>
      <c r="J933" s="42">
        <f>IF($H933="","",MAX(0,$H933-N($G933)))</f>
        <v/>
      </c>
    </row>
    <row r="934" ht="19.5" customHeight="1" s="72">
      <c r="A934" s="38" t="inlineStr">
        <is>
          <t>BaobáM-OCT-P04-SIR</t>
        </is>
      </c>
      <c r="B934" s="38" t="inlineStr">
        <is>
          <t>Octavas</t>
        </is>
      </c>
      <c r="C934" s="38" t="inlineStr">
        <is>
          <t>Siriuna</t>
        </is>
      </c>
      <c r="D934" s="39">
        <f>IFERROR('CLASIF_Baobá_M'!$F$8,"")</f>
        <v/>
      </c>
      <c r="E934" s="40" t="n"/>
      <c r="F934" s="39">
        <f>IFERROR('CLASIF_Baobá_M'!$F$17,"")</f>
        <v/>
      </c>
      <c r="G934" s="40" t="n"/>
      <c r="H934" s="41" t="n"/>
      <c r="I934" s="42">
        <f>IF($H934="","",MAX(0,$H934-N($E934)))</f>
        <v/>
      </c>
      <c r="J934" s="42">
        <f>IF($H934="","",MAX(0,$H934-N($G934)))</f>
        <v/>
      </c>
    </row>
    <row r="935" ht="19.5" customHeight="1" s="72">
      <c r="A935" s="38" t="inlineStr">
        <is>
          <t>BaobáM-OCT-P05-SBA</t>
        </is>
      </c>
      <c r="B935" s="38" t="inlineStr">
        <is>
          <t>Octavas</t>
        </is>
      </c>
      <c r="C935" s="38" t="inlineStr">
        <is>
          <t>São Bento da Abadá</t>
        </is>
      </c>
      <c r="D935" s="39">
        <f>IFERROR('CLASIF_Baobá_M'!$F$9,"")</f>
        <v/>
      </c>
      <c r="E935" s="40" t="n"/>
      <c r="F935" s="39">
        <f>IFERROR('CLASIF_Baobá_M'!$F$16,"")</f>
        <v/>
      </c>
      <c r="G935" s="40" t="n"/>
      <c r="H935" s="41" t="n"/>
      <c r="I935" s="42">
        <f>IF($H935="","",MAX(0,$H935-N($E935)))</f>
        <v/>
      </c>
      <c r="J935" s="42">
        <f>IF($H935="","",MAX(0,$H935-N($G935)))</f>
        <v/>
      </c>
    </row>
    <row r="936" ht="19.5" customHeight="1" s="72">
      <c r="A936" s="38" t="inlineStr">
        <is>
          <t>BaobáM-OCT-P05-BEN</t>
        </is>
      </c>
      <c r="B936" s="38" t="inlineStr">
        <is>
          <t>Octavas</t>
        </is>
      </c>
      <c r="C936" s="38" t="inlineStr">
        <is>
          <t>Benguela</t>
        </is>
      </c>
      <c r="D936" s="39">
        <f>IFERROR('CLASIF_Baobá_M'!$F$9,"")</f>
        <v/>
      </c>
      <c r="E936" s="40" t="n"/>
      <c r="F936" s="39">
        <f>IFERROR('CLASIF_Baobá_M'!$F$16,"")</f>
        <v/>
      </c>
      <c r="G936" s="40" t="n"/>
      <c r="H936" s="41" t="n"/>
      <c r="I936" s="42">
        <f>IF($H936="","",MAX(0,$H936-N($E936)))</f>
        <v/>
      </c>
      <c r="J936" s="42">
        <f>IF($H936="","",MAX(0,$H936-N($G936)))</f>
        <v/>
      </c>
    </row>
    <row r="937" ht="19.5" customHeight="1" s="72">
      <c r="A937" s="38" t="inlineStr">
        <is>
          <t>BaobáM-OCT-P05-SIR</t>
        </is>
      </c>
      <c r="B937" s="38" t="inlineStr">
        <is>
          <t>Octavas</t>
        </is>
      </c>
      <c r="C937" s="38" t="inlineStr">
        <is>
          <t>Siriuna</t>
        </is>
      </c>
      <c r="D937" s="39">
        <f>IFERROR('CLASIF_Baobá_M'!$F$9,"")</f>
        <v/>
      </c>
      <c r="E937" s="40" t="n"/>
      <c r="F937" s="39">
        <f>IFERROR('CLASIF_Baobá_M'!$F$16,"")</f>
        <v/>
      </c>
      <c r="G937" s="40" t="n"/>
      <c r="H937" s="41" t="n"/>
      <c r="I937" s="42">
        <f>IF($H937="","",MAX(0,$H937-N($E937)))</f>
        <v/>
      </c>
      <c r="J937" s="42">
        <f>IF($H937="","",MAX(0,$H937-N($G937)))</f>
        <v/>
      </c>
    </row>
    <row r="938" ht="19.5" customHeight="1" s="72">
      <c r="A938" s="38" t="inlineStr">
        <is>
          <t>BaobáM-OCT-P06-SBA</t>
        </is>
      </c>
      <c r="B938" s="38" t="inlineStr">
        <is>
          <t>Octavas</t>
        </is>
      </c>
      <c r="C938" s="38" t="inlineStr">
        <is>
          <t>São Bento da Abadá</t>
        </is>
      </c>
      <c r="D938" s="39">
        <f>IFERROR('CLASIF_Baobá_M'!$F$10,"")</f>
        <v/>
      </c>
      <c r="E938" s="40" t="n"/>
      <c r="F938" s="39">
        <f>IFERROR('CLASIF_Baobá_M'!$F$15,"")</f>
        <v/>
      </c>
      <c r="G938" s="40" t="n"/>
      <c r="H938" s="41" t="n"/>
      <c r="I938" s="42">
        <f>IF($H938="","",MAX(0,$H938-N($E938)))</f>
        <v/>
      </c>
      <c r="J938" s="42">
        <f>IF($H938="","",MAX(0,$H938-N($G938)))</f>
        <v/>
      </c>
    </row>
    <row r="939" ht="19.5" customHeight="1" s="72">
      <c r="A939" s="38" t="inlineStr">
        <is>
          <t>BaobáM-OCT-P06-BEN</t>
        </is>
      </c>
      <c r="B939" s="38" t="inlineStr">
        <is>
          <t>Octavas</t>
        </is>
      </c>
      <c r="C939" s="38" t="inlineStr">
        <is>
          <t>Benguela</t>
        </is>
      </c>
      <c r="D939" s="39">
        <f>IFERROR('CLASIF_Baobá_M'!$F$10,"")</f>
        <v/>
      </c>
      <c r="E939" s="40" t="n"/>
      <c r="F939" s="39">
        <f>IFERROR('CLASIF_Baobá_M'!$F$15,"")</f>
        <v/>
      </c>
      <c r="G939" s="40" t="n"/>
      <c r="H939" s="41" t="n"/>
      <c r="I939" s="42">
        <f>IF($H939="","",MAX(0,$H939-N($E939)))</f>
        <v/>
      </c>
      <c r="J939" s="42">
        <f>IF($H939="","",MAX(0,$H939-N($G939)))</f>
        <v/>
      </c>
    </row>
    <row r="940" ht="19.5" customHeight="1" s="72">
      <c r="A940" s="38" t="inlineStr">
        <is>
          <t>BaobáM-OCT-P06-SIR</t>
        </is>
      </c>
      <c r="B940" s="38" t="inlineStr">
        <is>
          <t>Octavas</t>
        </is>
      </c>
      <c r="C940" s="38" t="inlineStr">
        <is>
          <t>Siriuna</t>
        </is>
      </c>
      <c r="D940" s="39">
        <f>IFERROR('CLASIF_Baobá_M'!$F$10,"")</f>
        <v/>
      </c>
      <c r="E940" s="40" t="n"/>
      <c r="F940" s="39">
        <f>IFERROR('CLASIF_Baobá_M'!$F$15,"")</f>
        <v/>
      </c>
      <c r="G940" s="40" t="n"/>
      <c r="H940" s="41" t="n"/>
      <c r="I940" s="42">
        <f>IF($H940="","",MAX(0,$H940-N($E940)))</f>
        <v/>
      </c>
      <c r="J940" s="42">
        <f>IF($H940="","",MAX(0,$H940-N($G940)))</f>
        <v/>
      </c>
    </row>
    <row r="941" ht="19.5" customHeight="1" s="72">
      <c r="A941" s="38" t="inlineStr">
        <is>
          <t>BaobáM-OCT-P07-SBA</t>
        </is>
      </c>
      <c r="B941" s="38" t="inlineStr">
        <is>
          <t>Octavas</t>
        </is>
      </c>
      <c r="C941" s="38" t="inlineStr">
        <is>
          <t>São Bento da Abadá</t>
        </is>
      </c>
      <c r="D941" s="39">
        <f>IFERROR('CLASIF_Baobá_M'!$F$11,"")</f>
        <v/>
      </c>
      <c r="E941" s="40" t="n"/>
      <c r="F941" s="39">
        <f>IFERROR('CLASIF_Baobá_M'!$F$14,"")</f>
        <v/>
      </c>
      <c r="G941" s="40" t="n"/>
      <c r="H941" s="41" t="n"/>
      <c r="I941" s="42">
        <f>IF($H941="","",MAX(0,$H941-N($E941)))</f>
        <v/>
      </c>
      <c r="J941" s="42">
        <f>IF($H941="","",MAX(0,$H941-N($G941)))</f>
        <v/>
      </c>
    </row>
    <row r="942" ht="19.5" customHeight="1" s="72">
      <c r="A942" s="38" t="inlineStr">
        <is>
          <t>BaobáM-OCT-P07-BEN</t>
        </is>
      </c>
      <c r="B942" s="38" t="inlineStr">
        <is>
          <t>Octavas</t>
        </is>
      </c>
      <c r="C942" s="38" t="inlineStr">
        <is>
          <t>Benguela</t>
        </is>
      </c>
      <c r="D942" s="39">
        <f>IFERROR('CLASIF_Baobá_M'!$F$11,"")</f>
        <v/>
      </c>
      <c r="E942" s="40" t="n"/>
      <c r="F942" s="39">
        <f>IFERROR('CLASIF_Baobá_M'!$F$14,"")</f>
        <v/>
      </c>
      <c r="G942" s="40" t="n"/>
      <c r="H942" s="41" t="n"/>
      <c r="I942" s="42">
        <f>IF($H942="","",MAX(0,$H942-N($E942)))</f>
        <v/>
      </c>
      <c r="J942" s="42">
        <f>IF($H942="","",MAX(0,$H942-N($G942)))</f>
        <v/>
      </c>
    </row>
    <row r="943" ht="19.5" customHeight="1" s="72">
      <c r="A943" s="38" t="inlineStr">
        <is>
          <t>BaobáM-OCT-P07-SIR</t>
        </is>
      </c>
      <c r="B943" s="38" t="inlineStr">
        <is>
          <t>Octavas</t>
        </is>
      </c>
      <c r="C943" s="38" t="inlineStr">
        <is>
          <t>Siriuna</t>
        </is>
      </c>
      <c r="D943" s="39">
        <f>IFERROR('CLASIF_Baobá_M'!$F$11,"")</f>
        <v/>
      </c>
      <c r="E943" s="40" t="n"/>
      <c r="F943" s="39">
        <f>IFERROR('CLASIF_Baobá_M'!$F$14,"")</f>
        <v/>
      </c>
      <c r="G943" s="40" t="n"/>
      <c r="H943" s="41" t="n"/>
      <c r="I943" s="42">
        <f>IF($H943="","",MAX(0,$H943-N($E943)))</f>
        <v/>
      </c>
      <c r="J943" s="42">
        <f>IF($H943="","",MAX(0,$H943-N($G943)))</f>
        <v/>
      </c>
    </row>
    <row r="944" ht="19.5" customHeight="1" s="72">
      <c r="A944" s="38" t="inlineStr">
        <is>
          <t>BaobáM-OCT-P08-SBA</t>
        </is>
      </c>
      <c r="B944" s="38" t="inlineStr">
        <is>
          <t>Octavas</t>
        </is>
      </c>
      <c r="C944" s="38" t="inlineStr">
        <is>
          <t>São Bento da Abadá</t>
        </is>
      </c>
      <c r="D944" s="39">
        <f>IFERROR('CLASIF_Baobá_M'!$F$12,"")</f>
        <v/>
      </c>
      <c r="E944" s="40" t="n"/>
      <c r="F944" s="39">
        <f>IFERROR('CLASIF_Baobá_M'!$F$13,"")</f>
        <v/>
      </c>
      <c r="G944" s="40" t="n"/>
      <c r="H944" s="41" t="n"/>
      <c r="I944" s="42">
        <f>IF($H944="","",MAX(0,$H944-N($E944)))</f>
        <v/>
      </c>
      <c r="J944" s="42">
        <f>IF($H944="","",MAX(0,$H944-N($G944)))</f>
        <v/>
      </c>
    </row>
    <row r="945" ht="19.5" customHeight="1" s="72">
      <c r="A945" s="38" t="inlineStr">
        <is>
          <t>BaobáM-OCT-P08-BEN</t>
        </is>
      </c>
      <c r="B945" s="38" t="inlineStr">
        <is>
          <t>Octavas</t>
        </is>
      </c>
      <c r="C945" s="38" t="inlineStr">
        <is>
          <t>Benguela</t>
        </is>
      </c>
      <c r="D945" s="39">
        <f>IFERROR('CLASIF_Baobá_M'!$F$12,"")</f>
        <v/>
      </c>
      <c r="E945" s="40" t="n"/>
      <c r="F945" s="39">
        <f>IFERROR('CLASIF_Baobá_M'!$F$13,"")</f>
        <v/>
      </c>
      <c r="G945" s="40" t="n"/>
      <c r="H945" s="41" t="n"/>
      <c r="I945" s="42">
        <f>IF($H945="","",MAX(0,$H945-N($E945)))</f>
        <v/>
      </c>
      <c r="J945" s="42">
        <f>IF($H945="","",MAX(0,$H945-N($G945)))</f>
        <v/>
      </c>
    </row>
    <row r="946" ht="19.5" customHeight="1" s="72">
      <c r="A946" s="38" t="inlineStr">
        <is>
          <t>BaobáM-OCT-P08-SIR</t>
        </is>
      </c>
      <c r="B946" s="38" t="inlineStr">
        <is>
          <t>Octavas</t>
        </is>
      </c>
      <c r="C946" s="38" t="inlineStr">
        <is>
          <t>Siriuna</t>
        </is>
      </c>
      <c r="D946" s="39">
        <f>IFERROR('CLASIF_Baobá_M'!$F$12,"")</f>
        <v/>
      </c>
      <c r="E946" s="40" t="n"/>
      <c r="F946" s="39">
        <f>IFERROR('CLASIF_Baobá_M'!$F$13,"")</f>
        <v/>
      </c>
      <c r="G946" s="40" t="n"/>
      <c r="H946" s="41" t="n"/>
      <c r="I946" s="42">
        <f>IF($H946="","",MAX(0,$H946-N($E946)))</f>
        <v/>
      </c>
      <c r="J946" s="42">
        <f>IF($H946="","",MAX(0,$H946-N($G946)))</f>
        <v/>
      </c>
    </row>
    <row r="947" ht="19.5" customHeight="1" s="72">
      <c r="A947" s="38" t="inlineStr">
        <is>
          <t>BaobáM-SEM-P01-SBA</t>
        </is>
      </c>
      <c r="B947" s="38" t="inlineStr">
        <is>
          <t>Semifinal</t>
        </is>
      </c>
      <c r="C947" s="38" t="inlineStr">
        <is>
          <t>São Bento da Abadá</t>
        </is>
      </c>
      <c r="D947" s="39">
        <f>IFERROR('CLASIF_Baobá_M'!$O$5,"")</f>
        <v/>
      </c>
      <c r="E947" s="40" t="n"/>
      <c r="F947" s="39">
        <f>IFERROR('CLASIF_Baobá_M'!$O$12,"")</f>
        <v/>
      </c>
      <c r="G947" s="40" t="n"/>
      <c r="H947" s="41" t="n"/>
      <c r="I947" s="42">
        <f>IF($H947="","",MAX(0,$H947-N($E947)))</f>
        <v/>
      </c>
      <c r="J947" s="42">
        <f>IF($H947="","",MAX(0,$H947-N($G947)))</f>
        <v/>
      </c>
    </row>
    <row r="948" ht="19.5" customHeight="1" s="72">
      <c r="A948" s="38" t="inlineStr">
        <is>
          <t>BaobáM-SEM-P01-BEN</t>
        </is>
      </c>
      <c r="B948" s="38" t="inlineStr">
        <is>
          <t>Semifinal</t>
        </is>
      </c>
      <c r="C948" s="38" t="inlineStr">
        <is>
          <t>Benguela</t>
        </is>
      </c>
      <c r="D948" s="39">
        <f>IFERROR('CLASIF_Baobá_M'!$O$5,"")</f>
        <v/>
      </c>
      <c r="E948" s="40" t="n"/>
      <c r="F948" s="39">
        <f>IFERROR('CLASIF_Baobá_M'!$O$12,"")</f>
        <v/>
      </c>
      <c r="G948" s="40" t="n"/>
      <c r="H948" s="41" t="n"/>
      <c r="I948" s="42">
        <f>IF($H948="","",MAX(0,$H948-N($E948)))</f>
        <v/>
      </c>
      <c r="J948" s="42">
        <f>IF($H948="","",MAX(0,$H948-N($G948)))</f>
        <v/>
      </c>
    </row>
    <row r="949" ht="19.5" customHeight="1" s="72">
      <c r="A949" s="38" t="inlineStr">
        <is>
          <t>BaobáM-SEM-P01-SIR</t>
        </is>
      </c>
      <c r="B949" s="38" t="inlineStr">
        <is>
          <t>Semifinal</t>
        </is>
      </c>
      <c r="C949" s="38" t="inlineStr">
        <is>
          <t>Siriuna</t>
        </is>
      </c>
      <c r="D949" s="39">
        <f>IFERROR('CLASIF_Baobá_M'!$O$5,"")</f>
        <v/>
      </c>
      <c r="E949" s="40" t="n"/>
      <c r="F949" s="39">
        <f>IFERROR('CLASIF_Baobá_M'!$O$12,"")</f>
        <v/>
      </c>
      <c r="G949" s="40" t="n"/>
      <c r="H949" s="41" t="n"/>
      <c r="I949" s="42">
        <f>IF($H949="","",MAX(0,$H949-N($E949)))</f>
        <v/>
      </c>
      <c r="J949" s="42">
        <f>IF($H949="","",MAX(0,$H949-N($G949)))</f>
        <v/>
      </c>
    </row>
    <row r="950" ht="19.5" customHeight="1" s="72">
      <c r="A950" s="38" t="inlineStr">
        <is>
          <t>BaobáM-SEM-P02-SBA</t>
        </is>
      </c>
      <c r="B950" s="38" t="inlineStr">
        <is>
          <t>Semifinal</t>
        </is>
      </c>
      <c r="C950" s="38" t="inlineStr">
        <is>
          <t>São Bento da Abadá</t>
        </is>
      </c>
      <c r="D950" s="39">
        <f>IFERROR('CLASIF_Baobá_M'!$O$6,"")</f>
        <v/>
      </c>
      <c r="E950" s="40" t="n"/>
      <c r="F950" s="39">
        <f>IFERROR('CLASIF_Baobá_M'!$O$11,"")</f>
        <v/>
      </c>
      <c r="G950" s="40" t="n"/>
      <c r="H950" s="41" t="n"/>
      <c r="I950" s="42">
        <f>IF($H950="","",MAX(0,$H950-N($E950)))</f>
        <v/>
      </c>
      <c r="J950" s="42">
        <f>IF($H950="","",MAX(0,$H950-N($G950)))</f>
        <v/>
      </c>
    </row>
    <row r="951" ht="19.5" customHeight="1" s="72">
      <c r="A951" s="38" t="inlineStr">
        <is>
          <t>BaobáM-SEM-P02-BEN</t>
        </is>
      </c>
      <c r="B951" s="38" t="inlineStr">
        <is>
          <t>Semifinal</t>
        </is>
      </c>
      <c r="C951" s="38" t="inlineStr">
        <is>
          <t>Benguela</t>
        </is>
      </c>
      <c r="D951" s="39">
        <f>IFERROR('CLASIF_Baobá_M'!$O$6,"")</f>
        <v/>
      </c>
      <c r="E951" s="40" t="n"/>
      <c r="F951" s="39">
        <f>IFERROR('CLASIF_Baobá_M'!$O$11,"")</f>
        <v/>
      </c>
      <c r="G951" s="40" t="n"/>
      <c r="H951" s="41" t="n"/>
      <c r="I951" s="42">
        <f>IF($H951="","",MAX(0,$H951-N($E951)))</f>
        <v/>
      </c>
      <c r="J951" s="42">
        <f>IF($H951="","",MAX(0,$H951-N($G951)))</f>
        <v/>
      </c>
    </row>
    <row r="952" ht="19.5" customHeight="1" s="72">
      <c r="A952" s="38" t="inlineStr">
        <is>
          <t>BaobáM-SEM-P02-SIR</t>
        </is>
      </c>
      <c r="B952" s="38" t="inlineStr">
        <is>
          <t>Semifinal</t>
        </is>
      </c>
      <c r="C952" s="38" t="inlineStr">
        <is>
          <t>Siriuna</t>
        </is>
      </c>
      <c r="D952" s="39">
        <f>IFERROR('CLASIF_Baobá_M'!$O$6,"")</f>
        <v/>
      </c>
      <c r="E952" s="40" t="n"/>
      <c r="F952" s="39">
        <f>IFERROR('CLASIF_Baobá_M'!$O$11,"")</f>
        <v/>
      </c>
      <c r="G952" s="40" t="n"/>
      <c r="H952" s="41" t="n"/>
      <c r="I952" s="42">
        <f>IF($H952="","",MAX(0,$H952-N($E952)))</f>
        <v/>
      </c>
      <c r="J952" s="42">
        <f>IF($H952="","",MAX(0,$H952-N($G952)))</f>
        <v/>
      </c>
    </row>
    <row r="953" ht="19.5" customHeight="1" s="72">
      <c r="A953" s="38" t="inlineStr">
        <is>
          <t>BaobáM-SEM-P03-SBA</t>
        </is>
      </c>
      <c r="B953" s="38" t="inlineStr">
        <is>
          <t>Semifinal</t>
        </is>
      </c>
      <c r="C953" s="38" t="inlineStr">
        <is>
          <t>São Bento da Abadá</t>
        </is>
      </c>
      <c r="D953" s="39">
        <f>IFERROR('CLASIF_Baobá_M'!$O$7,"")</f>
        <v/>
      </c>
      <c r="E953" s="40" t="n"/>
      <c r="F953" s="39">
        <f>IFERROR('CLASIF_Baobá_M'!$O$10,"")</f>
        <v/>
      </c>
      <c r="G953" s="40" t="n"/>
      <c r="H953" s="41" t="n"/>
      <c r="I953" s="42">
        <f>IF($H953="","",MAX(0,$H953-N($E953)))</f>
        <v/>
      </c>
      <c r="J953" s="42">
        <f>IF($H953="","",MAX(0,$H953-N($G953)))</f>
        <v/>
      </c>
    </row>
    <row r="954" ht="19.5" customHeight="1" s="72">
      <c r="A954" s="38" t="inlineStr">
        <is>
          <t>BaobáM-SEM-P03-BEN</t>
        </is>
      </c>
      <c r="B954" s="38" t="inlineStr">
        <is>
          <t>Semifinal</t>
        </is>
      </c>
      <c r="C954" s="38" t="inlineStr">
        <is>
          <t>Benguela</t>
        </is>
      </c>
      <c r="D954" s="39">
        <f>IFERROR('CLASIF_Baobá_M'!$O$7,"")</f>
        <v/>
      </c>
      <c r="E954" s="40" t="n"/>
      <c r="F954" s="39">
        <f>IFERROR('CLASIF_Baobá_M'!$O$10,"")</f>
        <v/>
      </c>
      <c r="G954" s="40" t="n"/>
      <c r="H954" s="41" t="n"/>
      <c r="I954" s="42">
        <f>IF($H954="","",MAX(0,$H954-N($E954)))</f>
        <v/>
      </c>
      <c r="J954" s="42">
        <f>IF($H954="","",MAX(0,$H954-N($G954)))</f>
        <v/>
      </c>
    </row>
    <row r="955" ht="19.5" customHeight="1" s="72">
      <c r="A955" s="38" t="inlineStr">
        <is>
          <t>BaobáM-SEM-P03-SIR</t>
        </is>
      </c>
      <c r="B955" s="38" t="inlineStr">
        <is>
          <t>Semifinal</t>
        </is>
      </c>
      <c r="C955" s="38" t="inlineStr">
        <is>
          <t>Siriuna</t>
        </is>
      </c>
      <c r="D955" s="39">
        <f>IFERROR('CLASIF_Baobá_M'!$O$7,"")</f>
        <v/>
      </c>
      <c r="E955" s="40" t="n"/>
      <c r="F955" s="39">
        <f>IFERROR('CLASIF_Baobá_M'!$O$10,"")</f>
        <v/>
      </c>
      <c r="G955" s="40" t="n"/>
      <c r="H955" s="41" t="n"/>
      <c r="I955" s="42">
        <f>IF($H955="","",MAX(0,$H955-N($E955)))</f>
        <v/>
      </c>
      <c r="J955" s="42">
        <f>IF($H955="","",MAX(0,$H955-N($G955)))</f>
        <v/>
      </c>
    </row>
    <row r="956" ht="19.5" customHeight="1" s="72">
      <c r="A956" s="38" t="inlineStr">
        <is>
          <t>BaobáM-SEM-P04-SBA</t>
        </is>
      </c>
      <c r="B956" s="38" t="inlineStr">
        <is>
          <t>Semifinal</t>
        </is>
      </c>
      <c r="C956" s="38" t="inlineStr">
        <is>
          <t>São Bento da Abadá</t>
        </is>
      </c>
      <c r="D956" s="39">
        <f>IFERROR('CLASIF_Baobá_M'!$O$8,"")</f>
        <v/>
      </c>
      <c r="E956" s="40" t="n"/>
      <c r="F956" s="39">
        <f>IFERROR('CLASIF_Baobá_M'!$O$9,"")</f>
        <v/>
      </c>
      <c r="G956" s="40" t="n"/>
      <c r="H956" s="41" t="n"/>
      <c r="I956" s="42">
        <f>IF($H956="","",MAX(0,$H956-N($E956)))</f>
        <v/>
      </c>
      <c r="J956" s="42">
        <f>IF($H956="","",MAX(0,$H956-N($G956)))</f>
        <v/>
      </c>
    </row>
    <row r="957" ht="19.5" customHeight="1" s="72">
      <c r="A957" s="38" t="inlineStr">
        <is>
          <t>BaobáM-SEM-P04-BEN</t>
        </is>
      </c>
      <c r="B957" s="38" t="inlineStr">
        <is>
          <t>Semifinal</t>
        </is>
      </c>
      <c r="C957" s="38" t="inlineStr">
        <is>
          <t>Benguela</t>
        </is>
      </c>
      <c r="D957" s="39">
        <f>IFERROR('CLASIF_Baobá_M'!$O$8,"")</f>
        <v/>
      </c>
      <c r="E957" s="40" t="n"/>
      <c r="F957" s="39">
        <f>IFERROR('CLASIF_Baobá_M'!$O$9,"")</f>
        <v/>
      </c>
      <c r="G957" s="40" t="n"/>
      <c r="H957" s="41" t="n"/>
      <c r="I957" s="42">
        <f>IF($H957="","",MAX(0,$H957-N($E957)))</f>
        <v/>
      </c>
      <c r="J957" s="42">
        <f>IF($H957="","",MAX(0,$H957-N($G957)))</f>
        <v/>
      </c>
    </row>
    <row r="958" ht="19.5" customHeight="1" s="72">
      <c r="A958" s="38" t="inlineStr">
        <is>
          <t>BaobáM-SEM-P04-SIR</t>
        </is>
      </c>
      <c r="B958" s="38" t="inlineStr">
        <is>
          <t>Semifinal</t>
        </is>
      </c>
      <c r="C958" s="38" t="inlineStr">
        <is>
          <t>Siriuna</t>
        </is>
      </c>
      <c r="D958" s="39">
        <f>IFERROR('CLASIF_Baobá_M'!$O$8,"")</f>
        <v/>
      </c>
      <c r="E958" s="40" t="n"/>
      <c r="F958" s="39">
        <f>IFERROR('CLASIF_Baobá_M'!$O$9,"")</f>
        <v/>
      </c>
      <c r="G958" s="40" t="n"/>
      <c r="H958" s="41" t="n"/>
      <c r="I958" s="42">
        <f>IF($H958="","",MAX(0,$H958-N($E958)))</f>
        <v/>
      </c>
      <c r="J958" s="42">
        <f>IF($H958="","",MAX(0,$H958-N($G958)))</f>
        <v/>
      </c>
    </row>
    <row r="959" ht="19.5" customHeight="1" s="72">
      <c r="A959" s="38" t="inlineStr">
        <is>
          <t>BaobáM-FIN-P01-SBA</t>
        </is>
      </c>
      <c r="B959" s="38" t="inlineStr">
        <is>
          <t>Final</t>
        </is>
      </c>
      <c r="C959" s="38" t="inlineStr">
        <is>
          <t>São Bento da Abadá</t>
        </is>
      </c>
      <c r="D959" s="39">
        <f>IFERROR('CLASIF_Baobá_M'!$X$5,"")</f>
        <v/>
      </c>
      <c r="E959" s="40" t="n"/>
      <c r="F959" s="39">
        <f>IFERROR('CLASIF_Baobá_M'!$X$8,"")</f>
        <v/>
      </c>
      <c r="G959" s="40" t="n"/>
      <c r="H959" s="41" t="n"/>
      <c r="I959" s="42">
        <f>IF($H959="","",MAX(0,$H959-N($E959)))</f>
        <v/>
      </c>
      <c r="J959" s="42">
        <f>IF($H959="","",MAX(0,$H959-N($G959)))</f>
        <v/>
      </c>
    </row>
    <row r="960" ht="19.5" customHeight="1" s="72">
      <c r="A960" s="38" t="inlineStr">
        <is>
          <t>BaobáM-FIN-P01-BEN</t>
        </is>
      </c>
      <c r="B960" s="38" t="inlineStr">
        <is>
          <t>Final</t>
        </is>
      </c>
      <c r="C960" s="38" t="inlineStr">
        <is>
          <t>Benguela</t>
        </is>
      </c>
      <c r="D960" s="39">
        <f>IFERROR('CLASIF_Baobá_M'!$X$5,"")</f>
        <v/>
      </c>
      <c r="E960" s="40" t="n"/>
      <c r="F960" s="39">
        <f>IFERROR('CLASIF_Baobá_M'!$X$8,"")</f>
        <v/>
      </c>
      <c r="G960" s="40" t="n"/>
      <c r="H960" s="41" t="n"/>
      <c r="I960" s="42">
        <f>IF($H960="","",MAX(0,$H960-N($E960)))</f>
        <v/>
      </c>
      <c r="J960" s="42">
        <f>IF($H960="","",MAX(0,$H960-N($G960)))</f>
        <v/>
      </c>
    </row>
    <row r="961" ht="19.5" customHeight="1" s="72">
      <c r="A961" s="38" t="inlineStr">
        <is>
          <t>BaobáM-FIN-P01-SIR</t>
        </is>
      </c>
      <c r="B961" s="38" t="inlineStr">
        <is>
          <t>Final</t>
        </is>
      </c>
      <c r="C961" s="38" t="inlineStr">
        <is>
          <t>Siriuna</t>
        </is>
      </c>
      <c r="D961" s="39">
        <f>IFERROR('CLASIF_Baobá_M'!$X$5,"")</f>
        <v/>
      </c>
      <c r="E961" s="40" t="n"/>
      <c r="F961" s="39">
        <f>IFERROR('CLASIF_Baobá_M'!$X$8,"")</f>
        <v/>
      </c>
      <c r="G961" s="40" t="n"/>
      <c r="H961" s="41" t="n"/>
      <c r="I961" s="42">
        <f>IF($H961="","",MAX(0,$H961-N($E961)))</f>
        <v/>
      </c>
      <c r="J961" s="42">
        <f>IF($H961="","",MAX(0,$H961-N($G961)))</f>
        <v/>
      </c>
    </row>
    <row r="962" ht="19.5" customHeight="1" s="72">
      <c r="A962" s="38" t="inlineStr">
        <is>
          <t>BaobáM-FIN-P02-SBA</t>
        </is>
      </c>
      <c r="B962" s="38" t="inlineStr">
        <is>
          <t>Final</t>
        </is>
      </c>
      <c r="C962" s="38" t="inlineStr">
        <is>
          <t>São Bento da Abadá</t>
        </is>
      </c>
      <c r="D962" s="39">
        <f>IFERROR('CLASIF_Baobá_M'!$X$6,"")</f>
        <v/>
      </c>
      <c r="E962" s="40" t="n"/>
      <c r="F962" s="39">
        <f>IFERROR('CLASIF_Baobá_M'!$X$7,"")</f>
        <v/>
      </c>
      <c r="G962" s="40" t="n"/>
      <c r="H962" s="41" t="n"/>
      <c r="I962" s="42">
        <f>IF($H962="","",MAX(0,$H962-N($E962)))</f>
        <v/>
      </c>
      <c r="J962" s="42">
        <f>IF($H962="","",MAX(0,$H962-N($G962)))</f>
        <v/>
      </c>
    </row>
    <row r="963" ht="19.5" customHeight="1" s="72">
      <c r="A963" s="38" t="inlineStr">
        <is>
          <t>BaobáM-FIN-P02-BEN</t>
        </is>
      </c>
      <c r="B963" s="38" t="inlineStr">
        <is>
          <t>Final</t>
        </is>
      </c>
      <c r="C963" s="38" t="inlineStr">
        <is>
          <t>Benguela</t>
        </is>
      </c>
      <c r="D963" s="39">
        <f>IFERROR('CLASIF_Baobá_M'!$X$6,"")</f>
        <v/>
      </c>
      <c r="E963" s="40" t="n"/>
      <c r="F963" s="39">
        <f>IFERROR('CLASIF_Baobá_M'!$X$7,"")</f>
        <v/>
      </c>
      <c r="G963" s="40" t="n"/>
      <c r="H963" s="41" t="n"/>
      <c r="I963" s="42">
        <f>IF($H963="","",MAX(0,$H963-N($E963)))</f>
        <v/>
      </c>
      <c r="J963" s="42">
        <f>IF($H963="","",MAX(0,$H963-N($G963)))</f>
        <v/>
      </c>
    </row>
    <row r="964" ht="19.5" customHeight="1" s="72">
      <c r="A964" s="38" t="inlineStr">
        <is>
          <t>BaobáM-FIN-P02-SIR</t>
        </is>
      </c>
      <c r="B964" s="38" t="inlineStr">
        <is>
          <t>Final</t>
        </is>
      </c>
      <c r="C964" s="38" t="inlineStr">
        <is>
          <t>Siriuna</t>
        </is>
      </c>
      <c r="D964" s="39">
        <f>IFERROR('CLASIF_Baobá_M'!$X$6,"")</f>
        <v/>
      </c>
      <c r="E964" s="40" t="n"/>
      <c r="F964" s="39">
        <f>IFERROR('CLASIF_Baobá_M'!$X$7,"")</f>
        <v/>
      </c>
      <c r="G964" s="40" t="n"/>
      <c r="H964" s="41" t="n"/>
      <c r="I964" s="42">
        <f>IF($H964="","",MAX(0,$H964-N($E964)))</f>
        <v/>
      </c>
      <c r="J964" s="42">
        <f>IF($H964="","",MAX(0,$H964-N($G964)))</f>
        <v/>
      </c>
    </row>
    <row r="965" ht="19.5" customHeight="1" s="72">
      <c r="A965" s="43" t="n"/>
      <c r="B965" s="43" t="n"/>
      <c r="C965" s="43" t="n"/>
      <c r="D965" s="43" t="n"/>
      <c r="E965" s="43" t="n"/>
      <c r="F965" s="43" t="n"/>
      <c r="G965" s="43" t="n"/>
      <c r="H965" s="44" t="n"/>
      <c r="I965" s="43">
        <f>IF($H965="","",MAX(0,$H965-N($E965)))</f>
        <v/>
      </c>
      <c r="J965" s="43">
        <f>IF($H965="","",MAX(0,$H965-N($G965)))</f>
        <v/>
      </c>
    </row>
    <row r="966" ht="19.5" customHeight="1" s="72">
      <c r="A966" s="85" t="inlineStr">
        <is>
          <t>═══ CATEGORÍA Baobá · Femenino · +45 años · Toques: São Bento da Abadá, Benguela, Siriuna ═══</t>
        </is>
      </c>
    </row>
    <row r="967" ht="19.5" customHeight="1" s="72">
      <c r="A967" s="45" t="inlineStr">
        <is>
          <t>Jogo</t>
        </is>
      </c>
      <c r="B967" s="45" t="inlineStr">
        <is>
          <t>Fase</t>
        </is>
      </c>
      <c r="C967" s="45" t="inlineStr">
        <is>
          <t>Toque</t>
        </is>
      </c>
      <c r="D967" s="45" t="inlineStr">
        <is>
          <t>Jugador A</t>
        </is>
      </c>
      <c r="E967" s="45" t="inlineStr">
        <is>
          <t>Quita A</t>
        </is>
      </c>
      <c r="F967" s="45" t="inlineStr">
        <is>
          <t>Jugador B</t>
        </is>
      </c>
      <c r="G967" s="45" t="inlineStr">
        <is>
          <t>Quita B</t>
        </is>
      </c>
      <c r="H967" s="45" t="inlineStr">
        <is>
          <t>NOTA (0-5)</t>
        </is>
      </c>
      <c r="I967" s="45">
        <f>IF($H967="","",MAX(0,$H967-N($E967)))</f>
        <v/>
      </c>
      <c r="J967" s="45">
        <f>IF($H967="","",MAX(0,$H967-N($G967)))</f>
        <v/>
      </c>
    </row>
    <row r="968" ht="19.5" customHeight="1" s="72">
      <c r="A968" s="38" t="inlineStr">
        <is>
          <t>BaobáF-32-P01-SBA</t>
        </is>
      </c>
      <c r="B968" s="38" t="inlineStr">
        <is>
          <t>Fase 32</t>
        </is>
      </c>
      <c r="C968" s="38" t="inlineStr">
        <is>
          <t>São Bento da Abadá</t>
        </is>
      </c>
      <c r="D968" s="39" t="inlineStr">
        <is>
          <t>A_Baobá_F_32_P1</t>
        </is>
      </c>
      <c r="E968" s="40" t="n"/>
      <c r="F968" s="39" t="inlineStr">
        <is>
          <t>B_Baobá_F_32_P1</t>
        </is>
      </c>
      <c r="G968" s="40" t="n"/>
      <c r="H968" s="41" t="n"/>
      <c r="I968" s="42">
        <f>IF($H968="","",MAX(0,$H968-N($E968)))</f>
        <v/>
      </c>
      <c r="J968" s="42">
        <f>IF($H968="","",MAX(0,$H968-N($G968)))</f>
        <v/>
      </c>
    </row>
    <row r="969" ht="19.5" customHeight="1" s="72">
      <c r="A969" s="38" t="inlineStr">
        <is>
          <t>BaobáF-32-P01-BEN</t>
        </is>
      </c>
      <c r="B969" s="38" t="inlineStr">
        <is>
          <t>Fase 32</t>
        </is>
      </c>
      <c r="C969" s="38" t="inlineStr">
        <is>
          <t>Benguela</t>
        </is>
      </c>
      <c r="D969" s="39" t="inlineStr">
        <is>
          <t>A_Baobá_F_32_P1</t>
        </is>
      </c>
      <c r="E969" s="40" t="n"/>
      <c r="F969" s="39" t="inlineStr">
        <is>
          <t>B_Baobá_F_32_P1</t>
        </is>
      </c>
      <c r="G969" s="40" t="n"/>
      <c r="H969" s="41" t="n"/>
      <c r="I969" s="42">
        <f>IF($H969="","",MAX(0,$H969-N($E969)))</f>
        <v/>
      </c>
      <c r="J969" s="42">
        <f>IF($H969="","",MAX(0,$H969-N($G969)))</f>
        <v/>
      </c>
    </row>
    <row r="970" ht="19.5" customHeight="1" s="72">
      <c r="A970" s="38" t="inlineStr">
        <is>
          <t>BaobáF-32-P01-SIR</t>
        </is>
      </c>
      <c r="B970" s="38" t="inlineStr">
        <is>
          <t>Fase 32</t>
        </is>
      </c>
      <c r="C970" s="38" t="inlineStr">
        <is>
          <t>Siriuna</t>
        </is>
      </c>
      <c r="D970" s="39" t="inlineStr">
        <is>
          <t>A_Baobá_F_32_P1</t>
        </is>
      </c>
      <c r="E970" s="40" t="n"/>
      <c r="F970" s="39" t="inlineStr">
        <is>
          <t>B_Baobá_F_32_P1</t>
        </is>
      </c>
      <c r="G970" s="40" t="n"/>
      <c r="H970" s="41" t="n"/>
      <c r="I970" s="42">
        <f>IF($H970="","",MAX(0,$H970-N($E970)))</f>
        <v/>
      </c>
      <c r="J970" s="42">
        <f>IF($H970="","",MAX(0,$H970-N($G970)))</f>
        <v/>
      </c>
    </row>
    <row r="971" ht="19.5" customHeight="1" s="72">
      <c r="A971" s="38" t="inlineStr">
        <is>
          <t>BaobáF-32-P02-SBA</t>
        </is>
      </c>
      <c r="B971" s="38" t="inlineStr">
        <is>
          <t>Fase 32</t>
        </is>
      </c>
      <c r="C971" s="38" t="inlineStr">
        <is>
          <t>São Bento da Abadá</t>
        </is>
      </c>
      <c r="D971" s="39" t="inlineStr">
        <is>
          <t>A_Baobá_F_32_P2</t>
        </is>
      </c>
      <c r="E971" s="40" t="n"/>
      <c r="F971" s="39" t="inlineStr">
        <is>
          <t>B_Baobá_F_32_P2</t>
        </is>
      </c>
      <c r="G971" s="40" t="n"/>
      <c r="H971" s="41" t="n"/>
      <c r="I971" s="42">
        <f>IF($H971="","",MAX(0,$H971-N($E971)))</f>
        <v/>
      </c>
      <c r="J971" s="42">
        <f>IF($H971="","",MAX(0,$H971-N($G971)))</f>
        <v/>
      </c>
    </row>
    <row r="972" ht="19.5" customHeight="1" s="72">
      <c r="A972" s="38" t="inlineStr">
        <is>
          <t>BaobáF-32-P02-BEN</t>
        </is>
      </c>
      <c r="B972" s="38" t="inlineStr">
        <is>
          <t>Fase 32</t>
        </is>
      </c>
      <c r="C972" s="38" t="inlineStr">
        <is>
          <t>Benguela</t>
        </is>
      </c>
      <c r="D972" s="39" t="inlineStr">
        <is>
          <t>A_Baobá_F_32_P2</t>
        </is>
      </c>
      <c r="E972" s="40" t="n"/>
      <c r="F972" s="39" t="inlineStr">
        <is>
          <t>B_Baobá_F_32_P2</t>
        </is>
      </c>
      <c r="G972" s="40" t="n"/>
      <c r="H972" s="41" t="n"/>
      <c r="I972" s="42">
        <f>IF($H972="","",MAX(0,$H972-N($E972)))</f>
        <v/>
      </c>
      <c r="J972" s="42">
        <f>IF($H972="","",MAX(0,$H972-N($G972)))</f>
        <v/>
      </c>
    </row>
    <row r="973" ht="19.5" customHeight="1" s="72">
      <c r="A973" s="38" t="inlineStr">
        <is>
          <t>BaobáF-32-P02-SIR</t>
        </is>
      </c>
      <c r="B973" s="38" t="inlineStr">
        <is>
          <t>Fase 32</t>
        </is>
      </c>
      <c r="C973" s="38" t="inlineStr">
        <is>
          <t>Siriuna</t>
        </is>
      </c>
      <c r="D973" s="39" t="inlineStr">
        <is>
          <t>A_Baobá_F_32_P2</t>
        </is>
      </c>
      <c r="E973" s="40" t="n"/>
      <c r="F973" s="39" t="inlineStr">
        <is>
          <t>B_Baobá_F_32_P2</t>
        </is>
      </c>
      <c r="G973" s="40" t="n"/>
      <c r="H973" s="41" t="n"/>
      <c r="I973" s="42">
        <f>IF($H973="","",MAX(0,$H973-N($E973)))</f>
        <v/>
      </c>
      <c r="J973" s="42">
        <f>IF($H973="","",MAX(0,$H973-N($G973)))</f>
        <v/>
      </c>
    </row>
    <row r="974" ht="19.5" customHeight="1" s="72">
      <c r="A974" s="38" t="inlineStr">
        <is>
          <t>BaobáF-32-P03-SBA</t>
        </is>
      </c>
      <c r="B974" s="38" t="inlineStr">
        <is>
          <t>Fase 32</t>
        </is>
      </c>
      <c r="C974" s="38" t="inlineStr">
        <is>
          <t>São Bento da Abadá</t>
        </is>
      </c>
      <c r="D974" s="39" t="inlineStr">
        <is>
          <t>A_Baobá_F_32_P3</t>
        </is>
      </c>
      <c r="E974" s="40" t="n"/>
      <c r="F974" s="39" t="inlineStr">
        <is>
          <t>B_Baobá_F_32_P3</t>
        </is>
      </c>
      <c r="G974" s="40" t="n"/>
      <c r="H974" s="41" t="n"/>
      <c r="I974" s="42">
        <f>IF($H974="","",MAX(0,$H974-N($E974)))</f>
        <v/>
      </c>
      <c r="J974" s="42">
        <f>IF($H974="","",MAX(0,$H974-N($G974)))</f>
        <v/>
      </c>
    </row>
    <row r="975" ht="19.5" customHeight="1" s="72">
      <c r="A975" s="38" t="inlineStr">
        <is>
          <t>BaobáF-32-P03-BEN</t>
        </is>
      </c>
      <c r="B975" s="38" t="inlineStr">
        <is>
          <t>Fase 32</t>
        </is>
      </c>
      <c r="C975" s="38" t="inlineStr">
        <is>
          <t>Benguela</t>
        </is>
      </c>
      <c r="D975" s="39" t="inlineStr">
        <is>
          <t>A_Baobá_F_32_P3</t>
        </is>
      </c>
      <c r="E975" s="40" t="n"/>
      <c r="F975" s="39" t="inlineStr">
        <is>
          <t>B_Baobá_F_32_P3</t>
        </is>
      </c>
      <c r="G975" s="40" t="n"/>
      <c r="H975" s="41" t="n"/>
      <c r="I975" s="42">
        <f>IF($H975="","",MAX(0,$H975-N($E975)))</f>
        <v/>
      </c>
      <c r="J975" s="42">
        <f>IF($H975="","",MAX(0,$H975-N($G975)))</f>
        <v/>
      </c>
    </row>
    <row r="976" ht="19.5" customHeight="1" s="72">
      <c r="A976" s="38" t="inlineStr">
        <is>
          <t>BaobáF-32-P03-SIR</t>
        </is>
      </c>
      <c r="B976" s="38" t="inlineStr">
        <is>
          <t>Fase 32</t>
        </is>
      </c>
      <c r="C976" s="38" t="inlineStr">
        <is>
          <t>Siriuna</t>
        </is>
      </c>
      <c r="D976" s="39" t="inlineStr">
        <is>
          <t>A_Baobá_F_32_P3</t>
        </is>
      </c>
      <c r="E976" s="40" t="n"/>
      <c r="F976" s="39" t="inlineStr">
        <is>
          <t>B_Baobá_F_32_P3</t>
        </is>
      </c>
      <c r="G976" s="40" t="n"/>
      <c r="H976" s="41" t="n"/>
      <c r="I976" s="42">
        <f>IF($H976="","",MAX(0,$H976-N($E976)))</f>
        <v/>
      </c>
      <c r="J976" s="42">
        <f>IF($H976="","",MAX(0,$H976-N($G976)))</f>
        <v/>
      </c>
    </row>
    <row r="977" ht="19.5" customHeight="1" s="72">
      <c r="A977" s="38" t="inlineStr">
        <is>
          <t>BaobáF-32-P04-SBA</t>
        </is>
      </c>
      <c r="B977" s="38" t="inlineStr">
        <is>
          <t>Fase 32</t>
        </is>
      </c>
      <c r="C977" s="38" t="inlineStr">
        <is>
          <t>São Bento da Abadá</t>
        </is>
      </c>
      <c r="D977" s="39" t="inlineStr">
        <is>
          <t>A_Baobá_F_32_P4</t>
        </is>
      </c>
      <c r="E977" s="40" t="n"/>
      <c r="F977" s="39" t="inlineStr">
        <is>
          <t>B_Baobá_F_32_P4</t>
        </is>
      </c>
      <c r="G977" s="40" t="n"/>
      <c r="H977" s="41" t="n"/>
      <c r="I977" s="42">
        <f>IF($H977="","",MAX(0,$H977-N($E977)))</f>
        <v/>
      </c>
      <c r="J977" s="42">
        <f>IF($H977="","",MAX(0,$H977-N($G977)))</f>
        <v/>
      </c>
    </row>
    <row r="978" ht="19.5" customHeight="1" s="72">
      <c r="A978" s="38" t="inlineStr">
        <is>
          <t>BaobáF-32-P04-BEN</t>
        </is>
      </c>
      <c r="B978" s="38" t="inlineStr">
        <is>
          <t>Fase 32</t>
        </is>
      </c>
      <c r="C978" s="38" t="inlineStr">
        <is>
          <t>Benguela</t>
        </is>
      </c>
      <c r="D978" s="39" t="inlineStr">
        <is>
          <t>A_Baobá_F_32_P4</t>
        </is>
      </c>
      <c r="E978" s="40" t="n"/>
      <c r="F978" s="39" t="inlineStr">
        <is>
          <t>B_Baobá_F_32_P4</t>
        </is>
      </c>
      <c r="G978" s="40" t="n"/>
      <c r="H978" s="41" t="n"/>
      <c r="I978" s="42">
        <f>IF($H978="","",MAX(0,$H978-N($E978)))</f>
        <v/>
      </c>
      <c r="J978" s="42">
        <f>IF($H978="","",MAX(0,$H978-N($G978)))</f>
        <v/>
      </c>
    </row>
    <row r="979" ht="19.5" customHeight="1" s="72">
      <c r="A979" s="38" t="inlineStr">
        <is>
          <t>BaobáF-32-P04-SIR</t>
        </is>
      </c>
      <c r="B979" s="38" t="inlineStr">
        <is>
          <t>Fase 32</t>
        </is>
      </c>
      <c r="C979" s="38" t="inlineStr">
        <is>
          <t>Siriuna</t>
        </is>
      </c>
      <c r="D979" s="39" t="inlineStr">
        <is>
          <t>A_Baobá_F_32_P4</t>
        </is>
      </c>
      <c r="E979" s="40" t="n"/>
      <c r="F979" s="39" t="inlineStr">
        <is>
          <t>B_Baobá_F_32_P4</t>
        </is>
      </c>
      <c r="G979" s="40" t="n"/>
      <c r="H979" s="41" t="n"/>
      <c r="I979" s="42">
        <f>IF($H979="","",MAX(0,$H979-N($E979)))</f>
        <v/>
      </c>
      <c r="J979" s="42">
        <f>IF($H979="","",MAX(0,$H979-N($G979)))</f>
        <v/>
      </c>
    </row>
    <row r="980" ht="19.5" customHeight="1" s="72">
      <c r="A980" s="38" t="inlineStr">
        <is>
          <t>BaobáF-32-P05-SBA</t>
        </is>
      </c>
      <c r="B980" s="38" t="inlineStr">
        <is>
          <t>Fase 32</t>
        </is>
      </c>
      <c r="C980" s="38" t="inlineStr">
        <is>
          <t>São Bento da Abadá</t>
        </is>
      </c>
      <c r="D980" s="39" t="inlineStr">
        <is>
          <t>A_Baobá_F_32_P5</t>
        </is>
      </c>
      <c r="E980" s="40" t="n"/>
      <c r="F980" s="39" t="inlineStr">
        <is>
          <t>B_Baobá_F_32_P5</t>
        </is>
      </c>
      <c r="G980" s="40" t="n"/>
      <c r="H980" s="41" t="n"/>
      <c r="I980" s="42">
        <f>IF($H980="","",MAX(0,$H980-N($E980)))</f>
        <v/>
      </c>
      <c r="J980" s="42">
        <f>IF($H980="","",MAX(0,$H980-N($G980)))</f>
        <v/>
      </c>
    </row>
    <row r="981" ht="19.5" customHeight="1" s="72">
      <c r="A981" s="38" t="inlineStr">
        <is>
          <t>BaobáF-32-P05-BEN</t>
        </is>
      </c>
      <c r="B981" s="38" t="inlineStr">
        <is>
          <t>Fase 32</t>
        </is>
      </c>
      <c r="C981" s="38" t="inlineStr">
        <is>
          <t>Benguela</t>
        </is>
      </c>
      <c r="D981" s="39" t="inlineStr">
        <is>
          <t>A_Baobá_F_32_P5</t>
        </is>
      </c>
      <c r="E981" s="40" t="n"/>
      <c r="F981" s="39" t="inlineStr">
        <is>
          <t>B_Baobá_F_32_P5</t>
        </is>
      </c>
      <c r="G981" s="40" t="n"/>
      <c r="H981" s="41" t="n"/>
      <c r="I981" s="42">
        <f>IF($H981="","",MAX(0,$H981-N($E981)))</f>
        <v/>
      </c>
      <c r="J981" s="42">
        <f>IF($H981="","",MAX(0,$H981-N($G981)))</f>
        <v/>
      </c>
    </row>
    <row r="982" ht="19.5" customHeight="1" s="72">
      <c r="A982" s="38" t="inlineStr">
        <is>
          <t>BaobáF-32-P05-SIR</t>
        </is>
      </c>
      <c r="B982" s="38" t="inlineStr">
        <is>
          <t>Fase 32</t>
        </is>
      </c>
      <c r="C982" s="38" t="inlineStr">
        <is>
          <t>Siriuna</t>
        </is>
      </c>
      <c r="D982" s="39" t="inlineStr">
        <is>
          <t>A_Baobá_F_32_P5</t>
        </is>
      </c>
      <c r="E982" s="40" t="n"/>
      <c r="F982" s="39" t="inlineStr">
        <is>
          <t>B_Baobá_F_32_P5</t>
        </is>
      </c>
      <c r="G982" s="40" t="n"/>
      <c r="H982" s="41" t="n"/>
      <c r="I982" s="42">
        <f>IF($H982="","",MAX(0,$H982-N($E982)))</f>
        <v/>
      </c>
      <c r="J982" s="42">
        <f>IF($H982="","",MAX(0,$H982-N($G982)))</f>
        <v/>
      </c>
    </row>
    <row r="983" ht="19.5" customHeight="1" s="72">
      <c r="A983" s="38" t="inlineStr">
        <is>
          <t>BaobáF-32-P06-SBA</t>
        </is>
      </c>
      <c r="B983" s="38" t="inlineStr">
        <is>
          <t>Fase 32</t>
        </is>
      </c>
      <c r="C983" s="38" t="inlineStr">
        <is>
          <t>São Bento da Abadá</t>
        </is>
      </c>
      <c r="D983" s="39" t="inlineStr">
        <is>
          <t>A_Baobá_F_32_P6</t>
        </is>
      </c>
      <c r="E983" s="40" t="n"/>
      <c r="F983" s="39" t="inlineStr">
        <is>
          <t>B_Baobá_F_32_P6</t>
        </is>
      </c>
      <c r="G983" s="40" t="n"/>
      <c r="H983" s="41" t="n"/>
      <c r="I983" s="42">
        <f>IF($H983="","",MAX(0,$H983-N($E983)))</f>
        <v/>
      </c>
      <c r="J983" s="42">
        <f>IF($H983="","",MAX(0,$H983-N($G983)))</f>
        <v/>
      </c>
    </row>
    <row r="984" ht="19.5" customHeight="1" s="72">
      <c r="A984" s="38" t="inlineStr">
        <is>
          <t>BaobáF-32-P06-BEN</t>
        </is>
      </c>
      <c r="B984" s="38" t="inlineStr">
        <is>
          <t>Fase 32</t>
        </is>
      </c>
      <c r="C984" s="38" t="inlineStr">
        <is>
          <t>Benguela</t>
        </is>
      </c>
      <c r="D984" s="39" t="inlineStr">
        <is>
          <t>A_Baobá_F_32_P6</t>
        </is>
      </c>
      <c r="E984" s="40" t="n"/>
      <c r="F984" s="39" t="inlineStr">
        <is>
          <t>B_Baobá_F_32_P6</t>
        </is>
      </c>
      <c r="G984" s="40" t="n"/>
      <c r="H984" s="41" t="n"/>
      <c r="I984" s="42">
        <f>IF($H984="","",MAX(0,$H984-N($E984)))</f>
        <v/>
      </c>
      <c r="J984" s="42">
        <f>IF($H984="","",MAX(0,$H984-N($G984)))</f>
        <v/>
      </c>
    </row>
    <row r="985" ht="19.5" customHeight="1" s="72">
      <c r="A985" s="38" t="inlineStr">
        <is>
          <t>BaobáF-32-P06-SIR</t>
        </is>
      </c>
      <c r="B985" s="38" t="inlineStr">
        <is>
          <t>Fase 32</t>
        </is>
      </c>
      <c r="C985" s="38" t="inlineStr">
        <is>
          <t>Siriuna</t>
        </is>
      </c>
      <c r="D985" s="39" t="inlineStr">
        <is>
          <t>A_Baobá_F_32_P6</t>
        </is>
      </c>
      <c r="E985" s="40" t="n"/>
      <c r="F985" s="39" t="inlineStr">
        <is>
          <t>B_Baobá_F_32_P6</t>
        </is>
      </c>
      <c r="G985" s="40" t="n"/>
      <c r="H985" s="41" t="n"/>
      <c r="I985" s="42">
        <f>IF($H985="","",MAX(0,$H985-N($E985)))</f>
        <v/>
      </c>
      <c r="J985" s="42">
        <f>IF($H985="","",MAX(0,$H985-N($G985)))</f>
        <v/>
      </c>
    </row>
    <row r="986" ht="19.5" customHeight="1" s="72">
      <c r="A986" s="38" t="inlineStr">
        <is>
          <t>BaobáF-32-P07-SBA</t>
        </is>
      </c>
      <c r="B986" s="38" t="inlineStr">
        <is>
          <t>Fase 32</t>
        </is>
      </c>
      <c r="C986" s="38" t="inlineStr">
        <is>
          <t>São Bento da Abadá</t>
        </is>
      </c>
      <c r="D986" s="39" t="inlineStr">
        <is>
          <t>A_Baobá_F_32_P7</t>
        </is>
      </c>
      <c r="E986" s="40" t="n"/>
      <c r="F986" s="39" t="inlineStr">
        <is>
          <t>B_Baobá_F_32_P7</t>
        </is>
      </c>
      <c r="G986" s="40" t="n"/>
      <c r="H986" s="41" t="n"/>
      <c r="I986" s="42">
        <f>IF($H986="","",MAX(0,$H986-N($E986)))</f>
        <v/>
      </c>
      <c r="J986" s="42">
        <f>IF($H986="","",MAX(0,$H986-N($G986)))</f>
        <v/>
      </c>
    </row>
    <row r="987" ht="19.5" customHeight="1" s="72">
      <c r="A987" s="38" t="inlineStr">
        <is>
          <t>BaobáF-32-P07-BEN</t>
        </is>
      </c>
      <c r="B987" s="38" t="inlineStr">
        <is>
          <t>Fase 32</t>
        </is>
      </c>
      <c r="C987" s="38" t="inlineStr">
        <is>
          <t>Benguela</t>
        </is>
      </c>
      <c r="D987" s="39" t="inlineStr">
        <is>
          <t>A_Baobá_F_32_P7</t>
        </is>
      </c>
      <c r="E987" s="40" t="n"/>
      <c r="F987" s="39" t="inlineStr">
        <is>
          <t>B_Baobá_F_32_P7</t>
        </is>
      </c>
      <c r="G987" s="40" t="n"/>
      <c r="H987" s="41" t="n"/>
      <c r="I987" s="42">
        <f>IF($H987="","",MAX(0,$H987-N($E987)))</f>
        <v/>
      </c>
      <c r="J987" s="42">
        <f>IF($H987="","",MAX(0,$H987-N($G987)))</f>
        <v/>
      </c>
    </row>
    <row r="988" ht="19.5" customHeight="1" s="72">
      <c r="A988" s="38" t="inlineStr">
        <is>
          <t>BaobáF-32-P07-SIR</t>
        </is>
      </c>
      <c r="B988" s="38" t="inlineStr">
        <is>
          <t>Fase 32</t>
        </is>
      </c>
      <c r="C988" s="38" t="inlineStr">
        <is>
          <t>Siriuna</t>
        </is>
      </c>
      <c r="D988" s="39" t="inlineStr">
        <is>
          <t>A_Baobá_F_32_P7</t>
        </is>
      </c>
      <c r="E988" s="40" t="n"/>
      <c r="F988" s="39" t="inlineStr">
        <is>
          <t>B_Baobá_F_32_P7</t>
        </is>
      </c>
      <c r="G988" s="40" t="n"/>
      <c r="H988" s="41" t="n"/>
      <c r="I988" s="42">
        <f>IF($H988="","",MAX(0,$H988-N($E988)))</f>
        <v/>
      </c>
      <c r="J988" s="42">
        <f>IF($H988="","",MAX(0,$H988-N($G988)))</f>
        <v/>
      </c>
    </row>
    <row r="989" ht="19.5" customHeight="1" s="72">
      <c r="A989" s="38" t="inlineStr">
        <is>
          <t>BaobáF-32-P08-SBA</t>
        </is>
      </c>
      <c r="B989" s="38" t="inlineStr">
        <is>
          <t>Fase 32</t>
        </is>
      </c>
      <c r="C989" s="38" t="inlineStr">
        <is>
          <t>São Bento da Abadá</t>
        </is>
      </c>
      <c r="D989" s="39" t="inlineStr">
        <is>
          <t>A_Baobá_F_32_P8</t>
        </is>
      </c>
      <c r="E989" s="40" t="n"/>
      <c r="F989" s="39" t="inlineStr">
        <is>
          <t>B_Baobá_F_32_P8</t>
        </is>
      </c>
      <c r="G989" s="40" t="n"/>
      <c r="H989" s="41" t="n"/>
      <c r="I989" s="42">
        <f>IF($H989="","",MAX(0,$H989-N($E989)))</f>
        <v/>
      </c>
      <c r="J989" s="42">
        <f>IF($H989="","",MAX(0,$H989-N($G989)))</f>
        <v/>
      </c>
    </row>
    <row r="990" ht="19.5" customHeight="1" s="72">
      <c r="A990" s="38" t="inlineStr">
        <is>
          <t>BaobáF-32-P08-BEN</t>
        </is>
      </c>
      <c r="B990" s="38" t="inlineStr">
        <is>
          <t>Fase 32</t>
        </is>
      </c>
      <c r="C990" s="38" t="inlineStr">
        <is>
          <t>Benguela</t>
        </is>
      </c>
      <c r="D990" s="39" t="inlineStr">
        <is>
          <t>A_Baobá_F_32_P8</t>
        </is>
      </c>
      <c r="E990" s="40" t="n"/>
      <c r="F990" s="39" t="inlineStr">
        <is>
          <t>B_Baobá_F_32_P8</t>
        </is>
      </c>
      <c r="G990" s="40" t="n"/>
      <c r="H990" s="41" t="n"/>
      <c r="I990" s="42">
        <f>IF($H990="","",MAX(0,$H990-N($E990)))</f>
        <v/>
      </c>
      <c r="J990" s="42">
        <f>IF($H990="","",MAX(0,$H990-N($G990)))</f>
        <v/>
      </c>
    </row>
    <row r="991" ht="19.5" customHeight="1" s="72">
      <c r="A991" s="38" t="inlineStr">
        <is>
          <t>BaobáF-32-P08-SIR</t>
        </is>
      </c>
      <c r="B991" s="38" t="inlineStr">
        <is>
          <t>Fase 32</t>
        </is>
      </c>
      <c r="C991" s="38" t="inlineStr">
        <is>
          <t>Siriuna</t>
        </is>
      </c>
      <c r="D991" s="39" t="inlineStr">
        <is>
          <t>A_Baobá_F_32_P8</t>
        </is>
      </c>
      <c r="E991" s="40" t="n"/>
      <c r="F991" s="39" t="inlineStr">
        <is>
          <t>B_Baobá_F_32_P8</t>
        </is>
      </c>
      <c r="G991" s="40" t="n"/>
      <c r="H991" s="41" t="n"/>
      <c r="I991" s="42">
        <f>IF($H991="","",MAX(0,$H991-N($E991)))</f>
        <v/>
      </c>
      <c r="J991" s="42">
        <f>IF($H991="","",MAX(0,$H991-N($G991)))</f>
        <v/>
      </c>
    </row>
    <row r="992" ht="19.5" customHeight="1" s="72">
      <c r="A992" s="38" t="inlineStr">
        <is>
          <t>BaobáF-32-P09-SBA</t>
        </is>
      </c>
      <c r="B992" s="38" t="inlineStr">
        <is>
          <t>Fase 32</t>
        </is>
      </c>
      <c r="C992" s="38" t="inlineStr">
        <is>
          <t>São Bento da Abadá</t>
        </is>
      </c>
      <c r="D992" s="39" t="inlineStr">
        <is>
          <t>A_Baobá_F_32_P9</t>
        </is>
      </c>
      <c r="E992" s="40" t="n"/>
      <c r="F992" s="39" t="inlineStr">
        <is>
          <t>B_Baobá_F_32_P9</t>
        </is>
      </c>
      <c r="G992" s="40" t="n"/>
      <c r="H992" s="41" t="n"/>
      <c r="I992" s="42">
        <f>IF($H992="","",MAX(0,$H992-N($E992)))</f>
        <v/>
      </c>
      <c r="J992" s="42">
        <f>IF($H992="","",MAX(0,$H992-N($G992)))</f>
        <v/>
      </c>
    </row>
    <row r="993" ht="19.5" customHeight="1" s="72">
      <c r="A993" s="38" t="inlineStr">
        <is>
          <t>BaobáF-32-P09-BEN</t>
        </is>
      </c>
      <c r="B993" s="38" t="inlineStr">
        <is>
          <t>Fase 32</t>
        </is>
      </c>
      <c r="C993" s="38" t="inlineStr">
        <is>
          <t>Benguela</t>
        </is>
      </c>
      <c r="D993" s="39" t="inlineStr">
        <is>
          <t>A_Baobá_F_32_P9</t>
        </is>
      </c>
      <c r="E993" s="40" t="n"/>
      <c r="F993" s="39" t="inlineStr">
        <is>
          <t>B_Baobá_F_32_P9</t>
        </is>
      </c>
      <c r="G993" s="40" t="n"/>
      <c r="H993" s="41" t="n"/>
      <c r="I993" s="42">
        <f>IF($H993="","",MAX(0,$H993-N($E993)))</f>
        <v/>
      </c>
      <c r="J993" s="42">
        <f>IF($H993="","",MAX(0,$H993-N($G993)))</f>
        <v/>
      </c>
    </row>
    <row r="994" ht="19.5" customHeight="1" s="72">
      <c r="A994" s="38" t="inlineStr">
        <is>
          <t>BaobáF-32-P09-SIR</t>
        </is>
      </c>
      <c r="B994" s="38" t="inlineStr">
        <is>
          <t>Fase 32</t>
        </is>
      </c>
      <c r="C994" s="38" t="inlineStr">
        <is>
          <t>Siriuna</t>
        </is>
      </c>
      <c r="D994" s="39" t="inlineStr">
        <is>
          <t>A_Baobá_F_32_P9</t>
        </is>
      </c>
      <c r="E994" s="40" t="n"/>
      <c r="F994" s="39" t="inlineStr">
        <is>
          <t>B_Baobá_F_32_P9</t>
        </is>
      </c>
      <c r="G994" s="40" t="n"/>
      <c r="H994" s="41" t="n"/>
      <c r="I994" s="42">
        <f>IF($H994="","",MAX(0,$H994-N($E994)))</f>
        <v/>
      </c>
      <c r="J994" s="42">
        <f>IF($H994="","",MAX(0,$H994-N($G994)))</f>
        <v/>
      </c>
    </row>
    <row r="995" ht="19.5" customHeight="1" s="72">
      <c r="A995" s="38" t="inlineStr">
        <is>
          <t>BaobáF-32-P10-SBA</t>
        </is>
      </c>
      <c r="B995" s="38" t="inlineStr">
        <is>
          <t>Fase 32</t>
        </is>
      </c>
      <c r="C995" s="38" t="inlineStr">
        <is>
          <t>São Bento da Abadá</t>
        </is>
      </c>
      <c r="D995" s="39" t="inlineStr">
        <is>
          <t>A_Baobá_F_32_P10</t>
        </is>
      </c>
      <c r="E995" s="40" t="n"/>
      <c r="F995" s="39" t="inlineStr">
        <is>
          <t>B_Baobá_F_32_P10</t>
        </is>
      </c>
      <c r="G995" s="40" t="n"/>
      <c r="H995" s="41" t="n"/>
      <c r="I995" s="42">
        <f>IF($H995="","",MAX(0,$H995-N($E995)))</f>
        <v/>
      </c>
      <c r="J995" s="42">
        <f>IF($H995="","",MAX(0,$H995-N($G995)))</f>
        <v/>
      </c>
    </row>
    <row r="996" ht="19.5" customHeight="1" s="72">
      <c r="A996" s="38" t="inlineStr">
        <is>
          <t>BaobáF-32-P10-BEN</t>
        </is>
      </c>
      <c r="B996" s="38" t="inlineStr">
        <is>
          <t>Fase 32</t>
        </is>
      </c>
      <c r="C996" s="38" t="inlineStr">
        <is>
          <t>Benguela</t>
        </is>
      </c>
      <c r="D996" s="39" t="inlineStr">
        <is>
          <t>A_Baobá_F_32_P10</t>
        </is>
      </c>
      <c r="E996" s="40" t="n"/>
      <c r="F996" s="39" t="inlineStr">
        <is>
          <t>B_Baobá_F_32_P10</t>
        </is>
      </c>
      <c r="G996" s="40" t="n"/>
      <c r="H996" s="41" t="n"/>
      <c r="I996" s="42">
        <f>IF($H996="","",MAX(0,$H996-N($E996)))</f>
        <v/>
      </c>
      <c r="J996" s="42">
        <f>IF($H996="","",MAX(0,$H996-N($G996)))</f>
        <v/>
      </c>
    </row>
    <row r="997" ht="19.5" customHeight="1" s="72">
      <c r="A997" s="38" t="inlineStr">
        <is>
          <t>BaobáF-32-P10-SIR</t>
        </is>
      </c>
      <c r="B997" s="38" t="inlineStr">
        <is>
          <t>Fase 32</t>
        </is>
      </c>
      <c r="C997" s="38" t="inlineStr">
        <is>
          <t>Siriuna</t>
        </is>
      </c>
      <c r="D997" s="39" t="inlineStr">
        <is>
          <t>A_Baobá_F_32_P10</t>
        </is>
      </c>
      <c r="E997" s="40" t="n"/>
      <c r="F997" s="39" t="inlineStr">
        <is>
          <t>B_Baobá_F_32_P10</t>
        </is>
      </c>
      <c r="G997" s="40" t="n"/>
      <c r="H997" s="41" t="n"/>
      <c r="I997" s="42">
        <f>IF($H997="","",MAX(0,$H997-N($E997)))</f>
        <v/>
      </c>
      <c r="J997" s="42">
        <f>IF($H997="","",MAX(0,$H997-N($G997)))</f>
        <v/>
      </c>
    </row>
    <row r="998" ht="19.5" customHeight="1" s="72">
      <c r="A998" s="38" t="inlineStr">
        <is>
          <t>BaobáF-32-P11-SBA</t>
        </is>
      </c>
      <c r="B998" s="38" t="inlineStr">
        <is>
          <t>Fase 32</t>
        </is>
      </c>
      <c r="C998" s="38" t="inlineStr">
        <is>
          <t>São Bento da Abadá</t>
        </is>
      </c>
      <c r="D998" s="39" t="inlineStr">
        <is>
          <t>A_Baobá_F_32_P11</t>
        </is>
      </c>
      <c r="E998" s="40" t="n"/>
      <c r="F998" s="39" t="inlineStr">
        <is>
          <t>B_Baobá_F_32_P11</t>
        </is>
      </c>
      <c r="G998" s="40" t="n"/>
      <c r="H998" s="41" t="n"/>
      <c r="I998" s="42">
        <f>IF($H998="","",MAX(0,$H998-N($E998)))</f>
        <v/>
      </c>
      <c r="J998" s="42">
        <f>IF($H998="","",MAX(0,$H998-N($G998)))</f>
        <v/>
      </c>
    </row>
    <row r="999" ht="19.5" customHeight="1" s="72">
      <c r="A999" s="38" t="inlineStr">
        <is>
          <t>BaobáF-32-P11-BEN</t>
        </is>
      </c>
      <c r="B999" s="38" t="inlineStr">
        <is>
          <t>Fase 32</t>
        </is>
      </c>
      <c r="C999" s="38" t="inlineStr">
        <is>
          <t>Benguela</t>
        </is>
      </c>
      <c r="D999" s="39" t="inlineStr">
        <is>
          <t>A_Baobá_F_32_P11</t>
        </is>
      </c>
      <c r="E999" s="40" t="n"/>
      <c r="F999" s="39" t="inlineStr">
        <is>
          <t>B_Baobá_F_32_P11</t>
        </is>
      </c>
      <c r="G999" s="40" t="n"/>
      <c r="H999" s="41" t="n"/>
      <c r="I999" s="42">
        <f>IF($H999="","",MAX(0,$H999-N($E999)))</f>
        <v/>
      </c>
      <c r="J999" s="42">
        <f>IF($H999="","",MAX(0,$H999-N($G999)))</f>
        <v/>
      </c>
    </row>
    <row r="1000" ht="19.5" customHeight="1" s="72">
      <c r="A1000" s="38" t="inlineStr">
        <is>
          <t>BaobáF-32-P11-SIR</t>
        </is>
      </c>
      <c r="B1000" s="38" t="inlineStr">
        <is>
          <t>Fase 32</t>
        </is>
      </c>
      <c r="C1000" s="38" t="inlineStr">
        <is>
          <t>Siriuna</t>
        </is>
      </c>
      <c r="D1000" s="39" t="inlineStr">
        <is>
          <t>A_Baobá_F_32_P11</t>
        </is>
      </c>
      <c r="E1000" s="40" t="n"/>
      <c r="F1000" s="39" t="inlineStr">
        <is>
          <t>B_Baobá_F_32_P11</t>
        </is>
      </c>
      <c r="G1000" s="40" t="n"/>
      <c r="H1000" s="41" t="n"/>
      <c r="I1000" s="42">
        <f>IF($H1000="","",MAX(0,$H1000-N($E1000)))</f>
        <v/>
      </c>
      <c r="J1000" s="42">
        <f>IF($H1000="","",MAX(0,$H1000-N($G1000)))</f>
        <v/>
      </c>
    </row>
    <row r="1001" ht="19.5" customHeight="1" s="72">
      <c r="A1001" s="38" t="inlineStr">
        <is>
          <t>BaobáF-32-P12-SBA</t>
        </is>
      </c>
      <c r="B1001" s="38" t="inlineStr">
        <is>
          <t>Fase 32</t>
        </is>
      </c>
      <c r="C1001" s="38" t="inlineStr">
        <is>
          <t>São Bento da Abadá</t>
        </is>
      </c>
      <c r="D1001" s="39" t="inlineStr">
        <is>
          <t>A_Baobá_F_32_P12</t>
        </is>
      </c>
      <c r="E1001" s="40" t="n"/>
      <c r="F1001" s="39" t="inlineStr">
        <is>
          <t>B_Baobá_F_32_P12</t>
        </is>
      </c>
      <c r="G1001" s="40" t="n"/>
      <c r="H1001" s="41" t="n"/>
      <c r="I1001" s="42">
        <f>IF($H1001="","",MAX(0,$H1001-N($E1001)))</f>
        <v/>
      </c>
      <c r="J1001" s="42">
        <f>IF($H1001="","",MAX(0,$H1001-N($G1001)))</f>
        <v/>
      </c>
    </row>
    <row r="1002" ht="19.5" customHeight="1" s="72">
      <c r="A1002" s="38" t="inlineStr">
        <is>
          <t>BaobáF-32-P12-BEN</t>
        </is>
      </c>
      <c r="B1002" s="38" t="inlineStr">
        <is>
          <t>Fase 32</t>
        </is>
      </c>
      <c r="C1002" s="38" t="inlineStr">
        <is>
          <t>Benguela</t>
        </is>
      </c>
      <c r="D1002" s="39" t="inlineStr">
        <is>
          <t>A_Baobá_F_32_P12</t>
        </is>
      </c>
      <c r="E1002" s="40" t="n"/>
      <c r="F1002" s="39" t="inlineStr">
        <is>
          <t>B_Baobá_F_32_P12</t>
        </is>
      </c>
      <c r="G1002" s="40" t="n"/>
      <c r="H1002" s="41" t="n"/>
      <c r="I1002" s="42">
        <f>IF($H1002="","",MAX(0,$H1002-N($E1002)))</f>
        <v/>
      </c>
      <c r="J1002" s="42">
        <f>IF($H1002="","",MAX(0,$H1002-N($G1002)))</f>
        <v/>
      </c>
    </row>
    <row r="1003" ht="19.5" customHeight="1" s="72">
      <c r="A1003" s="38" t="inlineStr">
        <is>
          <t>BaobáF-32-P12-SIR</t>
        </is>
      </c>
      <c r="B1003" s="38" t="inlineStr">
        <is>
          <t>Fase 32</t>
        </is>
      </c>
      <c r="C1003" s="38" t="inlineStr">
        <is>
          <t>Siriuna</t>
        </is>
      </c>
      <c r="D1003" s="39" t="inlineStr">
        <is>
          <t>A_Baobá_F_32_P12</t>
        </is>
      </c>
      <c r="E1003" s="40" t="n"/>
      <c r="F1003" s="39" t="inlineStr">
        <is>
          <t>B_Baobá_F_32_P12</t>
        </is>
      </c>
      <c r="G1003" s="40" t="n"/>
      <c r="H1003" s="41" t="n"/>
      <c r="I1003" s="42">
        <f>IF($H1003="","",MAX(0,$H1003-N($E1003)))</f>
        <v/>
      </c>
      <c r="J1003" s="42">
        <f>IF($H1003="","",MAX(0,$H1003-N($G1003)))</f>
        <v/>
      </c>
    </row>
    <row r="1004" ht="19.5" customHeight="1" s="72">
      <c r="A1004" s="38" t="inlineStr">
        <is>
          <t>BaobáF-32-P13-SBA</t>
        </is>
      </c>
      <c r="B1004" s="38" t="inlineStr">
        <is>
          <t>Fase 32</t>
        </is>
      </c>
      <c r="C1004" s="38" t="inlineStr">
        <is>
          <t>São Bento da Abadá</t>
        </is>
      </c>
      <c r="D1004" s="39" t="inlineStr">
        <is>
          <t>A_Baobá_F_32_P13</t>
        </is>
      </c>
      <c r="E1004" s="40" t="n"/>
      <c r="F1004" s="39" t="inlineStr">
        <is>
          <t>B_Baobá_F_32_P13</t>
        </is>
      </c>
      <c r="G1004" s="40" t="n"/>
      <c r="H1004" s="41" t="n"/>
      <c r="I1004" s="42">
        <f>IF($H1004="","",MAX(0,$H1004-N($E1004)))</f>
        <v/>
      </c>
      <c r="J1004" s="42">
        <f>IF($H1004="","",MAX(0,$H1004-N($G1004)))</f>
        <v/>
      </c>
    </row>
    <row r="1005" ht="19.5" customHeight="1" s="72">
      <c r="A1005" s="38" t="inlineStr">
        <is>
          <t>BaobáF-32-P13-BEN</t>
        </is>
      </c>
      <c r="B1005" s="38" t="inlineStr">
        <is>
          <t>Fase 32</t>
        </is>
      </c>
      <c r="C1005" s="38" t="inlineStr">
        <is>
          <t>Benguela</t>
        </is>
      </c>
      <c r="D1005" s="39" t="inlineStr">
        <is>
          <t>A_Baobá_F_32_P13</t>
        </is>
      </c>
      <c r="E1005" s="40" t="n"/>
      <c r="F1005" s="39" t="inlineStr">
        <is>
          <t>B_Baobá_F_32_P13</t>
        </is>
      </c>
      <c r="G1005" s="40" t="n"/>
      <c r="H1005" s="41" t="n"/>
      <c r="I1005" s="42">
        <f>IF($H1005="","",MAX(0,$H1005-N($E1005)))</f>
        <v/>
      </c>
      <c r="J1005" s="42">
        <f>IF($H1005="","",MAX(0,$H1005-N($G1005)))</f>
        <v/>
      </c>
    </row>
    <row r="1006" ht="19.5" customHeight="1" s="72">
      <c r="A1006" s="38" t="inlineStr">
        <is>
          <t>BaobáF-32-P13-SIR</t>
        </is>
      </c>
      <c r="B1006" s="38" t="inlineStr">
        <is>
          <t>Fase 32</t>
        </is>
      </c>
      <c r="C1006" s="38" t="inlineStr">
        <is>
          <t>Siriuna</t>
        </is>
      </c>
      <c r="D1006" s="39" t="inlineStr">
        <is>
          <t>A_Baobá_F_32_P13</t>
        </is>
      </c>
      <c r="E1006" s="40" t="n"/>
      <c r="F1006" s="39" t="inlineStr">
        <is>
          <t>B_Baobá_F_32_P13</t>
        </is>
      </c>
      <c r="G1006" s="40" t="n"/>
      <c r="H1006" s="41" t="n"/>
      <c r="I1006" s="42">
        <f>IF($H1006="","",MAX(0,$H1006-N($E1006)))</f>
        <v/>
      </c>
      <c r="J1006" s="42">
        <f>IF($H1006="","",MAX(0,$H1006-N($G1006)))</f>
        <v/>
      </c>
    </row>
    <row r="1007" ht="19.5" customHeight="1" s="72">
      <c r="A1007" s="38" t="inlineStr">
        <is>
          <t>BaobáF-32-P14-SBA</t>
        </is>
      </c>
      <c r="B1007" s="38" t="inlineStr">
        <is>
          <t>Fase 32</t>
        </is>
      </c>
      <c r="C1007" s="38" t="inlineStr">
        <is>
          <t>São Bento da Abadá</t>
        </is>
      </c>
      <c r="D1007" s="39" t="inlineStr">
        <is>
          <t>A_Baobá_F_32_P14</t>
        </is>
      </c>
      <c r="E1007" s="40" t="n"/>
      <c r="F1007" s="39" t="inlineStr">
        <is>
          <t>B_Baobá_F_32_P14</t>
        </is>
      </c>
      <c r="G1007" s="40" t="n"/>
      <c r="H1007" s="41" t="n"/>
      <c r="I1007" s="42">
        <f>IF($H1007="","",MAX(0,$H1007-N($E1007)))</f>
        <v/>
      </c>
      <c r="J1007" s="42">
        <f>IF($H1007="","",MAX(0,$H1007-N($G1007)))</f>
        <v/>
      </c>
    </row>
    <row r="1008" ht="19.5" customHeight="1" s="72">
      <c r="A1008" s="38" t="inlineStr">
        <is>
          <t>BaobáF-32-P14-BEN</t>
        </is>
      </c>
      <c r="B1008" s="38" t="inlineStr">
        <is>
          <t>Fase 32</t>
        </is>
      </c>
      <c r="C1008" s="38" t="inlineStr">
        <is>
          <t>Benguela</t>
        </is>
      </c>
      <c r="D1008" s="39" t="inlineStr">
        <is>
          <t>A_Baobá_F_32_P14</t>
        </is>
      </c>
      <c r="E1008" s="40" t="n"/>
      <c r="F1008" s="39" t="inlineStr">
        <is>
          <t>B_Baobá_F_32_P14</t>
        </is>
      </c>
      <c r="G1008" s="40" t="n"/>
      <c r="H1008" s="41" t="n"/>
      <c r="I1008" s="42">
        <f>IF($H1008="","",MAX(0,$H1008-N($E1008)))</f>
        <v/>
      </c>
      <c r="J1008" s="42">
        <f>IF($H1008="","",MAX(0,$H1008-N($G1008)))</f>
        <v/>
      </c>
    </row>
    <row r="1009" ht="19.5" customHeight="1" s="72">
      <c r="A1009" s="38" t="inlineStr">
        <is>
          <t>BaobáF-32-P14-SIR</t>
        </is>
      </c>
      <c r="B1009" s="38" t="inlineStr">
        <is>
          <t>Fase 32</t>
        </is>
      </c>
      <c r="C1009" s="38" t="inlineStr">
        <is>
          <t>Siriuna</t>
        </is>
      </c>
      <c r="D1009" s="39" t="inlineStr">
        <is>
          <t>A_Baobá_F_32_P14</t>
        </is>
      </c>
      <c r="E1009" s="40" t="n"/>
      <c r="F1009" s="39" t="inlineStr">
        <is>
          <t>B_Baobá_F_32_P14</t>
        </is>
      </c>
      <c r="G1009" s="40" t="n"/>
      <c r="H1009" s="41" t="n"/>
      <c r="I1009" s="42">
        <f>IF($H1009="","",MAX(0,$H1009-N($E1009)))</f>
        <v/>
      </c>
      <c r="J1009" s="42">
        <f>IF($H1009="","",MAX(0,$H1009-N($G1009)))</f>
        <v/>
      </c>
    </row>
    <row r="1010" ht="19.5" customHeight="1" s="72">
      <c r="A1010" s="38" t="inlineStr">
        <is>
          <t>BaobáF-32-P15-SBA</t>
        </is>
      </c>
      <c r="B1010" s="38" t="inlineStr">
        <is>
          <t>Fase 32</t>
        </is>
      </c>
      <c r="C1010" s="38" t="inlineStr">
        <is>
          <t>São Bento da Abadá</t>
        </is>
      </c>
      <c r="D1010" s="39" t="inlineStr">
        <is>
          <t>A_Baobá_F_32_P15</t>
        </is>
      </c>
      <c r="E1010" s="40" t="n"/>
      <c r="F1010" s="39" t="inlineStr">
        <is>
          <t>B_Baobá_F_32_P15</t>
        </is>
      </c>
      <c r="G1010" s="40" t="n"/>
      <c r="H1010" s="41" t="n"/>
      <c r="I1010" s="42">
        <f>IF($H1010="","",MAX(0,$H1010-N($E1010)))</f>
        <v/>
      </c>
      <c r="J1010" s="42">
        <f>IF($H1010="","",MAX(0,$H1010-N($G1010)))</f>
        <v/>
      </c>
    </row>
    <row r="1011" ht="19.5" customHeight="1" s="72">
      <c r="A1011" s="38" t="inlineStr">
        <is>
          <t>BaobáF-32-P15-BEN</t>
        </is>
      </c>
      <c r="B1011" s="38" t="inlineStr">
        <is>
          <t>Fase 32</t>
        </is>
      </c>
      <c r="C1011" s="38" t="inlineStr">
        <is>
          <t>Benguela</t>
        </is>
      </c>
      <c r="D1011" s="39" t="inlineStr">
        <is>
          <t>A_Baobá_F_32_P15</t>
        </is>
      </c>
      <c r="E1011" s="40" t="n"/>
      <c r="F1011" s="39" t="inlineStr">
        <is>
          <t>B_Baobá_F_32_P15</t>
        </is>
      </c>
      <c r="G1011" s="40" t="n"/>
      <c r="H1011" s="41" t="n"/>
      <c r="I1011" s="42">
        <f>IF($H1011="","",MAX(0,$H1011-N($E1011)))</f>
        <v/>
      </c>
      <c r="J1011" s="42">
        <f>IF($H1011="","",MAX(0,$H1011-N($G1011)))</f>
        <v/>
      </c>
    </row>
    <row r="1012" ht="19.5" customHeight="1" s="72">
      <c r="A1012" s="38" t="inlineStr">
        <is>
          <t>BaobáF-32-P15-SIR</t>
        </is>
      </c>
      <c r="B1012" s="38" t="inlineStr">
        <is>
          <t>Fase 32</t>
        </is>
      </c>
      <c r="C1012" s="38" t="inlineStr">
        <is>
          <t>Siriuna</t>
        </is>
      </c>
      <c r="D1012" s="39" t="inlineStr">
        <is>
          <t>A_Baobá_F_32_P15</t>
        </is>
      </c>
      <c r="E1012" s="40" t="n"/>
      <c r="F1012" s="39" t="inlineStr">
        <is>
          <t>B_Baobá_F_32_P15</t>
        </is>
      </c>
      <c r="G1012" s="40" t="n"/>
      <c r="H1012" s="41" t="n"/>
      <c r="I1012" s="42">
        <f>IF($H1012="","",MAX(0,$H1012-N($E1012)))</f>
        <v/>
      </c>
      <c r="J1012" s="42">
        <f>IF($H1012="","",MAX(0,$H1012-N($G1012)))</f>
        <v/>
      </c>
    </row>
    <row r="1013" ht="19.5" customHeight="1" s="72">
      <c r="A1013" s="38" t="inlineStr">
        <is>
          <t>BaobáF-32-P16-SBA</t>
        </is>
      </c>
      <c r="B1013" s="38" t="inlineStr">
        <is>
          <t>Fase 32</t>
        </is>
      </c>
      <c r="C1013" s="38" t="inlineStr">
        <is>
          <t>São Bento da Abadá</t>
        </is>
      </c>
      <c r="D1013" s="39" t="inlineStr">
        <is>
          <t>A_Baobá_F_32_P16</t>
        </is>
      </c>
      <c r="E1013" s="40" t="n"/>
      <c r="F1013" s="39" t="inlineStr">
        <is>
          <t>B_Baobá_F_32_P16</t>
        </is>
      </c>
      <c r="G1013" s="40" t="n"/>
      <c r="H1013" s="41" t="n"/>
      <c r="I1013" s="42">
        <f>IF($H1013="","",MAX(0,$H1013-N($E1013)))</f>
        <v/>
      </c>
      <c r="J1013" s="42">
        <f>IF($H1013="","",MAX(0,$H1013-N($G1013)))</f>
        <v/>
      </c>
    </row>
    <row r="1014" ht="19.5" customHeight="1" s="72">
      <c r="A1014" s="38" t="inlineStr">
        <is>
          <t>BaobáF-32-P16-BEN</t>
        </is>
      </c>
      <c r="B1014" s="38" t="inlineStr">
        <is>
          <t>Fase 32</t>
        </is>
      </c>
      <c r="C1014" s="38" t="inlineStr">
        <is>
          <t>Benguela</t>
        </is>
      </c>
      <c r="D1014" s="39" t="inlineStr">
        <is>
          <t>A_Baobá_F_32_P16</t>
        </is>
      </c>
      <c r="E1014" s="40" t="n"/>
      <c r="F1014" s="39" t="inlineStr">
        <is>
          <t>B_Baobá_F_32_P16</t>
        </is>
      </c>
      <c r="G1014" s="40" t="n"/>
      <c r="H1014" s="41" t="n"/>
      <c r="I1014" s="42">
        <f>IF($H1014="","",MAX(0,$H1014-N($E1014)))</f>
        <v/>
      </c>
      <c r="J1014" s="42">
        <f>IF($H1014="","",MAX(0,$H1014-N($G1014)))</f>
        <v/>
      </c>
    </row>
    <row r="1015" ht="19.5" customHeight="1" s="72">
      <c r="A1015" s="38" t="inlineStr">
        <is>
          <t>BaobáF-32-P16-SIR</t>
        </is>
      </c>
      <c r="B1015" s="38" t="inlineStr">
        <is>
          <t>Fase 32</t>
        </is>
      </c>
      <c r="C1015" s="38" t="inlineStr">
        <is>
          <t>Siriuna</t>
        </is>
      </c>
      <c r="D1015" s="39" t="inlineStr">
        <is>
          <t>A_Baobá_F_32_P16</t>
        </is>
      </c>
      <c r="E1015" s="40" t="n"/>
      <c r="F1015" s="39" t="inlineStr">
        <is>
          <t>B_Baobá_F_32_P16</t>
        </is>
      </c>
      <c r="G1015" s="40" t="n"/>
      <c r="H1015" s="41" t="n"/>
      <c r="I1015" s="42">
        <f>IF($H1015="","",MAX(0,$H1015-N($E1015)))</f>
        <v/>
      </c>
      <c r="J1015" s="42">
        <f>IF($H1015="","",MAX(0,$H1015-N($G1015)))</f>
        <v/>
      </c>
    </row>
    <row r="1016" ht="19.5" customHeight="1" s="72">
      <c r="A1016" s="38" t="inlineStr">
        <is>
          <t>BaobáF-OCT-P01-SBA</t>
        </is>
      </c>
      <c r="B1016" s="38" t="inlineStr">
        <is>
          <t>Octavas</t>
        </is>
      </c>
      <c r="C1016" s="38" t="inlineStr">
        <is>
          <t>São Bento da Abadá</t>
        </is>
      </c>
      <c r="D1016" s="39">
        <f>IFERROR('CLASIF_Baobá_F'!$F$5,"")</f>
        <v/>
      </c>
      <c r="E1016" s="40" t="n"/>
      <c r="F1016" s="39">
        <f>IFERROR('CLASIF_Baobá_F'!$F$20,"")</f>
        <v/>
      </c>
      <c r="G1016" s="40" t="n"/>
      <c r="H1016" s="41" t="n"/>
      <c r="I1016" s="42">
        <f>IF($H1016="","",MAX(0,$H1016-N($E1016)))</f>
        <v/>
      </c>
      <c r="J1016" s="42">
        <f>IF($H1016="","",MAX(0,$H1016-N($G1016)))</f>
        <v/>
      </c>
    </row>
    <row r="1017" ht="19.5" customHeight="1" s="72">
      <c r="A1017" s="38" t="inlineStr">
        <is>
          <t>BaobáF-OCT-P01-BEN</t>
        </is>
      </c>
      <c r="B1017" s="38" t="inlineStr">
        <is>
          <t>Octavas</t>
        </is>
      </c>
      <c r="C1017" s="38" t="inlineStr">
        <is>
          <t>Benguela</t>
        </is>
      </c>
      <c r="D1017" s="39">
        <f>IFERROR('CLASIF_Baobá_F'!$F$5,"")</f>
        <v/>
      </c>
      <c r="E1017" s="40" t="n"/>
      <c r="F1017" s="39">
        <f>IFERROR('CLASIF_Baobá_F'!$F$20,"")</f>
        <v/>
      </c>
      <c r="G1017" s="40" t="n"/>
      <c r="H1017" s="41" t="n"/>
      <c r="I1017" s="42">
        <f>IF($H1017="","",MAX(0,$H1017-N($E1017)))</f>
        <v/>
      </c>
      <c r="J1017" s="42">
        <f>IF($H1017="","",MAX(0,$H1017-N($G1017)))</f>
        <v/>
      </c>
    </row>
    <row r="1018" ht="19.5" customHeight="1" s="72">
      <c r="A1018" s="38" t="inlineStr">
        <is>
          <t>BaobáF-OCT-P01-SIR</t>
        </is>
      </c>
      <c r="B1018" s="38" t="inlineStr">
        <is>
          <t>Octavas</t>
        </is>
      </c>
      <c r="C1018" s="38" t="inlineStr">
        <is>
          <t>Siriuna</t>
        </is>
      </c>
      <c r="D1018" s="39">
        <f>IFERROR('CLASIF_Baobá_F'!$F$5,"")</f>
        <v/>
      </c>
      <c r="E1018" s="40" t="n"/>
      <c r="F1018" s="39">
        <f>IFERROR('CLASIF_Baobá_F'!$F$20,"")</f>
        <v/>
      </c>
      <c r="G1018" s="40" t="n"/>
      <c r="H1018" s="41" t="n"/>
      <c r="I1018" s="42">
        <f>IF($H1018="","",MAX(0,$H1018-N($E1018)))</f>
        <v/>
      </c>
      <c r="J1018" s="42">
        <f>IF($H1018="","",MAX(0,$H1018-N($G1018)))</f>
        <v/>
      </c>
    </row>
    <row r="1019" ht="19.5" customHeight="1" s="72">
      <c r="A1019" s="38" t="inlineStr">
        <is>
          <t>BaobáF-OCT-P02-SBA</t>
        </is>
      </c>
      <c r="B1019" s="38" t="inlineStr">
        <is>
          <t>Octavas</t>
        </is>
      </c>
      <c r="C1019" s="38" t="inlineStr">
        <is>
          <t>São Bento da Abadá</t>
        </is>
      </c>
      <c r="D1019" s="39">
        <f>IFERROR('CLASIF_Baobá_F'!$F$6,"")</f>
        <v/>
      </c>
      <c r="E1019" s="40" t="n"/>
      <c r="F1019" s="39">
        <f>IFERROR('CLASIF_Baobá_F'!$F$19,"")</f>
        <v/>
      </c>
      <c r="G1019" s="40" t="n"/>
      <c r="H1019" s="41" t="n"/>
      <c r="I1019" s="42">
        <f>IF($H1019="","",MAX(0,$H1019-N($E1019)))</f>
        <v/>
      </c>
      <c r="J1019" s="42">
        <f>IF($H1019="","",MAX(0,$H1019-N($G1019)))</f>
        <v/>
      </c>
    </row>
    <row r="1020" ht="19.5" customHeight="1" s="72">
      <c r="A1020" s="38" t="inlineStr">
        <is>
          <t>BaobáF-OCT-P02-BEN</t>
        </is>
      </c>
      <c r="B1020" s="38" t="inlineStr">
        <is>
          <t>Octavas</t>
        </is>
      </c>
      <c r="C1020" s="38" t="inlineStr">
        <is>
          <t>Benguela</t>
        </is>
      </c>
      <c r="D1020" s="39">
        <f>IFERROR('CLASIF_Baobá_F'!$F$6,"")</f>
        <v/>
      </c>
      <c r="E1020" s="40" t="n"/>
      <c r="F1020" s="39">
        <f>IFERROR('CLASIF_Baobá_F'!$F$19,"")</f>
        <v/>
      </c>
      <c r="G1020" s="40" t="n"/>
      <c r="H1020" s="41" t="n"/>
      <c r="I1020" s="42">
        <f>IF($H1020="","",MAX(0,$H1020-N($E1020)))</f>
        <v/>
      </c>
      <c r="J1020" s="42">
        <f>IF($H1020="","",MAX(0,$H1020-N($G1020)))</f>
        <v/>
      </c>
    </row>
    <row r="1021" ht="19.5" customHeight="1" s="72">
      <c r="A1021" s="38" t="inlineStr">
        <is>
          <t>BaobáF-OCT-P02-SIR</t>
        </is>
      </c>
      <c r="B1021" s="38" t="inlineStr">
        <is>
          <t>Octavas</t>
        </is>
      </c>
      <c r="C1021" s="38" t="inlineStr">
        <is>
          <t>Siriuna</t>
        </is>
      </c>
      <c r="D1021" s="39">
        <f>IFERROR('CLASIF_Baobá_F'!$F$6,"")</f>
        <v/>
      </c>
      <c r="E1021" s="40" t="n"/>
      <c r="F1021" s="39">
        <f>IFERROR('CLASIF_Baobá_F'!$F$19,"")</f>
        <v/>
      </c>
      <c r="G1021" s="40" t="n"/>
      <c r="H1021" s="41" t="n"/>
      <c r="I1021" s="42">
        <f>IF($H1021="","",MAX(0,$H1021-N($E1021)))</f>
        <v/>
      </c>
      <c r="J1021" s="42">
        <f>IF($H1021="","",MAX(0,$H1021-N($G1021)))</f>
        <v/>
      </c>
    </row>
    <row r="1022" ht="19.5" customHeight="1" s="72">
      <c r="A1022" s="38" t="inlineStr">
        <is>
          <t>BaobáF-OCT-P03-SBA</t>
        </is>
      </c>
      <c r="B1022" s="38" t="inlineStr">
        <is>
          <t>Octavas</t>
        </is>
      </c>
      <c r="C1022" s="38" t="inlineStr">
        <is>
          <t>São Bento da Abadá</t>
        </is>
      </c>
      <c r="D1022" s="39">
        <f>IFERROR('CLASIF_Baobá_F'!$F$7,"")</f>
        <v/>
      </c>
      <c r="E1022" s="40" t="n"/>
      <c r="F1022" s="39">
        <f>IFERROR('CLASIF_Baobá_F'!$F$18,"")</f>
        <v/>
      </c>
      <c r="G1022" s="40" t="n"/>
      <c r="H1022" s="41" t="n"/>
      <c r="I1022" s="42">
        <f>IF($H1022="","",MAX(0,$H1022-N($E1022)))</f>
        <v/>
      </c>
      <c r="J1022" s="42">
        <f>IF($H1022="","",MAX(0,$H1022-N($G1022)))</f>
        <v/>
      </c>
    </row>
    <row r="1023" ht="19.5" customHeight="1" s="72">
      <c r="A1023" s="38" t="inlineStr">
        <is>
          <t>BaobáF-OCT-P03-BEN</t>
        </is>
      </c>
      <c r="B1023" s="38" t="inlineStr">
        <is>
          <t>Octavas</t>
        </is>
      </c>
      <c r="C1023" s="38" t="inlineStr">
        <is>
          <t>Benguela</t>
        </is>
      </c>
      <c r="D1023" s="39">
        <f>IFERROR('CLASIF_Baobá_F'!$F$7,"")</f>
        <v/>
      </c>
      <c r="E1023" s="40" t="n"/>
      <c r="F1023" s="39">
        <f>IFERROR('CLASIF_Baobá_F'!$F$18,"")</f>
        <v/>
      </c>
      <c r="G1023" s="40" t="n"/>
      <c r="H1023" s="41" t="n"/>
      <c r="I1023" s="42">
        <f>IF($H1023="","",MAX(0,$H1023-N($E1023)))</f>
        <v/>
      </c>
      <c r="J1023" s="42">
        <f>IF($H1023="","",MAX(0,$H1023-N($G1023)))</f>
        <v/>
      </c>
    </row>
    <row r="1024" ht="19.5" customHeight="1" s="72">
      <c r="A1024" s="38" t="inlineStr">
        <is>
          <t>BaobáF-OCT-P03-SIR</t>
        </is>
      </c>
      <c r="B1024" s="38" t="inlineStr">
        <is>
          <t>Octavas</t>
        </is>
      </c>
      <c r="C1024" s="38" t="inlineStr">
        <is>
          <t>Siriuna</t>
        </is>
      </c>
      <c r="D1024" s="39">
        <f>IFERROR('CLASIF_Baobá_F'!$F$7,"")</f>
        <v/>
      </c>
      <c r="E1024" s="40" t="n"/>
      <c r="F1024" s="39">
        <f>IFERROR('CLASIF_Baobá_F'!$F$18,"")</f>
        <v/>
      </c>
      <c r="G1024" s="40" t="n"/>
      <c r="H1024" s="41" t="n"/>
      <c r="I1024" s="42">
        <f>IF($H1024="","",MAX(0,$H1024-N($E1024)))</f>
        <v/>
      </c>
      <c r="J1024" s="42">
        <f>IF($H1024="","",MAX(0,$H1024-N($G1024)))</f>
        <v/>
      </c>
    </row>
    <row r="1025" ht="19.5" customHeight="1" s="72">
      <c r="A1025" s="38" t="inlineStr">
        <is>
          <t>BaobáF-OCT-P04-SBA</t>
        </is>
      </c>
      <c r="B1025" s="38" t="inlineStr">
        <is>
          <t>Octavas</t>
        </is>
      </c>
      <c r="C1025" s="38" t="inlineStr">
        <is>
          <t>São Bento da Abadá</t>
        </is>
      </c>
      <c r="D1025" s="39">
        <f>IFERROR('CLASIF_Baobá_F'!$F$8,"")</f>
        <v/>
      </c>
      <c r="E1025" s="40" t="n"/>
      <c r="F1025" s="39">
        <f>IFERROR('CLASIF_Baobá_F'!$F$17,"")</f>
        <v/>
      </c>
      <c r="G1025" s="40" t="n"/>
      <c r="H1025" s="41" t="n"/>
      <c r="I1025" s="42">
        <f>IF($H1025="","",MAX(0,$H1025-N($E1025)))</f>
        <v/>
      </c>
      <c r="J1025" s="42">
        <f>IF($H1025="","",MAX(0,$H1025-N($G1025)))</f>
        <v/>
      </c>
    </row>
    <row r="1026" ht="19.5" customHeight="1" s="72">
      <c r="A1026" s="38" t="inlineStr">
        <is>
          <t>BaobáF-OCT-P04-BEN</t>
        </is>
      </c>
      <c r="B1026" s="38" t="inlineStr">
        <is>
          <t>Octavas</t>
        </is>
      </c>
      <c r="C1026" s="38" t="inlineStr">
        <is>
          <t>Benguela</t>
        </is>
      </c>
      <c r="D1026" s="39">
        <f>IFERROR('CLASIF_Baobá_F'!$F$8,"")</f>
        <v/>
      </c>
      <c r="E1026" s="40" t="n"/>
      <c r="F1026" s="39">
        <f>IFERROR('CLASIF_Baobá_F'!$F$17,"")</f>
        <v/>
      </c>
      <c r="G1026" s="40" t="n"/>
      <c r="H1026" s="41" t="n"/>
      <c r="I1026" s="42">
        <f>IF($H1026="","",MAX(0,$H1026-N($E1026)))</f>
        <v/>
      </c>
      <c r="J1026" s="42">
        <f>IF($H1026="","",MAX(0,$H1026-N($G1026)))</f>
        <v/>
      </c>
    </row>
    <row r="1027" ht="19.5" customHeight="1" s="72">
      <c r="A1027" s="38" t="inlineStr">
        <is>
          <t>BaobáF-OCT-P04-SIR</t>
        </is>
      </c>
      <c r="B1027" s="38" t="inlineStr">
        <is>
          <t>Octavas</t>
        </is>
      </c>
      <c r="C1027" s="38" t="inlineStr">
        <is>
          <t>Siriuna</t>
        </is>
      </c>
      <c r="D1027" s="39">
        <f>IFERROR('CLASIF_Baobá_F'!$F$8,"")</f>
        <v/>
      </c>
      <c r="E1027" s="40" t="n"/>
      <c r="F1027" s="39">
        <f>IFERROR('CLASIF_Baobá_F'!$F$17,"")</f>
        <v/>
      </c>
      <c r="G1027" s="40" t="n"/>
      <c r="H1027" s="41" t="n"/>
      <c r="I1027" s="42">
        <f>IF($H1027="","",MAX(0,$H1027-N($E1027)))</f>
        <v/>
      </c>
      <c r="J1027" s="42">
        <f>IF($H1027="","",MAX(0,$H1027-N($G1027)))</f>
        <v/>
      </c>
    </row>
    <row r="1028" ht="19.5" customHeight="1" s="72">
      <c r="A1028" s="38" t="inlineStr">
        <is>
          <t>BaobáF-OCT-P05-SBA</t>
        </is>
      </c>
      <c r="B1028" s="38" t="inlineStr">
        <is>
          <t>Octavas</t>
        </is>
      </c>
      <c r="C1028" s="38" t="inlineStr">
        <is>
          <t>São Bento da Abadá</t>
        </is>
      </c>
      <c r="D1028" s="39">
        <f>IFERROR('CLASIF_Baobá_F'!$F$9,"")</f>
        <v/>
      </c>
      <c r="E1028" s="40" t="n"/>
      <c r="F1028" s="39">
        <f>IFERROR('CLASIF_Baobá_F'!$F$16,"")</f>
        <v/>
      </c>
      <c r="G1028" s="40" t="n"/>
      <c r="H1028" s="41" t="n"/>
      <c r="I1028" s="42">
        <f>IF($H1028="","",MAX(0,$H1028-N($E1028)))</f>
        <v/>
      </c>
      <c r="J1028" s="42">
        <f>IF($H1028="","",MAX(0,$H1028-N($G1028)))</f>
        <v/>
      </c>
    </row>
    <row r="1029" ht="19.5" customHeight="1" s="72">
      <c r="A1029" s="38" t="inlineStr">
        <is>
          <t>BaobáF-OCT-P05-BEN</t>
        </is>
      </c>
      <c r="B1029" s="38" t="inlineStr">
        <is>
          <t>Octavas</t>
        </is>
      </c>
      <c r="C1029" s="38" t="inlineStr">
        <is>
          <t>Benguela</t>
        </is>
      </c>
      <c r="D1029" s="39">
        <f>IFERROR('CLASIF_Baobá_F'!$F$9,"")</f>
        <v/>
      </c>
      <c r="E1029" s="40" t="n"/>
      <c r="F1029" s="39">
        <f>IFERROR('CLASIF_Baobá_F'!$F$16,"")</f>
        <v/>
      </c>
      <c r="G1029" s="40" t="n"/>
      <c r="H1029" s="41" t="n"/>
      <c r="I1029" s="42">
        <f>IF($H1029="","",MAX(0,$H1029-N($E1029)))</f>
        <v/>
      </c>
      <c r="J1029" s="42">
        <f>IF($H1029="","",MAX(0,$H1029-N($G1029)))</f>
        <v/>
      </c>
    </row>
    <row r="1030" ht="19.5" customHeight="1" s="72">
      <c r="A1030" s="38" t="inlineStr">
        <is>
          <t>BaobáF-OCT-P05-SIR</t>
        </is>
      </c>
      <c r="B1030" s="38" t="inlineStr">
        <is>
          <t>Octavas</t>
        </is>
      </c>
      <c r="C1030" s="38" t="inlineStr">
        <is>
          <t>Siriuna</t>
        </is>
      </c>
      <c r="D1030" s="39">
        <f>IFERROR('CLASIF_Baobá_F'!$F$9,"")</f>
        <v/>
      </c>
      <c r="E1030" s="40" t="n"/>
      <c r="F1030" s="39">
        <f>IFERROR('CLASIF_Baobá_F'!$F$16,"")</f>
        <v/>
      </c>
      <c r="G1030" s="40" t="n"/>
      <c r="H1030" s="41" t="n"/>
      <c r="I1030" s="42">
        <f>IF($H1030="","",MAX(0,$H1030-N($E1030)))</f>
        <v/>
      </c>
      <c r="J1030" s="42">
        <f>IF($H1030="","",MAX(0,$H1030-N($G1030)))</f>
        <v/>
      </c>
    </row>
    <row r="1031" ht="19.5" customHeight="1" s="72">
      <c r="A1031" s="38" t="inlineStr">
        <is>
          <t>BaobáF-OCT-P06-SBA</t>
        </is>
      </c>
      <c r="B1031" s="38" t="inlineStr">
        <is>
          <t>Octavas</t>
        </is>
      </c>
      <c r="C1031" s="38" t="inlineStr">
        <is>
          <t>São Bento da Abadá</t>
        </is>
      </c>
      <c r="D1031" s="39">
        <f>IFERROR('CLASIF_Baobá_F'!$F$10,"")</f>
        <v/>
      </c>
      <c r="E1031" s="40" t="n"/>
      <c r="F1031" s="39">
        <f>IFERROR('CLASIF_Baobá_F'!$F$15,"")</f>
        <v/>
      </c>
      <c r="G1031" s="40" t="n"/>
      <c r="H1031" s="41" t="n"/>
      <c r="I1031" s="42">
        <f>IF($H1031="","",MAX(0,$H1031-N($E1031)))</f>
        <v/>
      </c>
      <c r="J1031" s="42">
        <f>IF($H1031="","",MAX(0,$H1031-N($G1031)))</f>
        <v/>
      </c>
    </row>
    <row r="1032" ht="19.5" customHeight="1" s="72">
      <c r="A1032" s="38" t="inlineStr">
        <is>
          <t>BaobáF-OCT-P06-BEN</t>
        </is>
      </c>
      <c r="B1032" s="38" t="inlineStr">
        <is>
          <t>Octavas</t>
        </is>
      </c>
      <c r="C1032" s="38" t="inlineStr">
        <is>
          <t>Benguela</t>
        </is>
      </c>
      <c r="D1032" s="39">
        <f>IFERROR('CLASIF_Baobá_F'!$F$10,"")</f>
        <v/>
      </c>
      <c r="E1032" s="40" t="n"/>
      <c r="F1032" s="39">
        <f>IFERROR('CLASIF_Baobá_F'!$F$15,"")</f>
        <v/>
      </c>
      <c r="G1032" s="40" t="n"/>
      <c r="H1032" s="41" t="n"/>
      <c r="I1032" s="42">
        <f>IF($H1032="","",MAX(0,$H1032-N($E1032)))</f>
        <v/>
      </c>
      <c r="J1032" s="42">
        <f>IF($H1032="","",MAX(0,$H1032-N($G1032)))</f>
        <v/>
      </c>
    </row>
    <row r="1033" ht="19.5" customHeight="1" s="72">
      <c r="A1033" s="38" t="inlineStr">
        <is>
          <t>BaobáF-OCT-P06-SIR</t>
        </is>
      </c>
      <c r="B1033" s="38" t="inlineStr">
        <is>
          <t>Octavas</t>
        </is>
      </c>
      <c r="C1033" s="38" t="inlineStr">
        <is>
          <t>Siriuna</t>
        </is>
      </c>
      <c r="D1033" s="39">
        <f>IFERROR('CLASIF_Baobá_F'!$F$10,"")</f>
        <v/>
      </c>
      <c r="E1033" s="40" t="n"/>
      <c r="F1033" s="39">
        <f>IFERROR('CLASIF_Baobá_F'!$F$15,"")</f>
        <v/>
      </c>
      <c r="G1033" s="40" t="n"/>
      <c r="H1033" s="41" t="n"/>
      <c r="I1033" s="42">
        <f>IF($H1033="","",MAX(0,$H1033-N($E1033)))</f>
        <v/>
      </c>
      <c r="J1033" s="42">
        <f>IF($H1033="","",MAX(0,$H1033-N($G1033)))</f>
        <v/>
      </c>
    </row>
    <row r="1034" ht="19.5" customHeight="1" s="72">
      <c r="A1034" s="38" t="inlineStr">
        <is>
          <t>BaobáF-OCT-P07-SBA</t>
        </is>
      </c>
      <c r="B1034" s="38" t="inlineStr">
        <is>
          <t>Octavas</t>
        </is>
      </c>
      <c r="C1034" s="38" t="inlineStr">
        <is>
          <t>São Bento da Abadá</t>
        </is>
      </c>
      <c r="D1034" s="39">
        <f>IFERROR('CLASIF_Baobá_F'!$F$11,"")</f>
        <v/>
      </c>
      <c r="E1034" s="40" t="n"/>
      <c r="F1034" s="39">
        <f>IFERROR('CLASIF_Baobá_F'!$F$14,"")</f>
        <v/>
      </c>
      <c r="G1034" s="40" t="n"/>
      <c r="H1034" s="41" t="n"/>
      <c r="I1034" s="42">
        <f>IF($H1034="","",MAX(0,$H1034-N($E1034)))</f>
        <v/>
      </c>
      <c r="J1034" s="42">
        <f>IF($H1034="","",MAX(0,$H1034-N($G1034)))</f>
        <v/>
      </c>
    </row>
    <row r="1035" ht="19.5" customHeight="1" s="72">
      <c r="A1035" s="38" t="inlineStr">
        <is>
          <t>BaobáF-OCT-P07-BEN</t>
        </is>
      </c>
      <c r="B1035" s="38" t="inlineStr">
        <is>
          <t>Octavas</t>
        </is>
      </c>
      <c r="C1035" s="38" t="inlineStr">
        <is>
          <t>Benguela</t>
        </is>
      </c>
      <c r="D1035" s="39">
        <f>IFERROR('CLASIF_Baobá_F'!$F$11,"")</f>
        <v/>
      </c>
      <c r="E1035" s="40" t="n"/>
      <c r="F1035" s="39">
        <f>IFERROR('CLASIF_Baobá_F'!$F$14,"")</f>
        <v/>
      </c>
      <c r="G1035" s="40" t="n"/>
      <c r="H1035" s="41" t="n"/>
      <c r="I1035" s="42">
        <f>IF($H1035="","",MAX(0,$H1035-N($E1035)))</f>
        <v/>
      </c>
      <c r="J1035" s="42">
        <f>IF($H1035="","",MAX(0,$H1035-N($G1035)))</f>
        <v/>
      </c>
    </row>
    <row r="1036" ht="19.5" customHeight="1" s="72">
      <c r="A1036" s="38" t="inlineStr">
        <is>
          <t>BaobáF-OCT-P07-SIR</t>
        </is>
      </c>
      <c r="B1036" s="38" t="inlineStr">
        <is>
          <t>Octavas</t>
        </is>
      </c>
      <c r="C1036" s="38" t="inlineStr">
        <is>
          <t>Siriuna</t>
        </is>
      </c>
      <c r="D1036" s="39">
        <f>IFERROR('CLASIF_Baobá_F'!$F$11,"")</f>
        <v/>
      </c>
      <c r="E1036" s="40" t="n"/>
      <c r="F1036" s="39">
        <f>IFERROR('CLASIF_Baobá_F'!$F$14,"")</f>
        <v/>
      </c>
      <c r="G1036" s="40" t="n"/>
      <c r="H1036" s="41" t="n"/>
      <c r="I1036" s="42">
        <f>IF($H1036="","",MAX(0,$H1036-N($E1036)))</f>
        <v/>
      </c>
      <c r="J1036" s="42">
        <f>IF($H1036="","",MAX(0,$H1036-N($G1036)))</f>
        <v/>
      </c>
    </row>
    <row r="1037" ht="19.5" customHeight="1" s="72">
      <c r="A1037" s="38" t="inlineStr">
        <is>
          <t>BaobáF-OCT-P08-SBA</t>
        </is>
      </c>
      <c r="B1037" s="38" t="inlineStr">
        <is>
          <t>Octavas</t>
        </is>
      </c>
      <c r="C1037" s="38" t="inlineStr">
        <is>
          <t>São Bento da Abadá</t>
        </is>
      </c>
      <c r="D1037" s="39">
        <f>IFERROR('CLASIF_Baobá_F'!$F$12,"")</f>
        <v/>
      </c>
      <c r="E1037" s="40" t="n"/>
      <c r="F1037" s="39">
        <f>IFERROR('CLASIF_Baobá_F'!$F$13,"")</f>
        <v/>
      </c>
      <c r="G1037" s="40" t="n"/>
      <c r="H1037" s="41" t="n"/>
      <c r="I1037" s="42">
        <f>IF($H1037="","",MAX(0,$H1037-N($E1037)))</f>
        <v/>
      </c>
      <c r="J1037" s="42">
        <f>IF($H1037="","",MAX(0,$H1037-N($G1037)))</f>
        <v/>
      </c>
    </row>
    <row r="1038" ht="19.5" customHeight="1" s="72">
      <c r="A1038" s="38" t="inlineStr">
        <is>
          <t>BaobáF-OCT-P08-BEN</t>
        </is>
      </c>
      <c r="B1038" s="38" t="inlineStr">
        <is>
          <t>Octavas</t>
        </is>
      </c>
      <c r="C1038" s="38" t="inlineStr">
        <is>
          <t>Benguela</t>
        </is>
      </c>
      <c r="D1038" s="39">
        <f>IFERROR('CLASIF_Baobá_F'!$F$12,"")</f>
        <v/>
      </c>
      <c r="E1038" s="40" t="n"/>
      <c r="F1038" s="39">
        <f>IFERROR('CLASIF_Baobá_F'!$F$13,"")</f>
        <v/>
      </c>
      <c r="G1038" s="40" t="n"/>
      <c r="H1038" s="41" t="n"/>
      <c r="I1038" s="42">
        <f>IF($H1038="","",MAX(0,$H1038-N($E1038)))</f>
        <v/>
      </c>
      <c r="J1038" s="42">
        <f>IF($H1038="","",MAX(0,$H1038-N($G1038)))</f>
        <v/>
      </c>
    </row>
    <row r="1039" ht="19.5" customHeight="1" s="72">
      <c r="A1039" s="38" t="inlineStr">
        <is>
          <t>BaobáF-OCT-P08-SIR</t>
        </is>
      </c>
      <c r="B1039" s="38" t="inlineStr">
        <is>
          <t>Octavas</t>
        </is>
      </c>
      <c r="C1039" s="38" t="inlineStr">
        <is>
          <t>Siriuna</t>
        </is>
      </c>
      <c r="D1039" s="39">
        <f>IFERROR('CLASIF_Baobá_F'!$F$12,"")</f>
        <v/>
      </c>
      <c r="E1039" s="40" t="n"/>
      <c r="F1039" s="39">
        <f>IFERROR('CLASIF_Baobá_F'!$F$13,"")</f>
        <v/>
      </c>
      <c r="G1039" s="40" t="n"/>
      <c r="H1039" s="41" t="n"/>
      <c r="I1039" s="42">
        <f>IF($H1039="","",MAX(0,$H1039-N($E1039)))</f>
        <v/>
      </c>
      <c r="J1039" s="42">
        <f>IF($H1039="","",MAX(0,$H1039-N($G1039)))</f>
        <v/>
      </c>
    </row>
    <row r="1040" ht="19.5" customHeight="1" s="72">
      <c r="A1040" s="38" t="inlineStr">
        <is>
          <t>BaobáF-SEM-P01-SBA</t>
        </is>
      </c>
      <c r="B1040" s="38" t="inlineStr">
        <is>
          <t>Semifinal</t>
        </is>
      </c>
      <c r="C1040" s="38" t="inlineStr">
        <is>
          <t>São Bento da Abadá</t>
        </is>
      </c>
      <c r="D1040" s="39">
        <f>IFERROR('CLASIF_Baobá_F'!$O$5,"")</f>
        <v/>
      </c>
      <c r="E1040" s="40" t="n"/>
      <c r="F1040" s="39">
        <f>IFERROR('CLASIF_Baobá_F'!$O$12,"")</f>
        <v/>
      </c>
      <c r="G1040" s="40" t="n"/>
      <c r="H1040" s="41" t="n"/>
      <c r="I1040" s="42">
        <f>IF($H1040="","",MAX(0,$H1040-N($E1040)))</f>
        <v/>
      </c>
      <c r="J1040" s="42">
        <f>IF($H1040="","",MAX(0,$H1040-N($G1040)))</f>
        <v/>
      </c>
    </row>
    <row r="1041" ht="19.5" customHeight="1" s="72">
      <c r="A1041" s="38" t="inlineStr">
        <is>
          <t>BaobáF-SEM-P01-BEN</t>
        </is>
      </c>
      <c r="B1041" s="38" t="inlineStr">
        <is>
          <t>Semifinal</t>
        </is>
      </c>
      <c r="C1041" s="38" t="inlineStr">
        <is>
          <t>Benguela</t>
        </is>
      </c>
      <c r="D1041" s="39">
        <f>IFERROR('CLASIF_Baobá_F'!$O$5,"")</f>
        <v/>
      </c>
      <c r="E1041" s="40" t="n"/>
      <c r="F1041" s="39">
        <f>IFERROR('CLASIF_Baobá_F'!$O$12,"")</f>
        <v/>
      </c>
      <c r="G1041" s="40" t="n"/>
      <c r="H1041" s="41" t="n"/>
      <c r="I1041" s="42">
        <f>IF($H1041="","",MAX(0,$H1041-N($E1041)))</f>
        <v/>
      </c>
      <c r="J1041" s="42">
        <f>IF($H1041="","",MAX(0,$H1041-N($G1041)))</f>
        <v/>
      </c>
    </row>
    <row r="1042" ht="19.5" customHeight="1" s="72">
      <c r="A1042" s="38" t="inlineStr">
        <is>
          <t>BaobáF-SEM-P01-SIR</t>
        </is>
      </c>
      <c r="B1042" s="38" t="inlineStr">
        <is>
          <t>Semifinal</t>
        </is>
      </c>
      <c r="C1042" s="38" t="inlineStr">
        <is>
          <t>Siriuna</t>
        </is>
      </c>
      <c r="D1042" s="39">
        <f>IFERROR('CLASIF_Baobá_F'!$O$5,"")</f>
        <v/>
      </c>
      <c r="E1042" s="40" t="n"/>
      <c r="F1042" s="39">
        <f>IFERROR('CLASIF_Baobá_F'!$O$12,"")</f>
        <v/>
      </c>
      <c r="G1042" s="40" t="n"/>
      <c r="H1042" s="41" t="n"/>
      <c r="I1042" s="42">
        <f>IF($H1042="","",MAX(0,$H1042-N($E1042)))</f>
        <v/>
      </c>
      <c r="J1042" s="42">
        <f>IF($H1042="","",MAX(0,$H1042-N($G1042)))</f>
        <v/>
      </c>
    </row>
    <row r="1043" ht="19.5" customHeight="1" s="72">
      <c r="A1043" s="38" t="inlineStr">
        <is>
          <t>BaobáF-SEM-P02-SBA</t>
        </is>
      </c>
      <c r="B1043" s="38" t="inlineStr">
        <is>
          <t>Semifinal</t>
        </is>
      </c>
      <c r="C1043" s="38" t="inlineStr">
        <is>
          <t>São Bento da Abadá</t>
        </is>
      </c>
      <c r="D1043" s="39">
        <f>IFERROR('CLASIF_Baobá_F'!$O$6,"")</f>
        <v/>
      </c>
      <c r="E1043" s="40" t="n"/>
      <c r="F1043" s="39">
        <f>IFERROR('CLASIF_Baobá_F'!$O$11,"")</f>
        <v/>
      </c>
      <c r="G1043" s="40" t="n"/>
      <c r="H1043" s="41" t="n"/>
      <c r="I1043" s="42">
        <f>IF($H1043="","",MAX(0,$H1043-N($E1043)))</f>
        <v/>
      </c>
      <c r="J1043" s="42">
        <f>IF($H1043="","",MAX(0,$H1043-N($G1043)))</f>
        <v/>
      </c>
    </row>
    <row r="1044" ht="19.5" customHeight="1" s="72">
      <c r="A1044" s="38" t="inlineStr">
        <is>
          <t>BaobáF-SEM-P02-BEN</t>
        </is>
      </c>
      <c r="B1044" s="38" t="inlineStr">
        <is>
          <t>Semifinal</t>
        </is>
      </c>
      <c r="C1044" s="38" t="inlineStr">
        <is>
          <t>Benguela</t>
        </is>
      </c>
      <c r="D1044" s="39">
        <f>IFERROR('CLASIF_Baobá_F'!$O$6,"")</f>
        <v/>
      </c>
      <c r="E1044" s="40" t="n"/>
      <c r="F1044" s="39">
        <f>IFERROR('CLASIF_Baobá_F'!$O$11,"")</f>
        <v/>
      </c>
      <c r="G1044" s="40" t="n"/>
      <c r="H1044" s="41" t="n"/>
      <c r="I1044" s="42">
        <f>IF($H1044="","",MAX(0,$H1044-N($E1044)))</f>
        <v/>
      </c>
      <c r="J1044" s="42">
        <f>IF($H1044="","",MAX(0,$H1044-N($G1044)))</f>
        <v/>
      </c>
    </row>
    <row r="1045" ht="19.5" customHeight="1" s="72">
      <c r="A1045" s="38" t="inlineStr">
        <is>
          <t>BaobáF-SEM-P02-SIR</t>
        </is>
      </c>
      <c r="B1045" s="38" t="inlineStr">
        <is>
          <t>Semifinal</t>
        </is>
      </c>
      <c r="C1045" s="38" t="inlineStr">
        <is>
          <t>Siriuna</t>
        </is>
      </c>
      <c r="D1045" s="39">
        <f>IFERROR('CLASIF_Baobá_F'!$O$6,"")</f>
        <v/>
      </c>
      <c r="E1045" s="40" t="n"/>
      <c r="F1045" s="39">
        <f>IFERROR('CLASIF_Baobá_F'!$O$11,"")</f>
        <v/>
      </c>
      <c r="G1045" s="40" t="n"/>
      <c r="H1045" s="41" t="n"/>
      <c r="I1045" s="42">
        <f>IF($H1045="","",MAX(0,$H1045-N($E1045)))</f>
        <v/>
      </c>
      <c r="J1045" s="42">
        <f>IF($H1045="","",MAX(0,$H1045-N($G1045)))</f>
        <v/>
      </c>
    </row>
    <row r="1046" ht="19.5" customHeight="1" s="72">
      <c r="A1046" s="38" t="inlineStr">
        <is>
          <t>BaobáF-SEM-P03-SBA</t>
        </is>
      </c>
      <c r="B1046" s="38" t="inlineStr">
        <is>
          <t>Semifinal</t>
        </is>
      </c>
      <c r="C1046" s="38" t="inlineStr">
        <is>
          <t>São Bento da Abadá</t>
        </is>
      </c>
      <c r="D1046" s="39">
        <f>IFERROR('CLASIF_Baobá_F'!$O$7,"")</f>
        <v/>
      </c>
      <c r="E1046" s="40" t="n"/>
      <c r="F1046" s="39">
        <f>IFERROR('CLASIF_Baobá_F'!$O$10,"")</f>
        <v/>
      </c>
      <c r="G1046" s="40" t="n"/>
      <c r="H1046" s="41" t="n"/>
      <c r="I1046" s="42">
        <f>IF($H1046="","",MAX(0,$H1046-N($E1046)))</f>
        <v/>
      </c>
      <c r="J1046" s="42">
        <f>IF($H1046="","",MAX(0,$H1046-N($G1046)))</f>
        <v/>
      </c>
    </row>
    <row r="1047" ht="19.5" customHeight="1" s="72">
      <c r="A1047" s="38" t="inlineStr">
        <is>
          <t>BaobáF-SEM-P03-BEN</t>
        </is>
      </c>
      <c r="B1047" s="38" t="inlineStr">
        <is>
          <t>Semifinal</t>
        </is>
      </c>
      <c r="C1047" s="38" t="inlineStr">
        <is>
          <t>Benguela</t>
        </is>
      </c>
      <c r="D1047" s="39">
        <f>IFERROR('CLASIF_Baobá_F'!$O$7,"")</f>
        <v/>
      </c>
      <c r="E1047" s="40" t="n"/>
      <c r="F1047" s="39">
        <f>IFERROR('CLASIF_Baobá_F'!$O$10,"")</f>
        <v/>
      </c>
      <c r="G1047" s="40" t="n"/>
      <c r="H1047" s="41" t="n"/>
      <c r="I1047" s="42">
        <f>IF($H1047="","",MAX(0,$H1047-N($E1047)))</f>
        <v/>
      </c>
      <c r="J1047" s="42">
        <f>IF($H1047="","",MAX(0,$H1047-N($G1047)))</f>
        <v/>
      </c>
    </row>
    <row r="1048" ht="19.5" customHeight="1" s="72">
      <c r="A1048" s="38" t="inlineStr">
        <is>
          <t>BaobáF-SEM-P03-SIR</t>
        </is>
      </c>
      <c r="B1048" s="38" t="inlineStr">
        <is>
          <t>Semifinal</t>
        </is>
      </c>
      <c r="C1048" s="38" t="inlineStr">
        <is>
          <t>Siriuna</t>
        </is>
      </c>
      <c r="D1048" s="39">
        <f>IFERROR('CLASIF_Baobá_F'!$O$7,"")</f>
        <v/>
      </c>
      <c r="E1048" s="40" t="n"/>
      <c r="F1048" s="39">
        <f>IFERROR('CLASIF_Baobá_F'!$O$10,"")</f>
        <v/>
      </c>
      <c r="G1048" s="40" t="n"/>
      <c r="H1048" s="41" t="n"/>
      <c r="I1048" s="42">
        <f>IF($H1048="","",MAX(0,$H1048-N($E1048)))</f>
        <v/>
      </c>
      <c r="J1048" s="42">
        <f>IF($H1048="","",MAX(0,$H1048-N($G1048)))</f>
        <v/>
      </c>
    </row>
    <row r="1049" ht="19.5" customHeight="1" s="72">
      <c r="A1049" s="38" t="inlineStr">
        <is>
          <t>BaobáF-SEM-P04-SBA</t>
        </is>
      </c>
      <c r="B1049" s="38" t="inlineStr">
        <is>
          <t>Semifinal</t>
        </is>
      </c>
      <c r="C1049" s="38" t="inlineStr">
        <is>
          <t>São Bento da Abadá</t>
        </is>
      </c>
      <c r="D1049" s="39">
        <f>IFERROR('CLASIF_Baobá_F'!$O$8,"")</f>
        <v/>
      </c>
      <c r="E1049" s="40" t="n"/>
      <c r="F1049" s="39">
        <f>IFERROR('CLASIF_Baobá_F'!$O$9,"")</f>
        <v/>
      </c>
      <c r="G1049" s="40" t="n"/>
      <c r="H1049" s="41" t="n"/>
      <c r="I1049" s="42">
        <f>IF($H1049="","",MAX(0,$H1049-N($E1049)))</f>
        <v/>
      </c>
      <c r="J1049" s="42">
        <f>IF($H1049="","",MAX(0,$H1049-N($G1049)))</f>
        <v/>
      </c>
    </row>
    <row r="1050" ht="19.5" customHeight="1" s="72">
      <c r="A1050" s="38" t="inlineStr">
        <is>
          <t>BaobáF-SEM-P04-BEN</t>
        </is>
      </c>
      <c r="B1050" s="38" t="inlineStr">
        <is>
          <t>Semifinal</t>
        </is>
      </c>
      <c r="C1050" s="38" t="inlineStr">
        <is>
          <t>Benguela</t>
        </is>
      </c>
      <c r="D1050" s="39">
        <f>IFERROR('CLASIF_Baobá_F'!$O$8,"")</f>
        <v/>
      </c>
      <c r="E1050" s="40" t="n"/>
      <c r="F1050" s="39">
        <f>IFERROR('CLASIF_Baobá_F'!$O$9,"")</f>
        <v/>
      </c>
      <c r="G1050" s="40" t="n"/>
      <c r="H1050" s="41" t="n"/>
      <c r="I1050" s="42">
        <f>IF($H1050="","",MAX(0,$H1050-N($E1050)))</f>
        <v/>
      </c>
      <c r="J1050" s="42">
        <f>IF($H1050="","",MAX(0,$H1050-N($G1050)))</f>
        <v/>
      </c>
    </row>
    <row r="1051" ht="19.5" customHeight="1" s="72">
      <c r="A1051" s="38" t="inlineStr">
        <is>
          <t>BaobáF-SEM-P04-SIR</t>
        </is>
      </c>
      <c r="B1051" s="38" t="inlineStr">
        <is>
          <t>Semifinal</t>
        </is>
      </c>
      <c r="C1051" s="38" t="inlineStr">
        <is>
          <t>Siriuna</t>
        </is>
      </c>
      <c r="D1051" s="39">
        <f>IFERROR('CLASIF_Baobá_F'!$O$8,"")</f>
        <v/>
      </c>
      <c r="E1051" s="40" t="n"/>
      <c r="F1051" s="39">
        <f>IFERROR('CLASIF_Baobá_F'!$O$9,"")</f>
        <v/>
      </c>
      <c r="G1051" s="40" t="n"/>
      <c r="H1051" s="41" t="n"/>
      <c r="I1051" s="42">
        <f>IF($H1051="","",MAX(0,$H1051-N($E1051)))</f>
        <v/>
      </c>
      <c r="J1051" s="42">
        <f>IF($H1051="","",MAX(0,$H1051-N($G1051)))</f>
        <v/>
      </c>
    </row>
    <row r="1052" ht="19.5" customHeight="1" s="72">
      <c r="A1052" s="38" t="inlineStr">
        <is>
          <t>BaobáF-FIN-P01-SBA</t>
        </is>
      </c>
      <c r="B1052" s="38" t="inlineStr">
        <is>
          <t>Final</t>
        </is>
      </c>
      <c r="C1052" s="38" t="inlineStr">
        <is>
          <t>São Bento da Abadá</t>
        </is>
      </c>
      <c r="D1052" s="39">
        <f>IFERROR('CLASIF_Baobá_F'!$X$5,"")</f>
        <v/>
      </c>
      <c r="E1052" s="40" t="n"/>
      <c r="F1052" s="39">
        <f>IFERROR('CLASIF_Baobá_F'!$X$8,"")</f>
        <v/>
      </c>
      <c r="G1052" s="40" t="n"/>
      <c r="H1052" s="41" t="n"/>
      <c r="I1052" s="42">
        <f>IF($H1052="","",MAX(0,$H1052-N($E1052)))</f>
        <v/>
      </c>
      <c r="J1052" s="42">
        <f>IF($H1052="","",MAX(0,$H1052-N($G1052)))</f>
        <v/>
      </c>
    </row>
    <row r="1053" ht="19.5" customHeight="1" s="72">
      <c r="A1053" s="38" t="inlineStr">
        <is>
          <t>BaobáF-FIN-P01-BEN</t>
        </is>
      </c>
      <c r="B1053" s="38" t="inlineStr">
        <is>
          <t>Final</t>
        </is>
      </c>
      <c r="C1053" s="38" t="inlineStr">
        <is>
          <t>Benguela</t>
        </is>
      </c>
      <c r="D1053" s="39">
        <f>IFERROR('CLASIF_Baobá_F'!$X$5,"")</f>
        <v/>
      </c>
      <c r="E1053" s="40" t="n"/>
      <c r="F1053" s="39">
        <f>IFERROR('CLASIF_Baobá_F'!$X$8,"")</f>
        <v/>
      </c>
      <c r="G1053" s="40" t="n"/>
      <c r="H1053" s="41" t="n"/>
      <c r="I1053" s="42">
        <f>IF($H1053="","",MAX(0,$H1053-N($E1053)))</f>
        <v/>
      </c>
      <c r="J1053" s="42">
        <f>IF($H1053="","",MAX(0,$H1053-N($G1053)))</f>
        <v/>
      </c>
    </row>
    <row r="1054" ht="19.5" customHeight="1" s="72">
      <c r="A1054" s="38" t="inlineStr">
        <is>
          <t>BaobáF-FIN-P01-SIR</t>
        </is>
      </c>
      <c r="B1054" s="38" t="inlineStr">
        <is>
          <t>Final</t>
        </is>
      </c>
      <c r="C1054" s="38" t="inlineStr">
        <is>
          <t>Siriuna</t>
        </is>
      </c>
      <c r="D1054" s="39">
        <f>IFERROR('CLASIF_Baobá_F'!$X$5,"")</f>
        <v/>
      </c>
      <c r="E1054" s="40" t="n"/>
      <c r="F1054" s="39">
        <f>IFERROR('CLASIF_Baobá_F'!$X$8,"")</f>
        <v/>
      </c>
      <c r="G1054" s="40" t="n"/>
      <c r="H1054" s="41" t="n"/>
      <c r="I1054" s="42">
        <f>IF($H1054="","",MAX(0,$H1054-N($E1054)))</f>
        <v/>
      </c>
      <c r="J1054" s="42">
        <f>IF($H1054="","",MAX(0,$H1054-N($G1054)))</f>
        <v/>
      </c>
    </row>
    <row r="1055" ht="19.5" customHeight="1" s="72">
      <c r="A1055" s="38" t="inlineStr">
        <is>
          <t>BaobáF-FIN-P02-SBA</t>
        </is>
      </c>
      <c r="B1055" s="38" t="inlineStr">
        <is>
          <t>Final</t>
        </is>
      </c>
      <c r="C1055" s="38" t="inlineStr">
        <is>
          <t>São Bento da Abadá</t>
        </is>
      </c>
      <c r="D1055" s="39">
        <f>IFERROR('CLASIF_Baobá_F'!$X$6,"")</f>
        <v/>
      </c>
      <c r="E1055" s="40" t="n"/>
      <c r="F1055" s="39">
        <f>IFERROR('CLASIF_Baobá_F'!$X$7,"")</f>
        <v/>
      </c>
      <c r="G1055" s="40" t="n"/>
      <c r="H1055" s="41" t="n"/>
      <c r="I1055" s="42">
        <f>IF($H1055="","",MAX(0,$H1055-N($E1055)))</f>
        <v/>
      </c>
      <c r="J1055" s="42">
        <f>IF($H1055="","",MAX(0,$H1055-N($G1055)))</f>
        <v/>
      </c>
    </row>
    <row r="1056" ht="19.5" customHeight="1" s="72">
      <c r="A1056" s="38" t="inlineStr">
        <is>
          <t>BaobáF-FIN-P02-BEN</t>
        </is>
      </c>
      <c r="B1056" s="38" t="inlineStr">
        <is>
          <t>Final</t>
        </is>
      </c>
      <c r="C1056" s="38" t="inlineStr">
        <is>
          <t>Benguela</t>
        </is>
      </c>
      <c r="D1056" s="39">
        <f>IFERROR('CLASIF_Baobá_F'!$X$6,"")</f>
        <v/>
      </c>
      <c r="E1056" s="40" t="n"/>
      <c r="F1056" s="39">
        <f>IFERROR('CLASIF_Baobá_F'!$X$7,"")</f>
        <v/>
      </c>
      <c r="G1056" s="40" t="n"/>
      <c r="H1056" s="41" t="n"/>
      <c r="I1056" s="42">
        <f>IF($H1056="","",MAX(0,$H1056-N($E1056)))</f>
        <v/>
      </c>
      <c r="J1056" s="42">
        <f>IF($H1056="","",MAX(0,$H1056-N($G1056)))</f>
        <v/>
      </c>
    </row>
    <row r="1057" ht="19.5" customHeight="1" s="72">
      <c r="A1057" s="38" t="inlineStr">
        <is>
          <t>BaobáF-FIN-P02-SIR</t>
        </is>
      </c>
      <c r="B1057" s="38" t="inlineStr">
        <is>
          <t>Final</t>
        </is>
      </c>
      <c r="C1057" s="38" t="inlineStr">
        <is>
          <t>Siriuna</t>
        </is>
      </c>
      <c r="D1057" s="39">
        <f>IFERROR('CLASIF_Baobá_F'!$X$6,"")</f>
        <v/>
      </c>
      <c r="E1057" s="40" t="n"/>
      <c r="F1057" s="39">
        <f>IFERROR('CLASIF_Baobá_F'!$X$7,"")</f>
        <v/>
      </c>
      <c r="G1057" s="40" t="n"/>
      <c r="H1057" s="41" t="n"/>
      <c r="I1057" s="42">
        <f>IF($H1057="","",MAX(0,$H1057-N($E1057)))</f>
        <v/>
      </c>
      <c r="J1057" s="42">
        <f>IF($H1057="","",MAX(0,$H1057-N($G1057)))</f>
        <v/>
      </c>
    </row>
    <row r="1058" ht="19.5" customHeight="1" s="72">
      <c r="A1058" s="43" t="n"/>
      <c r="B1058" s="43" t="n"/>
      <c r="C1058" s="43" t="n"/>
      <c r="D1058" s="43" t="n"/>
      <c r="E1058" s="43" t="n"/>
      <c r="F1058" s="43" t="n"/>
      <c r="G1058" s="43" t="n"/>
      <c r="H1058" s="44" t="n"/>
      <c r="I1058" s="43">
        <f>IF($H1058="","",MAX(0,$H1058-N($E1058)))</f>
        <v/>
      </c>
      <c r="J1058" s="43">
        <f>IF($H1058="","",MAX(0,$H1058-N($G1058)))</f>
        <v/>
      </c>
    </row>
    <row r="1059" ht="19.5" customHeight="1" s="72">
      <c r="A1059" s="86" t="inlineStr">
        <is>
          <t>═══ CATEGORÍA Juvenil · Masculino · Amarilla/Naranja · Toques: São Bento da Abadá, Benguela ═══</t>
        </is>
      </c>
    </row>
    <row r="1060" ht="19.5" customHeight="1" s="72">
      <c r="A1060" s="8" t="inlineStr">
        <is>
          <t>Jogo</t>
        </is>
      </c>
      <c r="B1060" s="8" t="inlineStr">
        <is>
          <t>Fase</t>
        </is>
      </c>
      <c r="C1060" s="8" t="inlineStr">
        <is>
          <t>Toque</t>
        </is>
      </c>
      <c r="D1060" s="8" t="inlineStr">
        <is>
          <t>Jugador A</t>
        </is>
      </c>
      <c r="E1060" s="8" t="inlineStr">
        <is>
          <t>Quita A</t>
        </is>
      </c>
      <c r="F1060" s="8" t="inlineStr">
        <is>
          <t>Jugador B</t>
        </is>
      </c>
      <c r="G1060" s="8" t="inlineStr">
        <is>
          <t>Quita B</t>
        </is>
      </c>
      <c r="H1060" s="8" t="inlineStr">
        <is>
          <t>NOTA (0-5)</t>
        </is>
      </c>
      <c r="I1060" s="8">
        <f>IF($H1060="","",MAX(0,$H1060-N($E1060)))</f>
        <v/>
      </c>
      <c r="J1060" s="8">
        <f>IF($H1060="","",MAX(0,$H1060-N($G1060)))</f>
        <v/>
      </c>
    </row>
    <row r="1061" ht="19.5" customHeight="1" s="72">
      <c r="A1061" s="38" t="inlineStr">
        <is>
          <t>JuvenilM-32-P01-SBA</t>
        </is>
      </c>
      <c r="B1061" s="38" t="inlineStr">
        <is>
          <t>Fase 32</t>
        </is>
      </c>
      <c r="C1061" s="38" t="inlineStr">
        <is>
          <t>São Bento da Abadá</t>
        </is>
      </c>
      <c r="D1061" s="39" t="inlineStr">
        <is>
          <t>A_Juvenil_M_32_P1</t>
        </is>
      </c>
      <c r="E1061" s="40" t="n"/>
      <c r="F1061" s="39" t="inlineStr">
        <is>
          <t>B_Juvenil_M_32_P1</t>
        </is>
      </c>
      <c r="G1061" s="40" t="n"/>
      <c r="H1061" s="41" t="n"/>
      <c r="I1061" s="42">
        <f>IF($H1061="","",MAX(0,$H1061-N($E1061)))</f>
        <v/>
      </c>
      <c r="J1061" s="42">
        <f>IF($H1061="","",MAX(0,$H1061-N($G1061)))</f>
        <v/>
      </c>
    </row>
    <row r="1062" ht="19.5" customHeight="1" s="72">
      <c r="A1062" s="38" t="inlineStr">
        <is>
          <t>JuvenilM-32-P01-BEN</t>
        </is>
      </c>
      <c r="B1062" s="38" t="inlineStr">
        <is>
          <t>Fase 32</t>
        </is>
      </c>
      <c r="C1062" s="38" t="inlineStr">
        <is>
          <t>Benguela</t>
        </is>
      </c>
      <c r="D1062" s="39" t="inlineStr">
        <is>
          <t>A_Juvenil_M_32_P1</t>
        </is>
      </c>
      <c r="E1062" s="40" t="n"/>
      <c r="F1062" s="39" t="inlineStr">
        <is>
          <t>B_Juvenil_M_32_P1</t>
        </is>
      </c>
      <c r="G1062" s="40" t="n"/>
      <c r="H1062" s="41" t="n"/>
      <c r="I1062" s="42">
        <f>IF($H1062="","",MAX(0,$H1062-N($E1062)))</f>
        <v/>
      </c>
      <c r="J1062" s="42">
        <f>IF($H1062="","",MAX(0,$H1062-N($G1062)))</f>
        <v/>
      </c>
    </row>
    <row r="1063" ht="19.5" customHeight="1" s="72">
      <c r="A1063" s="38" t="inlineStr">
        <is>
          <t>JuvenilM-32-P02-SBA</t>
        </is>
      </c>
      <c r="B1063" s="38" t="inlineStr">
        <is>
          <t>Fase 32</t>
        </is>
      </c>
      <c r="C1063" s="38" t="inlineStr">
        <is>
          <t>São Bento da Abadá</t>
        </is>
      </c>
      <c r="D1063" s="39" t="inlineStr">
        <is>
          <t>A_Juvenil_M_32_P2</t>
        </is>
      </c>
      <c r="E1063" s="40" t="n"/>
      <c r="F1063" s="39" t="inlineStr">
        <is>
          <t>B_Juvenil_M_32_P2</t>
        </is>
      </c>
      <c r="G1063" s="40" t="n"/>
      <c r="H1063" s="41" t="n"/>
      <c r="I1063" s="42">
        <f>IF($H1063="","",MAX(0,$H1063-N($E1063)))</f>
        <v/>
      </c>
      <c r="J1063" s="42">
        <f>IF($H1063="","",MAX(0,$H1063-N($G1063)))</f>
        <v/>
      </c>
    </row>
    <row r="1064" ht="19.5" customHeight="1" s="72">
      <c r="A1064" s="38" t="inlineStr">
        <is>
          <t>JuvenilM-32-P02-BEN</t>
        </is>
      </c>
      <c r="B1064" s="38" t="inlineStr">
        <is>
          <t>Fase 32</t>
        </is>
      </c>
      <c r="C1064" s="38" t="inlineStr">
        <is>
          <t>Benguela</t>
        </is>
      </c>
      <c r="D1064" s="39" t="inlineStr">
        <is>
          <t>A_Juvenil_M_32_P2</t>
        </is>
      </c>
      <c r="E1064" s="40" t="n"/>
      <c r="F1064" s="39" t="inlineStr">
        <is>
          <t>B_Juvenil_M_32_P2</t>
        </is>
      </c>
      <c r="G1064" s="40" t="n"/>
      <c r="H1064" s="41" t="n"/>
      <c r="I1064" s="42">
        <f>IF($H1064="","",MAX(0,$H1064-N($E1064)))</f>
        <v/>
      </c>
      <c r="J1064" s="42">
        <f>IF($H1064="","",MAX(0,$H1064-N($G1064)))</f>
        <v/>
      </c>
    </row>
    <row r="1065" ht="19.5" customHeight="1" s="72">
      <c r="A1065" s="38" t="inlineStr">
        <is>
          <t>JuvenilM-32-P03-SBA</t>
        </is>
      </c>
      <c r="B1065" s="38" t="inlineStr">
        <is>
          <t>Fase 32</t>
        </is>
      </c>
      <c r="C1065" s="38" t="inlineStr">
        <is>
          <t>São Bento da Abadá</t>
        </is>
      </c>
      <c r="D1065" s="39" t="inlineStr">
        <is>
          <t>A_Juvenil_M_32_P3</t>
        </is>
      </c>
      <c r="E1065" s="40" t="n"/>
      <c r="F1065" s="39" t="inlineStr">
        <is>
          <t>B_Juvenil_M_32_P3</t>
        </is>
      </c>
      <c r="G1065" s="40" t="n"/>
      <c r="H1065" s="41" t="n"/>
      <c r="I1065" s="42">
        <f>IF($H1065="","",MAX(0,$H1065-N($E1065)))</f>
        <v/>
      </c>
      <c r="J1065" s="42">
        <f>IF($H1065="","",MAX(0,$H1065-N($G1065)))</f>
        <v/>
      </c>
    </row>
    <row r="1066" ht="19.5" customHeight="1" s="72">
      <c r="A1066" s="38" t="inlineStr">
        <is>
          <t>JuvenilM-32-P03-BEN</t>
        </is>
      </c>
      <c r="B1066" s="38" t="inlineStr">
        <is>
          <t>Fase 32</t>
        </is>
      </c>
      <c r="C1066" s="38" t="inlineStr">
        <is>
          <t>Benguela</t>
        </is>
      </c>
      <c r="D1066" s="39" t="inlineStr">
        <is>
          <t>A_Juvenil_M_32_P3</t>
        </is>
      </c>
      <c r="E1066" s="40" t="n"/>
      <c r="F1066" s="39" t="inlineStr">
        <is>
          <t>B_Juvenil_M_32_P3</t>
        </is>
      </c>
      <c r="G1066" s="40" t="n"/>
      <c r="H1066" s="41" t="n"/>
      <c r="I1066" s="42">
        <f>IF($H1066="","",MAX(0,$H1066-N($E1066)))</f>
        <v/>
      </c>
      <c r="J1066" s="42">
        <f>IF($H1066="","",MAX(0,$H1066-N($G1066)))</f>
        <v/>
      </c>
    </row>
    <row r="1067" ht="19.5" customHeight="1" s="72">
      <c r="A1067" s="38" t="inlineStr">
        <is>
          <t>JuvenilM-32-P04-SBA</t>
        </is>
      </c>
      <c r="B1067" s="38" t="inlineStr">
        <is>
          <t>Fase 32</t>
        </is>
      </c>
      <c r="C1067" s="38" t="inlineStr">
        <is>
          <t>São Bento da Abadá</t>
        </is>
      </c>
      <c r="D1067" s="39" t="inlineStr">
        <is>
          <t>A_Juvenil_M_32_P4</t>
        </is>
      </c>
      <c r="E1067" s="40" t="n"/>
      <c r="F1067" s="39" t="inlineStr">
        <is>
          <t>B_Juvenil_M_32_P4</t>
        </is>
      </c>
      <c r="G1067" s="40" t="n"/>
      <c r="H1067" s="41" t="n"/>
      <c r="I1067" s="42">
        <f>IF($H1067="","",MAX(0,$H1067-N($E1067)))</f>
        <v/>
      </c>
      <c r="J1067" s="42">
        <f>IF($H1067="","",MAX(0,$H1067-N($G1067)))</f>
        <v/>
      </c>
    </row>
    <row r="1068" ht="19.5" customHeight="1" s="72">
      <c r="A1068" s="38" t="inlineStr">
        <is>
          <t>JuvenilM-32-P04-BEN</t>
        </is>
      </c>
      <c r="B1068" s="38" t="inlineStr">
        <is>
          <t>Fase 32</t>
        </is>
      </c>
      <c r="C1068" s="38" t="inlineStr">
        <is>
          <t>Benguela</t>
        </is>
      </c>
      <c r="D1068" s="39" t="inlineStr">
        <is>
          <t>A_Juvenil_M_32_P4</t>
        </is>
      </c>
      <c r="E1068" s="40" t="n"/>
      <c r="F1068" s="39" t="inlineStr">
        <is>
          <t>B_Juvenil_M_32_P4</t>
        </is>
      </c>
      <c r="G1068" s="40" t="n"/>
      <c r="H1068" s="41" t="n"/>
      <c r="I1068" s="42">
        <f>IF($H1068="","",MAX(0,$H1068-N($E1068)))</f>
        <v/>
      </c>
      <c r="J1068" s="42">
        <f>IF($H1068="","",MAX(0,$H1068-N($G1068)))</f>
        <v/>
      </c>
    </row>
    <row r="1069" ht="19.5" customHeight="1" s="72">
      <c r="A1069" s="38" t="inlineStr">
        <is>
          <t>JuvenilM-32-P05-SBA</t>
        </is>
      </c>
      <c r="B1069" s="38" t="inlineStr">
        <is>
          <t>Fase 32</t>
        </is>
      </c>
      <c r="C1069" s="38" t="inlineStr">
        <is>
          <t>São Bento da Abadá</t>
        </is>
      </c>
      <c r="D1069" s="39" t="inlineStr">
        <is>
          <t>A_Juvenil_M_32_P5</t>
        </is>
      </c>
      <c r="E1069" s="40" t="n"/>
      <c r="F1069" s="39" t="inlineStr">
        <is>
          <t>B_Juvenil_M_32_P5</t>
        </is>
      </c>
      <c r="G1069" s="40" t="n"/>
      <c r="H1069" s="41" t="n"/>
      <c r="I1069" s="42">
        <f>IF($H1069="","",MAX(0,$H1069-N($E1069)))</f>
        <v/>
      </c>
      <c r="J1069" s="42">
        <f>IF($H1069="","",MAX(0,$H1069-N($G1069)))</f>
        <v/>
      </c>
    </row>
    <row r="1070" ht="19.5" customHeight="1" s="72">
      <c r="A1070" s="38" t="inlineStr">
        <is>
          <t>JuvenilM-32-P05-BEN</t>
        </is>
      </c>
      <c r="B1070" s="38" t="inlineStr">
        <is>
          <t>Fase 32</t>
        </is>
      </c>
      <c r="C1070" s="38" t="inlineStr">
        <is>
          <t>Benguela</t>
        </is>
      </c>
      <c r="D1070" s="39" t="inlineStr">
        <is>
          <t>A_Juvenil_M_32_P5</t>
        </is>
      </c>
      <c r="E1070" s="40" t="n"/>
      <c r="F1070" s="39" t="inlineStr">
        <is>
          <t>B_Juvenil_M_32_P5</t>
        </is>
      </c>
      <c r="G1070" s="40" t="n"/>
      <c r="H1070" s="41" t="n"/>
      <c r="I1070" s="42">
        <f>IF($H1070="","",MAX(0,$H1070-N($E1070)))</f>
        <v/>
      </c>
      <c r="J1070" s="42">
        <f>IF($H1070="","",MAX(0,$H1070-N($G1070)))</f>
        <v/>
      </c>
    </row>
    <row r="1071" ht="19.5" customHeight="1" s="72">
      <c r="A1071" s="38" t="inlineStr">
        <is>
          <t>JuvenilM-32-P06-SBA</t>
        </is>
      </c>
      <c r="B1071" s="38" t="inlineStr">
        <is>
          <t>Fase 32</t>
        </is>
      </c>
      <c r="C1071" s="38" t="inlineStr">
        <is>
          <t>São Bento da Abadá</t>
        </is>
      </c>
      <c r="D1071" s="39" t="inlineStr">
        <is>
          <t>A_Juvenil_M_32_P6</t>
        </is>
      </c>
      <c r="E1071" s="40" t="n"/>
      <c r="F1071" s="39" t="inlineStr">
        <is>
          <t>B_Juvenil_M_32_P6</t>
        </is>
      </c>
      <c r="G1071" s="40" t="n"/>
      <c r="H1071" s="41" t="n"/>
      <c r="I1071" s="42">
        <f>IF($H1071="","",MAX(0,$H1071-N($E1071)))</f>
        <v/>
      </c>
      <c r="J1071" s="42">
        <f>IF($H1071="","",MAX(0,$H1071-N($G1071)))</f>
        <v/>
      </c>
    </row>
    <row r="1072" ht="19.5" customHeight="1" s="72">
      <c r="A1072" s="38" t="inlineStr">
        <is>
          <t>JuvenilM-32-P06-BEN</t>
        </is>
      </c>
      <c r="B1072" s="38" t="inlineStr">
        <is>
          <t>Fase 32</t>
        </is>
      </c>
      <c r="C1072" s="38" t="inlineStr">
        <is>
          <t>Benguela</t>
        </is>
      </c>
      <c r="D1072" s="39" t="inlineStr">
        <is>
          <t>A_Juvenil_M_32_P6</t>
        </is>
      </c>
      <c r="E1072" s="40" t="n"/>
      <c r="F1072" s="39" t="inlineStr">
        <is>
          <t>B_Juvenil_M_32_P6</t>
        </is>
      </c>
      <c r="G1072" s="40" t="n"/>
      <c r="H1072" s="41" t="n"/>
      <c r="I1072" s="42">
        <f>IF($H1072="","",MAX(0,$H1072-N($E1072)))</f>
        <v/>
      </c>
      <c r="J1072" s="42">
        <f>IF($H1072="","",MAX(0,$H1072-N($G1072)))</f>
        <v/>
      </c>
    </row>
    <row r="1073" ht="19.5" customHeight="1" s="72">
      <c r="A1073" s="38" t="inlineStr">
        <is>
          <t>JuvenilM-32-P07-SBA</t>
        </is>
      </c>
      <c r="B1073" s="38" t="inlineStr">
        <is>
          <t>Fase 32</t>
        </is>
      </c>
      <c r="C1073" s="38" t="inlineStr">
        <is>
          <t>São Bento da Abadá</t>
        </is>
      </c>
      <c r="D1073" s="39" t="inlineStr">
        <is>
          <t>A_Juvenil_M_32_P7</t>
        </is>
      </c>
      <c r="E1073" s="40" t="n"/>
      <c r="F1073" s="39" t="inlineStr">
        <is>
          <t>B_Juvenil_M_32_P7</t>
        </is>
      </c>
      <c r="G1073" s="40" t="n"/>
      <c r="H1073" s="41" t="n"/>
      <c r="I1073" s="42">
        <f>IF($H1073="","",MAX(0,$H1073-N($E1073)))</f>
        <v/>
      </c>
      <c r="J1073" s="42">
        <f>IF($H1073="","",MAX(0,$H1073-N($G1073)))</f>
        <v/>
      </c>
    </row>
    <row r="1074" ht="19.5" customHeight="1" s="72">
      <c r="A1074" s="38" t="inlineStr">
        <is>
          <t>JuvenilM-32-P07-BEN</t>
        </is>
      </c>
      <c r="B1074" s="38" t="inlineStr">
        <is>
          <t>Fase 32</t>
        </is>
      </c>
      <c r="C1074" s="38" t="inlineStr">
        <is>
          <t>Benguela</t>
        </is>
      </c>
      <c r="D1074" s="39" t="inlineStr">
        <is>
          <t>A_Juvenil_M_32_P7</t>
        </is>
      </c>
      <c r="E1074" s="40" t="n"/>
      <c r="F1074" s="39" t="inlineStr">
        <is>
          <t>B_Juvenil_M_32_P7</t>
        </is>
      </c>
      <c r="G1074" s="40" t="n"/>
      <c r="H1074" s="41" t="n"/>
      <c r="I1074" s="42">
        <f>IF($H1074="","",MAX(0,$H1074-N($E1074)))</f>
        <v/>
      </c>
      <c r="J1074" s="42">
        <f>IF($H1074="","",MAX(0,$H1074-N($G1074)))</f>
        <v/>
      </c>
    </row>
    <row r="1075" ht="19.5" customHeight="1" s="72">
      <c r="A1075" s="38" t="inlineStr">
        <is>
          <t>JuvenilM-32-P08-SBA</t>
        </is>
      </c>
      <c r="B1075" s="38" t="inlineStr">
        <is>
          <t>Fase 32</t>
        </is>
      </c>
      <c r="C1075" s="38" t="inlineStr">
        <is>
          <t>São Bento da Abadá</t>
        </is>
      </c>
      <c r="D1075" s="39" t="inlineStr">
        <is>
          <t>A_Juvenil_M_32_P8</t>
        </is>
      </c>
      <c r="E1075" s="40" t="n"/>
      <c r="F1075" s="39" t="inlineStr">
        <is>
          <t>B_Juvenil_M_32_P8</t>
        </is>
      </c>
      <c r="G1075" s="40" t="n"/>
      <c r="H1075" s="41" t="n"/>
      <c r="I1075" s="42">
        <f>IF($H1075="","",MAX(0,$H1075-N($E1075)))</f>
        <v/>
      </c>
      <c r="J1075" s="42">
        <f>IF($H1075="","",MAX(0,$H1075-N($G1075)))</f>
        <v/>
      </c>
    </row>
    <row r="1076" ht="19.5" customHeight="1" s="72">
      <c r="A1076" s="38" t="inlineStr">
        <is>
          <t>JuvenilM-32-P08-BEN</t>
        </is>
      </c>
      <c r="B1076" s="38" t="inlineStr">
        <is>
          <t>Fase 32</t>
        </is>
      </c>
      <c r="C1076" s="38" t="inlineStr">
        <is>
          <t>Benguela</t>
        </is>
      </c>
      <c r="D1076" s="39" t="inlineStr">
        <is>
          <t>A_Juvenil_M_32_P8</t>
        </is>
      </c>
      <c r="E1076" s="40" t="n"/>
      <c r="F1076" s="39" t="inlineStr">
        <is>
          <t>B_Juvenil_M_32_P8</t>
        </is>
      </c>
      <c r="G1076" s="40" t="n"/>
      <c r="H1076" s="41" t="n"/>
      <c r="I1076" s="42">
        <f>IF($H1076="","",MAX(0,$H1076-N($E1076)))</f>
        <v/>
      </c>
      <c r="J1076" s="42">
        <f>IF($H1076="","",MAX(0,$H1076-N($G1076)))</f>
        <v/>
      </c>
    </row>
    <row r="1077" ht="19.5" customHeight="1" s="72">
      <c r="A1077" s="38" t="inlineStr">
        <is>
          <t>JuvenilM-32-P09-SBA</t>
        </is>
      </c>
      <c r="B1077" s="38" t="inlineStr">
        <is>
          <t>Fase 32</t>
        </is>
      </c>
      <c r="C1077" s="38" t="inlineStr">
        <is>
          <t>São Bento da Abadá</t>
        </is>
      </c>
      <c r="D1077" s="39" t="inlineStr">
        <is>
          <t>A_Juvenil_M_32_P9</t>
        </is>
      </c>
      <c r="E1077" s="40" t="n"/>
      <c r="F1077" s="39" t="inlineStr">
        <is>
          <t>B_Juvenil_M_32_P9</t>
        </is>
      </c>
      <c r="G1077" s="40" t="n"/>
      <c r="H1077" s="41" t="n"/>
      <c r="I1077" s="42">
        <f>IF($H1077="","",MAX(0,$H1077-N($E1077)))</f>
        <v/>
      </c>
      <c r="J1077" s="42">
        <f>IF($H1077="","",MAX(0,$H1077-N($G1077)))</f>
        <v/>
      </c>
    </row>
    <row r="1078" ht="19.5" customHeight="1" s="72">
      <c r="A1078" s="38" t="inlineStr">
        <is>
          <t>JuvenilM-32-P09-BEN</t>
        </is>
      </c>
      <c r="B1078" s="38" t="inlineStr">
        <is>
          <t>Fase 32</t>
        </is>
      </c>
      <c r="C1078" s="38" t="inlineStr">
        <is>
          <t>Benguela</t>
        </is>
      </c>
      <c r="D1078" s="39" t="inlineStr">
        <is>
          <t>A_Juvenil_M_32_P9</t>
        </is>
      </c>
      <c r="E1078" s="40" t="n"/>
      <c r="F1078" s="39" t="inlineStr">
        <is>
          <t>B_Juvenil_M_32_P9</t>
        </is>
      </c>
      <c r="G1078" s="40" t="n"/>
      <c r="H1078" s="41" t="n"/>
      <c r="I1078" s="42">
        <f>IF($H1078="","",MAX(0,$H1078-N($E1078)))</f>
        <v/>
      </c>
      <c r="J1078" s="42">
        <f>IF($H1078="","",MAX(0,$H1078-N($G1078)))</f>
        <v/>
      </c>
    </row>
    <row r="1079" ht="19.5" customHeight="1" s="72">
      <c r="A1079" s="38" t="inlineStr">
        <is>
          <t>JuvenilM-32-P10-SBA</t>
        </is>
      </c>
      <c r="B1079" s="38" t="inlineStr">
        <is>
          <t>Fase 32</t>
        </is>
      </c>
      <c r="C1079" s="38" t="inlineStr">
        <is>
          <t>São Bento da Abadá</t>
        </is>
      </c>
      <c r="D1079" s="39" t="inlineStr">
        <is>
          <t>A_Juvenil_M_32_P10</t>
        </is>
      </c>
      <c r="E1079" s="40" t="n"/>
      <c r="F1079" s="39" t="inlineStr">
        <is>
          <t>B_Juvenil_M_32_P10</t>
        </is>
      </c>
      <c r="G1079" s="40" t="n"/>
      <c r="H1079" s="41" t="n"/>
      <c r="I1079" s="42">
        <f>IF($H1079="","",MAX(0,$H1079-N($E1079)))</f>
        <v/>
      </c>
      <c r="J1079" s="42">
        <f>IF($H1079="","",MAX(0,$H1079-N($G1079)))</f>
        <v/>
      </c>
    </row>
    <row r="1080" ht="19.5" customHeight="1" s="72">
      <c r="A1080" s="38" t="inlineStr">
        <is>
          <t>JuvenilM-32-P10-BEN</t>
        </is>
      </c>
      <c r="B1080" s="38" t="inlineStr">
        <is>
          <t>Fase 32</t>
        </is>
      </c>
      <c r="C1080" s="38" t="inlineStr">
        <is>
          <t>Benguela</t>
        </is>
      </c>
      <c r="D1080" s="39" t="inlineStr">
        <is>
          <t>A_Juvenil_M_32_P10</t>
        </is>
      </c>
      <c r="E1080" s="40" t="n"/>
      <c r="F1080" s="39" t="inlineStr">
        <is>
          <t>B_Juvenil_M_32_P10</t>
        </is>
      </c>
      <c r="G1080" s="40" t="n"/>
      <c r="H1080" s="41" t="n"/>
      <c r="I1080" s="42">
        <f>IF($H1080="","",MAX(0,$H1080-N($E1080)))</f>
        <v/>
      </c>
      <c r="J1080" s="42">
        <f>IF($H1080="","",MAX(0,$H1080-N($G1080)))</f>
        <v/>
      </c>
    </row>
    <row r="1081" ht="19.5" customHeight="1" s="72">
      <c r="A1081" s="38" t="inlineStr">
        <is>
          <t>JuvenilM-32-P11-SBA</t>
        </is>
      </c>
      <c r="B1081" s="38" t="inlineStr">
        <is>
          <t>Fase 32</t>
        </is>
      </c>
      <c r="C1081" s="38" t="inlineStr">
        <is>
          <t>São Bento da Abadá</t>
        </is>
      </c>
      <c r="D1081" s="39" t="inlineStr">
        <is>
          <t>A_Juvenil_M_32_P11</t>
        </is>
      </c>
      <c r="E1081" s="40" t="n"/>
      <c r="F1081" s="39" t="inlineStr">
        <is>
          <t>B_Juvenil_M_32_P11</t>
        </is>
      </c>
      <c r="G1081" s="40" t="n"/>
      <c r="H1081" s="41" t="n"/>
      <c r="I1081" s="42">
        <f>IF($H1081="","",MAX(0,$H1081-N($E1081)))</f>
        <v/>
      </c>
      <c r="J1081" s="42">
        <f>IF($H1081="","",MAX(0,$H1081-N($G1081)))</f>
        <v/>
      </c>
    </row>
    <row r="1082" ht="19.5" customHeight="1" s="72">
      <c r="A1082" s="38" t="inlineStr">
        <is>
          <t>JuvenilM-32-P11-BEN</t>
        </is>
      </c>
      <c r="B1082" s="38" t="inlineStr">
        <is>
          <t>Fase 32</t>
        </is>
      </c>
      <c r="C1082" s="38" t="inlineStr">
        <is>
          <t>Benguela</t>
        </is>
      </c>
      <c r="D1082" s="39" t="inlineStr">
        <is>
          <t>A_Juvenil_M_32_P11</t>
        </is>
      </c>
      <c r="E1082" s="40" t="n"/>
      <c r="F1082" s="39" t="inlineStr">
        <is>
          <t>B_Juvenil_M_32_P11</t>
        </is>
      </c>
      <c r="G1082" s="40" t="n"/>
      <c r="H1082" s="41" t="n"/>
      <c r="I1082" s="42">
        <f>IF($H1082="","",MAX(0,$H1082-N($E1082)))</f>
        <v/>
      </c>
      <c r="J1082" s="42">
        <f>IF($H1082="","",MAX(0,$H1082-N($G1082)))</f>
        <v/>
      </c>
    </row>
    <row r="1083" ht="19.5" customHeight="1" s="72">
      <c r="A1083" s="38" t="inlineStr">
        <is>
          <t>JuvenilM-32-P12-SBA</t>
        </is>
      </c>
      <c r="B1083" s="38" t="inlineStr">
        <is>
          <t>Fase 32</t>
        </is>
      </c>
      <c r="C1083" s="38" t="inlineStr">
        <is>
          <t>São Bento da Abadá</t>
        </is>
      </c>
      <c r="D1083" s="39" t="inlineStr">
        <is>
          <t>A_Juvenil_M_32_P12</t>
        </is>
      </c>
      <c r="E1083" s="40" t="n"/>
      <c r="F1083" s="39" t="inlineStr">
        <is>
          <t>B_Juvenil_M_32_P12</t>
        </is>
      </c>
      <c r="G1083" s="40" t="n"/>
      <c r="H1083" s="41" t="n"/>
      <c r="I1083" s="42">
        <f>IF($H1083="","",MAX(0,$H1083-N($E1083)))</f>
        <v/>
      </c>
      <c r="J1083" s="42">
        <f>IF($H1083="","",MAX(0,$H1083-N($G1083)))</f>
        <v/>
      </c>
    </row>
    <row r="1084" ht="19.5" customHeight="1" s="72">
      <c r="A1084" s="38" t="inlineStr">
        <is>
          <t>JuvenilM-32-P12-BEN</t>
        </is>
      </c>
      <c r="B1084" s="38" t="inlineStr">
        <is>
          <t>Fase 32</t>
        </is>
      </c>
      <c r="C1084" s="38" t="inlineStr">
        <is>
          <t>Benguela</t>
        </is>
      </c>
      <c r="D1084" s="39" t="inlineStr">
        <is>
          <t>A_Juvenil_M_32_P12</t>
        </is>
      </c>
      <c r="E1084" s="40" t="n"/>
      <c r="F1084" s="39" t="inlineStr">
        <is>
          <t>B_Juvenil_M_32_P12</t>
        </is>
      </c>
      <c r="G1084" s="40" t="n"/>
      <c r="H1084" s="41" t="n"/>
      <c r="I1084" s="42">
        <f>IF($H1084="","",MAX(0,$H1084-N($E1084)))</f>
        <v/>
      </c>
      <c r="J1084" s="42">
        <f>IF($H1084="","",MAX(0,$H1084-N($G1084)))</f>
        <v/>
      </c>
    </row>
    <row r="1085" ht="19.5" customHeight="1" s="72">
      <c r="A1085" s="38" t="inlineStr">
        <is>
          <t>JuvenilM-32-P13-SBA</t>
        </is>
      </c>
      <c r="B1085" s="38" t="inlineStr">
        <is>
          <t>Fase 32</t>
        </is>
      </c>
      <c r="C1085" s="38" t="inlineStr">
        <is>
          <t>São Bento da Abadá</t>
        </is>
      </c>
      <c r="D1085" s="39" t="inlineStr">
        <is>
          <t>A_Juvenil_M_32_P13</t>
        </is>
      </c>
      <c r="E1085" s="40" t="n"/>
      <c r="F1085" s="39" t="inlineStr">
        <is>
          <t>B_Juvenil_M_32_P13</t>
        </is>
      </c>
      <c r="G1085" s="40" t="n"/>
      <c r="H1085" s="41" t="n"/>
      <c r="I1085" s="42">
        <f>IF($H1085="","",MAX(0,$H1085-N($E1085)))</f>
        <v/>
      </c>
      <c r="J1085" s="42">
        <f>IF($H1085="","",MAX(0,$H1085-N($G1085)))</f>
        <v/>
      </c>
    </row>
    <row r="1086" ht="19.5" customHeight="1" s="72">
      <c r="A1086" s="38" t="inlineStr">
        <is>
          <t>JuvenilM-32-P13-BEN</t>
        </is>
      </c>
      <c r="B1086" s="38" t="inlineStr">
        <is>
          <t>Fase 32</t>
        </is>
      </c>
      <c r="C1086" s="38" t="inlineStr">
        <is>
          <t>Benguela</t>
        </is>
      </c>
      <c r="D1086" s="39" t="inlineStr">
        <is>
          <t>A_Juvenil_M_32_P13</t>
        </is>
      </c>
      <c r="E1086" s="40" t="n"/>
      <c r="F1086" s="39" t="inlineStr">
        <is>
          <t>B_Juvenil_M_32_P13</t>
        </is>
      </c>
      <c r="G1086" s="40" t="n"/>
      <c r="H1086" s="41" t="n"/>
      <c r="I1086" s="42">
        <f>IF($H1086="","",MAX(0,$H1086-N($E1086)))</f>
        <v/>
      </c>
      <c r="J1086" s="42">
        <f>IF($H1086="","",MAX(0,$H1086-N($G1086)))</f>
        <v/>
      </c>
    </row>
    <row r="1087" ht="19.5" customHeight="1" s="72">
      <c r="A1087" s="38" t="inlineStr">
        <is>
          <t>JuvenilM-32-P14-SBA</t>
        </is>
      </c>
      <c r="B1087" s="38" t="inlineStr">
        <is>
          <t>Fase 32</t>
        </is>
      </c>
      <c r="C1087" s="38" t="inlineStr">
        <is>
          <t>São Bento da Abadá</t>
        </is>
      </c>
      <c r="D1087" s="39" t="inlineStr">
        <is>
          <t>A_Juvenil_M_32_P14</t>
        </is>
      </c>
      <c r="E1087" s="40" t="n"/>
      <c r="F1087" s="39" t="inlineStr">
        <is>
          <t>B_Juvenil_M_32_P14</t>
        </is>
      </c>
      <c r="G1087" s="40" t="n"/>
      <c r="H1087" s="41" t="n"/>
      <c r="I1087" s="42">
        <f>IF($H1087="","",MAX(0,$H1087-N($E1087)))</f>
        <v/>
      </c>
      <c r="J1087" s="42">
        <f>IF($H1087="","",MAX(0,$H1087-N($G1087)))</f>
        <v/>
      </c>
    </row>
    <row r="1088" ht="19.5" customHeight="1" s="72">
      <c r="A1088" s="38" t="inlineStr">
        <is>
          <t>JuvenilM-32-P14-BEN</t>
        </is>
      </c>
      <c r="B1088" s="38" t="inlineStr">
        <is>
          <t>Fase 32</t>
        </is>
      </c>
      <c r="C1088" s="38" t="inlineStr">
        <is>
          <t>Benguela</t>
        </is>
      </c>
      <c r="D1088" s="39" t="inlineStr">
        <is>
          <t>A_Juvenil_M_32_P14</t>
        </is>
      </c>
      <c r="E1088" s="40" t="n"/>
      <c r="F1088" s="39" t="inlineStr">
        <is>
          <t>B_Juvenil_M_32_P14</t>
        </is>
      </c>
      <c r="G1088" s="40" t="n"/>
      <c r="H1088" s="41" t="n"/>
      <c r="I1088" s="42">
        <f>IF($H1088="","",MAX(0,$H1088-N($E1088)))</f>
        <v/>
      </c>
      <c r="J1088" s="42">
        <f>IF($H1088="","",MAX(0,$H1088-N($G1088)))</f>
        <v/>
      </c>
    </row>
    <row r="1089" ht="19.5" customHeight="1" s="72">
      <c r="A1089" s="38" t="inlineStr">
        <is>
          <t>JuvenilM-32-P15-SBA</t>
        </is>
      </c>
      <c r="B1089" s="38" t="inlineStr">
        <is>
          <t>Fase 32</t>
        </is>
      </c>
      <c r="C1089" s="38" t="inlineStr">
        <is>
          <t>São Bento da Abadá</t>
        </is>
      </c>
      <c r="D1089" s="39" t="inlineStr">
        <is>
          <t>A_Juvenil_M_32_P15</t>
        </is>
      </c>
      <c r="E1089" s="40" t="n"/>
      <c r="F1089" s="39" t="inlineStr">
        <is>
          <t>B_Juvenil_M_32_P15</t>
        </is>
      </c>
      <c r="G1089" s="40" t="n"/>
      <c r="H1089" s="41" t="n"/>
      <c r="I1089" s="42">
        <f>IF($H1089="","",MAX(0,$H1089-N($E1089)))</f>
        <v/>
      </c>
      <c r="J1089" s="42">
        <f>IF($H1089="","",MAX(0,$H1089-N($G1089)))</f>
        <v/>
      </c>
    </row>
    <row r="1090" ht="19.5" customHeight="1" s="72">
      <c r="A1090" s="38" t="inlineStr">
        <is>
          <t>JuvenilM-32-P15-BEN</t>
        </is>
      </c>
      <c r="B1090" s="38" t="inlineStr">
        <is>
          <t>Fase 32</t>
        </is>
      </c>
      <c r="C1090" s="38" t="inlineStr">
        <is>
          <t>Benguela</t>
        </is>
      </c>
      <c r="D1090" s="39" t="inlineStr">
        <is>
          <t>A_Juvenil_M_32_P15</t>
        </is>
      </c>
      <c r="E1090" s="40" t="n"/>
      <c r="F1090" s="39" t="inlineStr">
        <is>
          <t>B_Juvenil_M_32_P15</t>
        </is>
      </c>
      <c r="G1090" s="40" t="n"/>
      <c r="H1090" s="41" t="n"/>
      <c r="I1090" s="42">
        <f>IF($H1090="","",MAX(0,$H1090-N($E1090)))</f>
        <v/>
      </c>
      <c r="J1090" s="42">
        <f>IF($H1090="","",MAX(0,$H1090-N($G1090)))</f>
        <v/>
      </c>
    </row>
    <row r="1091" ht="19.5" customHeight="1" s="72">
      <c r="A1091" s="38" t="inlineStr">
        <is>
          <t>JuvenilM-32-P16-SBA</t>
        </is>
      </c>
      <c r="B1091" s="38" t="inlineStr">
        <is>
          <t>Fase 32</t>
        </is>
      </c>
      <c r="C1091" s="38" t="inlineStr">
        <is>
          <t>São Bento da Abadá</t>
        </is>
      </c>
      <c r="D1091" s="39" t="inlineStr">
        <is>
          <t>A_Juvenil_M_32_P16</t>
        </is>
      </c>
      <c r="E1091" s="40" t="n"/>
      <c r="F1091" s="39" t="inlineStr">
        <is>
          <t>B_Juvenil_M_32_P16</t>
        </is>
      </c>
      <c r="G1091" s="40" t="n"/>
      <c r="H1091" s="41" t="n"/>
      <c r="I1091" s="42">
        <f>IF($H1091="","",MAX(0,$H1091-N($E1091)))</f>
        <v/>
      </c>
      <c r="J1091" s="42">
        <f>IF($H1091="","",MAX(0,$H1091-N($G1091)))</f>
        <v/>
      </c>
    </row>
    <row r="1092" ht="19.5" customHeight="1" s="72">
      <c r="A1092" s="38" t="inlineStr">
        <is>
          <t>JuvenilM-32-P16-BEN</t>
        </is>
      </c>
      <c r="B1092" s="38" t="inlineStr">
        <is>
          <t>Fase 32</t>
        </is>
      </c>
      <c r="C1092" s="38" t="inlineStr">
        <is>
          <t>Benguela</t>
        </is>
      </c>
      <c r="D1092" s="39" t="inlineStr">
        <is>
          <t>A_Juvenil_M_32_P16</t>
        </is>
      </c>
      <c r="E1092" s="40" t="n"/>
      <c r="F1092" s="39" t="inlineStr">
        <is>
          <t>B_Juvenil_M_32_P16</t>
        </is>
      </c>
      <c r="G1092" s="40" t="n"/>
      <c r="H1092" s="41" t="n"/>
      <c r="I1092" s="42">
        <f>IF($H1092="","",MAX(0,$H1092-N($E1092)))</f>
        <v/>
      </c>
      <c r="J1092" s="42">
        <f>IF($H1092="","",MAX(0,$H1092-N($G1092)))</f>
        <v/>
      </c>
    </row>
    <row r="1093" ht="19.5" customHeight="1" s="72">
      <c r="A1093" s="38" t="inlineStr">
        <is>
          <t>JuvenilM-OCT-P01-SBA</t>
        </is>
      </c>
      <c r="B1093" s="38" t="inlineStr">
        <is>
          <t>Octavas</t>
        </is>
      </c>
      <c r="C1093" s="38" t="inlineStr">
        <is>
          <t>São Bento da Abadá</t>
        </is>
      </c>
      <c r="D1093" s="39">
        <f>IFERROR(CLASIF_Juvenil_M!$F$5,"")</f>
        <v/>
      </c>
      <c r="E1093" s="40" t="n"/>
      <c r="F1093" s="39">
        <f>IFERROR(CLASIF_Juvenil_M!$F$20,"")</f>
        <v/>
      </c>
      <c r="G1093" s="40" t="n"/>
      <c r="H1093" s="41" t="n"/>
      <c r="I1093" s="42">
        <f>IF($H1093="","",MAX(0,$H1093-N($E1093)))</f>
        <v/>
      </c>
      <c r="J1093" s="42">
        <f>IF($H1093="","",MAX(0,$H1093-N($G1093)))</f>
        <v/>
      </c>
    </row>
    <row r="1094" ht="19.5" customHeight="1" s="72">
      <c r="A1094" s="38" t="inlineStr">
        <is>
          <t>JuvenilM-OCT-P01-BEN</t>
        </is>
      </c>
      <c r="B1094" s="38" t="inlineStr">
        <is>
          <t>Octavas</t>
        </is>
      </c>
      <c r="C1094" s="38" t="inlineStr">
        <is>
          <t>Benguela</t>
        </is>
      </c>
      <c r="D1094" s="39">
        <f>IFERROR(CLASIF_Juvenil_M!$F$5,"")</f>
        <v/>
      </c>
      <c r="E1094" s="40" t="n"/>
      <c r="F1094" s="39">
        <f>IFERROR(CLASIF_Juvenil_M!$F$20,"")</f>
        <v/>
      </c>
      <c r="G1094" s="40" t="n"/>
      <c r="H1094" s="41" t="n"/>
      <c r="I1094" s="42">
        <f>IF($H1094="","",MAX(0,$H1094-N($E1094)))</f>
        <v/>
      </c>
      <c r="J1094" s="42">
        <f>IF($H1094="","",MAX(0,$H1094-N($G1094)))</f>
        <v/>
      </c>
    </row>
    <row r="1095" ht="19.5" customHeight="1" s="72">
      <c r="A1095" s="38" t="inlineStr">
        <is>
          <t>JuvenilM-OCT-P02-SBA</t>
        </is>
      </c>
      <c r="B1095" s="38" t="inlineStr">
        <is>
          <t>Octavas</t>
        </is>
      </c>
      <c r="C1095" s="38" t="inlineStr">
        <is>
          <t>São Bento da Abadá</t>
        </is>
      </c>
      <c r="D1095" s="39">
        <f>IFERROR(CLASIF_Juvenil_M!$F$6,"")</f>
        <v/>
      </c>
      <c r="E1095" s="40" t="n"/>
      <c r="F1095" s="39">
        <f>IFERROR(CLASIF_Juvenil_M!$F$19,"")</f>
        <v/>
      </c>
      <c r="G1095" s="40" t="n"/>
      <c r="H1095" s="41" t="n"/>
      <c r="I1095" s="42">
        <f>IF($H1095="","",MAX(0,$H1095-N($E1095)))</f>
        <v/>
      </c>
      <c r="J1095" s="42">
        <f>IF($H1095="","",MAX(0,$H1095-N($G1095)))</f>
        <v/>
      </c>
    </row>
    <row r="1096" ht="19.5" customHeight="1" s="72">
      <c r="A1096" s="38" t="inlineStr">
        <is>
          <t>JuvenilM-OCT-P02-BEN</t>
        </is>
      </c>
      <c r="B1096" s="38" t="inlineStr">
        <is>
          <t>Octavas</t>
        </is>
      </c>
      <c r="C1096" s="38" t="inlineStr">
        <is>
          <t>Benguela</t>
        </is>
      </c>
      <c r="D1096" s="39">
        <f>IFERROR(CLASIF_Juvenil_M!$F$6,"")</f>
        <v/>
      </c>
      <c r="E1096" s="40" t="n"/>
      <c r="F1096" s="39">
        <f>IFERROR(CLASIF_Juvenil_M!$F$19,"")</f>
        <v/>
      </c>
      <c r="G1096" s="40" t="n"/>
      <c r="H1096" s="41" t="n"/>
      <c r="I1096" s="42">
        <f>IF($H1096="","",MAX(0,$H1096-N($E1096)))</f>
        <v/>
      </c>
      <c r="J1096" s="42">
        <f>IF($H1096="","",MAX(0,$H1096-N($G1096)))</f>
        <v/>
      </c>
    </row>
    <row r="1097" ht="19.5" customHeight="1" s="72">
      <c r="A1097" s="38" t="inlineStr">
        <is>
          <t>JuvenilM-OCT-P03-SBA</t>
        </is>
      </c>
      <c r="B1097" s="38" t="inlineStr">
        <is>
          <t>Octavas</t>
        </is>
      </c>
      <c r="C1097" s="38" t="inlineStr">
        <is>
          <t>São Bento da Abadá</t>
        </is>
      </c>
      <c r="D1097" s="39">
        <f>IFERROR(CLASIF_Juvenil_M!$F$7,"")</f>
        <v/>
      </c>
      <c r="E1097" s="40" t="n"/>
      <c r="F1097" s="39">
        <f>IFERROR(CLASIF_Juvenil_M!$F$18,"")</f>
        <v/>
      </c>
      <c r="G1097" s="40" t="n"/>
      <c r="H1097" s="41" t="n"/>
      <c r="I1097" s="42">
        <f>IF($H1097="","",MAX(0,$H1097-N($E1097)))</f>
        <v/>
      </c>
      <c r="J1097" s="42">
        <f>IF($H1097="","",MAX(0,$H1097-N($G1097)))</f>
        <v/>
      </c>
    </row>
    <row r="1098" ht="19.5" customHeight="1" s="72">
      <c r="A1098" s="38" t="inlineStr">
        <is>
          <t>JuvenilM-OCT-P03-BEN</t>
        </is>
      </c>
      <c r="B1098" s="38" t="inlineStr">
        <is>
          <t>Octavas</t>
        </is>
      </c>
      <c r="C1098" s="38" t="inlineStr">
        <is>
          <t>Benguela</t>
        </is>
      </c>
      <c r="D1098" s="39">
        <f>IFERROR(CLASIF_Juvenil_M!$F$7,"")</f>
        <v/>
      </c>
      <c r="E1098" s="40" t="n"/>
      <c r="F1098" s="39">
        <f>IFERROR(CLASIF_Juvenil_M!$F$18,"")</f>
        <v/>
      </c>
      <c r="G1098" s="40" t="n"/>
      <c r="H1098" s="41" t="n"/>
      <c r="I1098" s="42">
        <f>IF($H1098="","",MAX(0,$H1098-N($E1098)))</f>
        <v/>
      </c>
      <c r="J1098" s="42">
        <f>IF($H1098="","",MAX(0,$H1098-N($G1098)))</f>
        <v/>
      </c>
    </row>
    <row r="1099" ht="19.5" customHeight="1" s="72">
      <c r="A1099" s="38" t="inlineStr">
        <is>
          <t>JuvenilM-OCT-P04-SBA</t>
        </is>
      </c>
      <c r="B1099" s="38" t="inlineStr">
        <is>
          <t>Octavas</t>
        </is>
      </c>
      <c r="C1099" s="38" t="inlineStr">
        <is>
          <t>São Bento da Abadá</t>
        </is>
      </c>
      <c r="D1099" s="39">
        <f>IFERROR(CLASIF_Juvenil_M!$F$8,"")</f>
        <v/>
      </c>
      <c r="E1099" s="40" t="n"/>
      <c r="F1099" s="39">
        <f>IFERROR(CLASIF_Juvenil_M!$F$17,"")</f>
        <v/>
      </c>
      <c r="G1099" s="40" t="n"/>
      <c r="H1099" s="41" t="n"/>
      <c r="I1099" s="42">
        <f>IF($H1099="","",MAX(0,$H1099-N($E1099)))</f>
        <v/>
      </c>
      <c r="J1099" s="42">
        <f>IF($H1099="","",MAX(0,$H1099-N($G1099)))</f>
        <v/>
      </c>
    </row>
    <row r="1100" ht="19.5" customHeight="1" s="72">
      <c r="A1100" s="38" t="inlineStr">
        <is>
          <t>JuvenilM-OCT-P04-BEN</t>
        </is>
      </c>
      <c r="B1100" s="38" t="inlineStr">
        <is>
          <t>Octavas</t>
        </is>
      </c>
      <c r="C1100" s="38" t="inlineStr">
        <is>
          <t>Benguela</t>
        </is>
      </c>
      <c r="D1100" s="39">
        <f>IFERROR(CLASIF_Juvenil_M!$F$8,"")</f>
        <v/>
      </c>
      <c r="E1100" s="40" t="n"/>
      <c r="F1100" s="39">
        <f>IFERROR(CLASIF_Juvenil_M!$F$17,"")</f>
        <v/>
      </c>
      <c r="G1100" s="40" t="n"/>
      <c r="H1100" s="41" t="n"/>
      <c r="I1100" s="42">
        <f>IF($H1100="","",MAX(0,$H1100-N($E1100)))</f>
        <v/>
      </c>
      <c r="J1100" s="42">
        <f>IF($H1100="","",MAX(0,$H1100-N($G1100)))</f>
        <v/>
      </c>
    </row>
    <row r="1101" ht="19.5" customHeight="1" s="72">
      <c r="A1101" s="38" t="inlineStr">
        <is>
          <t>JuvenilM-OCT-P05-SBA</t>
        </is>
      </c>
      <c r="B1101" s="38" t="inlineStr">
        <is>
          <t>Octavas</t>
        </is>
      </c>
      <c r="C1101" s="38" t="inlineStr">
        <is>
          <t>São Bento da Abadá</t>
        </is>
      </c>
      <c r="D1101" s="39">
        <f>IFERROR(CLASIF_Juvenil_M!$F$9,"")</f>
        <v/>
      </c>
      <c r="E1101" s="40" t="n"/>
      <c r="F1101" s="39">
        <f>IFERROR(CLASIF_Juvenil_M!$F$16,"")</f>
        <v/>
      </c>
      <c r="G1101" s="40" t="n"/>
      <c r="H1101" s="41" t="n"/>
      <c r="I1101" s="42">
        <f>IF($H1101="","",MAX(0,$H1101-N($E1101)))</f>
        <v/>
      </c>
      <c r="J1101" s="42">
        <f>IF($H1101="","",MAX(0,$H1101-N($G1101)))</f>
        <v/>
      </c>
    </row>
    <row r="1102" ht="19.5" customHeight="1" s="72">
      <c r="A1102" s="38" t="inlineStr">
        <is>
          <t>JuvenilM-OCT-P05-BEN</t>
        </is>
      </c>
      <c r="B1102" s="38" t="inlineStr">
        <is>
          <t>Octavas</t>
        </is>
      </c>
      <c r="C1102" s="38" t="inlineStr">
        <is>
          <t>Benguela</t>
        </is>
      </c>
      <c r="D1102" s="39">
        <f>IFERROR(CLASIF_Juvenil_M!$F$9,"")</f>
        <v/>
      </c>
      <c r="E1102" s="40" t="n"/>
      <c r="F1102" s="39">
        <f>IFERROR(CLASIF_Juvenil_M!$F$16,"")</f>
        <v/>
      </c>
      <c r="G1102" s="40" t="n"/>
      <c r="H1102" s="41" t="n"/>
      <c r="I1102" s="42">
        <f>IF($H1102="","",MAX(0,$H1102-N($E1102)))</f>
        <v/>
      </c>
      <c r="J1102" s="42">
        <f>IF($H1102="","",MAX(0,$H1102-N($G1102)))</f>
        <v/>
      </c>
    </row>
    <row r="1103" ht="19.5" customHeight="1" s="72">
      <c r="A1103" s="38" t="inlineStr">
        <is>
          <t>JuvenilM-OCT-P06-SBA</t>
        </is>
      </c>
      <c r="B1103" s="38" t="inlineStr">
        <is>
          <t>Octavas</t>
        </is>
      </c>
      <c r="C1103" s="38" t="inlineStr">
        <is>
          <t>São Bento da Abadá</t>
        </is>
      </c>
      <c r="D1103" s="39">
        <f>IFERROR(CLASIF_Juvenil_M!$F$10,"")</f>
        <v/>
      </c>
      <c r="E1103" s="40" t="n"/>
      <c r="F1103" s="39">
        <f>IFERROR(CLASIF_Juvenil_M!$F$15,"")</f>
        <v/>
      </c>
      <c r="G1103" s="40" t="n"/>
      <c r="H1103" s="41" t="n"/>
      <c r="I1103" s="42">
        <f>IF($H1103="","",MAX(0,$H1103-N($E1103)))</f>
        <v/>
      </c>
      <c r="J1103" s="42">
        <f>IF($H1103="","",MAX(0,$H1103-N($G1103)))</f>
        <v/>
      </c>
    </row>
    <row r="1104" ht="19.5" customHeight="1" s="72">
      <c r="A1104" s="38" t="inlineStr">
        <is>
          <t>JuvenilM-OCT-P06-BEN</t>
        </is>
      </c>
      <c r="B1104" s="38" t="inlineStr">
        <is>
          <t>Octavas</t>
        </is>
      </c>
      <c r="C1104" s="38" t="inlineStr">
        <is>
          <t>Benguela</t>
        </is>
      </c>
      <c r="D1104" s="39">
        <f>IFERROR(CLASIF_Juvenil_M!$F$10,"")</f>
        <v/>
      </c>
      <c r="E1104" s="40" t="n"/>
      <c r="F1104" s="39">
        <f>IFERROR(CLASIF_Juvenil_M!$F$15,"")</f>
        <v/>
      </c>
      <c r="G1104" s="40" t="n"/>
      <c r="H1104" s="41" t="n"/>
      <c r="I1104" s="42">
        <f>IF($H1104="","",MAX(0,$H1104-N($E1104)))</f>
        <v/>
      </c>
      <c r="J1104" s="42">
        <f>IF($H1104="","",MAX(0,$H1104-N($G1104)))</f>
        <v/>
      </c>
    </row>
    <row r="1105" ht="19.5" customHeight="1" s="72">
      <c r="A1105" s="38" t="inlineStr">
        <is>
          <t>JuvenilM-OCT-P07-SBA</t>
        </is>
      </c>
      <c r="B1105" s="38" t="inlineStr">
        <is>
          <t>Octavas</t>
        </is>
      </c>
      <c r="C1105" s="38" t="inlineStr">
        <is>
          <t>São Bento da Abadá</t>
        </is>
      </c>
      <c r="D1105" s="39">
        <f>IFERROR(CLASIF_Juvenil_M!$F$11,"")</f>
        <v/>
      </c>
      <c r="E1105" s="40" t="n"/>
      <c r="F1105" s="39">
        <f>IFERROR(CLASIF_Juvenil_M!$F$14,"")</f>
        <v/>
      </c>
      <c r="G1105" s="40" t="n"/>
      <c r="H1105" s="41" t="n"/>
      <c r="I1105" s="42">
        <f>IF($H1105="","",MAX(0,$H1105-N($E1105)))</f>
        <v/>
      </c>
      <c r="J1105" s="42">
        <f>IF($H1105="","",MAX(0,$H1105-N($G1105)))</f>
        <v/>
      </c>
    </row>
    <row r="1106" ht="19.5" customHeight="1" s="72">
      <c r="A1106" s="38" t="inlineStr">
        <is>
          <t>JuvenilM-OCT-P07-BEN</t>
        </is>
      </c>
      <c r="B1106" s="38" t="inlineStr">
        <is>
          <t>Octavas</t>
        </is>
      </c>
      <c r="C1106" s="38" t="inlineStr">
        <is>
          <t>Benguela</t>
        </is>
      </c>
      <c r="D1106" s="39">
        <f>IFERROR(CLASIF_Juvenil_M!$F$11,"")</f>
        <v/>
      </c>
      <c r="E1106" s="40" t="n"/>
      <c r="F1106" s="39">
        <f>IFERROR(CLASIF_Juvenil_M!$F$14,"")</f>
        <v/>
      </c>
      <c r="G1106" s="40" t="n"/>
      <c r="H1106" s="41" t="n"/>
      <c r="I1106" s="42">
        <f>IF($H1106="","",MAX(0,$H1106-N($E1106)))</f>
        <v/>
      </c>
      <c r="J1106" s="42">
        <f>IF($H1106="","",MAX(0,$H1106-N($G1106)))</f>
        <v/>
      </c>
    </row>
    <row r="1107" ht="19.5" customHeight="1" s="72">
      <c r="A1107" s="38" t="inlineStr">
        <is>
          <t>JuvenilM-OCT-P08-SBA</t>
        </is>
      </c>
      <c r="B1107" s="38" t="inlineStr">
        <is>
          <t>Octavas</t>
        </is>
      </c>
      <c r="C1107" s="38" t="inlineStr">
        <is>
          <t>São Bento da Abadá</t>
        </is>
      </c>
      <c r="D1107" s="39">
        <f>IFERROR(CLASIF_Juvenil_M!$F$12,"")</f>
        <v/>
      </c>
      <c r="E1107" s="40" t="n"/>
      <c r="F1107" s="39">
        <f>IFERROR(CLASIF_Juvenil_M!$F$13,"")</f>
        <v/>
      </c>
      <c r="G1107" s="40" t="n"/>
      <c r="H1107" s="41" t="n"/>
      <c r="I1107" s="42">
        <f>IF($H1107="","",MAX(0,$H1107-N($E1107)))</f>
        <v/>
      </c>
      <c r="J1107" s="42">
        <f>IF($H1107="","",MAX(0,$H1107-N($G1107)))</f>
        <v/>
      </c>
    </row>
    <row r="1108" ht="19.5" customHeight="1" s="72">
      <c r="A1108" s="38" t="inlineStr">
        <is>
          <t>JuvenilM-OCT-P08-BEN</t>
        </is>
      </c>
      <c r="B1108" s="38" t="inlineStr">
        <is>
          <t>Octavas</t>
        </is>
      </c>
      <c r="C1108" s="38" t="inlineStr">
        <is>
          <t>Benguela</t>
        </is>
      </c>
      <c r="D1108" s="39">
        <f>IFERROR(CLASIF_Juvenil_M!$F$12,"")</f>
        <v/>
      </c>
      <c r="E1108" s="40" t="n"/>
      <c r="F1108" s="39">
        <f>IFERROR(CLASIF_Juvenil_M!$F$13,"")</f>
        <v/>
      </c>
      <c r="G1108" s="40" t="n"/>
      <c r="H1108" s="41" t="n"/>
      <c r="I1108" s="42">
        <f>IF($H1108="","",MAX(0,$H1108-N($E1108)))</f>
        <v/>
      </c>
      <c r="J1108" s="42">
        <f>IF($H1108="","",MAX(0,$H1108-N($G1108)))</f>
        <v/>
      </c>
    </row>
    <row r="1109" ht="19.5" customHeight="1" s="72">
      <c r="A1109" s="38" t="inlineStr">
        <is>
          <t>JuvenilM-SEM-P01-SBA</t>
        </is>
      </c>
      <c r="B1109" s="38" t="inlineStr">
        <is>
          <t>Semifinal</t>
        </is>
      </c>
      <c r="C1109" s="38" t="inlineStr">
        <is>
          <t>São Bento da Abadá</t>
        </is>
      </c>
      <c r="D1109" s="39">
        <f>IFERROR(CLASIF_Juvenil_M!$O$5,"")</f>
        <v/>
      </c>
      <c r="E1109" s="40" t="n"/>
      <c r="F1109" s="39">
        <f>IFERROR(CLASIF_Juvenil_M!$O$12,"")</f>
        <v/>
      </c>
      <c r="G1109" s="40" t="n"/>
      <c r="H1109" s="41" t="n"/>
      <c r="I1109" s="42">
        <f>IF($H1109="","",MAX(0,$H1109-N($E1109)))</f>
        <v/>
      </c>
      <c r="J1109" s="42">
        <f>IF($H1109="","",MAX(0,$H1109-N($G1109)))</f>
        <v/>
      </c>
    </row>
    <row r="1110" ht="19.5" customHeight="1" s="72">
      <c r="A1110" s="38" t="inlineStr">
        <is>
          <t>JuvenilM-SEM-P01-BEN</t>
        </is>
      </c>
      <c r="B1110" s="38" t="inlineStr">
        <is>
          <t>Semifinal</t>
        </is>
      </c>
      <c r="C1110" s="38" t="inlineStr">
        <is>
          <t>Benguela</t>
        </is>
      </c>
      <c r="D1110" s="39">
        <f>IFERROR(CLASIF_Juvenil_M!$O$5,"")</f>
        <v/>
      </c>
      <c r="E1110" s="40" t="n"/>
      <c r="F1110" s="39">
        <f>IFERROR(CLASIF_Juvenil_M!$O$12,"")</f>
        <v/>
      </c>
      <c r="G1110" s="40" t="n"/>
      <c r="H1110" s="41" t="n"/>
      <c r="I1110" s="42">
        <f>IF($H1110="","",MAX(0,$H1110-N($E1110)))</f>
        <v/>
      </c>
      <c r="J1110" s="42">
        <f>IF($H1110="","",MAX(0,$H1110-N($G1110)))</f>
        <v/>
      </c>
    </row>
    <row r="1111" ht="19.5" customHeight="1" s="72">
      <c r="A1111" s="38" t="inlineStr">
        <is>
          <t>JuvenilM-SEM-P02-SBA</t>
        </is>
      </c>
      <c r="B1111" s="38" t="inlineStr">
        <is>
          <t>Semifinal</t>
        </is>
      </c>
      <c r="C1111" s="38" t="inlineStr">
        <is>
          <t>São Bento da Abadá</t>
        </is>
      </c>
      <c r="D1111" s="39">
        <f>IFERROR(CLASIF_Juvenil_M!$O$6,"")</f>
        <v/>
      </c>
      <c r="E1111" s="40" t="n"/>
      <c r="F1111" s="39">
        <f>IFERROR(CLASIF_Juvenil_M!$O$11,"")</f>
        <v/>
      </c>
      <c r="G1111" s="40" t="n"/>
      <c r="H1111" s="41" t="n"/>
      <c r="I1111" s="42">
        <f>IF($H1111="","",MAX(0,$H1111-N($E1111)))</f>
        <v/>
      </c>
      <c r="J1111" s="42">
        <f>IF($H1111="","",MAX(0,$H1111-N($G1111)))</f>
        <v/>
      </c>
    </row>
    <row r="1112" ht="19.5" customHeight="1" s="72">
      <c r="A1112" s="38" t="inlineStr">
        <is>
          <t>JuvenilM-SEM-P02-BEN</t>
        </is>
      </c>
      <c r="B1112" s="38" t="inlineStr">
        <is>
          <t>Semifinal</t>
        </is>
      </c>
      <c r="C1112" s="38" t="inlineStr">
        <is>
          <t>Benguela</t>
        </is>
      </c>
      <c r="D1112" s="39">
        <f>IFERROR(CLASIF_Juvenil_M!$O$6,"")</f>
        <v/>
      </c>
      <c r="E1112" s="40" t="n"/>
      <c r="F1112" s="39">
        <f>IFERROR(CLASIF_Juvenil_M!$O$11,"")</f>
        <v/>
      </c>
      <c r="G1112" s="40" t="n"/>
      <c r="H1112" s="41" t="n"/>
      <c r="I1112" s="42">
        <f>IF($H1112="","",MAX(0,$H1112-N($E1112)))</f>
        <v/>
      </c>
      <c r="J1112" s="42">
        <f>IF($H1112="","",MAX(0,$H1112-N($G1112)))</f>
        <v/>
      </c>
    </row>
    <row r="1113" ht="19.5" customHeight="1" s="72">
      <c r="A1113" s="38" t="inlineStr">
        <is>
          <t>JuvenilM-SEM-P03-SBA</t>
        </is>
      </c>
      <c r="B1113" s="38" t="inlineStr">
        <is>
          <t>Semifinal</t>
        </is>
      </c>
      <c r="C1113" s="38" t="inlineStr">
        <is>
          <t>São Bento da Abadá</t>
        </is>
      </c>
      <c r="D1113" s="39">
        <f>IFERROR(CLASIF_Juvenil_M!$O$7,"")</f>
        <v/>
      </c>
      <c r="E1113" s="40" t="n"/>
      <c r="F1113" s="39">
        <f>IFERROR(CLASIF_Juvenil_M!$O$10,"")</f>
        <v/>
      </c>
      <c r="G1113" s="40" t="n"/>
      <c r="H1113" s="41" t="n"/>
      <c r="I1113" s="42">
        <f>IF($H1113="","",MAX(0,$H1113-N($E1113)))</f>
        <v/>
      </c>
      <c r="J1113" s="42">
        <f>IF($H1113="","",MAX(0,$H1113-N($G1113)))</f>
        <v/>
      </c>
    </row>
    <row r="1114" ht="19.5" customHeight="1" s="72">
      <c r="A1114" s="38" t="inlineStr">
        <is>
          <t>JuvenilM-SEM-P03-BEN</t>
        </is>
      </c>
      <c r="B1114" s="38" t="inlineStr">
        <is>
          <t>Semifinal</t>
        </is>
      </c>
      <c r="C1114" s="38" t="inlineStr">
        <is>
          <t>Benguela</t>
        </is>
      </c>
      <c r="D1114" s="39">
        <f>IFERROR(CLASIF_Juvenil_M!$O$7,"")</f>
        <v/>
      </c>
      <c r="E1114" s="40" t="n"/>
      <c r="F1114" s="39">
        <f>IFERROR(CLASIF_Juvenil_M!$O$10,"")</f>
        <v/>
      </c>
      <c r="G1114" s="40" t="n"/>
      <c r="H1114" s="41" t="n"/>
      <c r="I1114" s="42">
        <f>IF($H1114="","",MAX(0,$H1114-N($E1114)))</f>
        <v/>
      </c>
      <c r="J1114" s="42">
        <f>IF($H1114="","",MAX(0,$H1114-N($G1114)))</f>
        <v/>
      </c>
    </row>
    <row r="1115" ht="19.5" customHeight="1" s="72">
      <c r="A1115" s="38" t="inlineStr">
        <is>
          <t>JuvenilM-SEM-P04-SBA</t>
        </is>
      </c>
      <c r="B1115" s="38" t="inlineStr">
        <is>
          <t>Semifinal</t>
        </is>
      </c>
      <c r="C1115" s="38" t="inlineStr">
        <is>
          <t>São Bento da Abadá</t>
        </is>
      </c>
      <c r="D1115" s="39">
        <f>IFERROR(CLASIF_Juvenil_M!$O$8,"")</f>
        <v/>
      </c>
      <c r="E1115" s="40" t="n"/>
      <c r="F1115" s="39">
        <f>IFERROR(CLASIF_Juvenil_M!$O$9,"")</f>
        <v/>
      </c>
      <c r="G1115" s="40" t="n"/>
      <c r="H1115" s="41" t="n"/>
      <c r="I1115" s="42">
        <f>IF($H1115="","",MAX(0,$H1115-N($E1115)))</f>
        <v/>
      </c>
      <c r="J1115" s="42">
        <f>IF($H1115="","",MAX(0,$H1115-N($G1115)))</f>
        <v/>
      </c>
    </row>
    <row r="1116" ht="19.5" customHeight="1" s="72">
      <c r="A1116" s="38" t="inlineStr">
        <is>
          <t>JuvenilM-SEM-P04-BEN</t>
        </is>
      </c>
      <c r="B1116" s="38" t="inlineStr">
        <is>
          <t>Semifinal</t>
        </is>
      </c>
      <c r="C1116" s="38" t="inlineStr">
        <is>
          <t>Benguela</t>
        </is>
      </c>
      <c r="D1116" s="39">
        <f>IFERROR(CLASIF_Juvenil_M!$O$8,"")</f>
        <v/>
      </c>
      <c r="E1116" s="40" t="n"/>
      <c r="F1116" s="39">
        <f>IFERROR(CLASIF_Juvenil_M!$O$9,"")</f>
        <v/>
      </c>
      <c r="G1116" s="40" t="n"/>
      <c r="H1116" s="41" t="n"/>
      <c r="I1116" s="42">
        <f>IF($H1116="","",MAX(0,$H1116-N($E1116)))</f>
        <v/>
      </c>
      <c r="J1116" s="42">
        <f>IF($H1116="","",MAX(0,$H1116-N($G1116)))</f>
        <v/>
      </c>
    </row>
    <row r="1117" ht="19.5" customHeight="1" s="72">
      <c r="A1117" s="38" t="inlineStr">
        <is>
          <t>JuvenilM-FIN-P01-SBA</t>
        </is>
      </c>
      <c r="B1117" s="38" t="inlineStr">
        <is>
          <t>Final</t>
        </is>
      </c>
      <c r="C1117" s="38" t="inlineStr">
        <is>
          <t>São Bento da Abadá</t>
        </is>
      </c>
      <c r="D1117" s="39">
        <f>IFERROR(CLASIF_Juvenil_M!$X$5,"")</f>
        <v/>
      </c>
      <c r="E1117" s="40" t="n"/>
      <c r="F1117" s="39">
        <f>IFERROR(CLASIF_Juvenil_M!$X$8,"")</f>
        <v/>
      </c>
      <c r="G1117" s="40" t="n"/>
      <c r="H1117" s="41" t="n"/>
      <c r="I1117" s="42">
        <f>IF($H1117="","",MAX(0,$H1117-N($E1117)))</f>
        <v/>
      </c>
      <c r="J1117" s="42">
        <f>IF($H1117="","",MAX(0,$H1117-N($G1117)))</f>
        <v/>
      </c>
    </row>
    <row r="1118" ht="19.5" customHeight="1" s="72">
      <c r="A1118" s="38" t="inlineStr">
        <is>
          <t>JuvenilM-FIN-P01-BEN</t>
        </is>
      </c>
      <c r="B1118" s="38" t="inlineStr">
        <is>
          <t>Final</t>
        </is>
      </c>
      <c r="C1118" s="38" t="inlineStr">
        <is>
          <t>Benguela</t>
        </is>
      </c>
      <c r="D1118" s="39">
        <f>IFERROR(CLASIF_Juvenil_M!$X$5,"")</f>
        <v/>
      </c>
      <c r="E1118" s="40" t="n"/>
      <c r="F1118" s="39">
        <f>IFERROR(CLASIF_Juvenil_M!$X$8,"")</f>
        <v/>
      </c>
      <c r="G1118" s="40" t="n"/>
      <c r="H1118" s="41" t="n"/>
      <c r="I1118" s="42">
        <f>IF($H1118="","",MAX(0,$H1118-N($E1118)))</f>
        <v/>
      </c>
      <c r="J1118" s="42">
        <f>IF($H1118="","",MAX(0,$H1118-N($G1118)))</f>
        <v/>
      </c>
    </row>
    <row r="1119" ht="19.5" customHeight="1" s="72">
      <c r="A1119" s="38" t="inlineStr">
        <is>
          <t>JuvenilM-FIN-P02-SBA</t>
        </is>
      </c>
      <c r="B1119" s="38" t="inlineStr">
        <is>
          <t>Final</t>
        </is>
      </c>
      <c r="C1119" s="38" t="inlineStr">
        <is>
          <t>São Bento da Abadá</t>
        </is>
      </c>
      <c r="D1119" s="39">
        <f>IFERROR(CLASIF_Juvenil_M!$X$6,"")</f>
        <v/>
      </c>
      <c r="E1119" s="40" t="n"/>
      <c r="F1119" s="39">
        <f>IFERROR(CLASIF_Juvenil_M!$X$7,"")</f>
        <v/>
      </c>
      <c r="G1119" s="40" t="n"/>
      <c r="H1119" s="41" t="n"/>
      <c r="I1119" s="42">
        <f>IF($H1119="","",MAX(0,$H1119-N($E1119)))</f>
        <v/>
      </c>
      <c r="J1119" s="42">
        <f>IF($H1119="","",MAX(0,$H1119-N($G1119)))</f>
        <v/>
      </c>
    </row>
    <row r="1120" ht="19.5" customHeight="1" s="72">
      <c r="A1120" s="38" t="inlineStr">
        <is>
          <t>JuvenilM-FIN-P02-BEN</t>
        </is>
      </c>
      <c r="B1120" s="38" t="inlineStr">
        <is>
          <t>Final</t>
        </is>
      </c>
      <c r="C1120" s="38" t="inlineStr">
        <is>
          <t>Benguela</t>
        </is>
      </c>
      <c r="D1120" s="39">
        <f>IFERROR(CLASIF_Juvenil_M!$X$6,"")</f>
        <v/>
      </c>
      <c r="E1120" s="40" t="n"/>
      <c r="F1120" s="39">
        <f>IFERROR(CLASIF_Juvenil_M!$X$7,"")</f>
        <v/>
      </c>
      <c r="G1120" s="40" t="n"/>
      <c r="H1120" s="41" t="n"/>
      <c r="I1120" s="42">
        <f>IF($H1120="","",MAX(0,$H1120-N($E1120)))</f>
        <v/>
      </c>
      <c r="J1120" s="42">
        <f>IF($H1120="","",MAX(0,$H1120-N($G1120)))</f>
        <v/>
      </c>
    </row>
    <row r="1121" ht="19.5" customHeight="1" s="72">
      <c r="A1121" s="43" t="n"/>
      <c r="B1121" s="43" t="n"/>
      <c r="C1121" s="43" t="n"/>
      <c r="D1121" s="43" t="n"/>
      <c r="E1121" s="43" t="n"/>
      <c r="F1121" s="43" t="n"/>
      <c r="G1121" s="43" t="n"/>
      <c r="H1121" s="44" t="n"/>
      <c r="I1121" s="43">
        <f>IF($H1121="","",MAX(0,$H1121-N($E1121)))</f>
        <v/>
      </c>
      <c r="J1121" s="43">
        <f>IF($H1121="","",MAX(0,$H1121-N($G1121)))</f>
        <v/>
      </c>
    </row>
    <row r="1122" ht="19.5" customHeight="1" s="72">
      <c r="A1122" s="86" t="inlineStr">
        <is>
          <t>═══ CATEGORÍA Juvenil · Femenino · Amarilla/Naranja · Toques: São Bento da Abadá, Benguela ═══</t>
        </is>
      </c>
    </row>
    <row r="1123" ht="19.5" customHeight="1" s="72">
      <c r="A1123" s="45" t="inlineStr">
        <is>
          <t>Jogo</t>
        </is>
      </c>
      <c r="B1123" s="45" t="inlineStr">
        <is>
          <t>Fase</t>
        </is>
      </c>
      <c r="C1123" s="45" t="inlineStr">
        <is>
          <t>Toque</t>
        </is>
      </c>
      <c r="D1123" s="45" t="inlineStr">
        <is>
          <t>Jugador A</t>
        </is>
      </c>
      <c r="E1123" s="45" t="inlineStr">
        <is>
          <t>Quita A</t>
        </is>
      </c>
      <c r="F1123" s="45" t="inlineStr">
        <is>
          <t>Jugador B</t>
        </is>
      </c>
      <c r="G1123" s="45" t="inlineStr">
        <is>
          <t>Quita B</t>
        </is>
      </c>
      <c r="H1123" s="45" t="inlineStr">
        <is>
          <t>NOTA (0-5)</t>
        </is>
      </c>
      <c r="I1123" s="45">
        <f>IF($H1123="","",MAX(0,$H1123-N($E1123)))</f>
        <v/>
      </c>
      <c r="J1123" s="45">
        <f>IF($H1123="","",MAX(0,$H1123-N($G1123)))</f>
        <v/>
      </c>
    </row>
    <row r="1124" ht="19.5" customHeight="1" s="72">
      <c r="A1124" s="38" t="inlineStr">
        <is>
          <t>JuvenilF-32-P01-SBA</t>
        </is>
      </c>
      <c r="B1124" s="38" t="inlineStr">
        <is>
          <t>Fase 32</t>
        </is>
      </c>
      <c r="C1124" s="38" t="inlineStr">
        <is>
          <t>São Bento da Abadá</t>
        </is>
      </c>
      <c r="D1124" s="39" t="inlineStr">
        <is>
          <t>A_Juvenil_F_32_P1</t>
        </is>
      </c>
      <c r="E1124" s="40" t="n"/>
      <c r="F1124" s="39" t="inlineStr">
        <is>
          <t>B_Juvenil_F_32_P1</t>
        </is>
      </c>
      <c r="G1124" s="40" t="n"/>
      <c r="H1124" s="41" t="n"/>
      <c r="I1124" s="42">
        <f>IF($H1124="","",MAX(0,$H1124-N($E1124)))</f>
        <v/>
      </c>
      <c r="J1124" s="42">
        <f>IF($H1124="","",MAX(0,$H1124-N($G1124)))</f>
        <v/>
      </c>
    </row>
    <row r="1125" ht="19.5" customHeight="1" s="72">
      <c r="A1125" s="38" t="inlineStr">
        <is>
          <t>JuvenilF-32-P01-BEN</t>
        </is>
      </c>
      <c r="B1125" s="38" t="inlineStr">
        <is>
          <t>Fase 32</t>
        </is>
      </c>
      <c r="C1125" s="38" t="inlineStr">
        <is>
          <t>Benguela</t>
        </is>
      </c>
      <c r="D1125" s="39" t="inlineStr">
        <is>
          <t>A_Juvenil_F_32_P1</t>
        </is>
      </c>
      <c r="E1125" s="40" t="n"/>
      <c r="F1125" s="39" t="inlineStr">
        <is>
          <t>B_Juvenil_F_32_P1</t>
        </is>
      </c>
      <c r="G1125" s="40" t="n"/>
      <c r="H1125" s="41" t="n"/>
      <c r="I1125" s="42">
        <f>IF($H1125="","",MAX(0,$H1125-N($E1125)))</f>
        <v/>
      </c>
      <c r="J1125" s="42">
        <f>IF($H1125="","",MAX(0,$H1125-N($G1125)))</f>
        <v/>
      </c>
    </row>
    <row r="1126" ht="19.5" customHeight="1" s="72">
      <c r="A1126" s="38" t="inlineStr">
        <is>
          <t>JuvenilF-32-P02-SBA</t>
        </is>
      </c>
      <c r="B1126" s="38" t="inlineStr">
        <is>
          <t>Fase 32</t>
        </is>
      </c>
      <c r="C1126" s="38" t="inlineStr">
        <is>
          <t>São Bento da Abadá</t>
        </is>
      </c>
      <c r="D1126" s="39" t="inlineStr">
        <is>
          <t>A_Juvenil_F_32_P2</t>
        </is>
      </c>
      <c r="E1126" s="40" t="n"/>
      <c r="F1126" s="39" t="inlineStr">
        <is>
          <t>B_Juvenil_F_32_P2</t>
        </is>
      </c>
      <c r="G1126" s="40" t="n"/>
      <c r="H1126" s="41" t="n"/>
      <c r="I1126" s="42">
        <f>IF($H1126="","",MAX(0,$H1126-N($E1126)))</f>
        <v/>
      </c>
      <c r="J1126" s="42">
        <f>IF($H1126="","",MAX(0,$H1126-N($G1126)))</f>
        <v/>
      </c>
    </row>
    <row r="1127" ht="19.5" customHeight="1" s="72">
      <c r="A1127" s="38" t="inlineStr">
        <is>
          <t>JuvenilF-32-P02-BEN</t>
        </is>
      </c>
      <c r="B1127" s="38" t="inlineStr">
        <is>
          <t>Fase 32</t>
        </is>
      </c>
      <c r="C1127" s="38" t="inlineStr">
        <is>
          <t>Benguela</t>
        </is>
      </c>
      <c r="D1127" s="39" t="inlineStr">
        <is>
          <t>A_Juvenil_F_32_P2</t>
        </is>
      </c>
      <c r="E1127" s="40" t="n"/>
      <c r="F1127" s="39" t="inlineStr">
        <is>
          <t>B_Juvenil_F_32_P2</t>
        </is>
      </c>
      <c r="G1127" s="40" t="n"/>
      <c r="H1127" s="41" t="n"/>
      <c r="I1127" s="42">
        <f>IF($H1127="","",MAX(0,$H1127-N($E1127)))</f>
        <v/>
      </c>
      <c r="J1127" s="42">
        <f>IF($H1127="","",MAX(0,$H1127-N($G1127)))</f>
        <v/>
      </c>
    </row>
    <row r="1128" ht="19.5" customHeight="1" s="72">
      <c r="A1128" s="38" t="inlineStr">
        <is>
          <t>JuvenilF-32-P03-SBA</t>
        </is>
      </c>
      <c r="B1128" s="38" t="inlineStr">
        <is>
          <t>Fase 32</t>
        </is>
      </c>
      <c r="C1128" s="38" t="inlineStr">
        <is>
          <t>São Bento da Abadá</t>
        </is>
      </c>
      <c r="D1128" s="39" t="inlineStr">
        <is>
          <t>A_Juvenil_F_32_P3</t>
        </is>
      </c>
      <c r="E1128" s="40" t="n"/>
      <c r="F1128" s="39" t="inlineStr">
        <is>
          <t>B_Juvenil_F_32_P3</t>
        </is>
      </c>
      <c r="G1128" s="40" t="n"/>
      <c r="H1128" s="41" t="n"/>
      <c r="I1128" s="42">
        <f>IF($H1128="","",MAX(0,$H1128-N($E1128)))</f>
        <v/>
      </c>
      <c r="J1128" s="42">
        <f>IF($H1128="","",MAX(0,$H1128-N($G1128)))</f>
        <v/>
      </c>
    </row>
    <row r="1129" ht="19.5" customHeight="1" s="72">
      <c r="A1129" s="38" t="inlineStr">
        <is>
          <t>JuvenilF-32-P03-BEN</t>
        </is>
      </c>
      <c r="B1129" s="38" t="inlineStr">
        <is>
          <t>Fase 32</t>
        </is>
      </c>
      <c r="C1129" s="38" t="inlineStr">
        <is>
          <t>Benguela</t>
        </is>
      </c>
      <c r="D1129" s="39" t="inlineStr">
        <is>
          <t>A_Juvenil_F_32_P3</t>
        </is>
      </c>
      <c r="E1129" s="40" t="n"/>
      <c r="F1129" s="39" t="inlineStr">
        <is>
          <t>B_Juvenil_F_32_P3</t>
        </is>
      </c>
      <c r="G1129" s="40" t="n"/>
      <c r="H1129" s="41" t="n"/>
      <c r="I1129" s="42">
        <f>IF($H1129="","",MAX(0,$H1129-N($E1129)))</f>
        <v/>
      </c>
      <c r="J1129" s="42">
        <f>IF($H1129="","",MAX(0,$H1129-N($G1129)))</f>
        <v/>
      </c>
    </row>
    <row r="1130" ht="19.5" customHeight="1" s="72">
      <c r="A1130" s="38" t="inlineStr">
        <is>
          <t>JuvenilF-32-P04-SBA</t>
        </is>
      </c>
      <c r="B1130" s="38" t="inlineStr">
        <is>
          <t>Fase 32</t>
        </is>
      </c>
      <c r="C1130" s="38" t="inlineStr">
        <is>
          <t>São Bento da Abadá</t>
        </is>
      </c>
      <c r="D1130" s="39" t="inlineStr">
        <is>
          <t>A_Juvenil_F_32_P4</t>
        </is>
      </c>
      <c r="E1130" s="40" t="n"/>
      <c r="F1130" s="39" t="inlineStr">
        <is>
          <t>B_Juvenil_F_32_P4</t>
        </is>
      </c>
      <c r="G1130" s="40" t="n"/>
      <c r="H1130" s="41" t="n"/>
      <c r="I1130" s="42">
        <f>IF($H1130="","",MAX(0,$H1130-N($E1130)))</f>
        <v/>
      </c>
      <c r="J1130" s="42">
        <f>IF($H1130="","",MAX(0,$H1130-N($G1130)))</f>
        <v/>
      </c>
    </row>
    <row r="1131" ht="19.5" customHeight="1" s="72">
      <c r="A1131" s="38" t="inlineStr">
        <is>
          <t>JuvenilF-32-P04-BEN</t>
        </is>
      </c>
      <c r="B1131" s="38" t="inlineStr">
        <is>
          <t>Fase 32</t>
        </is>
      </c>
      <c r="C1131" s="38" t="inlineStr">
        <is>
          <t>Benguela</t>
        </is>
      </c>
      <c r="D1131" s="39" t="inlineStr">
        <is>
          <t>A_Juvenil_F_32_P4</t>
        </is>
      </c>
      <c r="E1131" s="40" t="n"/>
      <c r="F1131" s="39" t="inlineStr">
        <is>
          <t>B_Juvenil_F_32_P4</t>
        </is>
      </c>
      <c r="G1131" s="40" t="n"/>
      <c r="H1131" s="41" t="n"/>
      <c r="I1131" s="42">
        <f>IF($H1131="","",MAX(0,$H1131-N($E1131)))</f>
        <v/>
      </c>
      <c r="J1131" s="42">
        <f>IF($H1131="","",MAX(0,$H1131-N($G1131)))</f>
        <v/>
      </c>
    </row>
    <row r="1132" ht="19.5" customHeight="1" s="72">
      <c r="A1132" s="38" t="inlineStr">
        <is>
          <t>JuvenilF-32-P05-SBA</t>
        </is>
      </c>
      <c r="B1132" s="38" t="inlineStr">
        <is>
          <t>Fase 32</t>
        </is>
      </c>
      <c r="C1132" s="38" t="inlineStr">
        <is>
          <t>São Bento da Abadá</t>
        </is>
      </c>
      <c r="D1132" s="39" t="inlineStr">
        <is>
          <t>A_Juvenil_F_32_P5</t>
        </is>
      </c>
      <c r="E1132" s="40" t="n"/>
      <c r="F1132" s="39" t="inlineStr">
        <is>
          <t>B_Juvenil_F_32_P5</t>
        </is>
      </c>
      <c r="G1132" s="40" t="n"/>
      <c r="H1132" s="41" t="n"/>
      <c r="I1132" s="42">
        <f>IF($H1132="","",MAX(0,$H1132-N($E1132)))</f>
        <v/>
      </c>
      <c r="J1132" s="42">
        <f>IF($H1132="","",MAX(0,$H1132-N($G1132)))</f>
        <v/>
      </c>
    </row>
    <row r="1133" ht="19.5" customHeight="1" s="72">
      <c r="A1133" s="38" t="inlineStr">
        <is>
          <t>JuvenilF-32-P05-BEN</t>
        </is>
      </c>
      <c r="B1133" s="38" t="inlineStr">
        <is>
          <t>Fase 32</t>
        </is>
      </c>
      <c r="C1133" s="38" t="inlineStr">
        <is>
          <t>Benguela</t>
        </is>
      </c>
      <c r="D1133" s="39" t="inlineStr">
        <is>
          <t>A_Juvenil_F_32_P5</t>
        </is>
      </c>
      <c r="E1133" s="40" t="n"/>
      <c r="F1133" s="39" t="inlineStr">
        <is>
          <t>B_Juvenil_F_32_P5</t>
        </is>
      </c>
      <c r="G1133" s="40" t="n"/>
      <c r="H1133" s="41" t="n"/>
      <c r="I1133" s="42">
        <f>IF($H1133="","",MAX(0,$H1133-N($E1133)))</f>
        <v/>
      </c>
      <c r="J1133" s="42">
        <f>IF($H1133="","",MAX(0,$H1133-N($G1133)))</f>
        <v/>
      </c>
    </row>
    <row r="1134" ht="19.5" customHeight="1" s="72">
      <c r="A1134" s="38" t="inlineStr">
        <is>
          <t>JuvenilF-32-P06-SBA</t>
        </is>
      </c>
      <c r="B1134" s="38" t="inlineStr">
        <is>
          <t>Fase 32</t>
        </is>
      </c>
      <c r="C1134" s="38" t="inlineStr">
        <is>
          <t>São Bento da Abadá</t>
        </is>
      </c>
      <c r="D1134" s="39" t="inlineStr">
        <is>
          <t>A_Juvenil_F_32_P6</t>
        </is>
      </c>
      <c r="E1134" s="40" t="n"/>
      <c r="F1134" s="39" t="inlineStr">
        <is>
          <t>B_Juvenil_F_32_P6</t>
        </is>
      </c>
      <c r="G1134" s="40" t="n"/>
      <c r="H1134" s="41" t="n"/>
      <c r="I1134" s="42">
        <f>IF($H1134="","",MAX(0,$H1134-N($E1134)))</f>
        <v/>
      </c>
      <c r="J1134" s="42">
        <f>IF($H1134="","",MAX(0,$H1134-N($G1134)))</f>
        <v/>
      </c>
    </row>
    <row r="1135" ht="19.5" customHeight="1" s="72">
      <c r="A1135" s="38" t="inlineStr">
        <is>
          <t>JuvenilF-32-P06-BEN</t>
        </is>
      </c>
      <c r="B1135" s="38" t="inlineStr">
        <is>
          <t>Fase 32</t>
        </is>
      </c>
      <c r="C1135" s="38" t="inlineStr">
        <is>
          <t>Benguela</t>
        </is>
      </c>
      <c r="D1135" s="39" t="inlineStr">
        <is>
          <t>A_Juvenil_F_32_P6</t>
        </is>
      </c>
      <c r="E1135" s="40" t="n"/>
      <c r="F1135" s="39" t="inlineStr">
        <is>
          <t>B_Juvenil_F_32_P6</t>
        </is>
      </c>
      <c r="G1135" s="40" t="n"/>
      <c r="H1135" s="41" t="n"/>
      <c r="I1135" s="42">
        <f>IF($H1135="","",MAX(0,$H1135-N($E1135)))</f>
        <v/>
      </c>
      <c r="J1135" s="42">
        <f>IF($H1135="","",MAX(0,$H1135-N($G1135)))</f>
        <v/>
      </c>
    </row>
    <row r="1136" ht="19.5" customHeight="1" s="72">
      <c r="A1136" s="38" t="inlineStr">
        <is>
          <t>JuvenilF-32-P07-SBA</t>
        </is>
      </c>
      <c r="B1136" s="38" t="inlineStr">
        <is>
          <t>Fase 32</t>
        </is>
      </c>
      <c r="C1136" s="38" t="inlineStr">
        <is>
          <t>São Bento da Abadá</t>
        </is>
      </c>
      <c r="D1136" s="39" t="inlineStr">
        <is>
          <t>A_Juvenil_F_32_P7</t>
        </is>
      </c>
      <c r="E1136" s="40" t="n"/>
      <c r="F1136" s="39" t="inlineStr">
        <is>
          <t>B_Juvenil_F_32_P7</t>
        </is>
      </c>
      <c r="G1136" s="40" t="n"/>
      <c r="H1136" s="41" t="n"/>
      <c r="I1136" s="42">
        <f>IF($H1136="","",MAX(0,$H1136-N($E1136)))</f>
        <v/>
      </c>
      <c r="J1136" s="42">
        <f>IF($H1136="","",MAX(0,$H1136-N($G1136)))</f>
        <v/>
      </c>
    </row>
    <row r="1137" ht="19.5" customHeight="1" s="72">
      <c r="A1137" s="38" t="inlineStr">
        <is>
          <t>JuvenilF-32-P07-BEN</t>
        </is>
      </c>
      <c r="B1137" s="38" t="inlineStr">
        <is>
          <t>Fase 32</t>
        </is>
      </c>
      <c r="C1137" s="38" t="inlineStr">
        <is>
          <t>Benguela</t>
        </is>
      </c>
      <c r="D1137" s="39" t="inlineStr">
        <is>
          <t>A_Juvenil_F_32_P7</t>
        </is>
      </c>
      <c r="E1137" s="40" t="n"/>
      <c r="F1137" s="39" t="inlineStr">
        <is>
          <t>B_Juvenil_F_32_P7</t>
        </is>
      </c>
      <c r="G1137" s="40" t="n"/>
      <c r="H1137" s="41" t="n"/>
      <c r="I1137" s="42">
        <f>IF($H1137="","",MAX(0,$H1137-N($E1137)))</f>
        <v/>
      </c>
      <c r="J1137" s="42">
        <f>IF($H1137="","",MAX(0,$H1137-N($G1137)))</f>
        <v/>
      </c>
    </row>
    <row r="1138" ht="19.5" customHeight="1" s="72">
      <c r="A1138" s="38" t="inlineStr">
        <is>
          <t>JuvenilF-32-P08-SBA</t>
        </is>
      </c>
      <c r="B1138" s="38" t="inlineStr">
        <is>
          <t>Fase 32</t>
        </is>
      </c>
      <c r="C1138" s="38" t="inlineStr">
        <is>
          <t>São Bento da Abadá</t>
        </is>
      </c>
      <c r="D1138" s="39" t="inlineStr">
        <is>
          <t>A_Juvenil_F_32_P8</t>
        </is>
      </c>
      <c r="E1138" s="40" t="n"/>
      <c r="F1138" s="39" t="inlineStr">
        <is>
          <t>B_Juvenil_F_32_P8</t>
        </is>
      </c>
      <c r="G1138" s="40" t="n"/>
      <c r="H1138" s="41" t="n"/>
      <c r="I1138" s="42">
        <f>IF($H1138="","",MAX(0,$H1138-N($E1138)))</f>
        <v/>
      </c>
      <c r="J1138" s="42">
        <f>IF($H1138="","",MAX(0,$H1138-N($G1138)))</f>
        <v/>
      </c>
    </row>
    <row r="1139" ht="19.5" customHeight="1" s="72">
      <c r="A1139" s="38" t="inlineStr">
        <is>
          <t>JuvenilF-32-P08-BEN</t>
        </is>
      </c>
      <c r="B1139" s="38" t="inlineStr">
        <is>
          <t>Fase 32</t>
        </is>
      </c>
      <c r="C1139" s="38" t="inlineStr">
        <is>
          <t>Benguela</t>
        </is>
      </c>
      <c r="D1139" s="39" t="inlineStr">
        <is>
          <t>A_Juvenil_F_32_P8</t>
        </is>
      </c>
      <c r="E1139" s="40" t="n"/>
      <c r="F1139" s="39" t="inlineStr">
        <is>
          <t>B_Juvenil_F_32_P8</t>
        </is>
      </c>
      <c r="G1139" s="40" t="n"/>
      <c r="H1139" s="41" t="n"/>
      <c r="I1139" s="42">
        <f>IF($H1139="","",MAX(0,$H1139-N($E1139)))</f>
        <v/>
      </c>
      <c r="J1139" s="42">
        <f>IF($H1139="","",MAX(0,$H1139-N($G1139)))</f>
        <v/>
      </c>
    </row>
    <row r="1140" ht="19.5" customHeight="1" s="72">
      <c r="A1140" s="38" t="inlineStr">
        <is>
          <t>JuvenilF-32-P09-SBA</t>
        </is>
      </c>
      <c r="B1140" s="38" t="inlineStr">
        <is>
          <t>Fase 32</t>
        </is>
      </c>
      <c r="C1140" s="38" t="inlineStr">
        <is>
          <t>São Bento da Abadá</t>
        </is>
      </c>
      <c r="D1140" s="39" t="inlineStr">
        <is>
          <t>A_Juvenil_F_32_P9</t>
        </is>
      </c>
      <c r="E1140" s="40" t="n"/>
      <c r="F1140" s="39" t="inlineStr">
        <is>
          <t>B_Juvenil_F_32_P9</t>
        </is>
      </c>
      <c r="G1140" s="40" t="n"/>
      <c r="H1140" s="41" t="n"/>
      <c r="I1140" s="42">
        <f>IF($H1140="","",MAX(0,$H1140-N($E1140)))</f>
        <v/>
      </c>
      <c r="J1140" s="42">
        <f>IF($H1140="","",MAX(0,$H1140-N($G1140)))</f>
        <v/>
      </c>
    </row>
    <row r="1141" ht="19.5" customHeight="1" s="72">
      <c r="A1141" s="38" t="inlineStr">
        <is>
          <t>JuvenilF-32-P09-BEN</t>
        </is>
      </c>
      <c r="B1141" s="38" t="inlineStr">
        <is>
          <t>Fase 32</t>
        </is>
      </c>
      <c r="C1141" s="38" t="inlineStr">
        <is>
          <t>Benguela</t>
        </is>
      </c>
      <c r="D1141" s="39" t="inlineStr">
        <is>
          <t>A_Juvenil_F_32_P9</t>
        </is>
      </c>
      <c r="E1141" s="40" t="n"/>
      <c r="F1141" s="39" t="inlineStr">
        <is>
          <t>B_Juvenil_F_32_P9</t>
        </is>
      </c>
      <c r="G1141" s="40" t="n"/>
      <c r="H1141" s="41" t="n"/>
      <c r="I1141" s="42">
        <f>IF($H1141="","",MAX(0,$H1141-N($E1141)))</f>
        <v/>
      </c>
      <c r="J1141" s="42">
        <f>IF($H1141="","",MAX(0,$H1141-N($G1141)))</f>
        <v/>
      </c>
    </row>
    <row r="1142" ht="19.5" customHeight="1" s="72">
      <c r="A1142" s="38" t="inlineStr">
        <is>
          <t>JuvenilF-32-P10-SBA</t>
        </is>
      </c>
      <c r="B1142" s="38" t="inlineStr">
        <is>
          <t>Fase 32</t>
        </is>
      </c>
      <c r="C1142" s="38" t="inlineStr">
        <is>
          <t>São Bento da Abadá</t>
        </is>
      </c>
      <c r="D1142" s="39" t="inlineStr">
        <is>
          <t>A_Juvenil_F_32_P10</t>
        </is>
      </c>
      <c r="E1142" s="40" t="n"/>
      <c r="F1142" s="39" t="inlineStr">
        <is>
          <t>B_Juvenil_F_32_P10</t>
        </is>
      </c>
      <c r="G1142" s="40" t="n"/>
      <c r="H1142" s="41" t="n"/>
      <c r="I1142" s="42">
        <f>IF($H1142="","",MAX(0,$H1142-N($E1142)))</f>
        <v/>
      </c>
      <c r="J1142" s="42">
        <f>IF($H1142="","",MAX(0,$H1142-N($G1142)))</f>
        <v/>
      </c>
    </row>
    <row r="1143" ht="19.5" customHeight="1" s="72">
      <c r="A1143" s="38" t="inlineStr">
        <is>
          <t>JuvenilF-32-P10-BEN</t>
        </is>
      </c>
      <c r="B1143" s="38" t="inlineStr">
        <is>
          <t>Fase 32</t>
        </is>
      </c>
      <c r="C1143" s="38" t="inlineStr">
        <is>
          <t>Benguela</t>
        </is>
      </c>
      <c r="D1143" s="39" t="inlineStr">
        <is>
          <t>A_Juvenil_F_32_P10</t>
        </is>
      </c>
      <c r="E1143" s="40" t="n"/>
      <c r="F1143" s="39" t="inlineStr">
        <is>
          <t>B_Juvenil_F_32_P10</t>
        </is>
      </c>
      <c r="G1143" s="40" t="n"/>
      <c r="H1143" s="41" t="n"/>
      <c r="I1143" s="42">
        <f>IF($H1143="","",MAX(0,$H1143-N($E1143)))</f>
        <v/>
      </c>
      <c r="J1143" s="42">
        <f>IF($H1143="","",MAX(0,$H1143-N($G1143)))</f>
        <v/>
      </c>
    </row>
    <row r="1144" ht="19.5" customHeight="1" s="72">
      <c r="A1144" s="38" t="inlineStr">
        <is>
          <t>JuvenilF-32-P11-SBA</t>
        </is>
      </c>
      <c r="B1144" s="38" t="inlineStr">
        <is>
          <t>Fase 32</t>
        </is>
      </c>
      <c r="C1144" s="38" t="inlineStr">
        <is>
          <t>São Bento da Abadá</t>
        </is>
      </c>
      <c r="D1144" s="39" t="inlineStr">
        <is>
          <t>A_Juvenil_F_32_P11</t>
        </is>
      </c>
      <c r="E1144" s="40" t="n"/>
      <c r="F1144" s="39" t="inlineStr">
        <is>
          <t>B_Juvenil_F_32_P11</t>
        </is>
      </c>
      <c r="G1144" s="40" t="n"/>
      <c r="H1144" s="41" t="n"/>
      <c r="I1144" s="42">
        <f>IF($H1144="","",MAX(0,$H1144-N($E1144)))</f>
        <v/>
      </c>
      <c r="J1144" s="42">
        <f>IF($H1144="","",MAX(0,$H1144-N($G1144)))</f>
        <v/>
      </c>
    </row>
    <row r="1145" ht="19.5" customHeight="1" s="72">
      <c r="A1145" s="38" t="inlineStr">
        <is>
          <t>JuvenilF-32-P11-BEN</t>
        </is>
      </c>
      <c r="B1145" s="38" t="inlineStr">
        <is>
          <t>Fase 32</t>
        </is>
      </c>
      <c r="C1145" s="38" t="inlineStr">
        <is>
          <t>Benguela</t>
        </is>
      </c>
      <c r="D1145" s="39" t="inlineStr">
        <is>
          <t>A_Juvenil_F_32_P11</t>
        </is>
      </c>
      <c r="E1145" s="40" t="n"/>
      <c r="F1145" s="39" t="inlineStr">
        <is>
          <t>B_Juvenil_F_32_P11</t>
        </is>
      </c>
      <c r="G1145" s="40" t="n"/>
      <c r="H1145" s="41" t="n"/>
      <c r="I1145" s="42">
        <f>IF($H1145="","",MAX(0,$H1145-N($E1145)))</f>
        <v/>
      </c>
      <c r="J1145" s="42">
        <f>IF($H1145="","",MAX(0,$H1145-N($G1145)))</f>
        <v/>
      </c>
    </row>
    <row r="1146" ht="19.5" customHeight="1" s="72">
      <c r="A1146" s="38" t="inlineStr">
        <is>
          <t>JuvenilF-32-P12-SBA</t>
        </is>
      </c>
      <c r="B1146" s="38" t="inlineStr">
        <is>
          <t>Fase 32</t>
        </is>
      </c>
      <c r="C1146" s="38" t="inlineStr">
        <is>
          <t>São Bento da Abadá</t>
        </is>
      </c>
      <c r="D1146" s="39" t="inlineStr">
        <is>
          <t>A_Juvenil_F_32_P12</t>
        </is>
      </c>
      <c r="E1146" s="40" t="n"/>
      <c r="F1146" s="39" t="inlineStr">
        <is>
          <t>B_Juvenil_F_32_P12</t>
        </is>
      </c>
      <c r="G1146" s="40" t="n"/>
      <c r="H1146" s="41" t="n"/>
      <c r="I1146" s="42">
        <f>IF($H1146="","",MAX(0,$H1146-N($E1146)))</f>
        <v/>
      </c>
      <c r="J1146" s="42">
        <f>IF($H1146="","",MAX(0,$H1146-N($G1146)))</f>
        <v/>
      </c>
    </row>
    <row r="1147" ht="19.5" customHeight="1" s="72">
      <c r="A1147" s="38" t="inlineStr">
        <is>
          <t>JuvenilF-32-P12-BEN</t>
        </is>
      </c>
      <c r="B1147" s="38" t="inlineStr">
        <is>
          <t>Fase 32</t>
        </is>
      </c>
      <c r="C1147" s="38" t="inlineStr">
        <is>
          <t>Benguela</t>
        </is>
      </c>
      <c r="D1147" s="39" t="inlineStr">
        <is>
          <t>A_Juvenil_F_32_P12</t>
        </is>
      </c>
      <c r="E1147" s="40" t="n"/>
      <c r="F1147" s="39" t="inlineStr">
        <is>
          <t>B_Juvenil_F_32_P12</t>
        </is>
      </c>
      <c r="G1147" s="40" t="n"/>
      <c r="H1147" s="41" t="n"/>
      <c r="I1147" s="42">
        <f>IF($H1147="","",MAX(0,$H1147-N($E1147)))</f>
        <v/>
      </c>
      <c r="J1147" s="42">
        <f>IF($H1147="","",MAX(0,$H1147-N($G1147)))</f>
        <v/>
      </c>
    </row>
    <row r="1148" ht="19.5" customHeight="1" s="72">
      <c r="A1148" s="38" t="inlineStr">
        <is>
          <t>JuvenilF-32-P13-SBA</t>
        </is>
      </c>
      <c r="B1148" s="38" t="inlineStr">
        <is>
          <t>Fase 32</t>
        </is>
      </c>
      <c r="C1148" s="38" t="inlineStr">
        <is>
          <t>São Bento da Abadá</t>
        </is>
      </c>
      <c r="D1148" s="39" t="inlineStr">
        <is>
          <t>A_Juvenil_F_32_P13</t>
        </is>
      </c>
      <c r="E1148" s="40" t="n"/>
      <c r="F1148" s="39" t="inlineStr">
        <is>
          <t>B_Juvenil_F_32_P13</t>
        </is>
      </c>
      <c r="G1148" s="40" t="n"/>
      <c r="H1148" s="41" t="n"/>
      <c r="I1148" s="42">
        <f>IF($H1148="","",MAX(0,$H1148-N($E1148)))</f>
        <v/>
      </c>
      <c r="J1148" s="42">
        <f>IF($H1148="","",MAX(0,$H1148-N($G1148)))</f>
        <v/>
      </c>
    </row>
    <row r="1149" ht="19.5" customHeight="1" s="72">
      <c r="A1149" s="38" t="inlineStr">
        <is>
          <t>JuvenilF-32-P13-BEN</t>
        </is>
      </c>
      <c r="B1149" s="38" t="inlineStr">
        <is>
          <t>Fase 32</t>
        </is>
      </c>
      <c r="C1149" s="38" t="inlineStr">
        <is>
          <t>Benguela</t>
        </is>
      </c>
      <c r="D1149" s="39" t="inlineStr">
        <is>
          <t>A_Juvenil_F_32_P13</t>
        </is>
      </c>
      <c r="E1149" s="40" t="n"/>
      <c r="F1149" s="39" t="inlineStr">
        <is>
          <t>B_Juvenil_F_32_P13</t>
        </is>
      </c>
      <c r="G1149" s="40" t="n"/>
      <c r="H1149" s="41" t="n"/>
      <c r="I1149" s="42">
        <f>IF($H1149="","",MAX(0,$H1149-N($E1149)))</f>
        <v/>
      </c>
      <c r="J1149" s="42">
        <f>IF($H1149="","",MAX(0,$H1149-N($G1149)))</f>
        <v/>
      </c>
    </row>
    <row r="1150" ht="19.5" customHeight="1" s="72">
      <c r="A1150" s="38" t="inlineStr">
        <is>
          <t>JuvenilF-32-P14-SBA</t>
        </is>
      </c>
      <c r="B1150" s="38" t="inlineStr">
        <is>
          <t>Fase 32</t>
        </is>
      </c>
      <c r="C1150" s="38" t="inlineStr">
        <is>
          <t>São Bento da Abadá</t>
        </is>
      </c>
      <c r="D1150" s="39" t="inlineStr">
        <is>
          <t>A_Juvenil_F_32_P14</t>
        </is>
      </c>
      <c r="E1150" s="40" t="n"/>
      <c r="F1150" s="39" t="inlineStr">
        <is>
          <t>B_Juvenil_F_32_P14</t>
        </is>
      </c>
      <c r="G1150" s="40" t="n"/>
      <c r="H1150" s="41" t="n"/>
      <c r="I1150" s="42">
        <f>IF($H1150="","",MAX(0,$H1150-N($E1150)))</f>
        <v/>
      </c>
      <c r="J1150" s="42">
        <f>IF($H1150="","",MAX(0,$H1150-N($G1150)))</f>
        <v/>
      </c>
    </row>
    <row r="1151" ht="19.5" customHeight="1" s="72">
      <c r="A1151" s="38" t="inlineStr">
        <is>
          <t>JuvenilF-32-P14-BEN</t>
        </is>
      </c>
      <c r="B1151" s="38" t="inlineStr">
        <is>
          <t>Fase 32</t>
        </is>
      </c>
      <c r="C1151" s="38" t="inlineStr">
        <is>
          <t>Benguela</t>
        </is>
      </c>
      <c r="D1151" s="39" t="inlineStr">
        <is>
          <t>A_Juvenil_F_32_P14</t>
        </is>
      </c>
      <c r="E1151" s="40" t="n"/>
      <c r="F1151" s="39" t="inlineStr">
        <is>
          <t>B_Juvenil_F_32_P14</t>
        </is>
      </c>
      <c r="G1151" s="40" t="n"/>
      <c r="H1151" s="41" t="n"/>
      <c r="I1151" s="42">
        <f>IF($H1151="","",MAX(0,$H1151-N($E1151)))</f>
        <v/>
      </c>
      <c r="J1151" s="42">
        <f>IF($H1151="","",MAX(0,$H1151-N($G1151)))</f>
        <v/>
      </c>
    </row>
    <row r="1152" ht="19.5" customHeight="1" s="72">
      <c r="A1152" s="38" t="inlineStr">
        <is>
          <t>JuvenilF-32-P15-SBA</t>
        </is>
      </c>
      <c r="B1152" s="38" t="inlineStr">
        <is>
          <t>Fase 32</t>
        </is>
      </c>
      <c r="C1152" s="38" t="inlineStr">
        <is>
          <t>São Bento da Abadá</t>
        </is>
      </c>
      <c r="D1152" s="39" t="inlineStr">
        <is>
          <t>A_Juvenil_F_32_P15</t>
        </is>
      </c>
      <c r="E1152" s="40" t="n"/>
      <c r="F1152" s="39" t="inlineStr">
        <is>
          <t>B_Juvenil_F_32_P15</t>
        </is>
      </c>
      <c r="G1152" s="40" t="n"/>
      <c r="H1152" s="41" t="n"/>
      <c r="I1152" s="42">
        <f>IF($H1152="","",MAX(0,$H1152-N($E1152)))</f>
        <v/>
      </c>
      <c r="J1152" s="42">
        <f>IF($H1152="","",MAX(0,$H1152-N($G1152)))</f>
        <v/>
      </c>
    </row>
    <row r="1153" ht="19.5" customHeight="1" s="72">
      <c r="A1153" s="38" t="inlineStr">
        <is>
          <t>JuvenilF-32-P15-BEN</t>
        </is>
      </c>
      <c r="B1153" s="38" t="inlineStr">
        <is>
          <t>Fase 32</t>
        </is>
      </c>
      <c r="C1153" s="38" t="inlineStr">
        <is>
          <t>Benguela</t>
        </is>
      </c>
      <c r="D1153" s="39" t="inlineStr">
        <is>
          <t>A_Juvenil_F_32_P15</t>
        </is>
      </c>
      <c r="E1153" s="40" t="n"/>
      <c r="F1153" s="39" t="inlineStr">
        <is>
          <t>B_Juvenil_F_32_P15</t>
        </is>
      </c>
      <c r="G1153" s="40" t="n"/>
      <c r="H1153" s="41" t="n"/>
      <c r="I1153" s="42">
        <f>IF($H1153="","",MAX(0,$H1153-N($E1153)))</f>
        <v/>
      </c>
      <c r="J1153" s="42">
        <f>IF($H1153="","",MAX(0,$H1153-N($G1153)))</f>
        <v/>
      </c>
    </row>
    <row r="1154" ht="19.5" customHeight="1" s="72">
      <c r="A1154" s="38" t="inlineStr">
        <is>
          <t>JuvenilF-32-P16-SBA</t>
        </is>
      </c>
      <c r="B1154" s="38" t="inlineStr">
        <is>
          <t>Fase 32</t>
        </is>
      </c>
      <c r="C1154" s="38" t="inlineStr">
        <is>
          <t>São Bento da Abadá</t>
        </is>
      </c>
      <c r="D1154" s="39" t="inlineStr">
        <is>
          <t>A_Juvenil_F_32_P16</t>
        </is>
      </c>
      <c r="E1154" s="40" t="n"/>
      <c r="F1154" s="39" t="inlineStr">
        <is>
          <t>B_Juvenil_F_32_P16</t>
        </is>
      </c>
      <c r="G1154" s="40" t="n"/>
      <c r="H1154" s="41" t="n"/>
      <c r="I1154" s="42">
        <f>IF($H1154="","",MAX(0,$H1154-N($E1154)))</f>
        <v/>
      </c>
      <c r="J1154" s="42">
        <f>IF($H1154="","",MAX(0,$H1154-N($G1154)))</f>
        <v/>
      </c>
    </row>
    <row r="1155" ht="19.5" customHeight="1" s="72">
      <c r="A1155" s="38" t="inlineStr">
        <is>
          <t>JuvenilF-32-P16-BEN</t>
        </is>
      </c>
      <c r="B1155" s="38" t="inlineStr">
        <is>
          <t>Fase 32</t>
        </is>
      </c>
      <c r="C1155" s="38" t="inlineStr">
        <is>
          <t>Benguela</t>
        </is>
      </c>
      <c r="D1155" s="39" t="inlineStr">
        <is>
          <t>A_Juvenil_F_32_P16</t>
        </is>
      </c>
      <c r="E1155" s="40" t="n"/>
      <c r="F1155" s="39" t="inlineStr">
        <is>
          <t>B_Juvenil_F_32_P16</t>
        </is>
      </c>
      <c r="G1155" s="40" t="n"/>
      <c r="H1155" s="41" t="n"/>
      <c r="I1155" s="42">
        <f>IF($H1155="","",MAX(0,$H1155-N($E1155)))</f>
        <v/>
      </c>
      <c r="J1155" s="42">
        <f>IF($H1155="","",MAX(0,$H1155-N($G1155)))</f>
        <v/>
      </c>
    </row>
    <row r="1156" ht="19.5" customHeight="1" s="72">
      <c r="A1156" s="38" t="inlineStr">
        <is>
          <t>JuvenilF-OCT-P01-SBA</t>
        </is>
      </c>
      <c r="B1156" s="38" t="inlineStr">
        <is>
          <t>Octavas</t>
        </is>
      </c>
      <c r="C1156" s="38" t="inlineStr">
        <is>
          <t>São Bento da Abadá</t>
        </is>
      </c>
      <c r="D1156" s="39">
        <f>IFERROR(CLASIF_Juvenil_F!$F$5,"")</f>
        <v/>
      </c>
      <c r="E1156" s="40" t="n"/>
      <c r="F1156" s="39">
        <f>IFERROR(CLASIF_Juvenil_F!$F$20,"")</f>
        <v/>
      </c>
      <c r="G1156" s="40" t="n"/>
      <c r="H1156" s="41" t="n"/>
      <c r="I1156" s="42">
        <f>IF($H1156="","",MAX(0,$H1156-N($E1156)))</f>
        <v/>
      </c>
      <c r="J1156" s="42">
        <f>IF($H1156="","",MAX(0,$H1156-N($G1156)))</f>
        <v/>
      </c>
    </row>
    <row r="1157" ht="19.5" customHeight="1" s="72">
      <c r="A1157" s="38" t="inlineStr">
        <is>
          <t>JuvenilF-OCT-P01-BEN</t>
        </is>
      </c>
      <c r="B1157" s="38" t="inlineStr">
        <is>
          <t>Octavas</t>
        </is>
      </c>
      <c r="C1157" s="38" t="inlineStr">
        <is>
          <t>Benguela</t>
        </is>
      </c>
      <c r="D1157" s="39">
        <f>IFERROR(CLASIF_Juvenil_F!$F$5,"")</f>
        <v/>
      </c>
      <c r="E1157" s="40" t="n"/>
      <c r="F1157" s="39">
        <f>IFERROR(CLASIF_Juvenil_F!$F$20,"")</f>
        <v/>
      </c>
      <c r="G1157" s="40" t="n"/>
      <c r="H1157" s="41" t="n"/>
      <c r="I1157" s="42">
        <f>IF($H1157="","",MAX(0,$H1157-N($E1157)))</f>
        <v/>
      </c>
      <c r="J1157" s="42">
        <f>IF($H1157="","",MAX(0,$H1157-N($G1157)))</f>
        <v/>
      </c>
    </row>
    <row r="1158" ht="19.5" customHeight="1" s="72">
      <c r="A1158" s="38" t="inlineStr">
        <is>
          <t>JuvenilF-OCT-P02-SBA</t>
        </is>
      </c>
      <c r="B1158" s="38" t="inlineStr">
        <is>
          <t>Octavas</t>
        </is>
      </c>
      <c r="C1158" s="38" t="inlineStr">
        <is>
          <t>São Bento da Abadá</t>
        </is>
      </c>
      <c r="D1158" s="39">
        <f>IFERROR(CLASIF_Juvenil_F!$F$6,"")</f>
        <v/>
      </c>
      <c r="E1158" s="40" t="n"/>
      <c r="F1158" s="39">
        <f>IFERROR(CLASIF_Juvenil_F!$F$19,"")</f>
        <v/>
      </c>
      <c r="G1158" s="40" t="n"/>
      <c r="H1158" s="41" t="n"/>
      <c r="I1158" s="42">
        <f>IF($H1158="","",MAX(0,$H1158-N($E1158)))</f>
        <v/>
      </c>
      <c r="J1158" s="42">
        <f>IF($H1158="","",MAX(0,$H1158-N($G1158)))</f>
        <v/>
      </c>
    </row>
    <row r="1159" ht="19.5" customHeight="1" s="72">
      <c r="A1159" s="38" t="inlineStr">
        <is>
          <t>JuvenilF-OCT-P02-BEN</t>
        </is>
      </c>
      <c r="B1159" s="38" t="inlineStr">
        <is>
          <t>Octavas</t>
        </is>
      </c>
      <c r="C1159" s="38" t="inlineStr">
        <is>
          <t>Benguela</t>
        </is>
      </c>
      <c r="D1159" s="39">
        <f>IFERROR(CLASIF_Juvenil_F!$F$6,"")</f>
        <v/>
      </c>
      <c r="E1159" s="40" t="n"/>
      <c r="F1159" s="39">
        <f>IFERROR(CLASIF_Juvenil_F!$F$19,"")</f>
        <v/>
      </c>
      <c r="G1159" s="40" t="n"/>
      <c r="H1159" s="41" t="n"/>
      <c r="I1159" s="42">
        <f>IF($H1159="","",MAX(0,$H1159-N($E1159)))</f>
        <v/>
      </c>
      <c r="J1159" s="42">
        <f>IF($H1159="","",MAX(0,$H1159-N($G1159)))</f>
        <v/>
      </c>
    </row>
    <row r="1160" ht="19.5" customHeight="1" s="72">
      <c r="A1160" s="38" t="inlineStr">
        <is>
          <t>JuvenilF-OCT-P03-SBA</t>
        </is>
      </c>
      <c r="B1160" s="38" t="inlineStr">
        <is>
          <t>Octavas</t>
        </is>
      </c>
      <c r="C1160" s="38" t="inlineStr">
        <is>
          <t>São Bento da Abadá</t>
        </is>
      </c>
      <c r="D1160" s="39">
        <f>IFERROR(CLASIF_Juvenil_F!$F$7,"")</f>
        <v/>
      </c>
      <c r="E1160" s="40" t="n"/>
      <c r="F1160" s="39">
        <f>IFERROR(CLASIF_Juvenil_F!$F$18,"")</f>
        <v/>
      </c>
      <c r="G1160" s="40" t="n"/>
      <c r="H1160" s="41" t="n"/>
      <c r="I1160" s="42">
        <f>IF($H1160="","",MAX(0,$H1160-N($E1160)))</f>
        <v/>
      </c>
      <c r="J1160" s="42">
        <f>IF($H1160="","",MAX(0,$H1160-N($G1160)))</f>
        <v/>
      </c>
    </row>
    <row r="1161" ht="19.5" customHeight="1" s="72">
      <c r="A1161" s="38" t="inlineStr">
        <is>
          <t>JuvenilF-OCT-P03-BEN</t>
        </is>
      </c>
      <c r="B1161" s="38" t="inlineStr">
        <is>
          <t>Octavas</t>
        </is>
      </c>
      <c r="C1161" s="38" t="inlineStr">
        <is>
          <t>Benguela</t>
        </is>
      </c>
      <c r="D1161" s="39">
        <f>IFERROR(CLASIF_Juvenil_F!$F$7,"")</f>
        <v/>
      </c>
      <c r="E1161" s="40" t="n"/>
      <c r="F1161" s="39">
        <f>IFERROR(CLASIF_Juvenil_F!$F$18,"")</f>
        <v/>
      </c>
      <c r="G1161" s="40" t="n"/>
      <c r="H1161" s="41" t="n"/>
      <c r="I1161" s="42">
        <f>IF($H1161="","",MAX(0,$H1161-N($E1161)))</f>
        <v/>
      </c>
      <c r="J1161" s="42">
        <f>IF($H1161="","",MAX(0,$H1161-N($G1161)))</f>
        <v/>
      </c>
    </row>
    <row r="1162" ht="19.5" customHeight="1" s="72">
      <c r="A1162" s="38" t="inlineStr">
        <is>
          <t>JuvenilF-OCT-P04-SBA</t>
        </is>
      </c>
      <c r="B1162" s="38" t="inlineStr">
        <is>
          <t>Octavas</t>
        </is>
      </c>
      <c r="C1162" s="38" t="inlineStr">
        <is>
          <t>São Bento da Abadá</t>
        </is>
      </c>
      <c r="D1162" s="39">
        <f>IFERROR(CLASIF_Juvenil_F!$F$8,"")</f>
        <v/>
      </c>
      <c r="E1162" s="40" t="n"/>
      <c r="F1162" s="39">
        <f>IFERROR(CLASIF_Juvenil_F!$F$17,"")</f>
        <v/>
      </c>
      <c r="G1162" s="40" t="n"/>
      <c r="H1162" s="41" t="n"/>
      <c r="I1162" s="42">
        <f>IF($H1162="","",MAX(0,$H1162-N($E1162)))</f>
        <v/>
      </c>
      <c r="J1162" s="42">
        <f>IF($H1162="","",MAX(0,$H1162-N($G1162)))</f>
        <v/>
      </c>
    </row>
    <row r="1163" ht="19.5" customHeight="1" s="72">
      <c r="A1163" s="38" t="inlineStr">
        <is>
          <t>JuvenilF-OCT-P04-BEN</t>
        </is>
      </c>
      <c r="B1163" s="38" t="inlineStr">
        <is>
          <t>Octavas</t>
        </is>
      </c>
      <c r="C1163" s="38" t="inlineStr">
        <is>
          <t>Benguela</t>
        </is>
      </c>
      <c r="D1163" s="39">
        <f>IFERROR(CLASIF_Juvenil_F!$F$8,"")</f>
        <v/>
      </c>
      <c r="E1163" s="40" t="n"/>
      <c r="F1163" s="39">
        <f>IFERROR(CLASIF_Juvenil_F!$F$17,"")</f>
        <v/>
      </c>
      <c r="G1163" s="40" t="n"/>
      <c r="H1163" s="41" t="n"/>
      <c r="I1163" s="42">
        <f>IF($H1163="","",MAX(0,$H1163-N($E1163)))</f>
        <v/>
      </c>
      <c r="J1163" s="42">
        <f>IF($H1163="","",MAX(0,$H1163-N($G1163)))</f>
        <v/>
      </c>
    </row>
    <row r="1164" ht="19.5" customHeight="1" s="72">
      <c r="A1164" s="38" t="inlineStr">
        <is>
          <t>JuvenilF-OCT-P05-SBA</t>
        </is>
      </c>
      <c r="B1164" s="38" t="inlineStr">
        <is>
          <t>Octavas</t>
        </is>
      </c>
      <c r="C1164" s="38" t="inlineStr">
        <is>
          <t>São Bento da Abadá</t>
        </is>
      </c>
      <c r="D1164" s="39">
        <f>IFERROR(CLASIF_Juvenil_F!$F$9,"")</f>
        <v/>
      </c>
      <c r="E1164" s="40" t="n"/>
      <c r="F1164" s="39">
        <f>IFERROR(CLASIF_Juvenil_F!$F$16,"")</f>
        <v/>
      </c>
      <c r="G1164" s="40" t="n"/>
      <c r="H1164" s="41" t="n"/>
      <c r="I1164" s="42">
        <f>IF($H1164="","",MAX(0,$H1164-N($E1164)))</f>
        <v/>
      </c>
      <c r="J1164" s="42">
        <f>IF($H1164="","",MAX(0,$H1164-N($G1164)))</f>
        <v/>
      </c>
    </row>
    <row r="1165" ht="19.5" customHeight="1" s="72">
      <c r="A1165" s="38" t="inlineStr">
        <is>
          <t>JuvenilF-OCT-P05-BEN</t>
        </is>
      </c>
      <c r="B1165" s="38" t="inlineStr">
        <is>
          <t>Octavas</t>
        </is>
      </c>
      <c r="C1165" s="38" t="inlineStr">
        <is>
          <t>Benguela</t>
        </is>
      </c>
      <c r="D1165" s="39">
        <f>IFERROR(CLASIF_Juvenil_F!$F$9,"")</f>
        <v/>
      </c>
      <c r="E1165" s="40" t="n"/>
      <c r="F1165" s="39">
        <f>IFERROR(CLASIF_Juvenil_F!$F$16,"")</f>
        <v/>
      </c>
      <c r="G1165" s="40" t="n"/>
      <c r="H1165" s="41" t="n"/>
      <c r="I1165" s="42">
        <f>IF($H1165="","",MAX(0,$H1165-N($E1165)))</f>
        <v/>
      </c>
      <c r="J1165" s="42">
        <f>IF($H1165="","",MAX(0,$H1165-N($G1165)))</f>
        <v/>
      </c>
    </row>
    <row r="1166" ht="19.5" customHeight="1" s="72">
      <c r="A1166" s="38" t="inlineStr">
        <is>
          <t>JuvenilF-OCT-P06-SBA</t>
        </is>
      </c>
      <c r="B1166" s="38" t="inlineStr">
        <is>
          <t>Octavas</t>
        </is>
      </c>
      <c r="C1166" s="38" t="inlineStr">
        <is>
          <t>São Bento da Abadá</t>
        </is>
      </c>
      <c r="D1166" s="39">
        <f>IFERROR(CLASIF_Juvenil_F!$F$10,"")</f>
        <v/>
      </c>
      <c r="E1166" s="40" t="n"/>
      <c r="F1166" s="39">
        <f>IFERROR(CLASIF_Juvenil_F!$F$15,"")</f>
        <v/>
      </c>
      <c r="G1166" s="40" t="n"/>
      <c r="H1166" s="41" t="n"/>
      <c r="I1166" s="42">
        <f>IF($H1166="","",MAX(0,$H1166-N($E1166)))</f>
        <v/>
      </c>
      <c r="J1166" s="42">
        <f>IF($H1166="","",MAX(0,$H1166-N($G1166)))</f>
        <v/>
      </c>
    </row>
    <row r="1167" ht="19.5" customHeight="1" s="72">
      <c r="A1167" s="38" t="inlineStr">
        <is>
          <t>JuvenilF-OCT-P06-BEN</t>
        </is>
      </c>
      <c r="B1167" s="38" t="inlineStr">
        <is>
          <t>Octavas</t>
        </is>
      </c>
      <c r="C1167" s="38" t="inlineStr">
        <is>
          <t>Benguela</t>
        </is>
      </c>
      <c r="D1167" s="39">
        <f>IFERROR(CLASIF_Juvenil_F!$F$10,"")</f>
        <v/>
      </c>
      <c r="E1167" s="40" t="n"/>
      <c r="F1167" s="39">
        <f>IFERROR(CLASIF_Juvenil_F!$F$15,"")</f>
        <v/>
      </c>
      <c r="G1167" s="40" t="n"/>
      <c r="H1167" s="41" t="n"/>
      <c r="I1167" s="42">
        <f>IF($H1167="","",MAX(0,$H1167-N($E1167)))</f>
        <v/>
      </c>
      <c r="J1167" s="42">
        <f>IF($H1167="","",MAX(0,$H1167-N($G1167)))</f>
        <v/>
      </c>
    </row>
    <row r="1168" ht="19.5" customHeight="1" s="72">
      <c r="A1168" s="38" t="inlineStr">
        <is>
          <t>JuvenilF-OCT-P07-SBA</t>
        </is>
      </c>
      <c r="B1168" s="38" t="inlineStr">
        <is>
          <t>Octavas</t>
        </is>
      </c>
      <c r="C1168" s="38" t="inlineStr">
        <is>
          <t>São Bento da Abadá</t>
        </is>
      </c>
      <c r="D1168" s="39">
        <f>IFERROR(CLASIF_Juvenil_F!$F$11,"")</f>
        <v/>
      </c>
      <c r="E1168" s="40" t="n"/>
      <c r="F1168" s="39">
        <f>IFERROR(CLASIF_Juvenil_F!$F$14,"")</f>
        <v/>
      </c>
      <c r="G1168" s="40" t="n"/>
      <c r="H1168" s="41" t="n"/>
      <c r="I1168" s="42">
        <f>IF($H1168="","",MAX(0,$H1168-N($E1168)))</f>
        <v/>
      </c>
      <c r="J1168" s="42">
        <f>IF($H1168="","",MAX(0,$H1168-N($G1168)))</f>
        <v/>
      </c>
    </row>
    <row r="1169" ht="19.5" customHeight="1" s="72">
      <c r="A1169" s="38" t="inlineStr">
        <is>
          <t>JuvenilF-OCT-P07-BEN</t>
        </is>
      </c>
      <c r="B1169" s="38" t="inlineStr">
        <is>
          <t>Octavas</t>
        </is>
      </c>
      <c r="C1169" s="38" t="inlineStr">
        <is>
          <t>Benguela</t>
        </is>
      </c>
      <c r="D1169" s="39">
        <f>IFERROR(CLASIF_Juvenil_F!$F$11,"")</f>
        <v/>
      </c>
      <c r="E1169" s="40" t="n"/>
      <c r="F1169" s="39">
        <f>IFERROR(CLASIF_Juvenil_F!$F$14,"")</f>
        <v/>
      </c>
      <c r="G1169" s="40" t="n"/>
      <c r="H1169" s="41" t="n"/>
      <c r="I1169" s="42">
        <f>IF($H1169="","",MAX(0,$H1169-N($E1169)))</f>
        <v/>
      </c>
      <c r="J1169" s="42">
        <f>IF($H1169="","",MAX(0,$H1169-N($G1169)))</f>
        <v/>
      </c>
    </row>
    <row r="1170" ht="19.5" customHeight="1" s="72">
      <c r="A1170" s="38" t="inlineStr">
        <is>
          <t>JuvenilF-OCT-P08-SBA</t>
        </is>
      </c>
      <c r="B1170" s="38" t="inlineStr">
        <is>
          <t>Octavas</t>
        </is>
      </c>
      <c r="C1170" s="38" t="inlineStr">
        <is>
          <t>São Bento da Abadá</t>
        </is>
      </c>
      <c r="D1170" s="39">
        <f>IFERROR(CLASIF_Juvenil_F!$F$12,"")</f>
        <v/>
      </c>
      <c r="E1170" s="40" t="n"/>
      <c r="F1170" s="39">
        <f>IFERROR(CLASIF_Juvenil_F!$F$13,"")</f>
        <v/>
      </c>
      <c r="G1170" s="40" t="n"/>
      <c r="H1170" s="41" t="n"/>
      <c r="I1170" s="42">
        <f>IF($H1170="","",MAX(0,$H1170-N($E1170)))</f>
        <v/>
      </c>
      <c r="J1170" s="42">
        <f>IF($H1170="","",MAX(0,$H1170-N($G1170)))</f>
        <v/>
      </c>
    </row>
    <row r="1171" ht="19.5" customHeight="1" s="72">
      <c r="A1171" s="38" t="inlineStr">
        <is>
          <t>JuvenilF-OCT-P08-BEN</t>
        </is>
      </c>
      <c r="B1171" s="38" t="inlineStr">
        <is>
          <t>Octavas</t>
        </is>
      </c>
      <c r="C1171" s="38" t="inlineStr">
        <is>
          <t>Benguela</t>
        </is>
      </c>
      <c r="D1171" s="39">
        <f>IFERROR(CLASIF_Juvenil_F!$F$12,"")</f>
        <v/>
      </c>
      <c r="E1171" s="40" t="n"/>
      <c r="F1171" s="39">
        <f>IFERROR(CLASIF_Juvenil_F!$F$13,"")</f>
        <v/>
      </c>
      <c r="G1171" s="40" t="n"/>
      <c r="H1171" s="41" t="n"/>
      <c r="I1171" s="42">
        <f>IF($H1171="","",MAX(0,$H1171-N($E1171)))</f>
        <v/>
      </c>
      <c r="J1171" s="42">
        <f>IF($H1171="","",MAX(0,$H1171-N($G1171)))</f>
        <v/>
      </c>
    </row>
    <row r="1172" ht="19.5" customHeight="1" s="72">
      <c r="A1172" s="38" t="inlineStr">
        <is>
          <t>JuvenilF-SEM-P01-SBA</t>
        </is>
      </c>
      <c r="B1172" s="38" t="inlineStr">
        <is>
          <t>Semifinal</t>
        </is>
      </c>
      <c r="C1172" s="38" t="inlineStr">
        <is>
          <t>São Bento da Abadá</t>
        </is>
      </c>
      <c r="D1172" s="39">
        <f>IFERROR(CLASIF_Juvenil_F!$O$5,"")</f>
        <v/>
      </c>
      <c r="E1172" s="40" t="n"/>
      <c r="F1172" s="39">
        <f>IFERROR(CLASIF_Juvenil_F!$O$12,"")</f>
        <v/>
      </c>
      <c r="G1172" s="40" t="n"/>
      <c r="H1172" s="41" t="n"/>
      <c r="I1172" s="42">
        <f>IF($H1172="","",MAX(0,$H1172-N($E1172)))</f>
        <v/>
      </c>
      <c r="J1172" s="42">
        <f>IF($H1172="","",MAX(0,$H1172-N($G1172)))</f>
        <v/>
      </c>
    </row>
    <row r="1173" ht="19.5" customHeight="1" s="72">
      <c r="A1173" s="38" t="inlineStr">
        <is>
          <t>JuvenilF-SEM-P01-BEN</t>
        </is>
      </c>
      <c r="B1173" s="38" t="inlineStr">
        <is>
          <t>Semifinal</t>
        </is>
      </c>
      <c r="C1173" s="38" t="inlineStr">
        <is>
          <t>Benguela</t>
        </is>
      </c>
      <c r="D1173" s="39">
        <f>IFERROR(CLASIF_Juvenil_F!$O$5,"")</f>
        <v/>
      </c>
      <c r="E1173" s="40" t="n"/>
      <c r="F1173" s="39">
        <f>IFERROR(CLASIF_Juvenil_F!$O$12,"")</f>
        <v/>
      </c>
      <c r="G1173" s="40" t="n"/>
      <c r="H1173" s="41" t="n"/>
      <c r="I1173" s="42">
        <f>IF($H1173="","",MAX(0,$H1173-N($E1173)))</f>
        <v/>
      </c>
      <c r="J1173" s="42">
        <f>IF($H1173="","",MAX(0,$H1173-N($G1173)))</f>
        <v/>
      </c>
    </row>
    <row r="1174" ht="19.5" customHeight="1" s="72">
      <c r="A1174" s="38" t="inlineStr">
        <is>
          <t>JuvenilF-SEM-P02-SBA</t>
        </is>
      </c>
      <c r="B1174" s="38" t="inlineStr">
        <is>
          <t>Semifinal</t>
        </is>
      </c>
      <c r="C1174" s="38" t="inlineStr">
        <is>
          <t>São Bento da Abadá</t>
        </is>
      </c>
      <c r="D1174" s="39">
        <f>IFERROR(CLASIF_Juvenil_F!$O$6,"")</f>
        <v/>
      </c>
      <c r="E1174" s="40" t="n"/>
      <c r="F1174" s="39">
        <f>IFERROR(CLASIF_Juvenil_F!$O$11,"")</f>
        <v/>
      </c>
      <c r="G1174" s="40" t="n"/>
      <c r="H1174" s="41" t="n"/>
      <c r="I1174" s="42">
        <f>IF($H1174="","",MAX(0,$H1174-N($E1174)))</f>
        <v/>
      </c>
      <c r="J1174" s="42">
        <f>IF($H1174="","",MAX(0,$H1174-N($G1174)))</f>
        <v/>
      </c>
    </row>
    <row r="1175" ht="19.5" customHeight="1" s="72">
      <c r="A1175" s="38" t="inlineStr">
        <is>
          <t>JuvenilF-SEM-P02-BEN</t>
        </is>
      </c>
      <c r="B1175" s="38" t="inlineStr">
        <is>
          <t>Semifinal</t>
        </is>
      </c>
      <c r="C1175" s="38" t="inlineStr">
        <is>
          <t>Benguela</t>
        </is>
      </c>
      <c r="D1175" s="39">
        <f>IFERROR(CLASIF_Juvenil_F!$O$6,"")</f>
        <v/>
      </c>
      <c r="E1175" s="40" t="n"/>
      <c r="F1175" s="39">
        <f>IFERROR(CLASIF_Juvenil_F!$O$11,"")</f>
        <v/>
      </c>
      <c r="G1175" s="40" t="n"/>
      <c r="H1175" s="41" t="n"/>
      <c r="I1175" s="42">
        <f>IF($H1175="","",MAX(0,$H1175-N($E1175)))</f>
        <v/>
      </c>
      <c r="J1175" s="42">
        <f>IF($H1175="","",MAX(0,$H1175-N($G1175)))</f>
        <v/>
      </c>
    </row>
    <row r="1176" ht="19.5" customHeight="1" s="72">
      <c r="A1176" s="38" t="inlineStr">
        <is>
          <t>JuvenilF-SEM-P03-SBA</t>
        </is>
      </c>
      <c r="B1176" s="38" t="inlineStr">
        <is>
          <t>Semifinal</t>
        </is>
      </c>
      <c r="C1176" s="38" t="inlineStr">
        <is>
          <t>São Bento da Abadá</t>
        </is>
      </c>
      <c r="D1176" s="39">
        <f>IFERROR(CLASIF_Juvenil_F!$O$7,"")</f>
        <v/>
      </c>
      <c r="E1176" s="40" t="n"/>
      <c r="F1176" s="39">
        <f>IFERROR(CLASIF_Juvenil_F!$O$10,"")</f>
        <v/>
      </c>
      <c r="G1176" s="40" t="n"/>
      <c r="H1176" s="41" t="n"/>
      <c r="I1176" s="42">
        <f>IF($H1176="","",MAX(0,$H1176-N($E1176)))</f>
        <v/>
      </c>
      <c r="J1176" s="42">
        <f>IF($H1176="","",MAX(0,$H1176-N($G1176)))</f>
        <v/>
      </c>
    </row>
    <row r="1177" ht="19.5" customHeight="1" s="72">
      <c r="A1177" s="38" t="inlineStr">
        <is>
          <t>JuvenilF-SEM-P03-BEN</t>
        </is>
      </c>
      <c r="B1177" s="38" t="inlineStr">
        <is>
          <t>Semifinal</t>
        </is>
      </c>
      <c r="C1177" s="38" t="inlineStr">
        <is>
          <t>Benguela</t>
        </is>
      </c>
      <c r="D1177" s="39">
        <f>IFERROR(CLASIF_Juvenil_F!$O$7,"")</f>
        <v/>
      </c>
      <c r="E1177" s="40" t="n"/>
      <c r="F1177" s="39">
        <f>IFERROR(CLASIF_Juvenil_F!$O$10,"")</f>
        <v/>
      </c>
      <c r="G1177" s="40" t="n"/>
      <c r="H1177" s="41" t="n"/>
      <c r="I1177" s="42">
        <f>IF($H1177="","",MAX(0,$H1177-N($E1177)))</f>
        <v/>
      </c>
      <c r="J1177" s="42">
        <f>IF($H1177="","",MAX(0,$H1177-N($G1177)))</f>
        <v/>
      </c>
    </row>
    <row r="1178" ht="19.5" customHeight="1" s="72">
      <c r="A1178" s="38" t="inlineStr">
        <is>
          <t>JuvenilF-SEM-P04-SBA</t>
        </is>
      </c>
      <c r="B1178" s="38" t="inlineStr">
        <is>
          <t>Semifinal</t>
        </is>
      </c>
      <c r="C1178" s="38" t="inlineStr">
        <is>
          <t>São Bento da Abadá</t>
        </is>
      </c>
      <c r="D1178" s="39">
        <f>IFERROR(CLASIF_Juvenil_F!$O$8,"")</f>
        <v/>
      </c>
      <c r="E1178" s="40" t="n"/>
      <c r="F1178" s="39">
        <f>IFERROR(CLASIF_Juvenil_F!$O$9,"")</f>
        <v/>
      </c>
      <c r="G1178" s="40" t="n"/>
      <c r="H1178" s="41" t="n"/>
      <c r="I1178" s="42">
        <f>IF($H1178="","",MAX(0,$H1178-N($E1178)))</f>
        <v/>
      </c>
      <c r="J1178" s="42">
        <f>IF($H1178="","",MAX(0,$H1178-N($G1178)))</f>
        <v/>
      </c>
    </row>
    <row r="1179" ht="19.5" customHeight="1" s="72">
      <c r="A1179" s="38" t="inlineStr">
        <is>
          <t>JuvenilF-SEM-P04-BEN</t>
        </is>
      </c>
      <c r="B1179" s="38" t="inlineStr">
        <is>
          <t>Semifinal</t>
        </is>
      </c>
      <c r="C1179" s="38" t="inlineStr">
        <is>
          <t>Benguela</t>
        </is>
      </c>
      <c r="D1179" s="39">
        <f>IFERROR(CLASIF_Juvenil_F!$O$8,"")</f>
        <v/>
      </c>
      <c r="E1179" s="40" t="n"/>
      <c r="F1179" s="39">
        <f>IFERROR(CLASIF_Juvenil_F!$O$9,"")</f>
        <v/>
      </c>
      <c r="G1179" s="40" t="n"/>
      <c r="H1179" s="41" t="n"/>
      <c r="I1179" s="42">
        <f>IF($H1179="","",MAX(0,$H1179-N($E1179)))</f>
        <v/>
      </c>
      <c r="J1179" s="42">
        <f>IF($H1179="","",MAX(0,$H1179-N($G1179)))</f>
        <v/>
      </c>
    </row>
    <row r="1180" ht="19.5" customHeight="1" s="72">
      <c r="A1180" s="38" t="inlineStr">
        <is>
          <t>JuvenilF-FIN-P01-SBA</t>
        </is>
      </c>
      <c r="B1180" s="38" t="inlineStr">
        <is>
          <t>Final</t>
        </is>
      </c>
      <c r="C1180" s="38" t="inlineStr">
        <is>
          <t>São Bento da Abadá</t>
        </is>
      </c>
      <c r="D1180" s="39">
        <f>IFERROR(CLASIF_Juvenil_F!$X$5,"")</f>
        <v/>
      </c>
      <c r="E1180" s="40" t="n"/>
      <c r="F1180" s="39">
        <f>IFERROR(CLASIF_Juvenil_F!$X$8,"")</f>
        <v/>
      </c>
      <c r="G1180" s="40" t="n"/>
      <c r="H1180" s="41" t="n"/>
      <c r="I1180" s="42">
        <f>IF($H1180="","",MAX(0,$H1180-N($E1180)))</f>
        <v/>
      </c>
      <c r="J1180" s="42">
        <f>IF($H1180="","",MAX(0,$H1180-N($G1180)))</f>
        <v/>
      </c>
    </row>
    <row r="1181" ht="19.5" customHeight="1" s="72">
      <c r="A1181" s="38" t="inlineStr">
        <is>
          <t>JuvenilF-FIN-P01-BEN</t>
        </is>
      </c>
      <c r="B1181" s="38" t="inlineStr">
        <is>
          <t>Final</t>
        </is>
      </c>
      <c r="C1181" s="38" t="inlineStr">
        <is>
          <t>Benguela</t>
        </is>
      </c>
      <c r="D1181" s="39">
        <f>IFERROR(CLASIF_Juvenil_F!$X$5,"")</f>
        <v/>
      </c>
      <c r="E1181" s="40" t="n"/>
      <c r="F1181" s="39">
        <f>IFERROR(CLASIF_Juvenil_F!$X$8,"")</f>
        <v/>
      </c>
      <c r="G1181" s="40" t="n"/>
      <c r="H1181" s="41" t="n"/>
      <c r="I1181" s="42">
        <f>IF($H1181="","",MAX(0,$H1181-N($E1181)))</f>
        <v/>
      </c>
      <c r="J1181" s="42">
        <f>IF($H1181="","",MAX(0,$H1181-N($G1181)))</f>
        <v/>
      </c>
    </row>
    <row r="1182" ht="19.5" customHeight="1" s="72">
      <c r="A1182" s="38" t="inlineStr">
        <is>
          <t>JuvenilF-FIN-P02-SBA</t>
        </is>
      </c>
      <c r="B1182" s="38" t="inlineStr">
        <is>
          <t>Final</t>
        </is>
      </c>
      <c r="C1182" s="38" t="inlineStr">
        <is>
          <t>São Bento da Abadá</t>
        </is>
      </c>
      <c r="D1182" s="39">
        <f>IFERROR(CLASIF_Juvenil_F!$X$6,"")</f>
        <v/>
      </c>
      <c r="E1182" s="40" t="n"/>
      <c r="F1182" s="39">
        <f>IFERROR(CLASIF_Juvenil_F!$X$7,"")</f>
        <v/>
      </c>
      <c r="G1182" s="40" t="n"/>
      <c r="H1182" s="41" t="n"/>
      <c r="I1182" s="42">
        <f>IF($H1182="","",MAX(0,$H1182-N($E1182)))</f>
        <v/>
      </c>
      <c r="J1182" s="42">
        <f>IF($H1182="","",MAX(0,$H1182-N($G1182)))</f>
        <v/>
      </c>
    </row>
    <row r="1183" ht="19.5" customHeight="1" s="72">
      <c r="A1183" s="38" t="inlineStr">
        <is>
          <t>JuvenilF-FIN-P02-BEN</t>
        </is>
      </c>
      <c r="B1183" s="38" t="inlineStr">
        <is>
          <t>Final</t>
        </is>
      </c>
      <c r="C1183" s="38" t="inlineStr">
        <is>
          <t>Benguela</t>
        </is>
      </c>
      <c r="D1183" s="39">
        <f>IFERROR(CLASIF_Juvenil_F!$X$6,"")</f>
        <v/>
      </c>
      <c r="E1183" s="40" t="n"/>
      <c r="F1183" s="39">
        <f>IFERROR(CLASIF_Juvenil_F!$X$7,"")</f>
        <v/>
      </c>
      <c r="G1183" s="40" t="n"/>
      <c r="H1183" s="41" t="n"/>
      <c r="I1183" s="42">
        <f>IF($H1183="","",MAX(0,$H1183-N($E1183)))</f>
        <v/>
      </c>
      <c r="J1183" s="42">
        <f>IF($H1183="","",MAX(0,$H1183-N($G1183)))</f>
        <v/>
      </c>
    </row>
    <row r="1184" ht="19.5" customHeight="1" s="72">
      <c r="A1184" s="43" t="n"/>
      <c r="B1184" s="43" t="n"/>
      <c r="C1184" s="43" t="n"/>
      <c r="D1184" s="43" t="n"/>
      <c r="E1184" s="43" t="n"/>
      <c r="F1184" s="43" t="n"/>
      <c r="G1184" s="43" t="n"/>
      <c r="H1184" s="44" t="n"/>
      <c r="I1184" s="43">
        <f>IF($H1184="","",MAX(0,$H1184-N($E1184)))</f>
        <v/>
      </c>
      <c r="J1184" s="43">
        <f>IF($H1184="","",MAX(0,$H1184-N($G1184)))</f>
        <v/>
      </c>
    </row>
    <row r="1185" ht="19.5" customHeight="1" s="72">
      <c r="A1185" s="87" t="inlineStr">
        <is>
          <t>═══ CATEGORÍA General · Masculino · Todas · Toques: Benguela, São Bento da Abadá, Siriuna ═══</t>
        </is>
      </c>
    </row>
    <row r="1186" ht="19.5" customHeight="1" s="72">
      <c r="A1186" s="8" t="inlineStr">
        <is>
          <t>Jogo</t>
        </is>
      </c>
      <c r="B1186" s="8" t="inlineStr">
        <is>
          <t>Fase</t>
        </is>
      </c>
      <c r="C1186" s="8" t="inlineStr">
        <is>
          <t>Toque</t>
        </is>
      </c>
      <c r="D1186" s="8" t="inlineStr">
        <is>
          <t>Jugador A</t>
        </is>
      </c>
      <c r="E1186" s="8" t="inlineStr">
        <is>
          <t>Quita A</t>
        </is>
      </c>
      <c r="F1186" s="8" t="inlineStr">
        <is>
          <t>Jugador B</t>
        </is>
      </c>
      <c r="G1186" s="8" t="inlineStr">
        <is>
          <t>Quita B</t>
        </is>
      </c>
      <c r="H1186" s="8" t="inlineStr">
        <is>
          <t>NOTA (0-5)</t>
        </is>
      </c>
      <c r="I1186" s="8">
        <f>IF($H1186="","",MAX(0,$H1186-N($E1186)))</f>
        <v/>
      </c>
      <c r="J1186" s="8">
        <f>IF($H1186="","",MAX(0,$H1186-N($G1186)))</f>
        <v/>
      </c>
    </row>
    <row r="1187" ht="19.5" customHeight="1" s="72">
      <c r="A1187" s="38" t="inlineStr">
        <is>
          <t>GeneralM-32-P01-BEN</t>
        </is>
      </c>
      <c r="B1187" s="38" t="inlineStr">
        <is>
          <t>Fase 32</t>
        </is>
      </c>
      <c r="C1187" s="38" t="inlineStr">
        <is>
          <t>Benguela</t>
        </is>
      </c>
      <c r="D1187" s="39" t="inlineStr">
        <is>
          <t>A_General_M_32_P1</t>
        </is>
      </c>
      <c r="E1187" s="40" t="n"/>
      <c r="F1187" s="39" t="inlineStr">
        <is>
          <t>B_General_M_32_P1</t>
        </is>
      </c>
      <c r="G1187" s="40" t="n"/>
      <c r="H1187" s="41" t="n"/>
      <c r="I1187" s="42">
        <f>IF($H1187="","",MAX(0,$H1187-N($E1187)))</f>
        <v/>
      </c>
      <c r="J1187" s="42">
        <f>IF($H1187="","",MAX(0,$H1187-N($G1187)))</f>
        <v/>
      </c>
    </row>
    <row r="1188" ht="19.5" customHeight="1" s="72">
      <c r="A1188" s="38" t="inlineStr">
        <is>
          <t>GeneralM-32-P01-SBA</t>
        </is>
      </c>
      <c r="B1188" s="38" t="inlineStr">
        <is>
          <t>Fase 32</t>
        </is>
      </c>
      <c r="C1188" s="38" t="inlineStr">
        <is>
          <t>São Bento da Abadá</t>
        </is>
      </c>
      <c r="D1188" s="39" t="inlineStr">
        <is>
          <t>A_General_M_32_P1</t>
        </is>
      </c>
      <c r="E1188" s="40" t="n"/>
      <c r="F1188" s="39" t="inlineStr">
        <is>
          <t>B_General_M_32_P1</t>
        </is>
      </c>
      <c r="G1188" s="40" t="n"/>
      <c r="H1188" s="41" t="n"/>
      <c r="I1188" s="42">
        <f>IF($H1188="","",MAX(0,$H1188-N($E1188)))</f>
        <v/>
      </c>
      <c r="J1188" s="42">
        <f>IF($H1188="","",MAX(0,$H1188-N($G1188)))</f>
        <v/>
      </c>
    </row>
    <row r="1189" ht="19.5" customHeight="1" s="72">
      <c r="A1189" s="38" t="inlineStr">
        <is>
          <t>GeneralM-32-P01-SIR</t>
        </is>
      </c>
      <c r="B1189" s="38" t="inlineStr">
        <is>
          <t>Fase 32</t>
        </is>
      </c>
      <c r="C1189" s="38" t="inlineStr">
        <is>
          <t>Siriuna</t>
        </is>
      </c>
      <c r="D1189" s="39" t="inlineStr">
        <is>
          <t>A_General_M_32_P1</t>
        </is>
      </c>
      <c r="E1189" s="40" t="n"/>
      <c r="F1189" s="39" t="inlineStr">
        <is>
          <t>B_General_M_32_P1</t>
        </is>
      </c>
      <c r="G1189" s="40" t="n"/>
      <c r="H1189" s="41" t="n"/>
      <c r="I1189" s="42">
        <f>IF($H1189="","",MAX(0,$H1189-N($E1189)))</f>
        <v/>
      </c>
      <c r="J1189" s="42">
        <f>IF($H1189="","",MAX(0,$H1189-N($G1189)))</f>
        <v/>
      </c>
    </row>
    <row r="1190" ht="19.5" customHeight="1" s="72">
      <c r="A1190" s="38" t="inlineStr">
        <is>
          <t>GeneralM-32-P02-BEN</t>
        </is>
      </c>
      <c r="B1190" s="38" t="inlineStr">
        <is>
          <t>Fase 32</t>
        </is>
      </c>
      <c r="C1190" s="38" t="inlineStr">
        <is>
          <t>Benguela</t>
        </is>
      </c>
      <c r="D1190" s="39" t="inlineStr">
        <is>
          <t>A_General_M_32_P2</t>
        </is>
      </c>
      <c r="E1190" s="40" t="n"/>
      <c r="F1190" s="39" t="inlineStr">
        <is>
          <t>B_General_M_32_P2</t>
        </is>
      </c>
      <c r="G1190" s="40" t="n"/>
      <c r="H1190" s="41" t="n"/>
      <c r="I1190" s="42">
        <f>IF($H1190="","",MAX(0,$H1190-N($E1190)))</f>
        <v/>
      </c>
      <c r="J1190" s="42">
        <f>IF($H1190="","",MAX(0,$H1190-N($G1190)))</f>
        <v/>
      </c>
    </row>
    <row r="1191" ht="19.5" customHeight="1" s="72">
      <c r="A1191" s="38" t="inlineStr">
        <is>
          <t>GeneralM-32-P02-SBA</t>
        </is>
      </c>
      <c r="B1191" s="38" t="inlineStr">
        <is>
          <t>Fase 32</t>
        </is>
      </c>
      <c r="C1191" s="38" t="inlineStr">
        <is>
          <t>São Bento da Abadá</t>
        </is>
      </c>
      <c r="D1191" s="39" t="inlineStr">
        <is>
          <t>A_General_M_32_P2</t>
        </is>
      </c>
      <c r="E1191" s="40" t="n"/>
      <c r="F1191" s="39" t="inlineStr">
        <is>
          <t>B_General_M_32_P2</t>
        </is>
      </c>
      <c r="G1191" s="40" t="n"/>
      <c r="H1191" s="41" t="n"/>
      <c r="I1191" s="42">
        <f>IF($H1191="","",MAX(0,$H1191-N($E1191)))</f>
        <v/>
      </c>
      <c r="J1191" s="42">
        <f>IF($H1191="","",MAX(0,$H1191-N($G1191)))</f>
        <v/>
      </c>
    </row>
    <row r="1192" ht="19.5" customHeight="1" s="72">
      <c r="A1192" s="38" t="inlineStr">
        <is>
          <t>GeneralM-32-P02-SIR</t>
        </is>
      </c>
      <c r="B1192" s="38" t="inlineStr">
        <is>
          <t>Fase 32</t>
        </is>
      </c>
      <c r="C1192" s="38" t="inlineStr">
        <is>
          <t>Siriuna</t>
        </is>
      </c>
      <c r="D1192" s="39" t="inlineStr">
        <is>
          <t>A_General_M_32_P2</t>
        </is>
      </c>
      <c r="E1192" s="40" t="n"/>
      <c r="F1192" s="39" t="inlineStr">
        <is>
          <t>B_General_M_32_P2</t>
        </is>
      </c>
      <c r="G1192" s="40" t="n"/>
      <c r="H1192" s="41" t="n"/>
      <c r="I1192" s="42">
        <f>IF($H1192="","",MAX(0,$H1192-N($E1192)))</f>
        <v/>
      </c>
      <c r="J1192" s="42">
        <f>IF($H1192="","",MAX(0,$H1192-N($G1192)))</f>
        <v/>
      </c>
    </row>
    <row r="1193" ht="19.5" customHeight="1" s="72">
      <c r="A1193" s="38" t="inlineStr">
        <is>
          <t>GeneralM-32-P03-BEN</t>
        </is>
      </c>
      <c r="B1193" s="38" t="inlineStr">
        <is>
          <t>Fase 32</t>
        </is>
      </c>
      <c r="C1193" s="38" t="inlineStr">
        <is>
          <t>Benguela</t>
        </is>
      </c>
      <c r="D1193" s="39" t="inlineStr">
        <is>
          <t>A_General_M_32_P3</t>
        </is>
      </c>
      <c r="E1193" s="40" t="n"/>
      <c r="F1193" s="39" t="inlineStr">
        <is>
          <t>B_General_M_32_P3</t>
        </is>
      </c>
      <c r="G1193" s="40" t="n"/>
      <c r="H1193" s="41" t="n"/>
      <c r="I1193" s="42">
        <f>IF($H1193="","",MAX(0,$H1193-N($E1193)))</f>
        <v/>
      </c>
      <c r="J1193" s="42">
        <f>IF($H1193="","",MAX(0,$H1193-N($G1193)))</f>
        <v/>
      </c>
    </row>
    <row r="1194" ht="19.5" customHeight="1" s="72">
      <c r="A1194" s="38" t="inlineStr">
        <is>
          <t>GeneralM-32-P03-SBA</t>
        </is>
      </c>
      <c r="B1194" s="38" t="inlineStr">
        <is>
          <t>Fase 32</t>
        </is>
      </c>
      <c r="C1194" s="38" t="inlineStr">
        <is>
          <t>São Bento da Abadá</t>
        </is>
      </c>
      <c r="D1194" s="39" t="inlineStr">
        <is>
          <t>A_General_M_32_P3</t>
        </is>
      </c>
      <c r="E1194" s="40" t="n"/>
      <c r="F1194" s="39" t="inlineStr">
        <is>
          <t>B_General_M_32_P3</t>
        </is>
      </c>
      <c r="G1194" s="40" t="n"/>
      <c r="H1194" s="41" t="n"/>
      <c r="I1194" s="42">
        <f>IF($H1194="","",MAX(0,$H1194-N($E1194)))</f>
        <v/>
      </c>
      <c r="J1194" s="42">
        <f>IF($H1194="","",MAX(0,$H1194-N($G1194)))</f>
        <v/>
      </c>
    </row>
    <row r="1195" ht="19.5" customHeight="1" s="72">
      <c r="A1195" s="38" t="inlineStr">
        <is>
          <t>GeneralM-32-P03-SIR</t>
        </is>
      </c>
      <c r="B1195" s="38" t="inlineStr">
        <is>
          <t>Fase 32</t>
        </is>
      </c>
      <c r="C1195" s="38" t="inlineStr">
        <is>
          <t>Siriuna</t>
        </is>
      </c>
      <c r="D1195" s="39" t="inlineStr">
        <is>
          <t>A_General_M_32_P3</t>
        </is>
      </c>
      <c r="E1195" s="40" t="n"/>
      <c r="F1195" s="39" t="inlineStr">
        <is>
          <t>B_General_M_32_P3</t>
        </is>
      </c>
      <c r="G1195" s="40" t="n"/>
      <c r="H1195" s="41" t="n"/>
      <c r="I1195" s="42">
        <f>IF($H1195="","",MAX(0,$H1195-N($E1195)))</f>
        <v/>
      </c>
      <c r="J1195" s="42">
        <f>IF($H1195="","",MAX(0,$H1195-N($G1195)))</f>
        <v/>
      </c>
    </row>
    <row r="1196" ht="19.5" customHeight="1" s="72">
      <c r="A1196" s="38" t="inlineStr">
        <is>
          <t>GeneralM-32-P04-BEN</t>
        </is>
      </c>
      <c r="B1196" s="38" t="inlineStr">
        <is>
          <t>Fase 32</t>
        </is>
      </c>
      <c r="C1196" s="38" t="inlineStr">
        <is>
          <t>Benguela</t>
        </is>
      </c>
      <c r="D1196" s="39" t="inlineStr">
        <is>
          <t>A_General_M_32_P4</t>
        </is>
      </c>
      <c r="E1196" s="40" t="n"/>
      <c r="F1196" s="39" t="inlineStr">
        <is>
          <t>B_General_M_32_P4</t>
        </is>
      </c>
      <c r="G1196" s="40" t="n"/>
      <c r="H1196" s="41" t="n"/>
      <c r="I1196" s="42">
        <f>IF($H1196="","",MAX(0,$H1196-N($E1196)))</f>
        <v/>
      </c>
      <c r="J1196" s="42">
        <f>IF($H1196="","",MAX(0,$H1196-N($G1196)))</f>
        <v/>
      </c>
    </row>
    <row r="1197" ht="19.5" customHeight="1" s="72">
      <c r="A1197" s="38" t="inlineStr">
        <is>
          <t>GeneralM-32-P04-SBA</t>
        </is>
      </c>
      <c r="B1197" s="38" t="inlineStr">
        <is>
          <t>Fase 32</t>
        </is>
      </c>
      <c r="C1197" s="38" t="inlineStr">
        <is>
          <t>São Bento da Abadá</t>
        </is>
      </c>
      <c r="D1197" s="39" t="inlineStr">
        <is>
          <t>A_General_M_32_P4</t>
        </is>
      </c>
      <c r="E1197" s="40" t="n"/>
      <c r="F1197" s="39" t="inlineStr">
        <is>
          <t>B_General_M_32_P4</t>
        </is>
      </c>
      <c r="G1197" s="40" t="n"/>
      <c r="H1197" s="41" t="n"/>
      <c r="I1197" s="42">
        <f>IF($H1197="","",MAX(0,$H1197-N($E1197)))</f>
        <v/>
      </c>
      <c r="J1197" s="42">
        <f>IF($H1197="","",MAX(0,$H1197-N($G1197)))</f>
        <v/>
      </c>
    </row>
    <row r="1198" ht="19.5" customHeight="1" s="72">
      <c r="A1198" s="38" t="inlineStr">
        <is>
          <t>GeneralM-32-P04-SIR</t>
        </is>
      </c>
      <c r="B1198" s="38" t="inlineStr">
        <is>
          <t>Fase 32</t>
        </is>
      </c>
      <c r="C1198" s="38" t="inlineStr">
        <is>
          <t>Siriuna</t>
        </is>
      </c>
      <c r="D1198" s="39" t="inlineStr">
        <is>
          <t>A_General_M_32_P4</t>
        </is>
      </c>
      <c r="E1198" s="40" t="n"/>
      <c r="F1198" s="39" t="inlineStr">
        <is>
          <t>B_General_M_32_P4</t>
        </is>
      </c>
      <c r="G1198" s="40" t="n"/>
      <c r="H1198" s="41" t="n"/>
      <c r="I1198" s="42">
        <f>IF($H1198="","",MAX(0,$H1198-N($E1198)))</f>
        <v/>
      </c>
      <c r="J1198" s="42">
        <f>IF($H1198="","",MAX(0,$H1198-N($G1198)))</f>
        <v/>
      </c>
    </row>
    <row r="1199" ht="19.5" customHeight="1" s="72">
      <c r="A1199" s="38" t="inlineStr">
        <is>
          <t>GeneralM-32-P05-BEN</t>
        </is>
      </c>
      <c r="B1199" s="38" t="inlineStr">
        <is>
          <t>Fase 32</t>
        </is>
      </c>
      <c r="C1199" s="38" t="inlineStr">
        <is>
          <t>Benguela</t>
        </is>
      </c>
      <c r="D1199" s="39" t="inlineStr">
        <is>
          <t>A_General_M_32_P5</t>
        </is>
      </c>
      <c r="E1199" s="40" t="n"/>
      <c r="F1199" s="39" t="inlineStr">
        <is>
          <t>B_General_M_32_P5</t>
        </is>
      </c>
      <c r="G1199" s="40" t="n"/>
      <c r="H1199" s="41" t="n"/>
      <c r="I1199" s="42">
        <f>IF($H1199="","",MAX(0,$H1199-N($E1199)))</f>
        <v/>
      </c>
      <c r="J1199" s="42">
        <f>IF($H1199="","",MAX(0,$H1199-N($G1199)))</f>
        <v/>
      </c>
    </row>
    <row r="1200" ht="19.5" customHeight="1" s="72">
      <c r="A1200" s="38" t="inlineStr">
        <is>
          <t>GeneralM-32-P05-SBA</t>
        </is>
      </c>
      <c r="B1200" s="38" t="inlineStr">
        <is>
          <t>Fase 32</t>
        </is>
      </c>
      <c r="C1200" s="38" t="inlineStr">
        <is>
          <t>São Bento da Abadá</t>
        </is>
      </c>
      <c r="D1200" s="39" t="inlineStr">
        <is>
          <t>A_General_M_32_P5</t>
        </is>
      </c>
      <c r="E1200" s="40" t="n"/>
      <c r="F1200" s="39" t="inlineStr">
        <is>
          <t>B_General_M_32_P5</t>
        </is>
      </c>
      <c r="G1200" s="40" t="n"/>
      <c r="H1200" s="41" t="n"/>
      <c r="I1200" s="42">
        <f>IF($H1200="","",MAX(0,$H1200-N($E1200)))</f>
        <v/>
      </c>
      <c r="J1200" s="42">
        <f>IF($H1200="","",MAX(0,$H1200-N($G1200)))</f>
        <v/>
      </c>
    </row>
    <row r="1201" ht="19.5" customHeight="1" s="72">
      <c r="A1201" s="38" t="inlineStr">
        <is>
          <t>GeneralM-32-P05-SIR</t>
        </is>
      </c>
      <c r="B1201" s="38" t="inlineStr">
        <is>
          <t>Fase 32</t>
        </is>
      </c>
      <c r="C1201" s="38" t="inlineStr">
        <is>
          <t>Siriuna</t>
        </is>
      </c>
      <c r="D1201" s="39" t="inlineStr">
        <is>
          <t>A_General_M_32_P5</t>
        </is>
      </c>
      <c r="E1201" s="40" t="n"/>
      <c r="F1201" s="39" t="inlineStr">
        <is>
          <t>B_General_M_32_P5</t>
        </is>
      </c>
      <c r="G1201" s="40" t="n"/>
      <c r="H1201" s="41" t="n"/>
      <c r="I1201" s="42">
        <f>IF($H1201="","",MAX(0,$H1201-N($E1201)))</f>
        <v/>
      </c>
      <c r="J1201" s="42">
        <f>IF($H1201="","",MAX(0,$H1201-N($G1201)))</f>
        <v/>
      </c>
    </row>
    <row r="1202" ht="19.5" customHeight="1" s="72">
      <c r="A1202" s="38" t="inlineStr">
        <is>
          <t>GeneralM-32-P06-BEN</t>
        </is>
      </c>
      <c r="B1202" s="38" t="inlineStr">
        <is>
          <t>Fase 32</t>
        </is>
      </c>
      <c r="C1202" s="38" t="inlineStr">
        <is>
          <t>Benguela</t>
        </is>
      </c>
      <c r="D1202" s="39" t="inlineStr">
        <is>
          <t>A_General_M_32_P6</t>
        </is>
      </c>
      <c r="E1202" s="40" t="n"/>
      <c r="F1202" s="39" t="inlineStr">
        <is>
          <t>B_General_M_32_P6</t>
        </is>
      </c>
      <c r="G1202" s="40" t="n"/>
      <c r="H1202" s="41" t="n"/>
      <c r="I1202" s="42">
        <f>IF($H1202="","",MAX(0,$H1202-N($E1202)))</f>
        <v/>
      </c>
      <c r="J1202" s="42">
        <f>IF($H1202="","",MAX(0,$H1202-N($G1202)))</f>
        <v/>
      </c>
    </row>
    <row r="1203" ht="19.5" customHeight="1" s="72">
      <c r="A1203" s="38" t="inlineStr">
        <is>
          <t>GeneralM-32-P06-SBA</t>
        </is>
      </c>
      <c r="B1203" s="38" t="inlineStr">
        <is>
          <t>Fase 32</t>
        </is>
      </c>
      <c r="C1203" s="38" t="inlineStr">
        <is>
          <t>São Bento da Abadá</t>
        </is>
      </c>
      <c r="D1203" s="39" t="inlineStr">
        <is>
          <t>A_General_M_32_P6</t>
        </is>
      </c>
      <c r="E1203" s="40" t="n"/>
      <c r="F1203" s="39" t="inlineStr">
        <is>
          <t>B_General_M_32_P6</t>
        </is>
      </c>
      <c r="G1203" s="40" t="n"/>
      <c r="H1203" s="41" t="n"/>
      <c r="I1203" s="42">
        <f>IF($H1203="","",MAX(0,$H1203-N($E1203)))</f>
        <v/>
      </c>
      <c r="J1203" s="42">
        <f>IF($H1203="","",MAX(0,$H1203-N($G1203)))</f>
        <v/>
      </c>
    </row>
    <row r="1204" ht="19.5" customHeight="1" s="72">
      <c r="A1204" s="38" t="inlineStr">
        <is>
          <t>GeneralM-32-P06-SIR</t>
        </is>
      </c>
      <c r="B1204" s="38" t="inlineStr">
        <is>
          <t>Fase 32</t>
        </is>
      </c>
      <c r="C1204" s="38" t="inlineStr">
        <is>
          <t>Siriuna</t>
        </is>
      </c>
      <c r="D1204" s="39" t="inlineStr">
        <is>
          <t>A_General_M_32_P6</t>
        </is>
      </c>
      <c r="E1204" s="40" t="n"/>
      <c r="F1204" s="39" t="inlineStr">
        <is>
          <t>B_General_M_32_P6</t>
        </is>
      </c>
      <c r="G1204" s="40" t="n"/>
      <c r="H1204" s="41" t="n"/>
      <c r="I1204" s="42">
        <f>IF($H1204="","",MAX(0,$H1204-N($E1204)))</f>
        <v/>
      </c>
      <c r="J1204" s="42">
        <f>IF($H1204="","",MAX(0,$H1204-N($G1204)))</f>
        <v/>
      </c>
    </row>
    <row r="1205" ht="19.5" customHeight="1" s="72">
      <c r="A1205" s="38" t="inlineStr">
        <is>
          <t>GeneralM-32-P07-BEN</t>
        </is>
      </c>
      <c r="B1205" s="38" t="inlineStr">
        <is>
          <t>Fase 32</t>
        </is>
      </c>
      <c r="C1205" s="38" t="inlineStr">
        <is>
          <t>Benguela</t>
        </is>
      </c>
      <c r="D1205" s="39" t="inlineStr">
        <is>
          <t>A_General_M_32_P7</t>
        </is>
      </c>
      <c r="E1205" s="40" t="n"/>
      <c r="F1205" s="39" t="inlineStr">
        <is>
          <t>B_General_M_32_P7</t>
        </is>
      </c>
      <c r="G1205" s="40" t="n"/>
      <c r="H1205" s="41" t="n"/>
      <c r="I1205" s="42">
        <f>IF($H1205="","",MAX(0,$H1205-N($E1205)))</f>
        <v/>
      </c>
      <c r="J1205" s="42">
        <f>IF($H1205="","",MAX(0,$H1205-N($G1205)))</f>
        <v/>
      </c>
    </row>
    <row r="1206" ht="19.5" customHeight="1" s="72">
      <c r="A1206" s="38" t="inlineStr">
        <is>
          <t>GeneralM-32-P07-SBA</t>
        </is>
      </c>
      <c r="B1206" s="38" t="inlineStr">
        <is>
          <t>Fase 32</t>
        </is>
      </c>
      <c r="C1206" s="38" t="inlineStr">
        <is>
          <t>São Bento da Abadá</t>
        </is>
      </c>
      <c r="D1206" s="39" t="inlineStr">
        <is>
          <t>A_General_M_32_P7</t>
        </is>
      </c>
      <c r="E1206" s="40" t="n"/>
      <c r="F1206" s="39" t="inlineStr">
        <is>
          <t>B_General_M_32_P7</t>
        </is>
      </c>
      <c r="G1206" s="40" t="n"/>
      <c r="H1206" s="41" t="n"/>
      <c r="I1206" s="42">
        <f>IF($H1206="","",MAX(0,$H1206-N($E1206)))</f>
        <v/>
      </c>
      <c r="J1206" s="42">
        <f>IF($H1206="","",MAX(0,$H1206-N($G1206)))</f>
        <v/>
      </c>
    </row>
    <row r="1207" ht="19.5" customHeight="1" s="72">
      <c r="A1207" s="38" t="inlineStr">
        <is>
          <t>GeneralM-32-P07-SIR</t>
        </is>
      </c>
      <c r="B1207" s="38" t="inlineStr">
        <is>
          <t>Fase 32</t>
        </is>
      </c>
      <c r="C1207" s="38" t="inlineStr">
        <is>
          <t>Siriuna</t>
        </is>
      </c>
      <c r="D1207" s="39" t="inlineStr">
        <is>
          <t>A_General_M_32_P7</t>
        </is>
      </c>
      <c r="E1207" s="40" t="n"/>
      <c r="F1207" s="39" t="inlineStr">
        <is>
          <t>B_General_M_32_P7</t>
        </is>
      </c>
      <c r="G1207" s="40" t="n"/>
      <c r="H1207" s="41" t="n"/>
      <c r="I1207" s="42">
        <f>IF($H1207="","",MAX(0,$H1207-N($E1207)))</f>
        <v/>
      </c>
      <c r="J1207" s="42">
        <f>IF($H1207="","",MAX(0,$H1207-N($G1207)))</f>
        <v/>
      </c>
    </row>
    <row r="1208" ht="19.5" customHeight="1" s="72">
      <c r="A1208" s="38" t="inlineStr">
        <is>
          <t>GeneralM-32-P08-BEN</t>
        </is>
      </c>
      <c r="B1208" s="38" t="inlineStr">
        <is>
          <t>Fase 32</t>
        </is>
      </c>
      <c r="C1208" s="38" t="inlineStr">
        <is>
          <t>Benguela</t>
        </is>
      </c>
      <c r="D1208" s="39" t="inlineStr">
        <is>
          <t>A_General_M_32_P8</t>
        </is>
      </c>
      <c r="E1208" s="40" t="n"/>
      <c r="F1208" s="39" t="inlineStr">
        <is>
          <t>B_General_M_32_P8</t>
        </is>
      </c>
      <c r="G1208" s="40" t="n"/>
      <c r="H1208" s="41" t="n"/>
      <c r="I1208" s="42">
        <f>IF($H1208="","",MAX(0,$H1208-N($E1208)))</f>
        <v/>
      </c>
      <c r="J1208" s="42">
        <f>IF($H1208="","",MAX(0,$H1208-N($G1208)))</f>
        <v/>
      </c>
    </row>
    <row r="1209" ht="19.5" customHeight="1" s="72">
      <c r="A1209" s="38" t="inlineStr">
        <is>
          <t>GeneralM-32-P08-SBA</t>
        </is>
      </c>
      <c r="B1209" s="38" t="inlineStr">
        <is>
          <t>Fase 32</t>
        </is>
      </c>
      <c r="C1209" s="38" t="inlineStr">
        <is>
          <t>São Bento da Abadá</t>
        </is>
      </c>
      <c r="D1209" s="39" t="inlineStr">
        <is>
          <t>A_General_M_32_P8</t>
        </is>
      </c>
      <c r="E1209" s="40" t="n"/>
      <c r="F1209" s="39" t="inlineStr">
        <is>
          <t>B_General_M_32_P8</t>
        </is>
      </c>
      <c r="G1209" s="40" t="n"/>
      <c r="H1209" s="41" t="n"/>
      <c r="I1209" s="42">
        <f>IF($H1209="","",MAX(0,$H1209-N($E1209)))</f>
        <v/>
      </c>
      <c r="J1209" s="42">
        <f>IF($H1209="","",MAX(0,$H1209-N($G1209)))</f>
        <v/>
      </c>
    </row>
    <row r="1210" ht="19.5" customHeight="1" s="72">
      <c r="A1210" s="38" t="inlineStr">
        <is>
          <t>GeneralM-32-P08-SIR</t>
        </is>
      </c>
      <c r="B1210" s="38" t="inlineStr">
        <is>
          <t>Fase 32</t>
        </is>
      </c>
      <c r="C1210" s="38" t="inlineStr">
        <is>
          <t>Siriuna</t>
        </is>
      </c>
      <c r="D1210" s="39" t="inlineStr">
        <is>
          <t>A_General_M_32_P8</t>
        </is>
      </c>
      <c r="E1210" s="40" t="n"/>
      <c r="F1210" s="39" t="inlineStr">
        <is>
          <t>B_General_M_32_P8</t>
        </is>
      </c>
      <c r="G1210" s="40" t="n"/>
      <c r="H1210" s="41" t="n"/>
      <c r="I1210" s="42">
        <f>IF($H1210="","",MAX(0,$H1210-N($E1210)))</f>
        <v/>
      </c>
      <c r="J1210" s="42">
        <f>IF($H1210="","",MAX(0,$H1210-N($G1210)))</f>
        <v/>
      </c>
    </row>
    <row r="1211" ht="19.5" customHeight="1" s="72">
      <c r="A1211" s="38" t="inlineStr">
        <is>
          <t>GeneralM-32-P09-BEN</t>
        </is>
      </c>
      <c r="B1211" s="38" t="inlineStr">
        <is>
          <t>Fase 32</t>
        </is>
      </c>
      <c r="C1211" s="38" t="inlineStr">
        <is>
          <t>Benguela</t>
        </is>
      </c>
      <c r="D1211" s="39" t="inlineStr">
        <is>
          <t>A_General_M_32_P9</t>
        </is>
      </c>
      <c r="E1211" s="40" t="n"/>
      <c r="F1211" s="39" t="inlineStr">
        <is>
          <t>B_General_M_32_P9</t>
        </is>
      </c>
      <c r="G1211" s="40" t="n"/>
      <c r="H1211" s="41" t="n"/>
      <c r="I1211" s="42">
        <f>IF($H1211="","",MAX(0,$H1211-N($E1211)))</f>
        <v/>
      </c>
      <c r="J1211" s="42">
        <f>IF($H1211="","",MAX(0,$H1211-N($G1211)))</f>
        <v/>
      </c>
    </row>
    <row r="1212" ht="19.5" customHeight="1" s="72">
      <c r="A1212" s="38" t="inlineStr">
        <is>
          <t>GeneralM-32-P09-SBA</t>
        </is>
      </c>
      <c r="B1212" s="38" t="inlineStr">
        <is>
          <t>Fase 32</t>
        </is>
      </c>
      <c r="C1212" s="38" t="inlineStr">
        <is>
          <t>São Bento da Abadá</t>
        </is>
      </c>
      <c r="D1212" s="39" t="inlineStr">
        <is>
          <t>A_General_M_32_P9</t>
        </is>
      </c>
      <c r="E1212" s="40" t="n"/>
      <c r="F1212" s="39" t="inlineStr">
        <is>
          <t>B_General_M_32_P9</t>
        </is>
      </c>
      <c r="G1212" s="40" t="n"/>
      <c r="H1212" s="41" t="n"/>
      <c r="I1212" s="42">
        <f>IF($H1212="","",MAX(0,$H1212-N($E1212)))</f>
        <v/>
      </c>
      <c r="J1212" s="42">
        <f>IF($H1212="","",MAX(0,$H1212-N($G1212)))</f>
        <v/>
      </c>
    </row>
    <row r="1213" ht="19.5" customHeight="1" s="72">
      <c r="A1213" s="38" t="inlineStr">
        <is>
          <t>GeneralM-32-P09-SIR</t>
        </is>
      </c>
      <c r="B1213" s="38" t="inlineStr">
        <is>
          <t>Fase 32</t>
        </is>
      </c>
      <c r="C1213" s="38" t="inlineStr">
        <is>
          <t>Siriuna</t>
        </is>
      </c>
      <c r="D1213" s="39" t="inlineStr">
        <is>
          <t>A_General_M_32_P9</t>
        </is>
      </c>
      <c r="E1213" s="40" t="n"/>
      <c r="F1213" s="39" t="inlineStr">
        <is>
          <t>B_General_M_32_P9</t>
        </is>
      </c>
      <c r="G1213" s="40" t="n"/>
      <c r="H1213" s="41" t="n"/>
      <c r="I1213" s="42">
        <f>IF($H1213="","",MAX(0,$H1213-N($E1213)))</f>
        <v/>
      </c>
      <c r="J1213" s="42">
        <f>IF($H1213="","",MAX(0,$H1213-N($G1213)))</f>
        <v/>
      </c>
    </row>
    <row r="1214" ht="19.5" customHeight="1" s="72">
      <c r="A1214" s="38" t="inlineStr">
        <is>
          <t>GeneralM-32-P10-BEN</t>
        </is>
      </c>
      <c r="B1214" s="38" t="inlineStr">
        <is>
          <t>Fase 32</t>
        </is>
      </c>
      <c r="C1214" s="38" t="inlineStr">
        <is>
          <t>Benguela</t>
        </is>
      </c>
      <c r="D1214" s="39" t="inlineStr">
        <is>
          <t>A_General_M_32_P10</t>
        </is>
      </c>
      <c r="E1214" s="40" t="n"/>
      <c r="F1214" s="39" t="inlineStr">
        <is>
          <t>B_General_M_32_P10</t>
        </is>
      </c>
      <c r="G1214" s="40" t="n"/>
      <c r="H1214" s="41" t="n"/>
      <c r="I1214" s="42">
        <f>IF($H1214="","",MAX(0,$H1214-N($E1214)))</f>
        <v/>
      </c>
      <c r="J1214" s="42">
        <f>IF($H1214="","",MAX(0,$H1214-N($G1214)))</f>
        <v/>
      </c>
    </row>
    <row r="1215" ht="19.5" customHeight="1" s="72">
      <c r="A1215" s="38" t="inlineStr">
        <is>
          <t>GeneralM-32-P10-SBA</t>
        </is>
      </c>
      <c r="B1215" s="38" t="inlineStr">
        <is>
          <t>Fase 32</t>
        </is>
      </c>
      <c r="C1215" s="38" t="inlineStr">
        <is>
          <t>São Bento da Abadá</t>
        </is>
      </c>
      <c r="D1215" s="39" t="inlineStr">
        <is>
          <t>A_General_M_32_P10</t>
        </is>
      </c>
      <c r="E1215" s="40" t="n"/>
      <c r="F1215" s="39" t="inlineStr">
        <is>
          <t>B_General_M_32_P10</t>
        </is>
      </c>
      <c r="G1215" s="40" t="n"/>
      <c r="H1215" s="41" t="n"/>
      <c r="I1215" s="42">
        <f>IF($H1215="","",MAX(0,$H1215-N($E1215)))</f>
        <v/>
      </c>
      <c r="J1215" s="42">
        <f>IF($H1215="","",MAX(0,$H1215-N($G1215)))</f>
        <v/>
      </c>
    </row>
    <row r="1216" ht="19.5" customHeight="1" s="72">
      <c r="A1216" s="38" t="inlineStr">
        <is>
          <t>GeneralM-32-P10-SIR</t>
        </is>
      </c>
      <c r="B1216" s="38" t="inlineStr">
        <is>
          <t>Fase 32</t>
        </is>
      </c>
      <c r="C1216" s="38" t="inlineStr">
        <is>
          <t>Siriuna</t>
        </is>
      </c>
      <c r="D1216" s="39" t="inlineStr">
        <is>
          <t>A_General_M_32_P10</t>
        </is>
      </c>
      <c r="E1216" s="40" t="n"/>
      <c r="F1216" s="39" t="inlineStr">
        <is>
          <t>B_General_M_32_P10</t>
        </is>
      </c>
      <c r="G1216" s="40" t="n"/>
      <c r="H1216" s="41" t="n"/>
      <c r="I1216" s="42">
        <f>IF($H1216="","",MAX(0,$H1216-N($E1216)))</f>
        <v/>
      </c>
      <c r="J1216" s="42">
        <f>IF($H1216="","",MAX(0,$H1216-N($G1216)))</f>
        <v/>
      </c>
    </row>
    <row r="1217" ht="19.5" customHeight="1" s="72">
      <c r="A1217" s="38" t="inlineStr">
        <is>
          <t>GeneralM-32-P11-BEN</t>
        </is>
      </c>
      <c r="B1217" s="38" t="inlineStr">
        <is>
          <t>Fase 32</t>
        </is>
      </c>
      <c r="C1217" s="38" t="inlineStr">
        <is>
          <t>Benguela</t>
        </is>
      </c>
      <c r="D1217" s="39" t="inlineStr">
        <is>
          <t>A_General_M_32_P11</t>
        </is>
      </c>
      <c r="E1217" s="40" t="n"/>
      <c r="F1217" s="39" t="inlineStr">
        <is>
          <t>B_General_M_32_P11</t>
        </is>
      </c>
      <c r="G1217" s="40" t="n"/>
      <c r="H1217" s="41" t="n"/>
      <c r="I1217" s="42">
        <f>IF($H1217="","",MAX(0,$H1217-N($E1217)))</f>
        <v/>
      </c>
      <c r="J1217" s="42">
        <f>IF($H1217="","",MAX(0,$H1217-N($G1217)))</f>
        <v/>
      </c>
    </row>
    <row r="1218" ht="19.5" customHeight="1" s="72">
      <c r="A1218" s="38" t="inlineStr">
        <is>
          <t>GeneralM-32-P11-SBA</t>
        </is>
      </c>
      <c r="B1218" s="38" t="inlineStr">
        <is>
          <t>Fase 32</t>
        </is>
      </c>
      <c r="C1218" s="38" t="inlineStr">
        <is>
          <t>São Bento da Abadá</t>
        </is>
      </c>
      <c r="D1218" s="39" t="inlineStr">
        <is>
          <t>A_General_M_32_P11</t>
        </is>
      </c>
      <c r="E1218" s="40" t="n"/>
      <c r="F1218" s="39" t="inlineStr">
        <is>
          <t>B_General_M_32_P11</t>
        </is>
      </c>
      <c r="G1218" s="40" t="n"/>
      <c r="H1218" s="41" t="n"/>
      <c r="I1218" s="42">
        <f>IF($H1218="","",MAX(0,$H1218-N($E1218)))</f>
        <v/>
      </c>
      <c r="J1218" s="42">
        <f>IF($H1218="","",MAX(0,$H1218-N($G1218)))</f>
        <v/>
      </c>
    </row>
    <row r="1219" ht="19.5" customHeight="1" s="72">
      <c r="A1219" s="38" t="inlineStr">
        <is>
          <t>GeneralM-32-P11-SIR</t>
        </is>
      </c>
      <c r="B1219" s="38" t="inlineStr">
        <is>
          <t>Fase 32</t>
        </is>
      </c>
      <c r="C1219" s="38" t="inlineStr">
        <is>
          <t>Siriuna</t>
        </is>
      </c>
      <c r="D1219" s="39" t="inlineStr">
        <is>
          <t>A_General_M_32_P11</t>
        </is>
      </c>
      <c r="E1219" s="40" t="n"/>
      <c r="F1219" s="39" t="inlineStr">
        <is>
          <t>B_General_M_32_P11</t>
        </is>
      </c>
      <c r="G1219" s="40" t="n"/>
      <c r="H1219" s="41" t="n"/>
      <c r="I1219" s="42">
        <f>IF($H1219="","",MAX(0,$H1219-N($E1219)))</f>
        <v/>
      </c>
      <c r="J1219" s="42">
        <f>IF($H1219="","",MAX(0,$H1219-N($G1219)))</f>
        <v/>
      </c>
    </row>
    <row r="1220" ht="19.5" customHeight="1" s="72">
      <c r="A1220" s="38" t="inlineStr">
        <is>
          <t>GeneralM-32-P12-BEN</t>
        </is>
      </c>
      <c r="B1220" s="38" t="inlineStr">
        <is>
          <t>Fase 32</t>
        </is>
      </c>
      <c r="C1220" s="38" t="inlineStr">
        <is>
          <t>Benguela</t>
        </is>
      </c>
      <c r="D1220" s="39" t="inlineStr">
        <is>
          <t>A_General_M_32_P12</t>
        </is>
      </c>
      <c r="E1220" s="40" t="n"/>
      <c r="F1220" s="39" t="inlineStr">
        <is>
          <t>B_General_M_32_P12</t>
        </is>
      </c>
      <c r="G1220" s="40" t="n"/>
      <c r="H1220" s="41" t="n"/>
      <c r="I1220" s="42">
        <f>IF($H1220="","",MAX(0,$H1220-N($E1220)))</f>
        <v/>
      </c>
      <c r="J1220" s="42">
        <f>IF($H1220="","",MAX(0,$H1220-N($G1220)))</f>
        <v/>
      </c>
    </row>
    <row r="1221" ht="19.5" customHeight="1" s="72">
      <c r="A1221" s="38" t="inlineStr">
        <is>
          <t>GeneralM-32-P12-SBA</t>
        </is>
      </c>
      <c r="B1221" s="38" t="inlineStr">
        <is>
          <t>Fase 32</t>
        </is>
      </c>
      <c r="C1221" s="38" t="inlineStr">
        <is>
          <t>São Bento da Abadá</t>
        </is>
      </c>
      <c r="D1221" s="39" t="inlineStr">
        <is>
          <t>A_General_M_32_P12</t>
        </is>
      </c>
      <c r="E1221" s="40" t="n"/>
      <c r="F1221" s="39" t="inlineStr">
        <is>
          <t>B_General_M_32_P12</t>
        </is>
      </c>
      <c r="G1221" s="40" t="n"/>
      <c r="H1221" s="41" t="n"/>
      <c r="I1221" s="42">
        <f>IF($H1221="","",MAX(0,$H1221-N($E1221)))</f>
        <v/>
      </c>
      <c r="J1221" s="42">
        <f>IF($H1221="","",MAX(0,$H1221-N($G1221)))</f>
        <v/>
      </c>
    </row>
    <row r="1222" ht="19.5" customHeight="1" s="72">
      <c r="A1222" s="38" t="inlineStr">
        <is>
          <t>GeneralM-32-P12-SIR</t>
        </is>
      </c>
      <c r="B1222" s="38" t="inlineStr">
        <is>
          <t>Fase 32</t>
        </is>
      </c>
      <c r="C1222" s="38" t="inlineStr">
        <is>
          <t>Siriuna</t>
        </is>
      </c>
      <c r="D1222" s="39" t="inlineStr">
        <is>
          <t>A_General_M_32_P12</t>
        </is>
      </c>
      <c r="E1222" s="40" t="n"/>
      <c r="F1222" s="39" t="inlineStr">
        <is>
          <t>B_General_M_32_P12</t>
        </is>
      </c>
      <c r="G1222" s="40" t="n"/>
      <c r="H1222" s="41" t="n"/>
      <c r="I1222" s="42">
        <f>IF($H1222="","",MAX(0,$H1222-N($E1222)))</f>
        <v/>
      </c>
      <c r="J1222" s="42">
        <f>IF($H1222="","",MAX(0,$H1222-N($G1222)))</f>
        <v/>
      </c>
    </row>
    <row r="1223" ht="19.5" customHeight="1" s="72">
      <c r="A1223" s="38" t="inlineStr">
        <is>
          <t>GeneralM-32-P13-BEN</t>
        </is>
      </c>
      <c r="B1223" s="38" t="inlineStr">
        <is>
          <t>Fase 32</t>
        </is>
      </c>
      <c r="C1223" s="38" t="inlineStr">
        <is>
          <t>Benguela</t>
        </is>
      </c>
      <c r="D1223" s="39" t="inlineStr">
        <is>
          <t>A_General_M_32_P13</t>
        </is>
      </c>
      <c r="E1223" s="40" t="n"/>
      <c r="F1223" s="39" t="inlineStr">
        <is>
          <t>B_General_M_32_P13</t>
        </is>
      </c>
      <c r="G1223" s="40" t="n"/>
      <c r="H1223" s="41" t="n"/>
      <c r="I1223" s="42">
        <f>IF($H1223="","",MAX(0,$H1223-N($E1223)))</f>
        <v/>
      </c>
      <c r="J1223" s="42">
        <f>IF($H1223="","",MAX(0,$H1223-N($G1223)))</f>
        <v/>
      </c>
    </row>
    <row r="1224" ht="19.5" customHeight="1" s="72">
      <c r="A1224" s="38" t="inlineStr">
        <is>
          <t>GeneralM-32-P13-SBA</t>
        </is>
      </c>
      <c r="B1224" s="38" t="inlineStr">
        <is>
          <t>Fase 32</t>
        </is>
      </c>
      <c r="C1224" s="38" t="inlineStr">
        <is>
          <t>São Bento da Abadá</t>
        </is>
      </c>
      <c r="D1224" s="39" t="inlineStr">
        <is>
          <t>A_General_M_32_P13</t>
        </is>
      </c>
      <c r="E1224" s="40" t="n"/>
      <c r="F1224" s="39" t="inlineStr">
        <is>
          <t>B_General_M_32_P13</t>
        </is>
      </c>
      <c r="G1224" s="40" t="n"/>
      <c r="H1224" s="41" t="n"/>
      <c r="I1224" s="42">
        <f>IF($H1224="","",MAX(0,$H1224-N($E1224)))</f>
        <v/>
      </c>
      <c r="J1224" s="42">
        <f>IF($H1224="","",MAX(0,$H1224-N($G1224)))</f>
        <v/>
      </c>
    </row>
    <row r="1225" ht="19.5" customHeight="1" s="72">
      <c r="A1225" s="38" t="inlineStr">
        <is>
          <t>GeneralM-32-P13-SIR</t>
        </is>
      </c>
      <c r="B1225" s="38" t="inlineStr">
        <is>
          <t>Fase 32</t>
        </is>
      </c>
      <c r="C1225" s="38" t="inlineStr">
        <is>
          <t>Siriuna</t>
        </is>
      </c>
      <c r="D1225" s="39" t="inlineStr">
        <is>
          <t>A_General_M_32_P13</t>
        </is>
      </c>
      <c r="E1225" s="40" t="n"/>
      <c r="F1225" s="39" t="inlineStr">
        <is>
          <t>B_General_M_32_P13</t>
        </is>
      </c>
      <c r="G1225" s="40" t="n"/>
      <c r="H1225" s="41" t="n"/>
      <c r="I1225" s="42">
        <f>IF($H1225="","",MAX(0,$H1225-N($E1225)))</f>
        <v/>
      </c>
      <c r="J1225" s="42">
        <f>IF($H1225="","",MAX(0,$H1225-N($G1225)))</f>
        <v/>
      </c>
    </row>
    <row r="1226" ht="19.5" customHeight="1" s="72">
      <c r="A1226" s="38" t="inlineStr">
        <is>
          <t>GeneralM-32-P14-BEN</t>
        </is>
      </c>
      <c r="B1226" s="38" t="inlineStr">
        <is>
          <t>Fase 32</t>
        </is>
      </c>
      <c r="C1226" s="38" t="inlineStr">
        <is>
          <t>Benguela</t>
        </is>
      </c>
      <c r="D1226" s="39" t="inlineStr">
        <is>
          <t>A_General_M_32_P14</t>
        </is>
      </c>
      <c r="E1226" s="40" t="n"/>
      <c r="F1226" s="39" t="inlineStr">
        <is>
          <t>B_General_M_32_P14</t>
        </is>
      </c>
      <c r="G1226" s="40" t="n"/>
      <c r="H1226" s="41" t="n"/>
      <c r="I1226" s="42">
        <f>IF($H1226="","",MAX(0,$H1226-N($E1226)))</f>
        <v/>
      </c>
      <c r="J1226" s="42">
        <f>IF($H1226="","",MAX(0,$H1226-N($G1226)))</f>
        <v/>
      </c>
    </row>
    <row r="1227" ht="19.5" customHeight="1" s="72">
      <c r="A1227" s="38" t="inlineStr">
        <is>
          <t>GeneralM-32-P14-SBA</t>
        </is>
      </c>
      <c r="B1227" s="38" t="inlineStr">
        <is>
          <t>Fase 32</t>
        </is>
      </c>
      <c r="C1227" s="38" t="inlineStr">
        <is>
          <t>São Bento da Abadá</t>
        </is>
      </c>
      <c r="D1227" s="39" t="inlineStr">
        <is>
          <t>A_General_M_32_P14</t>
        </is>
      </c>
      <c r="E1227" s="40" t="n"/>
      <c r="F1227" s="39" t="inlineStr">
        <is>
          <t>B_General_M_32_P14</t>
        </is>
      </c>
      <c r="G1227" s="40" t="n"/>
      <c r="H1227" s="41" t="n"/>
      <c r="I1227" s="42">
        <f>IF($H1227="","",MAX(0,$H1227-N($E1227)))</f>
        <v/>
      </c>
      <c r="J1227" s="42">
        <f>IF($H1227="","",MAX(0,$H1227-N($G1227)))</f>
        <v/>
      </c>
    </row>
    <row r="1228" ht="19.5" customHeight="1" s="72">
      <c r="A1228" s="38" t="inlineStr">
        <is>
          <t>GeneralM-32-P14-SIR</t>
        </is>
      </c>
      <c r="B1228" s="38" t="inlineStr">
        <is>
          <t>Fase 32</t>
        </is>
      </c>
      <c r="C1228" s="38" t="inlineStr">
        <is>
          <t>Siriuna</t>
        </is>
      </c>
      <c r="D1228" s="39" t="inlineStr">
        <is>
          <t>A_General_M_32_P14</t>
        </is>
      </c>
      <c r="E1228" s="40" t="n"/>
      <c r="F1228" s="39" t="inlineStr">
        <is>
          <t>B_General_M_32_P14</t>
        </is>
      </c>
      <c r="G1228" s="40" t="n"/>
      <c r="H1228" s="41" t="n"/>
      <c r="I1228" s="42">
        <f>IF($H1228="","",MAX(0,$H1228-N($E1228)))</f>
        <v/>
      </c>
      <c r="J1228" s="42">
        <f>IF($H1228="","",MAX(0,$H1228-N($G1228)))</f>
        <v/>
      </c>
    </row>
    <row r="1229" ht="19.5" customHeight="1" s="72">
      <c r="A1229" s="38" t="inlineStr">
        <is>
          <t>GeneralM-32-P15-BEN</t>
        </is>
      </c>
      <c r="B1229" s="38" t="inlineStr">
        <is>
          <t>Fase 32</t>
        </is>
      </c>
      <c r="C1229" s="38" t="inlineStr">
        <is>
          <t>Benguela</t>
        </is>
      </c>
      <c r="D1229" s="39" t="inlineStr">
        <is>
          <t>A_General_M_32_P15</t>
        </is>
      </c>
      <c r="E1229" s="40" t="n"/>
      <c r="F1229" s="39" t="inlineStr">
        <is>
          <t>B_General_M_32_P15</t>
        </is>
      </c>
      <c r="G1229" s="40" t="n"/>
      <c r="H1229" s="41" t="n"/>
      <c r="I1229" s="42">
        <f>IF($H1229="","",MAX(0,$H1229-N($E1229)))</f>
        <v/>
      </c>
      <c r="J1229" s="42">
        <f>IF($H1229="","",MAX(0,$H1229-N($G1229)))</f>
        <v/>
      </c>
    </row>
    <row r="1230" ht="19.5" customHeight="1" s="72">
      <c r="A1230" s="38" t="inlineStr">
        <is>
          <t>GeneralM-32-P15-SBA</t>
        </is>
      </c>
      <c r="B1230" s="38" t="inlineStr">
        <is>
          <t>Fase 32</t>
        </is>
      </c>
      <c r="C1230" s="38" t="inlineStr">
        <is>
          <t>São Bento da Abadá</t>
        </is>
      </c>
      <c r="D1230" s="39" t="inlineStr">
        <is>
          <t>A_General_M_32_P15</t>
        </is>
      </c>
      <c r="E1230" s="40" t="n"/>
      <c r="F1230" s="39" t="inlineStr">
        <is>
          <t>B_General_M_32_P15</t>
        </is>
      </c>
      <c r="G1230" s="40" t="n"/>
      <c r="H1230" s="41" t="n"/>
      <c r="I1230" s="42">
        <f>IF($H1230="","",MAX(0,$H1230-N($E1230)))</f>
        <v/>
      </c>
      <c r="J1230" s="42">
        <f>IF($H1230="","",MAX(0,$H1230-N($G1230)))</f>
        <v/>
      </c>
    </row>
    <row r="1231" ht="19.5" customHeight="1" s="72">
      <c r="A1231" s="38" t="inlineStr">
        <is>
          <t>GeneralM-32-P15-SIR</t>
        </is>
      </c>
      <c r="B1231" s="38" t="inlineStr">
        <is>
          <t>Fase 32</t>
        </is>
      </c>
      <c r="C1231" s="38" t="inlineStr">
        <is>
          <t>Siriuna</t>
        </is>
      </c>
      <c r="D1231" s="39" t="inlineStr">
        <is>
          <t>A_General_M_32_P15</t>
        </is>
      </c>
      <c r="E1231" s="40" t="n"/>
      <c r="F1231" s="39" t="inlineStr">
        <is>
          <t>B_General_M_32_P15</t>
        </is>
      </c>
      <c r="G1231" s="40" t="n"/>
      <c r="H1231" s="41" t="n"/>
      <c r="I1231" s="42">
        <f>IF($H1231="","",MAX(0,$H1231-N($E1231)))</f>
        <v/>
      </c>
      <c r="J1231" s="42">
        <f>IF($H1231="","",MAX(0,$H1231-N($G1231)))</f>
        <v/>
      </c>
    </row>
    <row r="1232" ht="19.5" customHeight="1" s="72">
      <c r="A1232" s="38" t="inlineStr">
        <is>
          <t>GeneralM-32-P16-BEN</t>
        </is>
      </c>
      <c r="B1232" s="38" t="inlineStr">
        <is>
          <t>Fase 32</t>
        </is>
      </c>
      <c r="C1232" s="38" t="inlineStr">
        <is>
          <t>Benguela</t>
        </is>
      </c>
      <c r="D1232" s="39" t="inlineStr">
        <is>
          <t>A_General_M_32_P16</t>
        </is>
      </c>
      <c r="E1232" s="40" t="n"/>
      <c r="F1232" s="39" t="inlineStr">
        <is>
          <t>B_General_M_32_P16</t>
        </is>
      </c>
      <c r="G1232" s="40" t="n"/>
      <c r="H1232" s="41" t="n"/>
      <c r="I1232" s="42">
        <f>IF($H1232="","",MAX(0,$H1232-N($E1232)))</f>
        <v/>
      </c>
      <c r="J1232" s="42">
        <f>IF($H1232="","",MAX(0,$H1232-N($G1232)))</f>
        <v/>
      </c>
    </row>
    <row r="1233" ht="19.5" customHeight="1" s="72">
      <c r="A1233" s="38" t="inlineStr">
        <is>
          <t>GeneralM-32-P16-SBA</t>
        </is>
      </c>
      <c r="B1233" s="38" t="inlineStr">
        <is>
          <t>Fase 32</t>
        </is>
      </c>
      <c r="C1233" s="38" t="inlineStr">
        <is>
          <t>São Bento da Abadá</t>
        </is>
      </c>
      <c r="D1233" s="39" t="inlineStr">
        <is>
          <t>A_General_M_32_P16</t>
        </is>
      </c>
      <c r="E1233" s="40" t="n"/>
      <c r="F1233" s="39" t="inlineStr">
        <is>
          <t>B_General_M_32_P16</t>
        </is>
      </c>
      <c r="G1233" s="40" t="n"/>
      <c r="H1233" s="41" t="n"/>
      <c r="I1233" s="42">
        <f>IF($H1233="","",MAX(0,$H1233-N($E1233)))</f>
        <v/>
      </c>
      <c r="J1233" s="42">
        <f>IF($H1233="","",MAX(0,$H1233-N($G1233)))</f>
        <v/>
      </c>
    </row>
    <row r="1234" ht="19.5" customHeight="1" s="72">
      <c r="A1234" s="38" t="inlineStr">
        <is>
          <t>GeneralM-32-P16-SIR</t>
        </is>
      </c>
      <c r="B1234" s="38" t="inlineStr">
        <is>
          <t>Fase 32</t>
        </is>
      </c>
      <c r="C1234" s="38" t="inlineStr">
        <is>
          <t>Siriuna</t>
        </is>
      </c>
      <c r="D1234" s="39" t="inlineStr">
        <is>
          <t>A_General_M_32_P16</t>
        </is>
      </c>
      <c r="E1234" s="40" t="n"/>
      <c r="F1234" s="39" t="inlineStr">
        <is>
          <t>B_General_M_32_P16</t>
        </is>
      </c>
      <c r="G1234" s="40" t="n"/>
      <c r="H1234" s="41" t="n"/>
      <c r="I1234" s="42">
        <f>IF($H1234="","",MAX(0,$H1234-N($E1234)))</f>
        <v/>
      </c>
      <c r="J1234" s="42">
        <f>IF($H1234="","",MAX(0,$H1234-N($G1234)))</f>
        <v/>
      </c>
    </row>
    <row r="1235" ht="19.5" customHeight="1" s="72">
      <c r="A1235" s="38" t="inlineStr">
        <is>
          <t>GeneralM-OCT-P01-BEN</t>
        </is>
      </c>
      <c r="B1235" s="38" t="inlineStr">
        <is>
          <t>Octavas</t>
        </is>
      </c>
      <c r="C1235" s="38" t="inlineStr">
        <is>
          <t>Benguela</t>
        </is>
      </c>
      <c r="D1235" s="39">
        <f>IFERROR(CLASIF_General_M!$F$5,"")</f>
        <v/>
      </c>
      <c r="E1235" s="40" t="n"/>
      <c r="F1235" s="39">
        <f>IFERROR(CLASIF_General_M!$F$20,"")</f>
        <v/>
      </c>
      <c r="G1235" s="40" t="n"/>
      <c r="H1235" s="41" t="n"/>
      <c r="I1235" s="42">
        <f>IF($H1235="","",MAX(0,$H1235-N($E1235)))</f>
        <v/>
      </c>
      <c r="J1235" s="42">
        <f>IF($H1235="","",MAX(0,$H1235-N($G1235)))</f>
        <v/>
      </c>
    </row>
    <row r="1236" ht="19.5" customHeight="1" s="72">
      <c r="A1236" s="38" t="inlineStr">
        <is>
          <t>GeneralM-OCT-P01-SBA</t>
        </is>
      </c>
      <c r="B1236" s="38" t="inlineStr">
        <is>
          <t>Octavas</t>
        </is>
      </c>
      <c r="C1236" s="38" t="inlineStr">
        <is>
          <t>São Bento da Abadá</t>
        </is>
      </c>
      <c r="D1236" s="39">
        <f>IFERROR(CLASIF_General_M!$F$5,"")</f>
        <v/>
      </c>
      <c r="E1236" s="40" t="n"/>
      <c r="F1236" s="39">
        <f>IFERROR(CLASIF_General_M!$F$20,"")</f>
        <v/>
      </c>
      <c r="G1236" s="40" t="n"/>
      <c r="H1236" s="41" t="n"/>
      <c r="I1236" s="42">
        <f>IF($H1236="","",MAX(0,$H1236-N($E1236)))</f>
        <v/>
      </c>
      <c r="J1236" s="42">
        <f>IF($H1236="","",MAX(0,$H1236-N($G1236)))</f>
        <v/>
      </c>
    </row>
    <row r="1237" ht="19.5" customHeight="1" s="72">
      <c r="A1237" s="38" t="inlineStr">
        <is>
          <t>GeneralM-OCT-P01-SIR</t>
        </is>
      </c>
      <c r="B1237" s="38" t="inlineStr">
        <is>
          <t>Octavas</t>
        </is>
      </c>
      <c r="C1237" s="38" t="inlineStr">
        <is>
          <t>Siriuna</t>
        </is>
      </c>
      <c r="D1237" s="39">
        <f>IFERROR(CLASIF_General_M!$F$5,"")</f>
        <v/>
      </c>
      <c r="E1237" s="40" t="n"/>
      <c r="F1237" s="39">
        <f>IFERROR(CLASIF_General_M!$F$20,"")</f>
        <v/>
      </c>
      <c r="G1237" s="40" t="n"/>
      <c r="H1237" s="41" t="n"/>
      <c r="I1237" s="42">
        <f>IF($H1237="","",MAX(0,$H1237-N($E1237)))</f>
        <v/>
      </c>
      <c r="J1237" s="42">
        <f>IF($H1237="","",MAX(0,$H1237-N($G1237)))</f>
        <v/>
      </c>
    </row>
    <row r="1238" ht="19.5" customHeight="1" s="72">
      <c r="A1238" s="38" t="inlineStr">
        <is>
          <t>GeneralM-OCT-P02-BEN</t>
        </is>
      </c>
      <c r="B1238" s="38" t="inlineStr">
        <is>
          <t>Octavas</t>
        </is>
      </c>
      <c r="C1238" s="38" t="inlineStr">
        <is>
          <t>Benguela</t>
        </is>
      </c>
      <c r="D1238" s="39">
        <f>IFERROR(CLASIF_General_M!$F$6,"")</f>
        <v/>
      </c>
      <c r="E1238" s="40" t="n"/>
      <c r="F1238" s="39">
        <f>IFERROR(CLASIF_General_M!$F$19,"")</f>
        <v/>
      </c>
      <c r="G1238" s="40" t="n"/>
      <c r="H1238" s="41" t="n"/>
      <c r="I1238" s="42">
        <f>IF($H1238="","",MAX(0,$H1238-N($E1238)))</f>
        <v/>
      </c>
      <c r="J1238" s="42">
        <f>IF($H1238="","",MAX(0,$H1238-N($G1238)))</f>
        <v/>
      </c>
    </row>
    <row r="1239" ht="19.5" customHeight="1" s="72">
      <c r="A1239" s="38" t="inlineStr">
        <is>
          <t>GeneralM-OCT-P02-SBA</t>
        </is>
      </c>
      <c r="B1239" s="38" t="inlineStr">
        <is>
          <t>Octavas</t>
        </is>
      </c>
      <c r="C1239" s="38" t="inlineStr">
        <is>
          <t>São Bento da Abadá</t>
        </is>
      </c>
      <c r="D1239" s="39">
        <f>IFERROR(CLASIF_General_M!$F$6,"")</f>
        <v/>
      </c>
      <c r="E1239" s="40" t="n"/>
      <c r="F1239" s="39">
        <f>IFERROR(CLASIF_General_M!$F$19,"")</f>
        <v/>
      </c>
      <c r="G1239" s="40" t="n"/>
      <c r="H1239" s="41" t="n"/>
      <c r="I1239" s="42">
        <f>IF($H1239="","",MAX(0,$H1239-N($E1239)))</f>
        <v/>
      </c>
      <c r="J1239" s="42">
        <f>IF($H1239="","",MAX(0,$H1239-N($G1239)))</f>
        <v/>
      </c>
    </row>
    <row r="1240" ht="19.5" customHeight="1" s="72">
      <c r="A1240" s="38" t="inlineStr">
        <is>
          <t>GeneralM-OCT-P02-SIR</t>
        </is>
      </c>
      <c r="B1240" s="38" t="inlineStr">
        <is>
          <t>Octavas</t>
        </is>
      </c>
      <c r="C1240" s="38" t="inlineStr">
        <is>
          <t>Siriuna</t>
        </is>
      </c>
      <c r="D1240" s="39">
        <f>IFERROR(CLASIF_General_M!$F$6,"")</f>
        <v/>
      </c>
      <c r="E1240" s="40" t="n"/>
      <c r="F1240" s="39">
        <f>IFERROR(CLASIF_General_M!$F$19,"")</f>
        <v/>
      </c>
      <c r="G1240" s="40" t="n"/>
      <c r="H1240" s="41" t="n"/>
      <c r="I1240" s="42">
        <f>IF($H1240="","",MAX(0,$H1240-N($E1240)))</f>
        <v/>
      </c>
      <c r="J1240" s="42">
        <f>IF($H1240="","",MAX(0,$H1240-N($G1240)))</f>
        <v/>
      </c>
    </row>
    <row r="1241" ht="19.5" customHeight="1" s="72">
      <c r="A1241" s="38" t="inlineStr">
        <is>
          <t>GeneralM-OCT-P03-BEN</t>
        </is>
      </c>
      <c r="B1241" s="38" t="inlineStr">
        <is>
          <t>Octavas</t>
        </is>
      </c>
      <c r="C1241" s="38" t="inlineStr">
        <is>
          <t>Benguela</t>
        </is>
      </c>
      <c r="D1241" s="39">
        <f>IFERROR(CLASIF_General_M!$F$7,"")</f>
        <v/>
      </c>
      <c r="E1241" s="40" t="n"/>
      <c r="F1241" s="39">
        <f>IFERROR(CLASIF_General_M!$F$18,"")</f>
        <v/>
      </c>
      <c r="G1241" s="40" t="n"/>
      <c r="H1241" s="41" t="n"/>
      <c r="I1241" s="42">
        <f>IF($H1241="","",MAX(0,$H1241-N($E1241)))</f>
        <v/>
      </c>
      <c r="J1241" s="42">
        <f>IF($H1241="","",MAX(0,$H1241-N($G1241)))</f>
        <v/>
      </c>
    </row>
    <row r="1242" ht="19.5" customHeight="1" s="72">
      <c r="A1242" s="38" t="inlineStr">
        <is>
          <t>GeneralM-OCT-P03-SBA</t>
        </is>
      </c>
      <c r="B1242" s="38" t="inlineStr">
        <is>
          <t>Octavas</t>
        </is>
      </c>
      <c r="C1242" s="38" t="inlineStr">
        <is>
          <t>São Bento da Abadá</t>
        </is>
      </c>
      <c r="D1242" s="39">
        <f>IFERROR(CLASIF_General_M!$F$7,"")</f>
        <v/>
      </c>
      <c r="E1242" s="40" t="n"/>
      <c r="F1242" s="39">
        <f>IFERROR(CLASIF_General_M!$F$18,"")</f>
        <v/>
      </c>
      <c r="G1242" s="40" t="n"/>
      <c r="H1242" s="41" t="n"/>
      <c r="I1242" s="42">
        <f>IF($H1242="","",MAX(0,$H1242-N($E1242)))</f>
        <v/>
      </c>
      <c r="J1242" s="42">
        <f>IF($H1242="","",MAX(0,$H1242-N($G1242)))</f>
        <v/>
      </c>
    </row>
    <row r="1243" ht="19.5" customHeight="1" s="72">
      <c r="A1243" s="38" t="inlineStr">
        <is>
          <t>GeneralM-OCT-P03-SIR</t>
        </is>
      </c>
      <c r="B1243" s="38" t="inlineStr">
        <is>
          <t>Octavas</t>
        </is>
      </c>
      <c r="C1243" s="38" t="inlineStr">
        <is>
          <t>Siriuna</t>
        </is>
      </c>
      <c r="D1243" s="39">
        <f>IFERROR(CLASIF_General_M!$F$7,"")</f>
        <v/>
      </c>
      <c r="E1243" s="40" t="n"/>
      <c r="F1243" s="39">
        <f>IFERROR(CLASIF_General_M!$F$18,"")</f>
        <v/>
      </c>
      <c r="G1243" s="40" t="n"/>
      <c r="H1243" s="41" t="n"/>
      <c r="I1243" s="42">
        <f>IF($H1243="","",MAX(0,$H1243-N($E1243)))</f>
        <v/>
      </c>
      <c r="J1243" s="42">
        <f>IF($H1243="","",MAX(0,$H1243-N($G1243)))</f>
        <v/>
      </c>
    </row>
    <row r="1244" ht="19.5" customHeight="1" s="72">
      <c r="A1244" s="38" t="inlineStr">
        <is>
          <t>GeneralM-OCT-P04-BEN</t>
        </is>
      </c>
      <c r="B1244" s="38" t="inlineStr">
        <is>
          <t>Octavas</t>
        </is>
      </c>
      <c r="C1244" s="38" t="inlineStr">
        <is>
          <t>Benguela</t>
        </is>
      </c>
      <c r="D1244" s="39">
        <f>IFERROR(CLASIF_General_M!$F$8,"")</f>
        <v/>
      </c>
      <c r="E1244" s="40" t="n"/>
      <c r="F1244" s="39">
        <f>IFERROR(CLASIF_General_M!$F$17,"")</f>
        <v/>
      </c>
      <c r="G1244" s="40" t="n"/>
      <c r="H1244" s="41" t="n"/>
      <c r="I1244" s="42">
        <f>IF($H1244="","",MAX(0,$H1244-N($E1244)))</f>
        <v/>
      </c>
      <c r="J1244" s="42">
        <f>IF($H1244="","",MAX(0,$H1244-N($G1244)))</f>
        <v/>
      </c>
    </row>
    <row r="1245" ht="19.5" customHeight="1" s="72">
      <c r="A1245" s="38" t="inlineStr">
        <is>
          <t>GeneralM-OCT-P04-SBA</t>
        </is>
      </c>
      <c r="B1245" s="38" t="inlineStr">
        <is>
          <t>Octavas</t>
        </is>
      </c>
      <c r="C1245" s="38" t="inlineStr">
        <is>
          <t>São Bento da Abadá</t>
        </is>
      </c>
      <c r="D1245" s="39">
        <f>IFERROR(CLASIF_General_M!$F$8,"")</f>
        <v/>
      </c>
      <c r="E1245" s="40" t="n"/>
      <c r="F1245" s="39">
        <f>IFERROR(CLASIF_General_M!$F$17,"")</f>
        <v/>
      </c>
      <c r="G1245" s="40" t="n"/>
      <c r="H1245" s="41" t="n"/>
      <c r="I1245" s="42">
        <f>IF($H1245="","",MAX(0,$H1245-N($E1245)))</f>
        <v/>
      </c>
      <c r="J1245" s="42">
        <f>IF($H1245="","",MAX(0,$H1245-N($G1245)))</f>
        <v/>
      </c>
    </row>
    <row r="1246" ht="19.5" customHeight="1" s="72">
      <c r="A1246" s="38" t="inlineStr">
        <is>
          <t>GeneralM-OCT-P04-SIR</t>
        </is>
      </c>
      <c r="B1246" s="38" t="inlineStr">
        <is>
          <t>Octavas</t>
        </is>
      </c>
      <c r="C1246" s="38" t="inlineStr">
        <is>
          <t>Siriuna</t>
        </is>
      </c>
      <c r="D1246" s="39">
        <f>IFERROR(CLASIF_General_M!$F$8,"")</f>
        <v/>
      </c>
      <c r="E1246" s="40" t="n"/>
      <c r="F1246" s="39">
        <f>IFERROR(CLASIF_General_M!$F$17,"")</f>
        <v/>
      </c>
      <c r="G1246" s="40" t="n"/>
      <c r="H1246" s="41" t="n"/>
      <c r="I1246" s="42">
        <f>IF($H1246="","",MAX(0,$H1246-N($E1246)))</f>
        <v/>
      </c>
      <c r="J1246" s="42">
        <f>IF($H1246="","",MAX(0,$H1246-N($G1246)))</f>
        <v/>
      </c>
    </row>
    <row r="1247" ht="19.5" customHeight="1" s="72">
      <c r="A1247" s="38" t="inlineStr">
        <is>
          <t>GeneralM-OCT-P05-BEN</t>
        </is>
      </c>
      <c r="B1247" s="38" t="inlineStr">
        <is>
          <t>Octavas</t>
        </is>
      </c>
      <c r="C1247" s="38" t="inlineStr">
        <is>
          <t>Benguela</t>
        </is>
      </c>
      <c r="D1247" s="39">
        <f>IFERROR(CLASIF_General_M!$F$9,"")</f>
        <v/>
      </c>
      <c r="E1247" s="40" t="n"/>
      <c r="F1247" s="39">
        <f>IFERROR(CLASIF_General_M!$F$16,"")</f>
        <v/>
      </c>
      <c r="G1247" s="40" t="n"/>
      <c r="H1247" s="41" t="n"/>
      <c r="I1247" s="42">
        <f>IF($H1247="","",MAX(0,$H1247-N($E1247)))</f>
        <v/>
      </c>
      <c r="J1247" s="42">
        <f>IF($H1247="","",MAX(0,$H1247-N($G1247)))</f>
        <v/>
      </c>
    </row>
    <row r="1248" ht="19.5" customHeight="1" s="72">
      <c r="A1248" s="38" t="inlineStr">
        <is>
          <t>GeneralM-OCT-P05-SBA</t>
        </is>
      </c>
      <c r="B1248" s="38" t="inlineStr">
        <is>
          <t>Octavas</t>
        </is>
      </c>
      <c r="C1248" s="38" t="inlineStr">
        <is>
          <t>São Bento da Abadá</t>
        </is>
      </c>
      <c r="D1248" s="39">
        <f>IFERROR(CLASIF_General_M!$F$9,"")</f>
        <v/>
      </c>
      <c r="E1248" s="40" t="n"/>
      <c r="F1248" s="39">
        <f>IFERROR(CLASIF_General_M!$F$16,"")</f>
        <v/>
      </c>
      <c r="G1248" s="40" t="n"/>
      <c r="H1248" s="41" t="n"/>
      <c r="I1248" s="42">
        <f>IF($H1248="","",MAX(0,$H1248-N($E1248)))</f>
        <v/>
      </c>
      <c r="J1248" s="42">
        <f>IF($H1248="","",MAX(0,$H1248-N($G1248)))</f>
        <v/>
      </c>
    </row>
    <row r="1249" ht="19.5" customHeight="1" s="72">
      <c r="A1249" s="38" t="inlineStr">
        <is>
          <t>GeneralM-OCT-P05-SIR</t>
        </is>
      </c>
      <c r="B1249" s="38" t="inlineStr">
        <is>
          <t>Octavas</t>
        </is>
      </c>
      <c r="C1249" s="38" t="inlineStr">
        <is>
          <t>Siriuna</t>
        </is>
      </c>
      <c r="D1249" s="39">
        <f>IFERROR(CLASIF_General_M!$F$9,"")</f>
        <v/>
      </c>
      <c r="E1249" s="40" t="n"/>
      <c r="F1249" s="39">
        <f>IFERROR(CLASIF_General_M!$F$16,"")</f>
        <v/>
      </c>
      <c r="G1249" s="40" t="n"/>
      <c r="H1249" s="41" t="n"/>
      <c r="I1249" s="42">
        <f>IF($H1249="","",MAX(0,$H1249-N($E1249)))</f>
        <v/>
      </c>
      <c r="J1249" s="42">
        <f>IF($H1249="","",MAX(0,$H1249-N($G1249)))</f>
        <v/>
      </c>
    </row>
    <row r="1250" ht="19.5" customHeight="1" s="72">
      <c r="A1250" s="38" t="inlineStr">
        <is>
          <t>GeneralM-OCT-P06-BEN</t>
        </is>
      </c>
      <c r="B1250" s="38" t="inlineStr">
        <is>
          <t>Octavas</t>
        </is>
      </c>
      <c r="C1250" s="38" t="inlineStr">
        <is>
          <t>Benguela</t>
        </is>
      </c>
      <c r="D1250" s="39">
        <f>IFERROR(CLASIF_General_M!$F$10,"")</f>
        <v/>
      </c>
      <c r="E1250" s="40" t="n"/>
      <c r="F1250" s="39">
        <f>IFERROR(CLASIF_General_M!$F$15,"")</f>
        <v/>
      </c>
      <c r="G1250" s="40" t="n"/>
      <c r="H1250" s="41" t="n"/>
      <c r="I1250" s="42">
        <f>IF($H1250="","",MAX(0,$H1250-N($E1250)))</f>
        <v/>
      </c>
      <c r="J1250" s="42">
        <f>IF($H1250="","",MAX(0,$H1250-N($G1250)))</f>
        <v/>
      </c>
    </row>
    <row r="1251" ht="19.5" customHeight="1" s="72">
      <c r="A1251" s="38" t="inlineStr">
        <is>
          <t>GeneralM-OCT-P06-SBA</t>
        </is>
      </c>
      <c r="B1251" s="38" t="inlineStr">
        <is>
          <t>Octavas</t>
        </is>
      </c>
      <c r="C1251" s="38" t="inlineStr">
        <is>
          <t>São Bento da Abadá</t>
        </is>
      </c>
      <c r="D1251" s="39">
        <f>IFERROR(CLASIF_General_M!$F$10,"")</f>
        <v/>
      </c>
      <c r="E1251" s="40" t="n"/>
      <c r="F1251" s="39">
        <f>IFERROR(CLASIF_General_M!$F$15,"")</f>
        <v/>
      </c>
      <c r="G1251" s="40" t="n"/>
      <c r="H1251" s="41" t="n"/>
      <c r="I1251" s="42">
        <f>IF($H1251="","",MAX(0,$H1251-N($E1251)))</f>
        <v/>
      </c>
      <c r="J1251" s="42">
        <f>IF($H1251="","",MAX(0,$H1251-N($G1251)))</f>
        <v/>
      </c>
    </row>
    <row r="1252" ht="19.5" customHeight="1" s="72">
      <c r="A1252" s="38" t="inlineStr">
        <is>
          <t>GeneralM-OCT-P06-SIR</t>
        </is>
      </c>
      <c r="B1252" s="38" t="inlineStr">
        <is>
          <t>Octavas</t>
        </is>
      </c>
      <c r="C1252" s="38" t="inlineStr">
        <is>
          <t>Siriuna</t>
        </is>
      </c>
      <c r="D1252" s="39">
        <f>IFERROR(CLASIF_General_M!$F$10,"")</f>
        <v/>
      </c>
      <c r="E1252" s="40" t="n"/>
      <c r="F1252" s="39">
        <f>IFERROR(CLASIF_General_M!$F$15,"")</f>
        <v/>
      </c>
      <c r="G1252" s="40" t="n"/>
      <c r="H1252" s="41" t="n"/>
      <c r="I1252" s="42">
        <f>IF($H1252="","",MAX(0,$H1252-N($E1252)))</f>
        <v/>
      </c>
      <c r="J1252" s="42">
        <f>IF($H1252="","",MAX(0,$H1252-N($G1252)))</f>
        <v/>
      </c>
    </row>
    <row r="1253" ht="19.5" customHeight="1" s="72">
      <c r="A1253" s="38" t="inlineStr">
        <is>
          <t>GeneralM-OCT-P07-BEN</t>
        </is>
      </c>
      <c r="B1253" s="38" t="inlineStr">
        <is>
          <t>Octavas</t>
        </is>
      </c>
      <c r="C1253" s="38" t="inlineStr">
        <is>
          <t>Benguela</t>
        </is>
      </c>
      <c r="D1253" s="39">
        <f>IFERROR(CLASIF_General_M!$F$11,"")</f>
        <v/>
      </c>
      <c r="E1253" s="40" t="n"/>
      <c r="F1253" s="39">
        <f>IFERROR(CLASIF_General_M!$F$14,"")</f>
        <v/>
      </c>
      <c r="G1253" s="40" t="n"/>
      <c r="H1253" s="41" t="n"/>
      <c r="I1253" s="42">
        <f>IF($H1253="","",MAX(0,$H1253-N($E1253)))</f>
        <v/>
      </c>
      <c r="J1253" s="42">
        <f>IF($H1253="","",MAX(0,$H1253-N($G1253)))</f>
        <v/>
      </c>
    </row>
    <row r="1254" ht="19.5" customHeight="1" s="72">
      <c r="A1254" s="38" t="inlineStr">
        <is>
          <t>GeneralM-OCT-P07-SBA</t>
        </is>
      </c>
      <c r="B1254" s="38" t="inlineStr">
        <is>
          <t>Octavas</t>
        </is>
      </c>
      <c r="C1254" s="38" t="inlineStr">
        <is>
          <t>São Bento da Abadá</t>
        </is>
      </c>
      <c r="D1254" s="39">
        <f>IFERROR(CLASIF_General_M!$F$11,"")</f>
        <v/>
      </c>
      <c r="E1254" s="40" t="n"/>
      <c r="F1254" s="39">
        <f>IFERROR(CLASIF_General_M!$F$14,"")</f>
        <v/>
      </c>
      <c r="G1254" s="40" t="n"/>
      <c r="H1254" s="41" t="n"/>
      <c r="I1254" s="42">
        <f>IF($H1254="","",MAX(0,$H1254-N($E1254)))</f>
        <v/>
      </c>
      <c r="J1254" s="42">
        <f>IF($H1254="","",MAX(0,$H1254-N($G1254)))</f>
        <v/>
      </c>
    </row>
    <row r="1255" ht="19.5" customHeight="1" s="72">
      <c r="A1255" s="38" t="inlineStr">
        <is>
          <t>GeneralM-OCT-P07-SIR</t>
        </is>
      </c>
      <c r="B1255" s="38" t="inlineStr">
        <is>
          <t>Octavas</t>
        </is>
      </c>
      <c r="C1255" s="38" t="inlineStr">
        <is>
          <t>Siriuna</t>
        </is>
      </c>
      <c r="D1255" s="39">
        <f>IFERROR(CLASIF_General_M!$F$11,"")</f>
        <v/>
      </c>
      <c r="E1255" s="40" t="n"/>
      <c r="F1255" s="39">
        <f>IFERROR(CLASIF_General_M!$F$14,"")</f>
        <v/>
      </c>
      <c r="G1255" s="40" t="n"/>
      <c r="H1255" s="41" t="n"/>
      <c r="I1255" s="42">
        <f>IF($H1255="","",MAX(0,$H1255-N($E1255)))</f>
        <v/>
      </c>
      <c r="J1255" s="42">
        <f>IF($H1255="","",MAX(0,$H1255-N($G1255)))</f>
        <v/>
      </c>
    </row>
    <row r="1256" ht="19.5" customHeight="1" s="72">
      <c r="A1256" s="38" t="inlineStr">
        <is>
          <t>GeneralM-OCT-P08-BEN</t>
        </is>
      </c>
      <c r="B1256" s="38" t="inlineStr">
        <is>
          <t>Octavas</t>
        </is>
      </c>
      <c r="C1256" s="38" t="inlineStr">
        <is>
          <t>Benguela</t>
        </is>
      </c>
      <c r="D1256" s="39">
        <f>IFERROR(CLASIF_General_M!$F$12,"")</f>
        <v/>
      </c>
      <c r="E1256" s="40" t="n"/>
      <c r="F1256" s="39">
        <f>IFERROR(CLASIF_General_M!$F$13,"")</f>
        <v/>
      </c>
      <c r="G1256" s="40" t="n"/>
      <c r="H1256" s="41" t="n"/>
      <c r="I1256" s="42">
        <f>IF($H1256="","",MAX(0,$H1256-N($E1256)))</f>
        <v/>
      </c>
      <c r="J1256" s="42">
        <f>IF($H1256="","",MAX(0,$H1256-N($G1256)))</f>
        <v/>
      </c>
    </row>
    <row r="1257" ht="19.5" customHeight="1" s="72">
      <c r="A1257" s="38" t="inlineStr">
        <is>
          <t>GeneralM-OCT-P08-SBA</t>
        </is>
      </c>
      <c r="B1257" s="38" t="inlineStr">
        <is>
          <t>Octavas</t>
        </is>
      </c>
      <c r="C1257" s="38" t="inlineStr">
        <is>
          <t>São Bento da Abadá</t>
        </is>
      </c>
      <c r="D1257" s="39">
        <f>IFERROR(CLASIF_General_M!$F$12,"")</f>
        <v/>
      </c>
      <c r="E1257" s="40" t="n"/>
      <c r="F1257" s="39">
        <f>IFERROR(CLASIF_General_M!$F$13,"")</f>
        <v/>
      </c>
      <c r="G1257" s="40" t="n"/>
      <c r="H1257" s="41" t="n"/>
      <c r="I1257" s="42">
        <f>IF($H1257="","",MAX(0,$H1257-N($E1257)))</f>
        <v/>
      </c>
      <c r="J1257" s="42">
        <f>IF($H1257="","",MAX(0,$H1257-N($G1257)))</f>
        <v/>
      </c>
    </row>
    <row r="1258" ht="19.5" customHeight="1" s="72">
      <c r="A1258" s="38" t="inlineStr">
        <is>
          <t>GeneralM-OCT-P08-SIR</t>
        </is>
      </c>
      <c r="B1258" s="38" t="inlineStr">
        <is>
          <t>Octavas</t>
        </is>
      </c>
      <c r="C1258" s="38" t="inlineStr">
        <is>
          <t>Siriuna</t>
        </is>
      </c>
      <c r="D1258" s="39">
        <f>IFERROR(CLASIF_General_M!$F$12,"")</f>
        <v/>
      </c>
      <c r="E1258" s="40" t="n"/>
      <c r="F1258" s="39">
        <f>IFERROR(CLASIF_General_M!$F$13,"")</f>
        <v/>
      </c>
      <c r="G1258" s="40" t="n"/>
      <c r="H1258" s="41" t="n"/>
      <c r="I1258" s="42">
        <f>IF($H1258="","",MAX(0,$H1258-N($E1258)))</f>
        <v/>
      </c>
      <c r="J1258" s="42">
        <f>IF($H1258="","",MAX(0,$H1258-N($G1258)))</f>
        <v/>
      </c>
    </row>
    <row r="1259" ht="19.5" customHeight="1" s="72">
      <c r="A1259" s="38" t="inlineStr">
        <is>
          <t>GeneralM-SEM-P01-BEN</t>
        </is>
      </c>
      <c r="B1259" s="38" t="inlineStr">
        <is>
          <t>Semifinal</t>
        </is>
      </c>
      <c r="C1259" s="38" t="inlineStr">
        <is>
          <t>Benguela</t>
        </is>
      </c>
      <c r="D1259" s="39">
        <f>IFERROR(CLASIF_General_M!$O$5,"")</f>
        <v/>
      </c>
      <c r="E1259" s="40" t="n"/>
      <c r="F1259" s="39">
        <f>IFERROR(CLASIF_General_M!$O$12,"")</f>
        <v/>
      </c>
      <c r="G1259" s="40" t="n"/>
      <c r="H1259" s="41" t="n"/>
      <c r="I1259" s="42">
        <f>IF($H1259="","",MAX(0,$H1259-N($E1259)))</f>
        <v/>
      </c>
      <c r="J1259" s="42">
        <f>IF($H1259="","",MAX(0,$H1259-N($G1259)))</f>
        <v/>
      </c>
    </row>
    <row r="1260" ht="19.5" customHeight="1" s="72">
      <c r="A1260" s="38" t="inlineStr">
        <is>
          <t>GeneralM-SEM-P01-SBA</t>
        </is>
      </c>
      <c r="B1260" s="38" t="inlineStr">
        <is>
          <t>Semifinal</t>
        </is>
      </c>
      <c r="C1260" s="38" t="inlineStr">
        <is>
          <t>São Bento da Abadá</t>
        </is>
      </c>
      <c r="D1260" s="39">
        <f>IFERROR(CLASIF_General_M!$O$5,"")</f>
        <v/>
      </c>
      <c r="E1260" s="40" t="n"/>
      <c r="F1260" s="39">
        <f>IFERROR(CLASIF_General_M!$O$12,"")</f>
        <v/>
      </c>
      <c r="G1260" s="40" t="n"/>
      <c r="H1260" s="41" t="n"/>
      <c r="I1260" s="42">
        <f>IF($H1260="","",MAX(0,$H1260-N($E1260)))</f>
        <v/>
      </c>
      <c r="J1260" s="42">
        <f>IF($H1260="","",MAX(0,$H1260-N($G1260)))</f>
        <v/>
      </c>
    </row>
    <row r="1261" ht="19.5" customHeight="1" s="72">
      <c r="A1261" s="38" t="inlineStr">
        <is>
          <t>GeneralM-SEM-P01-SIR</t>
        </is>
      </c>
      <c r="B1261" s="38" t="inlineStr">
        <is>
          <t>Semifinal</t>
        </is>
      </c>
      <c r="C1261" s="38" t="inlineStr">
        <is>
          <t>Siriuna</t>
        </is>
      </c>
      <c r="D1261" s="39">
        <f>IFERROR(CLASIF_General_M!$O$5,"")</f>
        <v/>
      </c>
      <c r="E1261" s="40" t="n"/>
      <c r="F1261" s="39">
        <f>IFERROR(CLASIF_General_M!$O$12,"")</f>
        <v/>
      </c>
      <c r="G1261" s="40" t="n"/>
      <c r="H1261" s="41" t="n"/>
      <c r="I1261" s="42">
        <f>IF($H1261="","",MAX(0,$H1261-N($E1261)))</f>
        <v/>
      </c>
      <c r="J1261" s="42">
        <f>IF($H1261="","",MAX(0,$H1261-N($G1261)))</f>
        <v/>
      </c>
    </row>
    <row r="1262" ht="19.5" customHeight="1" s="72">
      <c r="A1262" s="38" t="inlineStr">
        <is>
          <t>GeneralM-SEM-P02-BEN</t>
        </is>
      </c>
      <c r="B1262" s="38" t="inlineStr">
        <is>
          <t>Semifinal</t>
        </is>
      </c>
      <c r="C1262" s="38" t="inlineStr">
        <is>
          <t>Benguela</t>
        </is>
      </c>
      <c r="D1262" s="39">
        <f>IFERROR(CLASIF_General_M!$O$6,"")</f>
        <v/>
      </c>
      <c r="E1262" s="40" t="n"/>
      <c r="F1262" s="39">
        <f>IFERROR(CLASIF_General_M!$O$11,"")</f>
        <v/>
      </c>
      <c r="G1262" s="40" t="n"/>
      <c r="H1262" s="41" t="n"/>
      <c r="I1262" s="42">
        <f>IF($H1262="","",MAX(0,$H1262-N($E1262)))</f>
        <v/>
      </c>
      <c r="J1262" s="42">
        <f>IF($H1262="","",MAX(0,$H1262-N($G1262)))</f>
        <v/>
      </c>
    </row>
    <row r="1263" ht="19.5" customHeight="1" s="72">
      <c r="A1263" s="38" t="inlineStr">
        <is>
          <t>GeneralM-SEM-P02-SBA</t>
        </is>
      </c>
      <c r="B1263" s="38" t="inlineStr">
        <is>
          <t>Semifinal</t>
        </is>
      </c>
      <c r="C1263" s="38" t="inlineStr">
        <is>
          <t>São Bento da Abadá</t>
        </is>
      </c>
      <c r="D1263" s="39">
        <f>IFERROR(CLASIF_General_M!$O$6,"")</f>
        <v/>
      </c>
      <c r="E1263" s="40" t="n"/>
      <c r="F1263" s="39">
        <f>IFERROR(CLASIF_General_M!$O$11,"")</f>
        <v/>
      </c>
      <c r="G1263" s="40" t="n"/>
      <c r="H1263" s="41" t="n"/>
      <c r="I1263" s="42">
        <f>IF($H1263="","",MAX(0,$H1263-N($E1263)))</f>
        <v/>
      </c>
      <c r="J1263" s="42">
        <f>IF($H1263="","",MAX(0,$H1263-N($G1263)))</f>
        <v/>
      </c>
    </row>
    <row r="1264" ht="19.5" customHeight="1" s="72">
      <c r="A1264" s="38" t="inlineStr">
        <is>
          <t>GeneralM-SEM-P02-SIR</t>
        </is>
      </c>
      <c r="B1264" s="38" t="inlineStr">
        <is>
          <t>Semifinal</t>
        </is>
      </c>
      <c r="C1264" s="38" t="inlineStr">
        <is>
          <t>Siriuna</t>
        </is>
      </c>
      <c r="D1264" s="39">
        <f>IFERROR(CLASIF_General_M!$O$6,"")</f>
        <v/>
      </c>
      <c r="E1264" s="40" t="n"/>
      <c r="F1264" s="39">
        <f>IFERROR(CLASIF_General_M!$O$11,"")</f>
        <v/>
      </c>
      <c r="G1264" s="40" t="n"/>
      <c r="H1264" s="41" t="n"/>
      <c r="I1264" s="42">
        <f>IF($H1264="","",MAX(0,$H1264-N($E1264)))</f>
        <v/>
      </c>
      <c r="J1264" s="42">
        <f>IF($H1264="","",MAX(0,$H1264-N($G1264)))</f>
        <v/>
      </c>
    </row>
    <row r="1265" ht="19.5" customHeight="1" s="72">
      <c r="A1265" s="38" t="inlineStr">
        <is>
          <t>GeneralM-SEM-P03-BEN</t>
        </is>
      </c>
      <c r="B1265" s="38" t="inlineStr">
        <is>
          <t>Semifinal</t>
        </is>
      </c>
      <c r="C1265" s="38" t="inlineStr">
        <is>
          <t>Benguela</t>
        </is>
      </c>
      <c r="D1265" s="39">
        <f>IFERROR(CLASIF_General_M!$O$7,"")</f>
        <v/>
      </c>
      <c r="E1265" s="40" t="n"/>
      <c r="F1265" s="39">
        <f>IFERROR(CLASIF_General_M!$O$10,"")</f>
        <v/>
      </c>
      <c r="G1265" s="40" t="n"/>
      <c r="H1265" s="41" t="n"/>
      <c r="I1265" s="42">
        <f>IF($H1265="","",MAX(0,$H1265-N($E1265)))</f>
        <v/>
      </c>
      <c r="J1265" s="42">
        <f>IF($H1265="","",MAX(0,$H1265-N($G1265)))</f>
        <v/>
      </c>
    </row>
    <row r="1266" ht="19.5" customHeight="1" s="72">
      <c r="A1266" s="38" t="inlineStr">
        <is>
          <t>GeneralM-SEM-P03-SBA</t>
        </is>
      </c>
      <c r="B1266" s="38" t="inlineStr">
        <is>
          <t>Semifinal</t>
        </is>
      </c>
      <c r="C1266" s="38" t="inlineStr">
        <is>
          <t>São Bento da Abadá</t>
        </is>
      </c>
      <c r="D1266" s="39">
        <f>IFERROR(CLASIF_General_M!$O$7,"")</f>
        <v/>
      </c>
      <c r="E1266" s="40" t="n"/>
      <c r="F1266" s="39">
        <f>IFERROR(CLASIF_General_M!$O$10,"")</f>
        <v/>
      </c>
      <c r="G1266" s="40" t="n"/>
      <c r="H1266" s="41" t="n"/>
      <c r="I1266" s="42">
        <f>IF($H1266="","",MAX(0,$H1266-N($E1266)))</f>
        <v/>
      </c>
      <c r="J1266" s="42">
        <f>IF($H1266="","",MAX(0,$H1266-N($G1266)))</f>
        <v/>
      </c>
    </row>
    <row r="1267" ht="19.5" customHeight="1" s="72">
      <c r="A1267" s="38" t="inlineStr">
        <is>
          <t>GeneralM-SEM-P03-SIR</t>
        </is>
      </c>
      <c r="B1267" s="38" t="inlineStr">
        <is>
          <t>Semifinal</t>
        </is>
      </c>
      <c r="C1267" s="38" t="inlineStr">
        <is>
          <t>Siriuna</t>
        </is>
      </c>
      <c r="D1267" s="39">
        <f>IFERROR(CLASIF_General_M!$O$7,"")</f>
        <v/>
      </c>
      <c r="E1267" s="40" t="n"/>
      <c r="F1267" s="39">
        <f>IFERROR(CLASIF_General_M!$O$10,"")</f>
        <v/>
      </c>
      <c r="G1267" s="40" t="n"/>
      <c r="H1267" s="41" t="n"/>
      <c r="I1267" s="42">
        <f>IF($H1267="","",MAX(0,$H1267-N($E1267)))</f>
        <v/>
      </c>
      <c r="J1267" s="42">
        <f>IF($H1267="","",MAX(0,$H1267-N($G1267)))</f>
        <v/>
      </c>
    </row>
    <row r="1268" ht="19.5" customHeight="1" s="72">
      <c r="A1268" s="38" t="inlineStr">
        <is>
          <t>GeneralM-SEM-P04-BEN</t>
        </is>
      </c>
      <c r="B1268" s="38" t="inlineStr">
        <is>
          <t>Semifinal</t>
        </is>
      </c>
      <c r="C1268" s="38" t="inlineStr">
        <is>
          <t>Benguela</t>
        </is>
      </c>
      <c r="D1268" s="39">
        <f>IFERROR(CLASIF_General_M!$O$8,"")</f>
        <v/>
      </c>
      <c r="E1268" s="40" t="n"/>
      <c r="F1268" s="39">
        <f>IFERROR(CLASIF_General_M!$O$9,"")</f>
        <v/>
      </c>
      <c r="G1268" s="40" t="n"/>
      <c r="H1268" s="41" t="n"/>
      <c r="I1268" s="42">
        <f>IF($H1268="","",MAX(0,$H1268-N($E1268)))</f>
        <v/>
      </c>
      <c r="J1268" s="42">
        <f>IF($H1268="","",MAX(0,$H1268-N($G1268)))</f>
        <v/>
      </c>
    </row>
    <row r="1269" ht="19.5" customHeight="1" s="72">
      <c r="A1269" s="38" t="inlineStr">
        <is>
          <t>GeneralM-SEM-P04-SBA</t>
        </is>
      </c>
      <c r="B1269" s="38" t="inlineStr">
        <is>
          <t>Semifinal</t>
        </is>
      </c>
      <c r="C1269" s="38" t="inlineStr">
        <is>
          <t>São Bento da Abadá</t>
        </is>
      </c>
      <c r="D1269" s="39">
        <f>IFERROR(CLASIF_General_M!$O$8,"")</f>
        <v/>
      </c>
      <c r="E1269" s="40" t="n"/>
      <c r="F1269" s="39">
        <f>IFERROR(CLASIF_General_M!$O$9,"")</f>
        <v/>
      </c>
      <c r="G1269" s="40" t="n"/>
      <c r="H1269" s="41" t="n"/>
      <c r="I1269" s="42">
        <f>IF($H1269="","",MAX(0,$H1269-N($E1269)))</f>
        <v/>
      </c>
      <c r="J1269" s="42">
        <f>IF($H1269="","",MAX(0,$H1269-N($G1269)))</f>
        <v/>
      </c>
    </row>
    <row r="1270" ht="19.5" customHeight="1" s="72">
      <c r="A1270" s="38" t="inlineStr">
        <is>
          <t>GeneralM-SEM-P04-SIR</t>
        </is>
      </c>
      <c r="B1270" s="38" t="inlineStr">
        <is>
          <t>Semifinal</t>
        </is>
      </c>
      <c r="C1270" s="38" t="inlineStr">
        <is>
          <t>Siriuna</t>
        </is>
      </c>
      <c r="D1270" s="39">
        <f>IFERROR(CLASIF_General_M!$O$8,"")</f>
        <v/>
      </c>
      <c r="E1270" s="40" t="n"/>
      <c r="F1270" s="39">
        <f>IFERROR(CLASIF_General_M!$O$9,"")</f>
        <v/>
      </c>
      <c r="G1270" s="40" t="n"/>
      <c r="H1270" s="41" t="n"/>
      <c r="I1270" s="42">
        <f>IF($H1270="","",MAX(0,$H1270-N($E1270)))</f>
        <v/>
      </c>
      <c r="J1270" s="42">
        <f>IF($H1270="","",MAX(0,$H1270-N($G1270)))</f>
        <v/>
      </c>
    </row>
    <row r="1271" ht="19.5" customHeight="1" s="72">
      <c r="A1271" s="38" t="inlineStr">
        <is>
          <t>GeneralM-FIN-P01-BEN</t>
        </is>
      </c>
      <c r="B1271" s="38" t="inlineStr">
        <is>
          <t>Final</t>
        </is>
      </c>
      <c r="C1271" s="38" t="inlineStr">
        <is>
          <t>Benguela</t>
        </is>
      </c>
      <c r="D1271" s="39">
        <f>IFERROR(CLASIF_General_M!$X$5,"")</f>
        <v/>
      </c>
      <c r="E1271" s="40" t="n"/>
      <c r="F1271" s="39">
        <f>IFERROR(CLASIF_General_M!$X$8,"")</f>
        <v/>
      </c>
      <c r="G1271" s="40" t="n"/>
      <c r="H1271" s="41" t="n"/>
      <c r="I1271" s="42">
        <f>IF($H1271="","",MAX(0,$H1271-N($E1271)))</f>
        <v/>
      </c>
      <c r="J1271" s="42">
        <f>IF($H1271="","",MAX(0,$H1271-N($G1271)))</f>
        <v/>
      </c>
    </row>
    <row r="1272" ht="19.5" customHeight="1" s="72">
      <c r="A1272" s="38" t="inlineStr">
        <is>
          <t>GeneralM-FIN-P01-SBA</t>
        </is>
      </c>
      <c r="B1272" s="38" t="inlineStr">
        <is>
          <t>Final</t>
        </is>
      </c>
      <c r="C1272" s="38" t="inlineStr">
        <is>
          <t>São Bento da Abadá</t>
        </is>
      </c>
      <c r="D1272" s="39">
        <f>IFERROR(CLASIF_General_M!$X$5,"")</f>
        <v/>
      </c>
      <c r="E1272" s="40" t="n"/>
      <c r="F1272" s="39">
        <f>IFERROR(CLASIF_General_M!$X$8,"")</f>
        <v/>
      </c>
      <c r="G1272" s="40" t="n"/>
      <c r="H1272" s="41" t="n"/>
      <c r="I1272" s="42">
        <f>IF($H1272="","",MAX(0,$H1272-N($E1272)))</f>
        <v/>
      </c>
      <c r="J1272" s="42">
        <f>IF($H1272="","",MAX(0,$H1272-N($G1272)))</f>
        <v/>
      </c>
    </row>
    <row r="1273" ht="19.5" customHeight="1" s="72">
      <c r="A1273" s="38" t="inlineStr">
        <is>
          <t>GeneralM-FIN-P01-SIR</t>
        </is>
      </c>
      <c r="B1273" s="38" t="inlineStr">
        <is>
          <t>Final</t>
        </is>
      </c>
      <c r="C1273" s="38" t="inlineStr">
        <is>
          <t>Siriuna</t>
        </is>
      </c>
      <c r="D1273" s="39">
        <f>IFERROR(CLASIF_General_M!$X$5,"")</f>
        <v/>
      </c>
      <c r="E1273" s="40" t="n"/>
      <c r="F1273" s="39">
        <f>IFERROR(CLASIF_General_M!$X$8,"")</f>
        <v/>
      </c>
      <c r="G1273" s="40" t="n"/>
      <c r="H1273" s="41" t="n"/>
      <c r="I1273" s="42">
        <f>IF($H1273="","",MAX(0,$H1273-N($E1273)))</f>
        <v/>
      </c>
      <c r="J1273" s="42">
        <f>IF($H1273="","",MAX(0,$H1273-N($G1273)))</f>
        <v/>
      </c>
    </row>
    <row r="1274" ht="19.5" customHeight="1" s="72">
      <c r="A1274" s="38" t="inlineStr">
        <is>
          <t>GeneralM-FIN-P02-BEN</t>
        </is>
      </c>
      <c r="B1274" s="38" t="inlineStr">
        <is>
          <t>Final</t>
        </is>
      </c>
      <c r="C1274" s="38" t="inlineStr">
        <is>
          <t>Benguela</t>
        </is>
      </c>
      <c r="D1274" s="39">
        <f>IFERROR(CLASIF_General_M!$X$6,"")</f>
        <v/>
      </c>
      <c r="E1274" s="40" t="n"/>
      <c r="F1274" s="39">
        <f>IFERROR(CLASIF_General_M!$X$7,"")</f>
        <v/>
      </c>
      <c r="G1274" s="40" t="n"/>
      <c r="H1274" s="41" t="n"/>
      <c r="I1274" s="42">
        <f>IF($H1274="","",MAX(0,$H1274-N($E1274)))</f>
        <v/>
      </c>
      <c r="J1274" s="42">
        <f>IF($H1274="","",MAX(0,$H1274-N($G1274)))</f>
        <v/>
      </c>
    </row>
    <row r="1275" ht="19.5" customHeight="1" s="72">
      <c r="A1275" s="38" t="inlineStr">
        <is>
          <t>GeneralM-FIN-P02-SBA</t>
        </is>
      </c>
      <c r="B1275" s="38" t="inlineStr">
        <is>
          <t>Final</t>
        </is>
      </c>
      <c r="C1275" s="38" t="inlineStr">
        <is>
          <t>São Bento da Abadá</t>
        </is>
      </c>
      <c r="D1275" s="39">
        <f>IFERROR(CLASIF_General_M!$X$6,"")</f>
        <v/>
      </c>
      <c r="E1275" s="40" t="n"/>
      <c r="F1275" s="39">
        <f>IFERROR(CLASIF_General_M!$X$7,"")</f>
        <v/>
      </c>
      <c r="G1275" s="40" t="n"/>
      <c r="H1275" s="41" t="n"/>
      <c r="I1275" s="42">
        <f>IF($H1275="","",MAX(0,$H1275-N($E1275)))</f>
        <v/>
      </c>
      <c r="J1275" s="42">
        <f>IF($H1275="","",MAX(0,$H1275-N($G1275)))</f>
        <v/>
      </c>
    </row>
    <row r="1276" ht="19.5" customHeight="1" s="72">
      <c r="A1276" s="38" t="inlineStr">
        <is>
          <t>GeneralM-FIN-P02-SIR</t>
        </is>
      </c>
      <c r="B1276" s="38" t="inlineStr">
        <is>
          <t>Final</t>
        </is>
      </c>
      <c r="C1276" s="38" t="inlineStr">
        <is>
          <t>Siriuna</t>
        </is>
      </c>
      <c r="D1276" s="39">
        <f>IFERROR(CLASIF_General_M!$X$6,"")</f>
        <v/>
      </c>
      <c r="E1276" s="40" t="n"/>
      <c r="F1276" s="39">
        <f>IFERROR(CLASIF_General_M!$X$7,"")</f>
        <v/>
      </c>
      <c r="G1276" s="40" t="n"/>
      <c r="H1276" s="41" t="n"/>
      <c r="I1276" s="42">
        <f>IF($H1276="","",MAX(0,$H1276-N($E1276)))</f>
        <v/>
      </c>
      <c r="J1276" s="42">
        <f>IF($H1276="","",MAX(0,$H1276-N($G1276)))</f>
        <v/>
      </c>
    </row>
    <row r="1277" ht="19.5" customHeight="1" s="72">
      <c r="A1277" s="43" t="n"/>
      <c r="B1277" s="43" t="n"/>
      <c r="C1277" s="43" t="n"/>
      <c r="D1277" s="43" t="n"/>
      <c r="E1277" s="43" t="n"/>
      <c r="F1277" s="43" t="n"/>
      <c r="G1277" s="43" t="n"/>
      <c r="H1277" s="44" t="n"/>
      <c r="I1277" s="43">
        <f>IF($H1277="","",MAX(0,$H1277-N($E1277)))</f>
        <v/>
      </c>
      <c r="J1277" s="43">
        <f>IF($H1277="","",MAX(0,$H1277-N($G1277)))</f>
        <v/>
      </c>
    </row>
    <row r="1278" ht="19.5" customHeight="1" s="72">
      <c r="A1278" s="87" t="inlineStr">
        <is>
          <t>═══ CATEGORÍA General · Femenino · Todas · Toques: Benguela, São Bento da Abadá, Siriuna ═══</t>
        </is>
      </c>
    </row>
    <row r="1279" ht="19.5" customHeight="1" s="72">
      <c r="A1279" s="45" t="inlineStr">
        <is>
          <t>Jogo</t>
        </is>
      </c>
      <c r="B1279" s="45" t="inlineStr">
        <is>
          <t>Fase</t>
        </is>
      </c>
      <c r="C1279" s="45" t="inlineStr">
        <is>
          <t>Toque</t>
        </is>
      </c>
      <c r="D1279" s="45" t="inlineStr">
        <is>
          <t>Jugador A</t>
        </is>
      </c>
      <c r="E1279" s="45" t="inlineStr">
        <is>
          <t>Quita A</t>
        </is>
      </c>
      <c r="F1279" s="45" t="inlineStr">
        <is>
          <t>Jugador B</t>
        </is>
      </c>
      <c r="G1279" s="45" t="inlineStr">
        <is>
          <t>Quita B</t>
        </is>
      </c>
      <c r="H1279" s="45" t="inlineStr">
        <is>
          <t>NOTA (0-5)</t>
        </is>
      </c>
      <c r="I1279" s="45">
        <f>IF($H1279="","",MAX(0,$H1279-N($E1279)))</f>
        <v/>
      </c>
      <c r="J1279" s="45">
        <f>IF($H1279="","",MAX(0,$H1279-N($G1279)))</f>
        <v/>
      </c>
    </row>
    <row r="1280" ht="19.5" customHeight="1" s="72">
      <c r="A1280" s="38" t="inlineStr">
        <is>
          <t>GeneralF-32-P01-BEN</t>
        </is>
      </c>
      <c r="B1280" s="38" t="inlineStr">
        <is>
          <t>Fase 32</t>
        </is>
      </c>
      <c r="C1280" s="38" t="inlineStr">
        <is>
          <t>Benguela</t>
        </is>
      </c>
      <c r="D1280" s="39" t="inlineStr">
        <is>
          <t>A_General_F_32_P1</t>
        </is>
      </c>
      <c r="E1280" s="40" t="n"/>
      <c r="F1280" s="39" t="inlineStr">
        <is>
          <t>B_General_F_32_P1</t>
        </is>
      </c>
      <c r="G1280" s="40" t="n"/>
      <c r="H1280" s="41" t="n"/>
      <c r="I1280" s="42">
        <f>IF($H1280="","",MAX(0,$H1280-N($E1280)))</f>
        <v/>
      </c>
      <c r="J1280" s="42">
        <f>IF($H1280="","",MAX(0,$H1280-N($G1280)))</f>
        <v/>
      </c>
    </row>
    <row r="1281" ht="19.5" customHeight="1" s="72">
      <c r="A1281" s="38" t="inlineStr">
        <is>
          <t>GeneralF-32-P01-SBA</t>
        </is>
      </c>
      <c r="B1281" s="38" t="inlineStr">
        <is>
          <t>Fase 32</t>
        </is>
      </c>
      <c r="C1281" s="38" t="inlineStr">
        <is>
          <t>São Bento da Abadá</t>
        </is>
      </c>
      <c r="D1281" s="39" t="inlineStr">
        <is>
          <t>A_General_F_32_P1</t>
        </is>
      </c>
      <c r="E1281" s="40" t="n"/>
      <c r="F1281" s="39" t="inlineStr">
        <is>
          <t>B_General_F_32_P1</t>
        </is>
      </c>
      <c r="G1281" s="40" t="n"/>
      <c r="H1281" s="41" t="n"/>
      <c r="I1281" s="42">
        <f>IF($H1281="","",MAX(0,$H1281-N($E1281)))</f>
        <v/>
      </c>
      <c r="J1281" s="42">
        <f>IF($H1281="","",MAX(0,$H1281-N($G1281)))</f>
        <v/>
      </c>
    </row>
    <row r="1282" ht="19.5" customHeight="1" s="72">
      <c r="A1282" s="38" t="inlineStr">
        <is>
          <t>GeneralF-32-P01-SIR</t>
        </is>
      </c>
      <c r="B1282" s="38" t="inlineStr">
        <is>
          <t>Fase 32</t>
        </is>
      </c>
      <c r="C1282" s="38" t="inlineStr">
        <is>
          <t>Siriuna</t>
        </is>
      </c>
      <c r="D1282" s="39" t="inlineStr">
        <is>
          <t>A_General_F_32_P1</t>
        </is>
      </c>
      <c r="E1282" s="40" t="n"/>
      <c r="F1282" s="39" t="inlineStr">
        <is>
          <t>B_General_F_32_P1</t>
        </is>
      </c>
      <c r="G1282" s="40" t="n"/>
      <c r="H1282" s="41" t="n"/>
      <c r="I1282" s="42">
        <f>IF($H1282="","",MAX(0,$H1282-N($E1282)))</f>
        <v/>
      </c>
      <c r="J1282" s="42">
        <f>IF($H1282="","",MAX(0,$H1282-N($G1282)))</f>
        <v/>
      </c>
    </row>
    <row r="1283" ht="19.5" customHeight="1" s="72">
      <c r="A1283" s="38" t="inlineStr">
        <is>
          <t>GeneralF-32-P02-BEN</t>
        </is>
      </c>
      <c r="B1283" s="38" t="inlineStr">
        <is>
          <t>Fase 32</t>
        </is>
      </c>
      <c r="C1283" s="38" t="inlineStr">
        <is>
          <t>Benguela</t>
        </is>
      </c>
      <c r="D1283" s="39" t="inlineStr">
        <is>
          <t>A_General_F_32_P2</t>
        </is>
      </c>
      <c r="E1283" s="40" t="n"/>
      <c r="F1283" s="39" t="inlineStr">
        <is>
          <t>B_General_F_32_P2</t>
        </is>
      </c>
      <c r="G1283" s="40" t="n"/>
      <c r="H1283" s="41" t="n"/>
      <c r="I1283" s="42">
        <f>IF($H1283="","",MAX(0,$H1283-N($E1283)))</f>
        <v/>
      </c>
      <c r="J1283" s="42">
        <f>IF($H1283="","",MAX(0,$H1283-N($G1283)))</f>
        <v/>
      </c>
    </row>
    <row r="1284" ht="19.5" customHeight="1" s="72">
      <c r="A1284" s="38" t="inlineStr">
        <is>
          <t>GeneralF-32-P02-SBA</t>
        </is>
      </c>
      <c r="B1284" s="38" t="inlineStr">
        <is>
          <t>Fase 32</t>
        </is>
      </c>
      <c r="C1284" s="38" t="inlineStr">
        <is>
          <t>São Bento da Abadá</t>
        </is>
      </c>
      <c r="D1284" s="39" t="inlineStr">
        <is>
          <t>A_General_F_32_P2</t>
        </is>
      </c>
      <c r="E1284" s="40" t="n"/>
      <c r="F1284" s="39" t="inlineStr">
        <is>
          <t>B_General_F_32_P2</t>
        </is>
      </c>
      <c r="G1284" s="40" t="n"/>
      <c r="H1284" s="41" t="n"/>
      <c r="I1284" s="42">
        <f>IF($H1284="","",MAX(0,$H1284-N($E1284)))</f>
        <v/>
      </c>
      <c r="J1284" s="42">
        <f>IF($H1284="","",MAX(0,$H1284-N($G1284)))</f>
        <v/>
      </c>
    </row>
    <row r="1285" ht="19.5" customHeight="1" s="72">
      <c r="A1285" s="38" t="inlineStr">
        <is>
          <t>GeneralF-32-P02-SIR</t>
        </is>
      </c>
      <c r="B1285" s="38" t="inlineStr">
        <is>
          <t>Fase 32</t>
        </is>
      </c>
      <c r="C1285" s="38" t="inlineStr">
        <is>
          <t>Siriuna</t>
        </is>
      </c>
      <c r="D1285" s="39" t="inlineStr">
        <is>
          <t>A_General_F_32_P2</t>
        </is>
      </c>
      <c r="E1285" s="40" t="n"/>
      <c r="F1285" s="39" t="inlineStr">
        <is>
          <t>B_General_F_32_P2</t>
        </is>
      </c>
      <c r="G1285" s="40" t="n"/>
      <c r="H1285" s="41" t="n"/>
      <c r="I1285" s="42">
        <f>IF($H1285="","",MAX(0,$H1285-N($E1285)))</f>
        <v/>
      </c>
      <c r="J1285" s="42">
        <f>IF($H1285="","",MAX(0,$H1285-N($G1285)))</f>
        <v/>
      </c>
    </row>
    <row r="1286" ht="19.5" customHeight="1" s="72">
      <c r="A1286" s="38" t="inlineStr">
        <is>
          <t>GeneralF-32-P03-BEN</t>
        </is>
      </c>
      <c r="B1286" s="38" t="inlineStr">
        <is>
          <t>Fase 32</t>
        </is>
      </c>
      <c r="C1286" s="38" t="inlineStr">
        <is>
          <t>Benguela</t>
        </is>
      </c>
      <c r="D1286" s="39" t="inlineStr">
        <is>
          <t>A_General_F_32_P3</t>
        </is>
      </c>
      <c r="E1286" s="40" t="n"/>
      <c r="F1286" s="39" t="inlineStr">
        <is>
          <t>B_General_F_32_P3</t>
        </is>
      </c>
      <c r="G1286" s="40" t="n"/>
      <c r="H1286" s="41" t="n"/>
      <c r="I1286" s="42">
        <f>IF($H1286="","",MAX(0,$H1286-N($E1286)))</f>
        <v/>
      </c>
      <c r="J1286" s="42">
        <f>IF($H1286="","",MAX(0,$H1286-N($G1286)))</f>
        <v/>
      </c>
    </row>
    <row r="1287" ht="19.5" customHeight="1" s="72">
      <c r="A1287" s="38" t="inlineStr">
        <is>
          <t>GeneralF-32-P03-SBA</t>
        </is>
      </c>
      <c r="B1287" s="38" t="inlineStr">
        <is>
          <t>Fase 32</t>
        </is>
      </c>
      <c r="C1287" s="38" t="inlineStr">
        <is>
          <t>São Bento da Abadá</t>
        </is>
      </c>
      <c r="D1287" s="39" t="inlineStr">
        <is>
          <t>A_General_F_32_P3</t>
        </is>
      </c>
      <c r="E1287" s="40" t="n"/>
      <c r="F1287" s="39" t="inlineStr">
        <is>
          <t>B_General_F_32_P3</t>
        </is>
      </c>
      <c r="G1287" s="40" t="n"/>
      <c r="H1287" s="41" t="n"/>
      <c r="I1287" s="42">
        <f>IF($H1287="","",MAX(0,$H1287-N($E1287)))</f>
        <v/>
      </c>
      <c r="J1287" s="42">
        <f>IF($H1287="","",MAX(0,$H1287-N($G1287)))</f>
        <v/>
      </c>
    </row>
    <row r="1288" ht="19.5" customHeight="1" s="72">
      <c r="A1288" s="38" t="inlineStr">
        <is>
          <t>GeneralF-32-P03-SIR</t>
        </is>
      </c>
      <c r="B1288" s="38" t="inlineStr">
        <is>
          <t>Fase 32</t>
        </is>
      </c>
      <c r="C1288" s="38" t="inlineStr">
        <is>
          <t>Siriuna</t>
        </is>
      </c>
      <c r="D1288" s="39" t="inlineStr">
        <is>
          <t>A_General_F_32_P3</t>
        </is>
      </c>
      <c r="E1288" s="40" t="n"/>
      <c r="F1288" s="39" t="inlineStr">
        <is>
          <t>B_General_F_32_P3</t>
        </is>
      </c>
      <c r="G1288" s="40" t="n"/>
      <c r="H1288" s="41" t="n"/>
      <c r="I1288" s="42">
        <f>IF($H1288="","",MAX(0,$H1288-N($E1288)))</f>
        <v/>
      </c>
      <c r="J1288" s="42">
        <f>IF($H1288="","",MAX(0,$H1288-N($G1288)))</f>
        <v/>
      </c>
    </row>
    <row r="1289" ht="19.5" customHeight="1" s="72">
      <c r="A1289" s="38" t="inlineStr">
        <is>
          <t>GeneralF-32-P04-BEN</t>
        </is>
      </c>
      <c r="B1289" s="38" t="inlineStr">
        <is>
          <t>Fase 32</t>
        </is>
      </c>
      <c r="C1289" s="38" t="inlineStr">
        <is>
          <t>Benguela</t>
        </is>
      </c>
      <c r="D1289" s="39" t="inlineStr">
        <is>
          <t>A_General_F_32_P4</t>
        </is>
      </c>
      <c r="E1289" s="40" t="n"/>
      <c r="F1289" s="39" t="inlineStr">
        <is>
          <t>B_General_F_32_P4</t>
        </is>
      </c>
      <c r="G1289" s="40" t="n"/>
      <c r="H1289" s="41" t="n"/>
      <c r="I1289" s="42">
        <f>IF($H1289="","",MAX(0,$H1289-N($E1289)))</f>
        <v/>
      </c>
      <c r="J1289" s="42">
        <f>IF($H1289="","",MAX(0,$H1289-N($G1289)))</f>
        <v/>
      </c>
    </row>
    <row r="1290" ht="19.5" customHeight="1" s="72">
      <c r="A1290" s="38" t="inlineStr">
        <is>
          <t>GeneralF-32-P04-SBA</t>
        </is>
      </c>
      <c r="B1290" s="38" t="inlineStr">
        <is>
          <t>Fase 32</t>
        </is>
      </c>
      <c r="C1290" s="38" t="inlineStr">
        <is>
          <t>São Bento da Abadá</t>
        </is>
      </c>
      <c r="D1290" s="39" t="inlineStr">
        <is>
          <t>A_General_F_32_P4</t>
        </is>
      </c>
      <c r="E1290" s="40" t="n"/>
      <c r="F1290" s="39" t="inlineStr">
        <is>
          <t>B_General_F_32_P4</t>
        </is>
      </c>
      <c r="G1290" s="40" t="n"/>
      <c r="H1290" s="41" t="n"/>
      <c r="I1290" s="42">
        <f>IF($H1290="","",MAX(0,$H1290-N($E1290)))</f>
        <v/>
      </c>
      <c r="J1290" s="42">
        <f>IF($H1290="","",MAX(0,$H1290-N($G1290)))</f>
        <v/>
      </c>
    </row>
    <row r="1291" ht="19.5" customHeight="1" s="72">
      <c r="A1291" s="38" t="inlineStr">
        <is>
          <t>GeneralF-32-P04-SIR</t>
        </is>
      </c>
      <c r="B1291" s="38" t="inlineStr">
        <is>
          <t>Fase 32</t>
        </is>
      </c>
      <c r="C1291" s="38" t="inlineStr">
        <is>
          <t>Siriuna</t>
        </is>
      </c>
      <c r="D1291" s="39" t="inlineStr">
        <is>
          <t>A_General_F_32_P4</t>
        </is>
      </c>
      <c r="E1291" s="40" t="n"/>
      <c r="F1291" s="39" t="inlineStr">
        <is>
          <t>B_General_F_32_P4</t>
        </is>
      </c>
      <c r="G1291" s="40" t="n"/>
      <c r="H1291" s="41" t="n"/>
      <c r="I1291" s="42">
        <f>IF($H1291="","",MAX(0,$H1291-N($E1291)))</f>
        <v/>
      </c>
      <c r="J1291" s="42">
        <f>IF($H1291="","",MAX(0,$H1291-N($G1291)))</f>
        <v/>
      </c>
    </row>
    <row r="1292" ht="19.5" customHeight="1" s="72">
      <c r="A1292" s="38" t="inlineStr">
        <is>
          <t>GeneralF-32-P05-BEN</t>
        </is>
      </c>
      <c r="B1292" s="38" t="inlineStr">
        <is>
          <t>Fase 32</t>
        </is>
      </c>
      <c r="C1292" s="38" t="inlineStr">
        <is>
          <t>Benguela</t>
        </is>
      </c>
      <c r="D1292" s="39" t="inlineStr">
        <is>
          <t>A_General_F_32_P5</t>
        </is>
      </c>
      <c r="E1292" s="40" t="n"/>
      <c r="F1292" s="39" t="inlineStr">
        <is>
          <t>B_General_F_32_P5</t>
        </is>
      </c>
      <c r="G1292" s="40" t="n"/>
      <c r="H1292" s="41" t="n"/>
      <c r="I1292" s="42">
        <f>IF($H1292="","",MAX(0,$H1292-N($E1292)))</f>
        <v/>
      </c>
      <c r="J1292" s="42">
        <f>IF($H1292="","",MAX(0,$H1292-N($G1292)))</f>
        <v/>
      </c>
    </row>
    <row r="1293" ht="19.5" customHeight="1" s="72">
      <c r="A1293" s="38" t="inlineStr">
        <is>
          <t>GeneralF-32-P05-SBA</t>
        </is>
      </c>
      <c r="B1293" s="38" t="inlineStr">
        <is>
          <t>Fase 32</t>
        </is>
      </c>
      <c r="C1293" s="38" t="inlineStr">
        <is>
          <t>São Bento da Abadá</t>
        </is>
      </c>
      <c r="D1293" s="39" t="inlineStr">
        <is>
          <t>A_General_F_32_P5</t>
        </is>
      </c>
      <c r="E1293" s="40" t="n"/>
      <c r="F1293" s="39" t="inlineStr">
        <is>
          <t>B_General_F_32_P5</t>
        </is>
      </c>
      <c r="G1293" s="40" t="n"/>
      <c r="H1293" s="41" t="n"/>
      <c r="I1293" s="42">
        <f>IF($H1293="","",MAX(0,$H1293-N($E1293)))</f>
        <v/>
      </c>
      <c r="J1293" s="42">
        <f>IF($H1293="","",MAX(0,$H1293-N($G1293)))</f>
        <v/>
      </c>
    </row>
    <row r="1294" ht="19.5" customHeight="1" s="72">
      <c r="A1294" s="38" t="inlineStr">
        <is>
          <t>GeneralF-32-P05-SIR</t>
        </is>
      </c>
      <c r="B1294" s="38" t="inlineStr">
        <is>
          <t>Fase 32</t>
        </is>
      </c>
      <c r="C1294" s="38" t="inlineStr">
        <is>
          <t>Siriuna</t>
        </is>
      </c>
      <c r="D1294" s="39" t="inlineStr">
        <is>
          <t>A_General_F_32_P5</t>
        </is>
      </c>
      <c r="E1294" s="40" t="n"/>
      <c r="F1294" s="39" t="inlineStr">
        <is>
          <t>B_General_F_32_P5</t>
        </is>
      </c>
      <c r="G1294" s="40" t="n"/>
      <c r="H1294" s="41" t="n"/>
      <c r="I1294" s="42">
        <f>IF($H1294="","",MAX(0,$H1294-N($E1294)))</f>
        <v/>
      </c>
      <c r="J1294" s="42">
        <f>IF($H1294="","",MAX(0,$H1294-N($G1294)))</f>
        <v/>
      </c>
    </row>
    <row r="1295" ht="19.5" customHeight="1" s="72">
      <c r="A1295" s="38" t="inlineStr">
        <is>
          <t>GeneralF-32-P06-BEN</t>
        </is>
      </c>
      <c r="B1295" s="38" t="inlineStr">
        <is>
          <t>Fase 32</t>
        </is>
      </c>
      <c r="C1295" s="38" t="inlineStr">
        <is>
          <t>Benguela</t>
        </is>
      </c>
      <c r="D1295" s="39" t="inlineStr">
        <is>
          <t>A_General_F_32_P6</t>
        </is>
      </c>
      <c r="E1295" s="40" t="n"/>
      <c r="F1295" s="39" t="inlineStr">
        <is>
          <t>B_General_F_32_P6</t>
        </is>
      </c>
      <c r="G1295" s="40" t="n"/>
      <c r="H1295" s="41" t="n"/>
      <c r="I1295" s="42">
        <f>IF($H1295="","",MAX(0,$H1295-N($E1295)))</f>
        <v/>
      </c>
      <c r="J1295" s="42">
        <f>IF($H1295="","",MAX(0,$H1295-N($G1295)))</f>
        <v/>
      </c>
    </row>
    <row r="1296" ht="19.5" customHeight="1" s="72">
      <c r="A1296" s="38" t="inlineStr">
        <is>
          <t>GeneralF-32-P06-SBA</t>
        </is>
      </c>
      <c r="B1296" s="38" t="inlineStr">
        <is>
          <t>Fase 32</t>
        </is>
      </c>
      <c r="C1296" s="38" t="inlineStr">
        <is>
          <t>São Bento da Abadá</t>
        </is>
      </c>
      <c r="D1296" s="39" t="inlineStr">
        <is>
          <t>A_General_F_32_P6</t>
        </is>
      </c>
      <c r="E1296" s="40" t="n"/>
      <c r="F1296" s="39" t="inlineStr">
        <is>
          <t>B_General_F_32_P6</t>
        </is>
      </c>
      <c r="G1296" s="40" t="n"/>
      <c r="H1296" s="41" t="n"/>
      <c r="I1296" s="42">
        <f>IF($H1296="","",MAX(0,$H1296-N($E1296)))</f>
        <v/>
      </c>
      <c r="J1296" s="42">
        <f>IF($H1296="","",MAX(0,$H1296-N($G1296)))</f>
        <v/>
      </c>
    </row>
    <row r="1297" ht="19.5" customHeight="1" s="72">
      <c r="A1297" s="38" t="inlineStr">
        <is>
          <t>GeneralF-32-P06-SIR</t>
        </is>
      </c>
      <c r="B1297" s="38" t="inlineStr">
        <is>
          <t>Fase 32</t>
        </is>
      </c>
      <c r="C1297" s="38" t="inlineStr">
        <is>
          <t>Siriuna</t>
        </is>
      </c>
      <c r="D1297" s="39" t="inlineStr">
        <is>
          <t>A_General_F_32_P6</t>
        </is>
      </c>
      <c r="E1297" s="40" t="n"/>
      <c r="F1297" s="39" t="inlineStr">
        <is>
          <t>B_General_F_32_P6</t>
        </is>
      </c>
      <c r="G1297" s="40" t="n"/>
      <c r="H1297" s="41" t="n"/>
      <c r="I1297" s="42">
        <f>IF($H1297="","",MAX(0,$H1297-N($E1297)))</f>
        <v/>
      </c>
      <c r="J1297" s="42">
        <f>IF($H1297="","",MAX(0,$H1297-N($G1297)))</f>
        <v/>
      </c>
    </row>
    <row r="1298" ht="19.5" customHeight="1" s="72">
      <c r="A1298" s="38" t="inlineStr">
        <is>
          <t>GeneralF-32-P07-BEN</t>
        </is>
      </c>
      <c r="B1298" s="38" t="inlineStr">
        <is>
          <t>Fase 32</t>
        </is>
      </c>
      <c r="C1298" s="38" t="inlineStr">
        <is>
          <t>Benguela</t>
        </is>
      </c>
      <c r="D1298" s="39" t="inlineStr">
        <is>
          <t>A_General_F_32_P7</t>
        </is>
      </c>
      <c r="E1298" s="40" t="n"/>
      <c r="F1298" s="39" t="inlineStr">
        <is>
          <t>B_General_F_32_P7</t>
        </is>
      </c>
      <c r="G1298" s="40" t="n"/>
      <c r="H1298" s="41" t="n"/>
      <c r="I1298" s="42">
        <f>IF($H1298="","",MAX(0,$H1298-N($E1298)))</f>
        <v/>
      </c>
      <c r="J1298" s="42">
        <f>IF($H1298="","",MAX(0,$H1298-N($G1298)))</f>
        <v/>
      </c>
    </row>
    <row r="1299" ht="19.5" customHeight="1" s="72">
      <c r="A1299" s="38" t="inlineStr">
        <is>
          <t>GeneralF-32-P07-SBA</t>
        </is>
      </c>
      <c r="B1299" s="38" t="inlineStr">
        <is>
          <t>Fase 32</t>
        </is>
      </c>
      <c r="C1299" s="38" t="inlineStr">
        <is>
          <t>São Bento da Abadá</t>
        </is>
      </c>
      <c r="D1299" s="39" t="inlineStr">
        <is>
          <t>A_General_F_32_P7</t>
        </is>
      </c>
      <c r="E1299" s="40" t="n"/>
      <c r="F1299" s="39" t="inlineStr">
        <is>
          <t>B_General_F_32_P7</t>
        </is>
      </c>
      <c r="G1299" s="40" t="n"/>
      <c r="H1299" s="41" t="n"/>
      <c r="I1299" s="42">
        <f>IF($H1299="","",MAX(0,$H1299-N($E1299)))</f>
        <v/>
      </c>
      <c r="J1299" s="42">
        <f>IF($H1299="","",MAX(0,$H1299-N($G1299)))</f>
        <v/>
      </c>
    </row>
    <row r="1300" ht="19.5" customHeight="1" s="72">
      <c r="A1300" s="38" t="inlineStr">
        <is>
          <t>GeneralF-32-P07-SIR</t>
        </is>
      </c>
      <c r="B1300" s="38" t="inlineStr">
        <is>
          <t>Fase 32</t>
        </is>
      </c>
      <c r="C1300" s="38" t="inlineStr">
        <is>
          <t>Siriuna</t>
        </is>
      </c>
      <c r="D1300" s="39" t="inlineStr">
        <is>
          <t>A_General_F_32_P7</t>
        </is>
      </c>
      <c r="E1300" s="40" t="n"/>
      <c r="F1300" s="39" t="inlineStr">
        <is>
          <t>B_General_F_32_P7</t>
        </is>
      </c>
      <c r="G1300" s="40" t="n"/>
      <c r="H1300" s="41" t="n"/>
      <c r="I1300" s="42">
        <f>IF($H1300="","",MAX(0,$H1300-N($E1300)))</f>
        <v/>
      </c>
      <c r="J1300" s="42">
        <f>IF($H1300="","",MAX(0,$H1300-N($G1300)))</f>
        <v/>
      </c>
    </row>
    <row r="1301" ht="19.5" customHeight="1" s="72">
      <c r="A1301" s="38" t="inlineStr">
        <is>
          <t>GeneralF-32-P08-BEN</t>
        </is>
      </c>
      <c r="B1301" s="38" t="inlineStr">
        <is>
          <t>Fase 32</t>
        </is>
      </c>
      <c r="C1301" s="38" t="inlineStr">
        <is>
          <t>Benguela</t>
        </is>
      </c>
      <c r="D1301" s="39" t="inlineStr">
        <is>
          <t>A_General_F_32_P8</t>
        </is>
      </c>
      <c r="E1301" s="40" t="n"/>
      <c r="F1301" s="39" t="inlineStr">
        <is>
          <t>B_General_F_32_P8</t>
        </is>
      </c>
      <c r="G1301" s="40" t="n"/>
      <c r="H1301" s="41" t="n"/>
      <c r="I1301" s="42">
        <f>IF($H1301="","",MAX(0,$H1301-N($E1301)))</f>
        <v/>
      </c>
      <c r="J1301" s="42">
        <f>IF($H1301="","",MAX(0,$H1301-N($G1301)))</f>
        <v/>
      </c>
    </row>
    <row r="1302" ht="19.5" customHeight="1" s="72">
      <c r="A1302" s="38" t="inlineStr">
        <is>
          <t>GeneralF-32-P08-SBA</t>
        </is>
      </c>
      <c r="B1302" s="38" t="inlineStr">
        <is>
          <t>Fase 32</t>
        </is>
      </c>
      <c r="C1302" s="38" t="inlineStr">
        <is>
          <t>São Bento da Abadá</t>
        </is>
      </c>
      <c r="D1302" s="39" t="inlineStr">
        <is>
          <t>A_General_F_32_P8</t>
        </is>
      </c>
      <c r="E1302" s="40" t="n"/>
      <c r="F1302" s="39" t="inlineStr">
        <is>
          <t>B_General_F_32_P8</t>
        </is>
      </c>
      <c r="G1302" s="40" t="n"/>
      <c r="H1302" s="41" t="n"/>
      <c r="I1302" s="42">
        <f>IF($H1302="","",MAX(0,$H1302-N($E1302)))</f>
        <v/>
      </c>
      <c r="J1302" s="42">
        <f>IF($H1302="","",MAX(0,$H1302-N($G1302)))</f>
        <v/>
      </c>
    </row>
    <row r="1303" ht="19.5" customHeight="1" s="72">
      <c r="A1303" s="38" t="inlineStr">
        <is>
          <t>GeneralF-32-P08-SIR</t>
        </is>
      </c>
      <c r="B1303" s="38" t="inlineStr">
        <is>
          <t>Fase 32</t>
        </is>
      </c>
      <c r="C1303" s="38" t="inlineStr">
        <is>
          <t>Siriuna</t>
        </is>
      </c>
      <c r="D1303" s="39" t="inlineStr">
        <is>
          <t>A_General_F_32_P8</t>
        </is>
      </c>
      <c r="E1303" s="40" t="n"/>
      <c r="F1303" s="39" t="inlineStr">
        <is>
          <t>B_General_F_32_P8</t>
        </is>
      </c>
      <c r="G1303" s="40" t="n"/>
      <c r="H1303" s="41" t="n"/>
      <c r="I1303" s="42">
        <f>IF($H1303="","",MAX(0,$H1303-N($E1303)))</f>
        <v/>
      </c>
      <c r="J1303" s="42">
        <f>IF($H1303="","",MAX(0,$H1303-N($G1303)))</f>
        <v/>
      </c>
    </row>
    <row r="1304" ht="19.5" customHeight="1" s="72">
      <c r="A1304" s="38" t="inlineStr">
        <is>
          <t>GeneralF-32-P09-BEN</t>
        </is>
      </c>
      <c r="B1304" s="38" t="inlineStr">
        <is>
          <t>Fase 32</t>
        </is>
      </c>
      <c r="C1304" s="38" t="inlineStr">
        <is>
          <t>Benguela</t>
        </is>
      </c>
      <c r="D1304" s="39" t="inlineStr">
        <is>
          <t>A_General_F_32_P9</t>
        </is>
      </c>
      <c r="E1304" s="40" t="n"/>
      <c r="F1304" s="39" t="inlineStr">
        <is>
          <t>B_General_F_32_P9</t>
        </is>
      </c>
      <c r="G1304" s="40" t="n"/>
      <c r="H1304" s="41" t="n"/>
      <c r="I1304" s="42">
        <f>IF($H1304="","",MAX(0,$H1304-N($E1304)))</f>
        <v/>
      </c>
      <c r="J1304" s="42">
        <f>IF($H1304="","",MAX(0,$H1304-N($G1304)))</f>
        <v/>
      </c>
    </row>
    <row r="1305" ht="19.5" customHeight="1" s="72">
      <c r="A1305" s="38" t="inlineStr">
        <is>
          <t>GeneralF-32-P09-SBA</t>
        </is>
      </c>
      <c r="B1305" s="38" t="inlineStr">
        <is>
          <t>Fase 32</t>
        </is>
      </c>
      <c r="C1305" s="38" t="inlineStr">
        <is>
          <t>São Bento da Abadá</t>
        </is>
      </c>
      <c r="D1305" s="39" t="inlineStr">
        <is>
          <t>A_General_F_32_P9</t>
        </is>
      </c>
      <c r="E1305" s="40" t="n"/>
      <c r="F1305" s="39" t="inlineStr">
        <is>
          <t>B_General_F_32_P9</t>
        </is>
      </c>
      <c r="G1305" s="40" t="n"/>
      <c r="H1305" s="41" t="n"/>
      <c r="I1305" s="42">
        <f>IF($H1305="","",MAX(0,$H1305-N($E1305)))</f>
        <v/>
      </c>
      <c r="J1305" s="42">
        <f>IF($H1305="","",MAX(0,$H1305-N($G1305)))</f>
        <v/>
      </c>
    </row>
    <row r="1306" ht="19.5" customHeight="1" s="72">
      <c r="A1306" s="38" t="inlineStr">
        <is>
          <t>GeneralF-32-P09-SIR</t>
        </is>
      </c>
      <c r="B1306" s="38" t="inlineStr">
        <is>
          <t>Fase 32</t>
        </is>
      </c>
      <c r="C1306" s="38" t="inlineStr">
        <is>
          <t>Siriuna</t>
        </is>
      </c>
      <c r="D1306" s="39" t="inlineStr">
        <is>
          <t>A_General_F_32_P9</t>
        </is>
      </c>
      <c r="E1306" s="40" t="n"/>
      <c r="F1306" s="39" t="inlineStr">
        <is>
          <t>B_General_F_32_P9</t>
        </is>
      </c>
      <c r="G1306" s="40" t="n"/>
      <c r="H1306" s="41" t="n"/>
      <c r="I1306" s="42">
        <f>IF($H1306="","",MAX(0,$H1306-N($E1306)))</f>
        <v/>
      </c>
      <c r="J1306" s="42">
        <f>IF($H1306="","",MAX(0,$H1306-N($G1306)))</f>
        <v/>
      </c>
    </row>
    <row r="1307" ht="19.5" customHeight="1" s="72">
      <c r="A1307" s="38" t="inlineStr">
        <is>
          <t>GeneralF-32-P10-BEN</t>
        </is>
      </c>
      <c r="B1307" s="38" t="inlineStr">
        <is>
          <t>Fase 32</t>
        </is>
      </c>
      <c r="C1307" s="38" t="inlineStr">
        <is>
          <t>Benguela</t>
        </is>
      </c>
      <c r="D1307" s="39" t="inlineStr">
        <is>
          <t>A_General_F_32_P10</t>
        </is>
      </c>
      <c r="E1307" s="40" t="n"/>
      <c r="F1307" s="39" t="inlineStr">
        <is>
          <t>B_General_F_32_P10</t>
        </is>
      </c>
      <c r="G1307" s="40" t="n"/>
      <c r="H1307" s="41" t="n"/>
      <c r="I1307" s="42">
        <f>IF($H1307="","",MAX(0,$H1307-N($E1307)))</f>
        <v/>
      </c>
      <c r="J1307" s="42">
        <f>IF($H1307="","",MAX(0,$H1307-N($G1307)))</f>
        <v/>
      </c>
    </row>
    <row r="1308" ht="19.5" customHeight="1" s="72">
      <c r="A1308" s="38" t="inlineStr">
        <is>
          <t>GeneralF-32-P10-SBA</t>
        </is>
      </c>
      <c r="B1308" s="38" t="inlineStr">
        <is>
          <t>Fase 32</t>
        </is>
      </c>
      <c r="C1308" s="38" t="inlineStr">
        <is>
          <t>São Bento da Abadá</t>
        </is>
      </c>
      <c r="D1308" s="39" t="inlineStr">
        <is>
          <t>A_General_F_32_P10</t>
        </is>
      </c>
      <c r="E1308" s="40" t="n"/>
      <c r="F1308" s="39" t="inlineStr">
        <is>
          <t>B_General_F_32_P10</t>
        </is>
      </c>
      <c r="G1308" s="40" t="n"/>
      <c r="H1308" s="41" t="n"/>
      <c r="I1308" s="42">
        <f>IF($H1308="","",MAX(0,$H1308-N($E1308)))</f>
        <v/>
      </c>
      <c r="J1308" s="42">
        <f>IF($H1308="","",MAX(0,$H1308-N($G1308)))</f>
        <v/>
      </c>
    </row>
    <row r="1309" ht="19.5" customHeight="1" s="72">
      <c r="A1309" s="38" t="inlineStr">
        <is>
          <t>GeneralF-32-P10-SIR</t>
        </is>
      </c>
      <c r="B1309" s="38" t="inlineStr">
        <is>
          <t>Fase 32</t>
        </is>
      </c>
      <c r="C1309" s="38" t="inlineStr">
        <is>
          <t>Siriuna</t>
        </is>
      </c>
      <c r="D1309" s="39" t="inlineStr">
        <is>
          <t>A_General_F_32_P10</t>
        </is>
      </c>
      <c r="E1309" s="40" t="n"/>
      <c r="F1309" s="39" t="inlineStr">
        <is>
          <t>B_General_F_32_P10</t>
        </is>
      </c>
      <c r="G1309" s="40" t="n"/>
      <c r="H1309" s="41" t="n"/>
      <c r="I1309" s="42">
        <f>IF($H1309="","",MAX(0,$H1309-N($E1309)))</f>
        <v/>
      </c>
      <c r="J1309" s="42">
        <f>IF($H1309="","",MAX(0,$H1309-N($G1309)))</f>
        <v/>
      </c>
    </row>
    <row r="1310" ht="19.5" customHeight="1" s="72">
      <c r="A1310" s="38" t="inlineStr">
        <is>
          <t>GeneralF-32-P11-BEN</t>
        </is>
      </c>
      <c r="B1310" s="38" t="inlineStr">
        <is>
          <t>Fase 32</t>
        </is>
      </c>
      <c r="C1310" s="38" t="inlineStr">
        <is>
          <t>Benguela</t>
        </is>
      </c>
      <c r="D1310" s="39" t="inlineStr">
        <is>
          <t>A_General_F_32_P11</t>
        </is>
      </c>
      <c r="E1310" s="40" t="n"/>
      <c r="F1310" s="39" t="inlineStr">
        <is>
          <t>B_General_F_32_P11</t>
        </is>
      </c>
      <c r="G1310" s="40" t="n"/>
      <c r="H1310" s="41" t="n"/>
      <c r="I1310" s="42">
        <f>IF($H1310="","",MAX(0,$H1310-N($E1310)))</f>
        <v/>
      </c>
      <c r="J1310" s="42">
        <f>IF($H1310="","",MAX(0,$H1310-N($G1310)))</f>
        <v/>
      </c>
    </row>
    <row r="1311" ht="19.5" customHeight="1" s="72">
      <c r="A1311" s="38" t="inlineStr">
        <is>
          <t>GeneralF-32-P11-SBA</t>
        </is>
      </c>
      <c r="B1311" s="38" t="inlineStr">
        <is>
          <t>Fase 32</t>
        </is>
      </c>
      <c r="C1311" s="38" t="inlineStr">
        <is>
          <t>São Bento da Abadá</t>
        </is>
      </c>
      <c r="D1311" s="39" t="inlineStr">
        <is>
          <t>A_General_F_32_P11</t>
        </is>
      </c>
      <c r="E1311" s="40" t="n"/>
      <c r="F1311" s="39" t="inlineStr">
        <is>
          <t>B_General_F_32_P11</t>
        </is>
      </c>
      <c r="G1311" s="40" t="n"/>
      <c r="H1311" s="41" t="n"/>
      <c r="I1311" s="42">
        <f>IF($H1311="","",MAX(0,$H1311-N($E1311)))</f>
        <v/>
      </c>
      <c r="J1311" s="42">
        <f>IF($H1311="","",MAX(0,$H1311-N($G1311)))</f>
        <v/>
      </c>
    </row>
    <row r="1312" ht="19.5" customHeight="1" s="72">
      <c r="A1312" s="38" t="inlineStr">
        <is>
          <t>GeneralF-32-P11-SIR</t>
        </is>
      </c>
      <c r="B1312" s="38" t="inlineStr">
        <is>
          <t>Fase 32</t>
        </is>
      </c>
      <c r="C1312" s="38" t="inlineStr">
        <is>
          <t>Siriuna</t>
        </is>
      </c>
      <c r="D1312" s="39" t="inlineStr">
        <is>
          <t>A_General_F_32_P11</t>
        </is>
      </c>
      <c r="E1312" s="40" t="n"/>
      <c r="F1312" s="39" t="inlineStr">
        <is>
          <t>B_General_F_32_P11</t>
        </is>
      </c>
      <c r="G1312" s="40" t="n"/>
      <c r="H1312" s="41" t="n"/>
      <c r="I1312" s="42">
        <f>IF($H1312="","",MAX(0,$H1312-N($E1312)))</f>
        <v/>
      </c>
      <c r="J1312" s="42">
        <f>IF($H1312="","",MAX(0,$H1312-N($G1312)))</f>
        <v/>
      </c>
    </row>
    <row r="1313" ht="19.5" customHeight="1" s="72">
      <c r="A1313" s="38" t="inlineStr">
        <is>
          <t>GeneralF-32-P12-BEN</t>
        </is>
      </c>
      <c r="B1313" s="38" t="inlineStr">
        <is>
          <t>Fase 32</t>
        </is>
      </c>
      <c r="C1313" s="38" t="inlineStr">
        <is>
          <t>Benguela</t>
        </is>
      </c>
      <c r="D1313" s="39" t="inlineStr">
        <is>
          <t>A_General_F_32_P12</t>
        </is>
      </c>
      <c r="E1313" s="40" t="n"/>
      <c r="F1313" s="39" t="inlineStr">
        <is>
          <t>B_General_F_32_P12</t>
        </is>
      </c>
      <c r="G1313" s="40" t="n"/>
      <c r="H1313" s="41" t="n"/>
      <c r="I1313" s="42">
        <f>IF($H1313="","",MAX(0,$H1313-N($E1313)))</f>
        <v/>
      </c>
      <c r="J1313" s="42">
        <f>IF($H1313="","",MAX(0,$H1313-N($G1313)))</f>
        <v/>
      </c>
    </row>
    <row r="1314" ht="19.5" customHeight="1" s="72">
      <c r="A1314" s="38" t="inlineStr">
        <is>
          <t>GeneralF-32-P12-SBA</t>
        </is>
      </c>
      <c r="B1314" s="38" t="inlineStr">
        <is>
          <t>Fase 32</t>
        </is>
      </c>
      <c r="C1314" s="38" t="inlineStr">
        <is>
          <t>São Bento da Abadá</t>
        </is>
      </c>
      <c r="D1314" s="39" t="inlineStr">
        <is>
          <t>A_General_F_32_P12</t>
        </is>
      </c>
      <c r="E1314" s="40" t="n"/>
      <c r="F1314" s="39" t="inlineStr">
        <is>
          <t>B_General_F_32_P12</t>
        </is>
      </c>
      <c r="G1314" s="40" t="n"/>
      <c r="H1314" s="41" t="n"/>
      <c r="I1314" s="42">
        <f>IF($H1314="","",MAX(0,$H1314-N($E1314)))</f>
        <v/>
      </c>
      <c r="J1314" s="42">
        <f>IF($H1314="","",MAX(0,$H1314-N($G1314)))</f>
        <v/>
      </c>
    </row>
    <row r="1315" ht="19.5" customHeight="1" s="72">
      <c r="A1315" s="38" t="inlineStr">
        <is>
          <t>GeneralF-32-P12-SIR</t>
        </is>
      </c>
      <c r="B1315" s="38" t="inlineStr">
        <is>
          <t>Fase 32</t>
        </is>
      </c>
      <c r="C1315" s="38" t="inlineStr">
        <is>
          <t>Siriuna</t>
        </is>
      </c>
      <c r="D1315" s="39" t="inlineStr">
        <is>
          <t>A_General_F_32_P12</t>
        </is>
      </c>
      <c r="E1315" s="40" t="n"/>
      <c r="F1315" s="39" t="inlineStr">
        <is>
          <t>B_General_F_32_P12</t>
        </is>
      </c>
      <c r="G1315" s="40" t="n"/>
      <c r="H1315" s="41" t="n"/>
      <c r="I1315" s="42">
        <f>IF($H1315="","",MAX(0,$H1315-N($E1315)))</f>
        <v/>
      </c>
      <c r="J1315" s="42">
        <f>IF($H1315="","",MAX(0,$H1315-N($G1315)))</f>
        <v/>
      </c>
    </row>
    <row r="1316" ht="19.5" customHeight="1" s="72">
      <c r="A1316" s="38" t="inlineStr">
        <is>
          <t>GeneralF-32-P13-BEN</t>
        </is>
      </c>
      <c r="B1316" s="38" t="inlineStr">
        <is>
          <t>Fase 32</t>
        </is>
      </c>
      <c r="C1316" s="38" t="inlineStr">
        <is>
          <t>Benguela</t>
        </is>
      </c>
      <c r="D1316" s="39" t="inlineStr">
        <is>
          <t>A_General_F_32_P13</t>
        </is>
      </c>
      <c r="E1316" s="40" t="n"/>
      <c r="F1316" s="39" t="inlineStr">
        <is>
          <t>B_General_F_32_P13</t>
        </is>
      </c>
      <c r="G1316" s="40" t="n"/>
      <c r="H1316" s="41" t="n"/>
      <c r="I1316" s="42">
        <f>IF($H1316="","",MAX(0,$H1316-N($E1316)))</f>
        <v/>
      </c>
      <c r="J1316" s="42">
        <f>IF($H1316="","",MAX(0,$H1316-N($G1316)))</f>
        <v/>
      </c>
    </row>
    <row r="1317" ht="19.5" customHeight="1" s="72">
      <c r="A1317" s="38" t="inlineStr">
        <is>
          <t>GeneralF-32-P13-SBA</t>
        </is>
      </c>
      <c r="B1317" s="38" t="inlineStr">
        <is>
          <t>Fase 32</t>
        </is>
      </c>
      <c r="C1317" s="38" t="inlineStr">
        <is>
          <t>São Bento da Abadá</t>
        </is>
      </c>
      <c r="D1317" s="39" t="inlineStr">
        <is>
          <t>A_General_F_32_P13</t>
        </is>
      </c>
      <c r="E1317" s="40" t="n"/>
      <c r="F1317" s="39" t="inlineStr">
        <is>
          <t>B_General_F_32_P13</t>
        </is>
      </c>
      <c r="G1317" s="40" t="n"/>
      <c r="H1317" s="41" t="n"/>
      <c r="I1317" s="42">
        <f>IF($H1317="","",MAX(0,$H1317-N($E1317)))</f>
        <v/>
      </c>
      <c r="J1317" s="42">
        <f>IF($H1317="","",MAX(0,$H1317-N($G1317)))</f>
        <v/>
      </c>
    </row>
    <row r="1318" ht="19.5" customHeight="1" s="72">
      <c r="A1318" s="38" t="inlineStr">
        <is>
          <t>GeneralF-32-P13-SIR</t>
        </is>
      </c>
      <c r="B1318" s="38" t="inlineStr">
        <is>
          <t>Fase 32</t>
        </is>
      </c>
      <c r="C1318" s="38" t="inlineStr">
        <is>
          <t>Siriuna</t>
        </is>
      </c>
      <c r="D1318" s="39" t="inlineStr">
        <is>
          <t>A_General_F_32_P13</t>
        </is>
      </c>
      <c r="E1318" s="40" t="n"/>
      <c r="F1318" s="39" t="inlineStr">
        <is>
          <t>B_General_F_32_P13</t>
        </is>
      </c>
      <c r="G1318" s="40" t="n"/>
      <c r="H1318" s="41" t="n"/>
      <c r="I1318" s="42">
        <f>IF($H1318="","",MAX(0,$H1318-N($E1318)))</f>
        <v/>
      </c>
      <c r="J1318" s="42">
        <f>IF($H1318="","",MAX(0,$H1318-N($G1318)))</f>
        <v/>
      </c>
    </row>
    <row r="1319" ht="19.5" customHeight="1" s="72">
      <c r="A1319" s="38" t="inlineStr">
        <is>
          <t>GeneralF-32-P14-BEN</t>
        </is>
      </c>
      <c r="B1319" s="38" t="inlineStr">
        <is>
          <t>Fase 32</t>
        </is>
      </c>
      <c r="C1319" s="38" t="inlineStr">
        <is>
          <t>Benguela</t>
        </is>
      </c>
      <c r="D1319" s="39" t="inlineStr">
        <is>
          <t>A_General_F_32_P14</t>
        </is>
      </c>
      <c r="E1319" s="40" t="n"/>
      <c r="F1319" s="39" t="inlineStr">
        <is>
          <t>B_General_F_32_P14</t>
        </is>
      </c>
      <c r="G1319" s="40" t="n"/>
      <c r="H1319" s="41" t="n"/>
      <c r="I1319" s="42">
        <f>IF($H1319="","",MAX(0,$H1319-N($E1319)))</f>
        <v/>
      </c>
      <c r="J1319" s="42">
        <f>IF($H1319="","",MAX(0,$H1319-N($G1319)))</f>
        <v/>
      </c>
    </row>
    <row r="1320" ht="19.5" customHeight="1" s="72">
      <c r="A1320" s="38" t="inlineStr">
        <is>
          <t>GeneralF-32-P14-SBA</t>
        </is>
      </c>
      <c r="B1320" s="38" t="inlineStr">
        <is>
          <t>Fase 32</t>
        </is>
      </c>
      <c r="C1320" s="38" t="inlineStr">
        <is>
          <t>São Bento da Abadá</t>
        </is>
      </c>
      <c r="D1320" s="39" t="inlineStr">
        <is>
          <t>A_General_F_32_P14</t>
        </is>
      </c>
      <c r="E1320" s="40" t="n"/>
      <c r="F1320" s="39" t="inlineStr">
        <is>
          <t>B_General_F_32_P14</t>
        </is>
      </c>
      <c r="G1320" s="40" t="n"/>
      <c r="H1320" s="41" t="n"/>
      <c r="I1320" s="42">
        <f>IF($H1320="","",MAX(0,$H1320-N($E1320)))</f>
        <v/>
      </c>
      <c r="J1320" s="42">
        <f>IF($H1320="","",MAX(0,$H1320-N($G1320)))</f>
        <v/>
      </c>
    </row>
    <row r="1321" ht="19.5" customHeight="1" s="72">
      <c r="A1321" s="38" t="inlineStr">
        <is>
          <t>GeneralF-32-P14-SIR</t>
        </is>
      </c>
      <c r="B1321" s="38" t="inlineStr">
        <is>
          <t>Fase 32</t>
        </is>
      </c>
      <c r="C1321" s="38" t="inlineStr">
        <is>
          <t>Siriuna</t>
        </is>
      </c>
      <c r="D1321" s="39" t="inlineStr">
        <is>
          <t>A_General_F_32_P14</t>
        </is>
      </c>
      <c r="E1321" s="40" t="n"/>
      <c r="F1321" s="39" t="inlineStr">
        <is>
          <t>B_General_F_32_P14</t>
        </is>
      </c>
      <c r="G1321" s="40" t="n"/>
      <c r="H1321" s="41" t="n"/>
      <c r="I1321" s="42">
        <f>IF($H1321="","",MAX(0,$H1321-N($E1321)))</f>
        <v/>
      </c>
      <c r="J1321" s="42">
        <f>IF($H1321="","",MAX(0,$H1321-N($G1321)))</f>
        <v/>
      </c>
    </row>
    <row r="1322" ht="19.5" customHeight="1" s="72">
      <c r="A1322" s="38" t="inlineStr">
        <is>
          <t>GeneralF-32-P15-BEN</t>
        </is>
      </c>
      <c r="B1322" s="38" t="inlineStr">
        <is>
          <t>Fase 32</t>
        </is>
      </c>
      <c r="C1322" s="38" t="inlineStr">
        <is>
          <t>Benguela</t>
        </is>
      </c>
      <c r="D1322" s="39" t="inlineStr">
        <is>
          <t>A_General_F_32_P15</t>
        </is>
      </c>
      <c r="E1322" s="40" t="n"/>
      <c r="F1322" s="39" t="inlineStr">
        <is>
          <t>B_General_F_32_P15</t>
        </is>
      </c>
      <c r="G1322" s="40" t="n"/>
      <c r="H1322" s="41" t="n"/>
      <c r="I1322" s="42">
        <f>IF($H1322="","",MAX(0,$H1322-N($E1322)))</f>
        <v/>
      </c>
      <c r="J1322" s="42">
        <f>IF($H1322="","",MAX(0,$H1322-N($G1322)))</f>
        <v/>
      </c>
    </row>
    <row r="1323" ht="19.5" customHeight="1" s="72">
      <c r="A1323" s="38" t="inlineStr">
        <is>
          <t>GeneralF-32-P15-SBA</t>
        </is>
      </c>
      <c r="B1323" s="38" t="inlineStr">
        <is>
          <t>Fase 32</t>
        </is>
      </c>
      <c r="C1323" s="38" t="inlineStr">
        <is>
          <t>São Bento da Abadá</t>
        </is>
      </c>
      <c r="D1323" s="39" t="inlineStr">
        <is>
          <t>A_General_F_32_P15</t>
        </is>
      </c>
      <c r="E1323" s="40" t="n"/>
      <c r="F1323" s="39" t="inlineStr">
        <is>
          <t>B_General_F_32_P15</t>
        </is>
      </c>
      <c r="G1323" s="40" t="n"/>
      <c r="H1323" s="41" t="n"/>
      <c r="I1323" s="42">
        <f>IF($H1323="","",MAX(0,$H1323-N($E1323)))</f>
        <v/>
      </c>
      <c r="J1323" s="42">
        <f>IF($H1323="","",MAX(0,$H1323-N($G1323)))</f>
        <v/>
      </c>
    </row>
    <row r="1324" ht="19.5" customHeight="1" s="72">
      <c r="A1324" s="38" t="inlineStr">
        <is>
          <t>GeneralF-32-P15-SIR</t>
        </is>
      </c>
      <c r="B1324" s="38" t="inlineStr">
        <is>
          <t>Fase 32</t>
        </is>
      </c>
      <c r="C1324" s="38" t="inlineStr">
        <is>
          <t>Siriuna</t>
        </is>
      </c>
      <c r="D1324" s="39" t="inlineStr">
        <is>
          <t>A_General_F_32_P15</t>
        </is>
      </c>
      <c r="E1324" s="40" t="n"/>
      <c r="F1324" s="39" t="inlineStr">
        <is>
          <t>B_General_F_32_P15</t>
        </is>
      </c>
      <c r="G1324" s="40" t="n"/>
      <c r="H1324" s="41" t="n"/>
      <c r="I1324" s="42">
        <f>IF($H1324="","",MAX(0,$H1324-N($E1324)))</f>
        <v/>
      </c>
      <c r="J1324" s="42">
        <f>IF($H1324="","",MAX(0,$H1324-N($G1324)))</f>
        <v/>
      </c>
    </row>
    <row r="1325" ht="19.5" customHeight="1" s="72">
      <c r="A1325" s="38" t="inlineStr">
        <is>
          <t>GeneralF-32-P16-BEN</t>
        </is>
      </c>
      <c r="B1325" s="38" t="inlineStr">
        <is>
          <t>Fase 32</t>
        </is>
      </c>
      <c r="C1325" s="38" t="inlineStr">
        <is>
          <t>Benguela</t>
        </is>
      </c>
      <c r="D1325" s="39" t="inlineStr">
        <is>
          <t>A_General_F_32_P16</t>
        </is>
      </c>
      <c r="E1325" s="40" t="n"/>
      <c r="F1325" s="39" t="inlineStr">
        <is>
          <t>B_General_F_32_P16</t>
        </is>
      </c>
      <c r="G1325" s="40" t="n"/>
      <c r="H1325" s="41" t="n"/>
      <c r="I1325" s="42">
        <f>IF($H1325="","",MAX(0,$H1325-N($E1325)))</f>
        <v/>
      </c>
      <c r="J1325" s="42">
        <f>IF($H1325="","",MAX(0,$H1325-N($G1325)))</f>
        <v/>
      </c>
    </row>
    <row r="1326" ht="19.5" customHeight="1" s="72">
      <c r="A1326" s="38" t="inlineStr">
        <is>
          <t>GeneralF-32-P16-SBA</t>
        </is>
      </c>
      <c r="B1326" s="38" t="inlineStr">
        <is>
          <t>Fase 32</t>
        </is>
      </c>
      <c r="C1326" s="38" t="inlineStr">
        <is>
          <t>São Bento da Abadá</t>
        </is>
      </c>
      <c r="D1326" s="39" t="inlineStr">
        <is>
          <t>A_General_F_32_P16</t>
        </is>
      </c>
      <c r="E1326" s="40" t="n"/>
      <c r="F1326" s="39" t="inlineStr">
        <is>
          <t>B_General_F_32_P16</t>
        </is>
      </c>
      <c r="G1326" s="40" t="n"/>
      <c r="H1326" s="41" t="n"/>
      <c r="I1326" s="42">
        <f>IF($H1326="","",MAX(0,$H1326-N($E1326)))</f>
        <v/>
      </c>
      <c r="J1326" s="42">
        <f>IF($H1326="","",MAX(0,$H1326-N($G1326)))</f>
        <v/>
      </c>
    </row>
    <row r="1327" ht="19.5" customHeight="1" s="72">
      <c r="A1327" s="38" t="inlineStr">
        <is>
          <t>GeneralF-32-P16-SIR</t>
        </is>
      </c>
      <c r="B1327" s="38" t="inlineStr">
        <is>
          <t>Fase 32</t>
        </is>
      </c>
      <c r="C1327" s="38" t="inlineStr">
        <is>
          <t>Siriuna</t>
        </is>
      </c>
      <c r="D1327" s="39" t="inlineStr">
        <is>
          <t>A_General_F_32_P16</t>
        </is>
      </c>
      <c r="E1327" s="40" t="n"/>
      <c r="F1327" s="39" t="inlineStr">
        <is>
          <t>B_General_F_32_P16</t>
        </is>
      </c>
      <c r="G1327" s="40" t="n"/>
      <c r="H1327" s="41" t="n"/>
      <c r="I1327" s="42">
        <f>IF($H1327="","",MAX(0,$H1327-N($E1327)))</f>
        <v/>
      </c>
      <c r="J1327" s="42">
        <f>IF($H1327="","",MAX(0,$H1327-N($G1327)))</f>
        <v/>
      </c>
    </row>
    <row r="1328" ht="19.5" customHeight="1" s="72">
      <c r="A1328" s="38" t="inlineStr">
        <is>
          <t>GeneralF-OCT-P01-BEN</t>
        </is>
      </c>
      <c r="B1328" s="38" t="inlineStr">
        <is>
          <t>Octavas</t>
        </is>
      </c>
      <c r="C1328" s="38" t="inlineStr">
        <is>
          <t>Benguela</t>
        </is>
      </c>
      <c r="D1328" s="39">
        <f>IFERROR(CLASIF_General_F!$F$5,"")</f>
        <v/>
      </c>
      <c r="E1328" s="40" t="n"/>
      <c r="F1328" s="39">
        <f>IFERROR(CLASIF_General_F!$F$20,"")</f>
        <v/>
      </c>
      <c r="G1328" s="40" t="n"/>
      <c r="H1328" s="41" t="n"/>
      <c r="I1328" s="42">
        <f>IF($H1328="","",MAX(0,$H1328-N($E1328)))</f>
        <v/>
      </c>
      <c r="J1328" s="42">
        <f>IF($H1328="","",MAX(0,$H1328-N($G1328)))</f>
        <v/>
      </c>
    </row>
    <row r="1329" ht="19.5" customHeight="1" s="72">
      <c r="A1329" s="38" t="inlineStr">
        <is>
          <t>GeneralF-OCT-P01-SBA</t>
        </is>
      </c>
      <c r="B1329" s="38" t="inlineStr">
        <is>
          <t>Octavas</t>
        </is>
      </c>
      <c r="C1329" s="38" t="inlineStr">
        <is>
          <t>São Bento da Abadá</t>
        </is>
      </c>
      <c r="D1329" s="39">
        <f>IFERROR(CLASIF_General_F!$F$5,"")</f>
        <v/>
      </c>
      <c r="E1329" s="40" t="n"/>
      <c r="F1329" s="39">
        <f>IFERROR(CLASIF_General_F!$F$20,"")</f>
        <v/>
      </c>
      <c r="G1329" s="40" t="n"/>
      <c r="H1329" s="41" t="n"/>
      <c r="I1329" s="42">
        <f>IF($H1329="","",MAX(0,$H1329-N($E1329)))</f>
        <v/>
      </c>
      <c r="J1329" s="42">
        <f>IF($H1329="","",MAX(0,$H1329-N($G1329)))</f>
        <v/>
      </c>
    </row>
    <row r="1330" ht="19.5" customHeight="1" s="72">
      <c r="A1330" s="38" t="inlineStr">
        <is>
          <t>GeneralF-OCT-P01-SIR</t>
        </is>
      </c>
      <c r="B1330" s="38" t="inlineStr">
        <is>
          <t>Octavas</t>
        </is>
      </c>
      <c r="C1330" s="38" t="inlineStr">
        <is>
          <t>Siriuna</t>
        </is>
      </c>
      <c r="D1330" s="39">
        <f>IFERROR(CLASIF_General_F!$F$5,"")</f>
        <v/>
      </c>
      <c r="E1330" s="40" t="n"/>
      <c r="F1330" s="39">
        <f>IFERROR(CLASIF_General_F!$F$20,"")</f>
        <v/>
      </c>
      <c r="G1330" s="40" t="n"/>
      <c r="H1330" s="41" t="n"/>
      <c r="I1330" s="42">
        <f>IF($H1330="","",MAX(0,$H1330-N($E1330)))</f>
        <v/>
      </c>
      <c r="J1330" s="42">
        <f>IF($H1330="","",MAX(0,$H1330-N($G1330)))</f>
        <v/>
      </c>
    </row>
    <row r="1331" ht="19.5" customHeight="1" s="72">
      <c r="A1331" s="38" t="inlineStr">
        <is>
          <t>GeneralF-OCT-P02-BEN</t>
        </is>
      </c>
      <c r="B1331" s="38" t="inlineStr">
        <is>
          <t>Octavas</t>
        </is>
      </c>
      <c r="C1331" s="38" t="inlineStr">
        <is>
          <t>Benguela</t>
        </is>
      </c>
      <c r="D1331" s="39">
        <f>IFERROR(CLASIF_General_F!$F$6,"")</f>
        <v/>
      </c>
      <c r="E1331" s="40" t="n"/>
      <c r="F1331" s="39">
        <f>IFERROR(CLASIF_General_F!$F$19,"")</f>
        <v/>
      </c>
      <c r="G1331" s="40" t="n"/>
      <c r="H1331" s="41" t="n"/>
      <c r="I1331" s="42">
        <f>IF($H1331="","",MAX(0,$H1331-N($E1331)))</f>
        <v/>
      </c>
      <c r="J1331" s="42">
        <f>IF($H1331="","",MAX(0,$H1331-N($G1331)))</f>
        <v/>
      </c>
    </row>
    <row r="1332" ht="19.5" customHeight="1" s="72">
      <c r="A1332" s="38" t="inlineStr">
        <is>
          <t>GeneralF-OCT-P02-SBA</t>
        </is>
      </c>
      <c r="B1332" s="38" t="inlineStr">
        <is>
          <t>Octavas</t>
        </is>
      </c>
      <c r="C1332" s="38" t="inlineStr">
        <is>
          <t>São Bento da Abadá</t>
        </is>
      </c>
      <c r="D1332" s="39">
        <f>IFERROR(CLASIF_General_F!$F$6,"")</f>
        <v/>
      </c>
      <c r="E1332" s="40" t="n"/>
      <c r="F1332" s="39">
        <f>IFERROR(CLASIF_General_F!$F$19,"")</f>
        <v/>
      </c>
      <c r="G1332" s="40" t="n"/>
      <c r="H1332" s="41" t="n"/>
      <c r="I1332" s="42">
        <f>IF($H1332="","",MAX(0,$H1332-N($E1332)))</f>
        <v/>
      </c>
      <c r="J1332" s="42">
        <f>IF($H1332="","",MAX(0,$H1332-N($G1332)))</f>
        <v/>
      </c>
    </row>
    <row r="1333" ht="19.5" customHeight="1" s="72">
      <c r="A1333" s="38" t="inlineStr">
        <is>
          <t>GeneralF-OCT-P02-SIR</t>
        </is>
      </c>
      <c r="B1333" s="38" t="inlineStr">
        <is>
          <t>Octavas</t>
        </is>
      </c>
      <c r="C1333" s="38" t="inlineStr">
        <is>
          <t>Siriuna</t>
        </is>
      </c>
      <c r="D1333" s="39">
        <f>IFERROR(CLASIF_General_F!$F$6,"")</f>
        <v/>
      </c>
      <c r="E1333" s="40" t="n"/>
      <c r="F1333" s="39">
        <f>IFERROR(CLASIF_General_F!$F$19,"")</f>
        <v/>
      </c>
      <c r="G1333" s="40" t="n"/>
      <c r="H1333" s="41" t="n"/>
      <c r="I1333" s="42">
        <f>IF($H1333="","",MAX(0,$H1333-N($E1333)))</f>
        <v/>
      </c>
      <c r="J1333" s="42">
        <f>IF($H1333="","",MAX(0,$H1333-N($G1333)))</f>
        <v/>
      </c>
    </row>
    <row r="1334" ht="19.5" customHeight="1" s="72">
      <c r="A1334" s="38" t="inlineStr">
        <is>
          <t>GeneralF-OCT-P03-BEN</t>
        </is>
      </c>
      <c r="B1334" s="38" t="inlineStr">
        <is>
          <t>Octavas</t>
        </is>
      </c>
      <c r="C1334" s="38" t="inlineStr">
        <is>
          <t>Benguela</t>
        </is>
      </c>
      <c r="D1334" s="39">
        <f>IFERROR(CLASIF_General_F!$F$7,"")</f>
        <v/>
      </c>
      <c r="E1334" s="40" t="n"/>
      <c r="F1334" s="39">
        <f>IFERROR(CLASIF_General_F!$F$18,"")</f>
        <v/>
      </c>
      <c r="G1334" s="40" t="n"/>
      <c r="H1334" s="41" t="n"/>
      <c r="I1334" s="42">
        <f>IF($H1334="","",MAX(0,$H1334-N($E1334)))</f>
        <v/>
      </c>
      <c r="J1334" s="42">
        <f>IF($H1334="","",MAX(0,$H1334-N($G1334)))</f>
        <v/>
      </c>
    </row>
    <row r="1335" ht="19.5" customHeight="1" s="72">
      <c r="A1335" s="38" t="inlineStr">
        <is>
          <t>GeneralF-OCT-P03-SBA</t>
        </is>
      </c>
      <c r="B1335" s="38" t="inlineStr">
        <is>
          <t>Octavas</t>
        </is>
      </c>
      <c r="C1335" s="38" t="inlineStr">
        <is>
          <t>São Bento da Abadá</t>
        </is>
      </c>
      <c r="D1335" s="39">
        <f>IFERROR(CLASIF_General_F!$F$7,"")</f>
        <v/>
      </c>
      <c r="E1335" s="40" t="n"/>
      <c r="F1335" s="39">
        <f>IFERROR(CLASIF_General_F!$F$18,"")</f>
        <v/>
      </c>
      <c r="G1335" s="40" t="n"/>
      <c r="H1335" s="41" t="n"/>
      <c r="I1335" s="42">
        <f>IF($H1335="","",MAX(0,$H1335-N($E1335)))</f>
        <v/>
      </c>
      <c r="J1335" s="42">
        <f>IF($H1335="","",MAX(0,$H1335-N($G1335)))</f>
        <v/>
      </c>
    </row>
    <row r="1336" ht="19.5" customHeight="1" s="72">
      <c r="A1336" s="38" t="inlineStr">
        <is>
          <t>GeneralF-OCT-P03-SIR</t>
        </is>
      </c>
      <c r="B1336" s="38" t="inlineStr">
        <is>
          <t>Octavas</t>
        </is>
      </c>
      <c r="C1336" s="38" t="inlineStr">
        <is>
          <t>Siriuna</t>
        </is>
      </c>
      <c r="D1336" s="39">
        <f>IFERROR(CLASIF_General_F!$F$7,"")</f>
        <v/>
      </c>
      <c r="E1336" s="40" t="n"/>
      <c r="F1336" s="39">
        <f>IFERROR(CLASIF_General_F!$F$18,"")</f>
        <v/>
      </c>
      <c r="G1336" s="40" t="n"/>
      <c r="H1336" s="41" t="n"/>
      <c r="I1336" s="42">
        <f>IF($H1336="","",MAX(0,$H1336-N($E1336)))</f>
        <v/>
      </c>
      <c r="J1336" s="42">
        <f>IF($H1336="","",MAX(0,$H1336-N($G1336)))</f>
        <v/>
      </c>
    </row>
    <row r="1337" ht="19.5" customHeight="1" s="72">
      <c r="A1337" s="38" t="inlineStr">
        <is>
          <t>GeneralF-OCT-P04-BEN</t>
        </is>
      </c>
      <c r="B1337" s="38" t="inlineStr">
        <is>
          <t>Octavas</t>
        </is>
      </c>
      <c r="C1337" s="38" t="inlineStr">
        <is>
          <t>Benguela</t>
        </is>
      </c>
      <c r="D1337" s="39">
        <f>IFERROR(CLASIF_General_F!$F$8,"")</f>
        <v/>
      </c>
      <c r="E1337" s="40" t="n"/>
      <c r="F1337" s="39">
        <f>IFERROR(CLASIF_General_F!$F$17,"")</f>
        <v/>
      </c>
      <c r="G1337" s="40" t="n"/>
      <c r="H1337" s="41" t="n"/>
      <c r="I1337" s="42">
        <f>IF($H1337="","",MAX(0,$H1337-N($E1337)))</f>
        <v/>
      </c>
      <c r="J1337" s="42">
        <f>IF($H1337="","",MAX(0,$H1337-N($G1337)))</f>
        <v/>
      </c>
    </row>
    <row r="1338" ht="19.5" customHeight="1" s="72">
      <c r="A1338" s="38" t="inlineStr">
        <is>
          <t>GeneralF-OCT-P04-SBA</t>
        </is>
      </c>
      <c r="B1338" s="38" t="inlineStr">
        <is>
          <t>Octavas</t>
        </is>
      </c>
      <c r="C1338" s="38" t="inlineStr">
        <is>
          <t>São Bento da Abadá</t>
        </is>
      </c>
      <c r="D1338" s="39">
        <f>IFERROR(CLASIF_General_F!$F$8,"")</f>
        <v/>
      </c>
      <c r="E1338" s="40" t="n"/>
      <c r="F1338" s="39">
        <f>IFERROR(CLASIF_General_F!$F$17,"")</f>
        <v/>
      </c>
      <c r="G1338" s="40" t="n"/>
      <c r="H1338" s="41" t="n"/>
      <c r="I1338" s="42">
        <f>IF($H1338="","",MAX(0,$H1338-N($E1338)))</f>
        <v/>
      </c>
      <c r="J1338" s="42">
        <f>IF($H1338="","",MAX(0,$H1338-N($G1338)))</f>
        <v/>
      </c>
    </row>
    <row r="1339" ht="19.5" customHeight="1" s="72">
      <c r="A1339" s="38" t="inlineStr">
        <is>
          <t>GeneralF-OCT-P04-SIR</t>
        </is>
      </c>
      <c r="B1339" s="38" t="inlineStr">
        <is>
          <t>Octavas</t>
        </is>
      </c>
      <c r="C1339" s="38" t="inlineStr">
        <is>
          <t>Siriuna</t>
        </is>
      </c>
      <c r="D1339" s="39">
        <f>IFERROR(CLASIF_General_F!$F$8,"")</f>
        <v/>
      </c>
      <c r="E1339" s="40" t="n"/>
      <c r="F1339" s="39">
        <f>IFERROR(CLASIF_General_F!$F$17,"")</f>
        <v/>
      </c>
      <c r="G1339" s="40" t="n"/>
      <c r="H1339" s="41" t="n"/>
      <c r="I1339" s="42">
        <f>IF($H1339="","",MAX(0,$H1339-N($E1339)))</f>
        <v/>
      </c>
      <c r="J1339" s="42">
        <f>IF($H1339="","",MAX(0,$H1339-N($G1339)))</f>
        <v/>
      </c>
    </row>
    <row r="1340" ht="19.5" customHeight="1" s="72">
      <c r="A1340" s="38" t="inlineStr">
        <is>
          <t>GeneralF-OCT-P05-BEN</t>
        </is>
      </c>
      <c r="B1340" s="38" t="inlineStr">
        <is>
          <t>Octavas</t>
        </is>
      </c>
      <c r="C1340" s="38" t="inlineStr">
        <is>
          <t>Benguela</t>
        </is>
      </c>
      <c r="D1340" s="39">
        <f>IFERROR(CLASIF_General_F!$F$9,"")</f>
        <v/>
      </c>
      <c r="E1340" s="40" t="n"/>
      <c r="F1340" s="39">
        <f>IFERROR(CLASIF_General_F!$F$16,"")</f>
        <v/>
      </c>
      <c r="G1340" s="40" t="n"/>
      <c r="H1340" s="41" t="n"/>
      <c r="I1340" s="42">
        <f>IF($H1340="","",MAX(0,$H1340-N($E1340)))</f>
        <v/>
      </c>
      <c r="J1340" s="42">
        <f>IF($H1340="","",MAX(0,$H1340-N($G1340)))</f>
        <v/>
      </c>
    </row>
    <row r="1341" ht="19.5" customHeight="1" s="72">
      <c r="A1341" s="38" t="inlineStr">
        <is>
          <t>GeneralF-OCT-P05-SBA</t>
        </is>
      </c>
      <c r="B1341" s="38" t="inlineStr">
        <is>
          <t>Octavas</t>
        </is>
      </c>
      <c r="C1341" s="38" t="inlineStr">
        <is>
          <t>São Bento da Abadá</t>
        </is>
      </c>
      <c r="D1341" s="39">
        <f>IFERROR(CLASIF_General_F!$F$9,"")</f>
        <v/>
      </c>
      <c r="E1341" s="40" t="n"/>
      <c r="F1341" s="39">
        <f>IFERROR(CLASIF_General_F!$F$16,"")</f>
        <v/>
      </c>
      <c r="G1341" s="40" t="n"/>
      <c r="H1341" s="41" t="n"/>
      <c r="I1341" s="42">
        <f>IF($H1341="","",MAX(0,$H1341-N($E1341)))</f>
        <v/>
      </c>
      <c r="J1341" s="42">
        <f>IF($H1341="","",MAX(0,$H1341-N($G1341)))</f>
        <v/>
      </c>
    </row>
    <row r="1342" ht="19.5" customHeight="1" s="72">
      <c r="A1342" s="38" t="inlineStr">
        <is>
          <t>GeneralF-OCT-P05-SIR</t>
        </is>
      </c>
      <c r="B1342" s="38" t="inlineStr">
        <is>
          <t>Octavas</t>
        </is>
      </c>
      <c r="C1342" s="38" t="inlineStr">
        <is>
          <t>Siriuna</t>
        </is>
      </c>
      <c r="D1342" s="39">
        <f>IFERROR(CLASIF_General_F!$F$9,"")</f>
        <v/>
      </c>
      <c r="E1342" s="40" t="n"/>
      <c r="F1342" s="39">
        <f>IFERROR(CLASIF_General_F!$F$16,"")</f>
        <v/>
      </c>
      <c r="G1342" s="40" t="n"/>
      <c r="H1342" s="41" t="n"/>
      <c r="I1342" s="42">
        <f>IF($H1342="","",MAX(0,$H1342-N($E1342)))</f>
        <v/>
      </c>
      <c r="J1342" s="42">
        <f>IF($H1342="","",MAX(0,$H1342-N($G1342)))</f>
        <v/>
      </c>
    </row>
    <row r="1343" ht="19.5" customHeight="1" s="72">
      <c r="A1343" s="38" t="inlineStr">
        <is>
          <t>GeneralF-OCT-P06-BEN</t>
        </is>
      </c>
      <c r="B1343" s="38" t="inlineStr">
        <is>
          <t>Octavas</t>
        </is>
      </c>
      <c r="C1343" s="38" t="inlineStr">
        <is>
          <t>Benguela</t>
        </is>
      </c>
      <c r="D1343" s="39">
        <f>IFERROR(CLASIF_General_F!$F$10,"")</f>
        <v/>
      </c>
      <c r="E1343" s="40" t="n"/>
      <c r="F1343" s="39">
        <f>IFERROR(CLASIF_General_F!$F$15,"")</f>
        <v/>
      </c>
      <c r="G1343" s="40" t="n"/>
      <c r="H1343" s="41" t="n"/>
      <c r="I1343" s="42">
        <f>IF($H1343="","",MAX(0,$H1343-N($E1343)))</f>
        <v/>
      </c>
      <c r="J1343" s="42">
        <f>IF($H1343="","",MAX(0,$H1343-N($G1343)))</f>
        <v/>
      </c>
    </row>
    <row r="1344" ht="19.5" customHeight="1" s="72">
      <c r="A1344" s="38" t="inlineStr">
        <is>
          <t>GeneralF-OCT-P06-SBA</t>
        </is>
      </c>
      <c r="B1344" s="38" t="inlineStr">
        <is>
          <t>Octavas</t>
        </is>
      </c>
      <c r="C1344" s="38" t="inlineStr">
        <is>
          <t>São Bento da Abadá</t>
        </is>
      </c>
      <c r="D1344" s="39">
        <f>IFERROR(CLASIF_General_F!$F$10,"")</f>
        <v/>
      </c>
      <c r="E1344" s="40" t="n"/>
      <c r="F1344" s="39">
        <f>IFERROR(CLASIF_General_F!$F$15,"")</f>
        <v/>
      </c>
      <c r="G1344" s="40" t="n"/>
      <c r="H1344" s="41" t="n"/>
      <c r="I1344" s="42">
        <f>IF($H1344="","",MAX(0,$H1344-N($E1344)))</f>
        <v/>
      </c>
      <c r="J1344" s="42">
        <f>IF($H1344="","",MAX(0,$H1344-N($G1344)))</f>
        <v/>
      </c>
    </row>
    <row r="1345" ht="19.5" customHeight="1" s="72">
      <c r="A1345" s="38" t="inlineStr">
        <is>
          <t>GeneralF-OCT-P06-SIR</t>
        </is>
      </c>
      <c r="B1345" s="38" t="inlineStr">
        <is>
          <t>Octavas</t>
        </is>
      </c>
      <c r="C1345" s="38" t="inlineStr">
        <is>
          <t>Siriuna</t>
        </is>
      </c>
      <c r="D1345" s="39">
        <f>IFERROR(CLASIF_General_F!$F$10,"")</f>
        <v/>
      </c>
      <c r="E1345" s="40" t="n"/>
      <c r="F1345" s="39">
        <f>IFERROR(CLASIF_General_F!$F$15,"")</f>
        <v/>
      </c>
      <c r="G1345" s="40" t="n"/>
      <c r="H1345" s="41" t="n"/>
      <c r="I1345" s="42">
        <f>IF($H1345="","",MAX(0,$H1345-N($E1345)))</f>
        <v/>
      </c>
      <c r="J1345" s="42">
        <f>IF($H1345="","",MAX(0,$H1345-N($G1345)))</f>
        <v/>
      </c>
    </row>
    <row r="1346" ht="19.5" customHeight="1" s="72">
      <c r="A1346" s="38" t="inlineStr">
        <is>
          <t>GeneralF-OCT-P07-BEN</t>
        </is>
      </c>
      <c r="B1346" s="38" t="inlineStr">
        <is>
          <t>Octavas</t>
        </is>
      </c>
      <c r="C1346" s="38" t="inlineStr">
        <is>
          <t>Benguela</t>
        </is>
      </c>
      <c r="D1346" s="39">
        <f>IFERROR(CLASIF_General_F!$F$11,"")</f>
        <v/>
      </c>
      <c r="E1346" s="40" t="n"/>
      <c r="F1346" s="39">
        <f>IFERROR(CLASIF_General_F!$F$14,"")</f>
        <v/>
      </c>
      <c r="G1346" s="40" t="n"/>
      <c r="H1346" s="41" t="n"/>
      <c r="I1346" s="42">
        <f>IF($H1346="","",MAX(0,$H1346-N($E1346)))</f>
        <v/>
      </c>
      <c r="J1346" s="42">
        <f>IF($H1346="","",MAX(0,$H1346-N($G1346)))</f>
        <v/>
      </c>
    </row>
    <row r="1347" ht="19.5" customHeight="1" s="72">
      <c r="A1347" s="38" t="inlineStr">
        <is>
          <t>GeneralF-OCT-P07-SBA</t>
        </is>
      </c>
      <c r="B1347" s="38" t="inlineStr">
        <is>
          <t>Octavas</t>
        </is>
      </c>
      <c r="C1347" s="38" t="inlineStr">
        <is>
          <t>São Bento da Abadá</t>
        </is>
      </c>
      <c r="D1347" s="39">
        <f>IFERROR(CLASIF_General_F!$F$11,"")</f>
        <v/>
      </c>
      <c r="E1347" s="40" t="n"/>
      <c r="F1347" s="39">
        <f>IFERROR(CLASIF_General_F!$F$14,"")</f>
        <v/>
      </c>
      <c r="G1347" s="40" t="n"/>
      <c r="H1347" s="41" t="n"/>
      <c r="I1347" s="42">
        <f>IF($H1347="","",MAX(0,$H1347-N($E1347)))</f>
        <v/>
      </c>
      <c r="J1347" s="42">
        <f>IF($H1347="","",MAX(0,$H1347-N($G1347)))</f>
        <v/>
      </c>
    </row>
    <row r="1348" ht="19.5" customHeight="1" s="72">
      <c r="A1348" s="38" t="inlineStr">
        <is>
          <t>GeneralF-OCT-P07-SIR</t>
        </is>
      </c>
      <c r="B1348" s="38" t="inlineStr">
        <is>
          <t>Octavas</t>
        </is>
      </c>
      <c r="C1348" s="38" t="inlineStr">
        <is>
          <t>Siriuna</t>
        </is>
      </c>
      <c r="D1348" s="39">
        <f>IFERROR(CLASIF_General_F!$F$11,"")</f>
        <v/>
      </c>
      <c r="E1348" s="40" t="n"/>
      <c r="F1348" s="39">
        <f>IFERROR(CLASIF_General_F!$F$14,"")</f>
        <v/>
      </c>
      <c r="G1348" s="40" t="n"/>
      <c r="H1348" s="41" t="n"/>
      <c r="I1348" s="42">
        <f>IF($H1348="","",MAX(0,$H1348-N($E1348)))</f>
        <v/>
      </c>
      <c r="J1348" s="42">
        <f>IF($H1348="","",MAX(0,$H1348-N($G1348)))</f>
        <v/>
      </c>
    </row>
    <row r="1349" ht="19.5" customHeight="1" s="72">
      <c r="A1349" s="38" t="inlineStr">
        <is>
          <t>GeneralF-OCT-P08-BEN</t>
        </is>
      </c>
      <c r="B1349" s="38" t="inlineStr">
        <is>
          <t>Octavas</t>
        </is>
      </c>
      <c r="C1349" s="38" t="inlineStr">
        <is>
          <t>Benguela</t>
        </is>
      </c>
      <c r="D1349" s="39">
        <f>IFERROR(CLASIF_General_F!$F$12,"")</f>
        <v/>
      </c>
      <c r="E1349" s="40" t="n"/>
      <c r="F1349" s="39">
        <f>IFERROR(CLASIF_General_F!$F$13,"")</f>
        <v/>
      </c>
      <c r="G1349" s="40" t="n"/>
      <c r="H1349" s="41" t="n"/>
      <c r="I1349" s="42">
        <f>IF($H1349="","",MAX(0,$H1349-N($E1349)))</f>
        <v/>
      </c>
      <c r="J1349" s="42">
        <f>IF($H1349="","",MAX(0,$H1349-N($G1349)))</f>
        <v/>
      </c>
    </row>
    <row r="1350" ht="19.5" customHeight="1" s="72">
      <c r="A1350" s="38" t="inlineStr">
        <is>
          <t>GeneralF-OCT-P08-SBA</t>
        </is>
      </c>
      <c r="B1350" s="38" t="inlineStr">
        <is>
          <t>Octavas</t>
        </is>
      </c>
      <c r="C1350" s="38" t="inlineStr">
        <is>
          <t>São Bento da Abadá</t>
        </is>
      </c>
      <c r="D1350" s="39">
        <f>IFERROR(CLASIF_General_F!$F$12,"")</f>
        <v/>
      </c>
      <c r="E1350" s="40" t="n"/>
      <c r="F1350" s="39">
        <f>IFERROR(CLASIF_General_F!$F$13,"")</f>
        <v/>
      </c>
      <c r="G1350" s="40" t="n"/>
      <c r="H1350" s="41" t="n"/>
      <c r="I1350" s="42">
        <f>IF($H1350="","",MAX(0,$H1350-N($E1350)))</f>
        <v/>
      </c>
      <c r="J1350" s="42">
        <f>IF($H1350="","",MAX(0,$H1350-N($G1350)))</f>
        <v/>
      </c>
    </row>
    <row r="1351" ht="19.5" customHeight="1" s="72">
      <c r="A1351" s="38" t="inlineStr">
        <is>
          <t>GeneralF-OCT-P08-SIR</t>
        </is>
      </c>
      <c r="B1351" s="38" t="inlineStr">
        <is>
          <t>Octavas</t>
        </is>
      </c>
      <c r="C1351" s="38" t="inlineStr">
        <is>
          <t>Siriuna</t>
        </is>
      </c>
      <c r="D1351" s="39">
        <f>IFERROR(CLASIF_General_F!$F$12,"")</f>
        <v/>
      </c>
      <c r="E1351" s="40" t="n"/>
      <c r="F1351" s="39">
        <f>IFERROR(CLASIF_General_F!$F$13,"")</f>
        <v/>
      </c>
      <c r="G1351" s="40" t="n"/>
      <c r="H1351" s="41" t="n"/>
      <c r="I1351" s="42">
        <f>IF($H1351="","",MAX(0,$H1351-N($E1351)))</f>
        <v/>
      </c>
      <c r="J1351" s="42">
        <f>IF($H1351="","",MAX(0,$H1351-N($G1351)))</f>
        <v/>
      </c>
    </row>
    <row r="1352" ht="19.5" customHeight="1" s="72">
      <c r="A1352" s="38" t="inlineStr">
        <is>
          <t>GeneralF-SEM-P01-BEN</t>
        </is>
      </c>
      <c r="B1352" s="38" t="inlineStr">
        <is>
          <t>Semifinal</t>
        </is>
      </c>
      <c r="C1352" s="38" t="inlineStr">
        <is>
          <t>Benguela</t>
        </is>
      </c>
      <c r="D1352" s="39">
        <f>IFERROR(CLASIF_General_F!$O$5,"")</f>
        <v/>
      </c>
      <c r="E1352" s="40" t="n"/>
      <c r="F1352" s="39">
        <f>IFERROR(CLASIF_General_F!$O$12,"")</f>
        <v/>
      </c>
      <c r="G1352" s="40" t="n"/>
      <c r="H1352" s="41" t="n"/>
      <c r="I1352" s="42">
        <f>IF($H1352="","",MAX(0,$H1352-N($E1352)))</f>
        <v/>
      </c>
      <c r="J1352" s="42">
        <f>IF($H1352="","",MAX(0,$H1352-N($G1352)))</f>
        <v/>
      </c>
    </row>
    <row r="1353" ht="19.5" customHeight="1" s="72">
      <c r="A1353" s="38" t="inlineStr">
        <is>
          <t>GeneralF-SEM-P01-SBA</t>
        </is>
      </c>
      <c r="B1353" s="38" t="inlineStr">
        <is>
          <t>Semifinal</t>
        </is>
      </c>
      <c r="C1353" s="38" t="inlineStr">
        <is>
          <t>São Bento da Abadá</t>
        </is>
      </c>
      <c r="D1353" s="39">
        <f>IFERROR(CLASIF_General_F!$O$5,"")</f>
        <v/>
      </c>
      <c r="E1353" s="40" t="n"/>
      <c r="F1353" s="39">
        <f>IFERROR(CLASIF_General_F!$O$12,"")</f>
        <v/>
      </c>
      <c r="G1353" s="40" t="n"/>
      <c r="H1353" s="41" t="n"/>
      <c r="I1353" s="42">
        <f>IF($H1353="","",MAX(0,$H1353-N($E1353)))</f>
        <v/>
      </c>
      <c r="J1353" s="42">
        <f>IF($H1353="","",MAX(0,$H1353-N($G1353)))</f>
        <v/>
      </c>
    </row>
    <row r="1354" ht="19.5" customHeight="1" s="72">
      <c r="A1354" s="38" t="inlineStr">
        <is>
          <t>GeneralF-SEM-P01-SIR</t>
        </is>
      </c>
      <c r="B1354" s="38" t="inlineStr">
        <is>
          <t>Semifinal</t>
        </is>
      </c>
      <c r="C1354" s="38" t="inlineStr">
        <is>
          <t>Siriuna</t>
        </is>
      </c>
      <c r="D1354" s="39">
        <f>IFERROR(CLASIF_General_F!$O$5,"")</f>
        <v/>
      </c>
      <c r="E1354" s="40" t="n"/>
      <c r="F1354" s="39">
        <f>IFERROR(CLASIF_General_F!$O$12,"")</f>
        <v/>
      </c>
      <c r="G1354" s="40" t="n"/>
      <c r="H1354" s="41" t="n"/>
      <c r="I1354" s="42">
        <f>IF($H1354="","",MAX(0,$H1354-N($E1354)))</f>
        <v/>
      </c>
      <c r="J1354" s="42">
        <f>IF($H1354="","",MAX(0,$H1354-N($G1354)))</f>
        <v/>
      </c>
    </row>
    <row r="1355" ht="19.5" customHeight="1" s="72">
      <c r="A1355" s="38" t="inlineStr">
        <is>
          <t>GeneralF-SEM-P02-BEN</t>
        </is>
      </c>
      <c r="B1355" s="38" t="inlineStr">
        <is>
          <t>Semifinal</t>
        </is>
      </c>
      <c r="C1355" s="38" t="inlineStr">
        <is>
          <t>Benguela</t>
        </is>
      </c>
      <c r="D1355" s="39">
        <f>IFERROR(CLASIF_General_F!$O$6,"")</f>
        <v/>
      </c>
      <c r="E1355" s="40" t="n"/>
      <c r="F1355" s="39">
        <f>IFERROR(CLASIF_General_F!$O$11,"")</f>
        <v/>
      </c>
      <c r="G1355" s="40" t="n"/>
      <c r="H1355" s="41" t="n"/>
      <c r="I1355" s="42">
        <f>IF($H1355="","",MAX(0,$H1355-N($E1355)))</f>
        <v/>
      </c>
      <c r="J1355" s="42">
        <f>IF($H1355="","",MAX(0,$H1355-N($G1355)))</f>
        <v/>
      </c>
    </row>
    <row r="1356" ht="19.5" customHeight="1" s="72">
      <c r="A1356" s="38" t="inlineStr">
        <is>
          <t>GeneralF-SEM-P02-SBA</t>
        </is>
      </c>
      <c r="B1356" s="38" t="inlineStr">
        <is>
          <t>Semifinal</t>
        </is>
      </c>
      <c r="C1356" s="38" t="inlineStr">
        <is>
          <t>São Bento da Abadá</t>
        </is>
      </c>
      <c r="D1356" s="39">
        <f>IFERROR(CLASIF_General_F!$O$6,"")</f>
        <v/>
      </c>
      <c r="E1356" s="40" t="n"/>
      <c r="F1356" s="39">
        <f>IFERROR(CLASIF_General_F!$O$11,"")</f>
        <v/>
      </c>
      <c r="G1356" s="40" t="n"/>
      <c r="H1356" s="41" t="n"/>
      <c r="I1356" s="42">
        <f>IF($H1356="","",MAX(0,$H1356-N($E1356)))</f>
        <v/>
      </c>
      <c r="J1356" s="42">
        <f>IF($H1356="","",MAX(0,$H1356-N($G1356)))</f>
        <v/>
      </c>
    </row>
    <row r="1357" ht="19.5" customHeight="1" s="72">
      <c r="A1357" s="38" t="inlineStr">
        <is>
          <t>GeneralF-SEM-P02-SIR</t>
        </is>
      </c>
      <c r="B1357" s="38" t="inlineStr">
        <is>
          <t>Semifinal</t>
        </is>
      </c>
      <c r="C1357" s="38" t="inlineStr">
        <is>
          <t>Siriuna</t>
        </is>
      </c>
      <c r="D1357" s="39">
        <f>IFERROR(CLASIF_General_F!$O$6,"")</f>
        <v/>
      </c>
      <c r="E1357" s="40" t="n"/>
      <c r="F1357" s="39">
        <f>IFERROR(CLASIF_General_F!$O$11,"")</f>
        <v/>
      </c>
      <c r="G1357" s="40" t="n"/>
      <c r="H1357" s="41" t="n"/>
      <c r="I1357" s="42">
        <f>IF($H1357="","",MAX(0,$H1357-N($E1357)))</f>
        <v/>
      </c>
      <c r="J1357" s="42">
        <f>IF($H1357="","",MAX(0,$H1357-N($G1357)))</f>
        <v/>
      </c>
    </row>
    <row r="1358" ht="19.5" customHeight="1" s="72">
      <c r="A1358" s="38" t="inlineStr">
        <is>
          <t>GeneralF-SEM-P03-BEN</t>
        </is>
      </c>
      <c r="B1358" s="38" t="inlineStr">
        <is>
          <t>Semifinal</t>
        </is>
      </c>
      <c r="C1358" s="38" t="inlineStr">
        <is>
          <t>Benguela</t>
        </is>
      </c>
      <c r="D1358" s="39">
        <f>IFERROR(CLASIF_General_F!$O$7,"")</f>
        <v/>
      </c>
      <c r="E1358" s="40" t="n"/>
      <c r="F1358" s="39">
        <f>IFERROR(CLASIF_General_F!$O$10,"")</f>
        <v/>
      </c>
      <c r="G1358" s="40" t="n"/>
      <c r="H1358" s="41" t="n"/>
      <c r="I1358" s="42">
        <f>IF($H1358="","",MAX(0,$H1358-N($E1358)))</f>
        <v/>
      </c>
      <c r="J1358" s="42">
        <f>IF($H1358="","",MAX(0,$H1358-N($G1358)))</f>
        <v/>
      </c>
    </row>
    <row r="1359" ht="19.5" customHeight="1" s="72">
      <c r="A1359" s="38" t="inlineStr">
        <is>
          <t>GeneralF-SEM-P03-SBA</t>
        </is>
      </c>
      <c r="B1359" s="38" t="inlineStr">
        <is>
          <t>Semifinal</t>
        </is>
      </c>
      <c r="C1359" s="38" t="inlineStr">
        <is>
          <t>São Bento da Abadá</t>
        </is>
      </c>
      <c r="D1359" s="39">
        <f>IFERROR(CLASIF_General_F!$O$7,"")</f>
        <v/>
      </c>
      <c r="E1359" s="40" t="n"/>
      <c r="F1359" s="39">
        <f>IFERROR(CLASIF_General_F!$O$10,"")</f>
        <v/>
      </c>
      <c r="G1359" s="40" t="n"/>
      <c r="H1359" s="41" t="n"/>
      <c r="I1359" s="42">
        <f>IF($H1359="","",MAX(0,$H1359-N($E1359)))</f>
        <v/>
      </c>
      <c r="J1359" s="42">
        <f>IF($H1359="","",MAX(0,$H1359-N($G1359)))</f>
        <v/>
      </c>
    </row>
    <row r="1360" ht="19.5" customHeight="1" s="72">
      <c r="A1360" s="38" t="inlineStr">
        <is>
          <t>GeneralF-SEM-P03-SIR</t>
        </is>
      </c>
      <c r="B1360" s="38" t="inlineStr">
        <is>
          <t>Semifinal</t>
        </is>
      </c>
      <c r="C1360" s="38" t="inlineStr">
        <is>
          <t>Siriuna</t>
        </is>
      </c>
      <c r="D1360" s="39">
        <f>IFERROR(CLASIF_General_F!$O$7,"")</f>
        <v/>
      </c>
      <c r="E1360" s="40" t="n"/>
      <c r="F1360" s="39">
        <f>IFERROR(CLASIF_General_F!$O$10,"")</f>
        <v/>
      </c>
      <c r="G1360" s="40" t="n"/>
      <c r="H1360" s="41" t="n"/>
      <c r="I1360" s="42">
        <f>IF($H1360="","",MAX(0,$H1360-N($E1360)))</f>
        <v/>
      </c>
      <c r="J1360" s="42">
        <f>IF($H1360="","",MAX(0,$H1360-N($G1360)))</f>
        <v/>
      </c>
    </row>
    <row r="1361" ht="19.5" customHeight="1" s="72">
      <c r="A1361" s="38" t="inlineStr">
        <is>
          <t>GeneralF-SEM-P04-BEN</t>
        </is>
      </c>
      <c r="B1361" s="38" t="inlineStr">
        <is>
          <t>Semifinal</t>
        </is>
      </c>
      <c r="C1361" s="38" t="inlineStr">
        <is>
          <t>Benguela</t>
        </is>
      </c>
      <c r="D1361" s="39">
        <f>IFERROR(CLASIF_General_F!$O$8,"")</f>
        <v/>
      </c>
      <c r="E1361" s="40" t="n"/>
      <c r="F1361" s="39">
        <f>IFERROR(CLASIF_General_F!$O$9,"")</f>
        <v/>
      </c>
      <c r="G1361" s="40" t="n"/>
      <c r="H1361" s="41" t="n"/>
      <c r="I1361" s="42">
        <f>IF($H1361="","",MAX(0,$H1361-N($E1361)))</f>
        <v/>
      </c>
      <c r="J1361" s="42">
        <f>IF($H1361="","",MAX(0,$H1361-N($G1361)))</f>
        <v/>
      </c>
    </row>
    <row r="1362" ht="19.5" customHeight="1" s="72">
      <c r="A1362" s="38" t="inlineStr">
        <is>
          <t>GeneralF-SEM-P04-SBA</t>
        </is>
      </c>
      <c r="B1362" s="38" t="inlineStr">
        <is>
          <t>Semifinal</t>
        </is>
      </c>
      <c r="C1362" s="38" t="inlineStr">
        <is>
          <t>São Bento da Abadá</t>
        </is>
      </c>
      <c r="D1362" s="39">
        <f>IFERROR(CLASIF_General_F!$O$8,"")</f>
        <v/>
      </c>
      <c r="E1362" s="40" t="n"/>
      <c r="F1362" s="39">
        <f>IFERROR(CLASIF_General_F!$O$9,"")</f>
        <v/>
      </c>
      <c r="G1362" s="40" t="n"/>
      <c r="H1362" s="41" t="n"/>
      <c r="I1362" s="42">
        <f>IF($H1362="","",MAX(0,$H1362-N($E1362)))</f>
        <v/>
      </c>
      <c r="J1362" s="42">
        <f>IF($H1362="","",MAX(0,$H1362-N($G1362)))</f>
        <v/>
      </c>
    </row>
    <row r="1363" ht="19.5" customHeight="1" s="72">
      <c r="A1363" s="38" t="inlineStr">
        <is>
          <t>GeneralF-SEM-P04-SIR</t>
        </is>
      </c>
      <c r="B1363" s="38" t="inlineStr">
        <is>
          <t>Semifinal</t>
        </is>
      </c>
      <c r="C1363" s="38" t="inlineStr">
        <is>
          <t>Siriuna</t>
        </is>
      </c>
      <c r="D1363" s="39">
        <f>IFERROR(CLASIF_General_F!$O$8,"")</f>
        <v/>
      </c>
      <c r="E1363" s="40" t="n"/>
      <c r="F1363" s="39">
        <f>IFERROR(CLASIF_General_F!$O$9,"")</f>
        <v/>
      </c>
      <c r="G1363" s="40" t="n"/>
      <c r="H1363" s="41" t="n"/>
      <c r="I1363" s="42">
        <f>IF($H1363="","",MAX(0,$H1363-N($E1363)))</f>
        <v/>
      </c>
      <c r="J1363" s="42">
        <f>IF($H1363="","",MAX(0,$H1363-N($G1363)))</f>
        <v/>
      </c>
    </row>
    <row r="1364" ht="19.5" customHeight="1" s="72">
      <c r="A1364" s="38" t="inlineStr">
        <is>
          <t>GeneralF-FIN-P01-BEN</t>
        </is>
      </c>
      <c r="B1364" s="38" t="inlineStr">
        <is>
          <t>Final</t>
        </is>
      </c>
      <c r="C1364" s="38" t="inlineStr">
        <is>
          <t>Benguela</t>
        </is>
      </c>
      <c r="D1364" s="39">
        <f>IFERROR(CLASIF_General_F!$X$5,"")</f>
        <v/>
      </c>
      <c r="E1364" s="40" t="n"/>
      <c r="F1364" s="39">
        <f>IFERROR(CLASIF_General_F!$X$8,"")</f>
        <v/>
      </c>
      <c r="G1364" s="40" t="n"/>
      <c r="H1364" s="41" t="n"/>
      <c r="I1364" s="42">
        <f>IF($H1364="","",MAX(0,$H1364-N($E1364)))</f>
        <v/>
      </c>
      <c r="J1364" s="42">
        <f>IF($H1364="","",MAX(0,$H1364-N($G1364)))</f>
        <v/>
      </c>
    </row>
    <row r="1365" ht="19.5" customHeight="1" s="72">
      <c r="A1365" s="38" t="inlineStr">
        <is>
          <t>GeneralF-FIN-P01-SBA</t>
        </is>
      </c>
      <c r="B1365" s="38" t="inlineStr">
        <is>
          <t>Final</t>
        </is>
      </c>
      <c r="C1365" s="38" t="inlineStr">
        <is>
          <t>São Bento da Abadá</t>
        </is>
      </c>
      <c r="D1365" s="39">
        <f>IFERROR(CLASIF_General_F!$X$5,"")</f>
        <v/>
      </c>
      <c r="E1365" s="40" t="n"/>
      <c r="F1365" s="39">
        <f>IFERROR(CLASIF_General_F!$X$8,"")</f>
        <v/>
      </c>
      <c r="G1365" s="40" t="n"/>
      <c r="H1365" s="41" t="n"/>
      <c r="I1365" s="42">
        <f>IF($H1365="","",MAX(0,$H1365-N($E1365)))</f>
        <v/>
      </c>
      <c r="J1365" s="42">
        <f>IF($H1365="","",MAX(0,$H1365-N($G1365)))</f>
        <v/>
      </c>
    </row>
    <row r="1366" ht="19.5" customHeight="1" s="72">
      <c r="A1366" s="38" t="inlineStr">
        <is>
          <t>GeneralF-FIN-P01-SIR</t>
        </is>
      </c>
      <c r="B1366" s="38" t="inlineStr">
        <is>
          <t>Final</t>
        </is>
      </c>
      <c r="C1366" s="38" t="inlineStr">
        <is>
          <t>Siriuna</t>
        </is>
      </c>
      <c r="D1366" s="39">
        <f>IFERROR(CLASIF_General_F!$X$5,"")</f>
        <v/>
      </c>
      <c r="E1366" s="40" t="n"/>
      <c r="F1366" s="39">
        <f>IFERROR(CLASIF_General_F!$X$8,"")</f>
        <v/>
      </c>
      <c r="G1366" s="40" t="n"/>
      <c r="H1366" s="41" t="n"/>
      <c r="I1366" s="42">
        <f>IF($H1366="","",MAX(0,$H1366-N($E1366)))</f>
        <v/>
      </c>
      <c r="J1366" s="42">
        <f>IF($H1366="","",MAX(0,$H1366-N($G1366)))</f>
        <v/>
      </c>
    </row>
    <row r="1367" ht="19.5" customHeight="1" s="72">
      <c r="A1367" s="38" t="inlineStr">
        <is>
          <t>GeneralF-FIN-P02-BEN</t>
        </is>
      </c>
      <c r="B1367" s="38" t="inlineStr">
        <is>
          <t>Final</t>
        </is>
      </c>
      <c r="C1367" s="38" t="inlineStr">
        <is>
          <t>Benguela</t>
        </is>
      </c>
      <c r="D1367" s="39">
        <f>IFERROR(CLASIF_General_F!$X$6,"")</f>
        <v/>
      </c>
      <c r="E1367" s="40" t="n"/>
      <c r="F1367" s="39">
        <f>IFERROR(CLASIF_General_F!$X$7,"")</f>
        <v/>
      </c>
      <c r="G1367" s="40" t="n"/>
      <c r="H1367" s="41" t="n"/>
      <c r="I1367" s="42">
        <f>IF($H1367="","",MAX(0,$H1367-N($E1367)))</f>
        <v/>
      </c>
      <c r="J1367" s="42">
        <f>IF($H1367="","",MAX(0,$H1367-N($G1367)))</f>
        <v/>
      </c>
    </row>
    <row r="1368" ht="19.5" customHeight="1" s="72">
      <c r="A1368" s="38" t="inlineStr">
        <is>
          <t>GeneralF-FIN-P02-SBA</t>
        </is>
      </c>
      <c r="B1368" s="38" t="inlineStr">
        <is>
          <t>Final</t>
        </is>
      </c>
      <c r="C1368" s="38" t="inlineStr">
        <is>
          <t>São Bento da Abadá</t>
        </is>
      </c>
      <c r="D1368" s="39">
        <f>IFERROR(CLASIF_General_F!$X$6,"")</f>
        <v/>
      </c>
      <c r="E1368" s="40" t="n"/>
      <c r="F1368" s="39">
        <f>IFERROR(CLASIF_General_F!$X$7,"")</f>
        <v/>
      </c>
      <c r="G1368" s="40" t="n"/>
      <c r="H1368" s="41" t="n"/>
      <c r="I1368" s="42">
        <f>IF($H1368="","",MAX(0,$H1368-N($E1368)))</f>
        <v/>
      </c>
      <c r="J1368" s="42">
        <f>IF($H1368="","",MAX(0,$H1368-N($G1368)))</f>
        <v/>
      </c>
    </row>
    <row r="1369" ht="19.5" customHeight="1" s="72">
      <c r="A1369" s="38" t="inlineStr">
        <is>
          <t>GeneralF-FIN-P02-SIR</t>
        </is>
      </c>
      <c r="B1369" s="38" t="inlineStr">
        <is>
          <t>Final</t>
        </is>
      </c>
      <c r="C1369" s="38" t="inlineStr">
        <is>
          <t>Siriuna</t>
        </is>
      </c>
      <c r="D1369" s="39">
        <f>IFERROR(CLASIF_General_F!$X$6,"")</f>
        <v/>
      </c>
      <c r="E1369" s="40" t="n"/>
      <c r="F1369" s="39">
        <f>IFERROR(CLASIF_General_F!$X$7,"")</f>
        <v/>
      </c>
      <c r="G1369" s="40" t="n"/>
      <c r="H1369" s="41" t="n"/>
      <c r="I1369" s="42">
        <f>IF($H1369="","",MAX(0,$H1369-N($E1369)))</f>
        <v/>
      </c>
      <c r="J1369" s="42">
        <f>IF($H1369="","",MAX(0,$H1369-N($G1369)))</f>
        <v/>
      </c>
    </row>
    <row r="1370" ht="19.5" customHeight="1" s="72"/>
    <row r="1371" ht="19.5" customHeight="1" s="72">
      <c r="A1371" s="88" t="inlineStr">
        <is>
          <t>═══ INFANTIL · Mixto · Rueda · Toque: São Bento da Abadá ═══</t>
        </is>
      </c>
    </row>
    <row r="1372" ht="19.5" customHeight="1" s="72">
      <c r="A1372" s="8" t="inlineStr">
        <is>
          <t>Nº</t>
        </is>
      </c>
      <c r="B1372" s="8" t="n"/>
      <c r="C1372" s="8" t="inlineStr">
        <is>
          <t>Toque</t>
        </is>
      </c>
      <c r="D1372" s="8" t="inlineStr">
        <is>
          <t>Participante</t>
        </is>
      </c>
      <c r="E1372" s="8" t="n"/>
      <c r="F1372" s="8" t="n"/>
      <c r="G1372" s="8" t="n"/>
      <c r="H1372" s="8" t="inlineStr">
        <is>
          <t>NOTA (0-5)</t>
        </is>
      </c>
      <c r="I1372" s="8" t="n"/>
      <c r="J1372" s="8" t="n"/>
    </row>
    <row r="1373" ht="19.5" customHeight="1" s="72">
      <c r="A1373" s="38" t="n">
        <v>1</v>
      </c>
      <c r="B1373" s="38" t="inlineStr">
        <is>
          <t>Rueda</t>
        </is>
      </c>
      <c r="C1373" s="38" t="inlineStr">
        <is>
          <t>São Bento da Abadá</t>
        </is>
      </c>
      <c r="D1373" s="54" t="inlineStr">
        <is>
          <t>INF_1</t>
        </is>
      </c>
      <c r="E1373" s="11" t="n"/>
      <c r="F1373" s="11" t="n"/>
      <c r="G1373" s="11" t="n"/>
      <c r="H1373" s="41" t="n"/>
      <c r="I1373" s="11" t="n"/>
      <c r="J1373" s="11" t="n"/>
    </row>
    <row r="1374" ht="19.5" customHeight="1" s="72">
      <c r="A1374" s="38" t="n">
        <v>2</v>
      </c>
      <c r="B1374" s="38" t="inlineStr">
        <is>
          <t>Rueda</t>
        </is>
      </c>
      <c r="C1374" s="38" t="inlineStr">
        <is>
          <t>São Bento da Abadá</t>
        </is>
      </c>
      <c r="D1374" s="54" t="inlineStr">
        <is>
          <t>INF_2</t>
        </is>
      </c>
      <c r="E1374" s="11" t="n"/>
      <c r="F1374" s="11" t="n"/>
      <c r="G1374" s="11" t="n"/>
      <c r="H1374" s="41" t="n"/>
      <c r="I1374" s="11" t="n"/>
      <c r="J1374" s="11" t="n"/>
    </row>
    <row r="1375" ht="19.5" customHeight="1" s="72">
      <c r="A1375" s="38" t="n">
        <v>3</v>
      </c>
      <c r="B1375" s="38" t="inlineStr">
        <is>
          <t>Rueda</t>
        </is>
      </c>
      <c r="C1375" s="38" t="inlineStr">
        <is>
          <t>São Bento da Abadá</t>
        </is>
      </c>
      <c r="D1375" s="54" t="inlineStr">
        <is>
          <t>INF_3</t>
        </is>
      </c>
      <c r="E1375" s="11" t="n"/>
      <c r="F1375" s="11" t="n"/>
      <c r="G1375" s="11" t="n"/>
      <c r="H1375" s="41" t="n"/>
      <c r="I1375" s="11" t="n"/>
      <c r="J1375" s="11" t="n"/>
    </row>
    <row r="1376" ht="19.5" customHeight="1" s="72">
      <c r="A1376" s="38" t="n">
        <v>4</v>
      </c>
      <c r="B1376" s="38" t="inlineStr">
        <is>
          <t>Rueda</t>
        </is>
      </c>
      <c r="C1376" s="38" t="inlineStr">
        <is>
          <t>São Bento da Abadá</t>
        </is>
      </c>
      <c r="D1376" s="54" t="inlineStr">
        <is>
          <t>INF_4</t>
        </is>
      </c>
      <c r="E1376" s="11" t="n"/>
      <c r="F1376" s="11" t="n"/>
      <c r="G1376" s="11" t="n"/>
      <c r="H1376" s="41" t="n"/>
      <c r="I1376" s="11" t="n"/>
      <c r="J1376" s="11" t="n"/>
    </row>
    <row r="1377" ht="19.5" customHeight="1" s="72">
      <c r="A1377" s="38" t="n">
        <v>5</v>
      </c>
      <c r="B1377" s="38" t="inlineStr">
        <is>
          <t>Rueda</t>
        </is>
      </c>
      <c r="C1377" s="38" t="inlineStr">
        <is>
          <t>São Bento da Abadá</t>
        </is>
      </c>
      <c r="D1377" s="54" t="inlineStr">
        <is>
          <t>INF_5</t>
        </is>
      </c>
      <c r="E1377" s="11" t="n"/>
      <c r="F1377" s="11" t="n"/>
      <c r="G1377" s="11" t="n"/>
      <c r="H1377" s="41" t="n"/>
      <c r="I1377" s="11" t="n"/>
      <c r="J1377" s="11" t="n"/>
    </row>
    <row r="1378" ht="19.5" customHeight="1" s="72">
      <c r="A1378" s="38" t="n">
        <v>6</v>
      </c>
      <c r="B1378" s="38" t="inlineStr">
        <is>
          <t>Rueda</t>
        </is>
      </c>
      <c r="C1378" s="38" t="inlineStr">
        <is>
          <t>São Bento da Abadá</t>
        </is>
      </c>
      <c r="D1378" s="54" t="inlineStr">
        <is>
          <t>INF_6</t>
        </is>
      </c>
      <c r="E1378" s="11" t="n"/>
      <c r="F1378" s="11" t="n"/>
      <c r="G1378" s="11" t="n"/>
      <c r="H1378" s="41" t="n"/>
      <c r="I1378" s="11" t="n"/>
      <c r="J1378" s="11" t="n"/>
    </row>
    <row r="1379" ht="19.5" customHeight="1" s="72">
      <c r="A1379" s="38" t="n">
        <v>7</v>
      </c>
      <c r="B1379" s="38" t="inlineStr">
        <is>
          <t>Rueda</t>
        </is>
      </c>
      <c r="C1379" s="38" t="inlineStr">
        <is>
          <t>São Bento da Abadá</t>
        </is>
      </c>
      <c r="D1379" s="54" t="inlineStr">
        <is>
          <t>INF_7</t>
        </is>
      </c>
      <c r="E1379" s="11" t="n"/>
      <c r="F1379" s="11" t="n"/>
      <c r="G1379" s="11" t="n"/>
      <c r="H1379" s="41" t="n"/>
      <c r="I1379" s="11" t="n"/>
      <c r="J1379" s="11" t="n"/>
    </row>
    <row r="1380" ht="19.5" customHeight="1" s="72">
      <c r="A1380" s="38" t="n">
        <v>8</v>
      </c>
      <c r="B1380" s="38" t="inlineStr">
        <is>
          <t>Rueda</t>
        </is>
      </c>
      <c r="C1380" s="38" t="inlineStr">
        <is>
          <t>São Bento da Abadá</t>
        </is>
      </c>
      <c r="D1380" s="54" t="inlineStr">
        <is>
          <t>INF_8</t>
        </is>
      </c>
      <c r="E1380" s="11" t="n"/>
      <c r="F1380" s="11" t="n"/>
      <c r="G1380" s="11" t="n"/>
      <c r="H1380" s="41" t="n"/>
      <c r="I1380" s="11" t="n"/>
      <c r="J1380" s="11" t="n"/>
    </row>
    <row r="1381" ht="19.5" customHeight="1" s="72">
      <c r="A1381" s="38" t="n">
        <v>9</v>
      </c>
      <c r="B1381" s="38" t="inlineStr">
        <is>
          <t>Rueda</t>
        </is>
      </c>
      <c r="C1381" s="38" t="inlineStr">
        <is>
          <t>São Bento da Abadá</t>
        </is>
      </c>
      <c r="D1381" s="54" t="inlineStr">
        <is>
          <t>INF_9</t>
        </is>
      </c>
      <c r="E1381" s="11" t="n"/>
      <c r="F1381" s="11" t="n"/>
      <c r="G1381" s="11" t="n"/>
      <c r="H1381" s="41" t="n"/>
      <c r="I1381" s="11" t="n"/>
      <c r="J1381" s="11" t="n"/>
    </row>
    <row r="1382" ht="19.5" customHeight="1" s="72">
      <c r="A1382" s="38" t="n">
        <v>10</v>
      </c>
      <c r="B1382" s="38" t="inlineStr">
        <is>
          <t>Rueda</t>
        </is>
      </c>
      <c r="C1382" s="38" t="inlineStr">
        <is>
          <t>São Bento da Abadá</t>
        </is>
      </c>
      <c r="D1382" s="54" t="inlineStr">
        <is>
          <t>INF_10</t>
        </is>
      </c>
      <c r="E1382" s="11" t="n"/>
      <c r="F1382" s="11" t="n"/>
      <c r="G1382" s="11" t="n"/>
      <c r="H1382" s="41" t="n"/>
      <c r="I1382" s="11" t="n"/>
      <c r="J1382" s="11" t="n"/>
    </row>
    <row r="1383" ht="19.5" customHeight="1" s="72">
      <c r="A1383" s="38" t="n">
        <v>11</v>
      </c>
      <c r="B1383" s="38" t="inlineStr">
        <is>
          <t>Rueda</t>
        </is>
      </c>
      <c r="C1383" s="38" t="inlineStr">
        <is>
          <t>São Bento da Abadá</t>
        </is>
      </c>
      <c r="D1383" s="54" t="inlineStr">
        <is>
          <t>INF_11</t>
        </is>
      </c>
      <c r="E1383" s="11" t="n"/>
      <c r="F1383" s="11" t="n"/>
      <c r="G1383" s="11" t="n"/>
      <c r="H1383" s="41" t="n"/>
      <c r="I1383" s="11" t="n"/>
      <c r="J1383" s="11" t="n"/>
    </row>
    <row r="1384" ht="19.5" customHeight="1" s="72">
      <c r="A1384" s="38" t="n">
        <v>12</v>
      </c>
      <c r="B1384" s="38" t="inlineStr">
        <is>
          <t>Rueda</t>
        </is>
      </c>
      <c r="C1384" s="38" t="inlineStr">
        <is>
          <t>São Bento da Abadá</t>
        </is>
      </c>
      <c r="D1384" s="54" t="inlineStr">
        <is>
          <t>INF_12</t>
        </is>
      </c>
      <c r="E1384" s="11" t="n"/>
      <c r="F1384" s="11" t="n"/>
      <c r="G1384" s="11" t="n"/>
      <c r="H1384" s="41" t="n"/>
      <c r="I1384" s="11" t="n"/>
      <c r="J1384" s="11" t="n"/>
    </row>
    <row r="1385" ht="19.5" customHeight="1" s="72">
      <c r="A1385" s="38" t="n">
        <v>13</v>
      </c>
      <c r="B1385" s="38" t="inlineStr">
        <is>
          <t>Rueda</t>
        </is>
      </c>
      <c r="C1385" s="38" t="inlineStr">
        <is>
          <t>São Bento da Abadá</t>
        </is>
      </c>
      <c r="D1385" s="54" t="inlineStr">
        <is>
          <t>INF_13</t>
        </is>
      </c>
      <c r="E1385" s="11" t="n"/>
      <c r="F1385" s="11" t="n"/>
      <c r="G1385" s="11" t="n"/>
      <c r="H1385" s="41" t="n"/>
      <c r="I1385" s="11" t="n"/>
      <c r="J1385" s="11" t="n"/>
    </row>
    <row r="1386" ht="19.5" customHeight="1" s="72">
      <c r="A1386" s="38" t="n">
        <v>14</v>
      </c>
      <c r="B1386" s="38" t="inlineStr">
        <is>
          <t>Rueda</t>
        </is>
      </c>
      <c r="C1386" s="38" t="inlineStr">
        <is>
          <t>São Bento da Abadá</t>
        </is>
      </c>
      <c r="D1386" s="54" t="inlineStr">
        <is>
          <t>INF_14</t>
        </is>
      </c>
      <c r="E1386" s="11" t="n"/>
      <c r="F1386" s="11" t="n"/>
      <c r="G1386" s="11" t="n"/>
      <c r="H1386" s="41" t="n"/>
      <c r="I1386" s="11" t="n"/>
      <c r="J1386" s="11" t="n"/>
    </row>
    <row r="1387" ht="19.5" customHeight="1" s="72">
      <c r="A1387" s="38" t="n">
        <v>15</v>
      </c>
      <c r="B1387" s="38" t="inlineStr">
        <is>
          <t>Rueda</t>
        </is>
      </c>
      <c r="C1387" s="38" t="inlineStr">
        <is>
          <t>São Bento da Abadá</t>
        </is>
      </c>
      <c r="D1387" s="54" t="inlineStr">
        <is>
          <t>INF_15</t>
        </is>
      </c>
      <c r="E1387" s="11" t="n"/>
      <c r="F1387" s="11" t="n"/>
      <c r="G1387" s="11" t="n"/>
      <c r="H1387" s="41" t="n"/>
      <c r="I1387" s="11" t="n"/>
      <c r="J1387" s="11" t="n"/>
    </row>
    <row r="1388" ht="19.5" customHeight="1" s="72">
      <c r="A1388" s="38" t="n">
        <v>16</v>
      </c>
      <c r="B1388" s="38" t="inlineStr">
        <is>
          <t>Rueda</t>
        </is>
      </c>
      <c r="C1388" s="38" t="inlineStr">
        <is>
          <t>São Bento da Abadá</t>
        </is>
      </c>
      <c r="D1388" s="54" t="inlineStr">
        <is>
          <t>INF_16</t>
        </is>
      </c>
      <c r="E1388" s="11" t="n"/>
      <c r="F1388" s="11" t="n"/>
      <c r="G1388" s="11" t="n"/>
      <c r="H1388" s="41" t="n"/>
      <c r="I1388" s="11" t="n"/>
      <c r="J1388" s="11" t="n"/>
    </row>
    <row r="1389" ht="19.5" customHeight="1" s="72">
      <c r="A1389" s="38" t="n">
        <v>17</v>
      </c>
      <c r="B1389" s="38" t="inlineStr">
        <is>
          <t>Rueda</t>
        </is>
      </c>
      <c r="C1389" s="38" t="inlineStr">
        <is>
          <t>São Bento da Abadá</t>
        </is>
      </c>
      <c r="D1389" s="54" t="inlineStr">
        <is>
          <t>INF_17</t>
        </is>
      </c>
      <c r="E1389" s="11" t="n"/>
      <c r="F1389" s="11" t="n"/>
      <c r="G1389" s="11" t="n"/>
      <c r="H1389" s="41" t="n"/>
      <c r="I1389" s="11" t="n"/>
      <c r="J1389" s="11" t="n"/>
    </row>
    <row r="1390" ht="19.5" customHeight="1" s="72">
      <c r="A1390" s="38" t="n">
        <v>18</v>
      </c>
      <c r="B1390" s="38" t="inlineStr">
        <is>
          <t>Rueda</t>
        </is>
      </c>
      <c r="C1390" s="38" t="inlineStr">
        <is>
          <t>São Bento da Abadá</t>
        </is>
      </c>
      <c r="D1390" s="54" t="inlineStr">
        <is>
          <t>INF_18</t>
        </is>
      </c>
      <c r="E1390" s="11" t="n"/>
      <c r="F1390" s="11" t="n"/>
      <c r="G1390" s="11" t="n"/>
      <c r="H1390" s="41" t="n"/>
      <c r="I1390" s="11" t="n"/>
      <c r="J1390" s="11" t="n"/>
    </row>
    <row r="1391" ht="19.5" customHeight="1" s="72">
      <c r="A1391" s="38" t="n">
        <v>19</v>
      </c>
      <c r="B1391" s="38" t="inlineStr">
        <is>
          <t>Rueda</t>
        </is>
      </c>
      <c r="C1391" s="38" t="inlineStr">
        <is>
          <t>São Bento da Abadá</t>
        </is>
      </c>
      <c r="D1391" s="54" t="inlineStr">
        <is>
          <t>INF_19</t>
        </is>
      </c>
      <c r="E1391" s="11" t="n"/>
      <c r="F1391" s="11" t="n"/>
      <c r="G1391" s="11" t="n"/>
      <c r="H1391" s="41" t="n"/>
      <c r="I1391" s="11" t="n"/>
      <c r="J1391" s="11" t="n"/>
    </row>
    <row r="1392" ht="19.5" customHeight="1" s="72">
      <c r="A1392" s="38" t="n">
        <v>20</v>
      </c>
      <c r="B1392" s="38" t="inlineStr">
        <is>
          <t>Rueda</t>
        </is>
      </c>
      <c r="C1392" s="38" t="inlineStr">
        <is>
          <t>São Bento da Abadá</t>
        </is>
      </c>
      <c r="D1392" s="54" t="inlineStr">
        <is>
          <t>INF_20</t>
        </is>
      </c>
      <c r="E1392" s="11" t="n"/>
      <c r="F1392" s="11" t="n"/>
      <c r="G1392" s="11" t="n"/>
      <c r="H1392" s="41" t="n"/>
      <c r="I1392" s="11" t="n"/>
      <c r="J1392" s="11" t="n"/>
    </row>
    <row r="1393" ht="19.5" customHeight="1" s="72">
      <c r="A1393" s="38" t="n">
        <v>21</v>
      </c>
      <c r="B1393" s="38" t="inlineStr">
        <is>
          <t>Rueda</t>
        </is>
      </c>
      <c r="C1393" s="38" t="inlineStr">
        <is>
          <t>São Bento da Abadá</t>
        </is>
      </c>
      <c r="D1393" s="54" t="inlineStr">
        <is>
          <t>INF_21</t>
        </is>
      </c>
      <c r="E1393" s="11" t="n"/>
      <c r="F1393" s="11" t="n"/>
      <c r="G1393" s="11" t="n"/>
      <c r="H1393" s="41" t="n"/>
      <c r="I1393" s="11" t="n"/>
      <c r="J1393" s="11" t="n"/>
    </row>
    <row r="1394" ht="19.5" customHeight="1" s="72">
      <c r="A1394" s="38" t="n">
        <v>22</v>
      </c>
      <c r="B1394" s="38" t="inlineStr">
        <is>
          <t>Rueda</t>
        </is>
      </c>
      <c r="C1394" s="38" t="inlineStr">
        <is>
          <t>São Bento da Abadá</t>
        </is>
      </c>
      <c r="D1394" s="54" t="inlineStr">
        <is>
          <t>INF_22</t>
        </is>
      </c>
      <c r="E1394" s="11" t="n"/>
      <c r="F1394" s="11" t="n"/>
      <c r="G1394" s="11" t="n"/>
      <c r="H1394" s="41" t="n"/>
      <c r="I1394" s="11" t="n"/>
      <c r="J1394" s="11" t="n"/>
    </row>
    <row r="1395" ht="19.5" customHeight="1" s="72">
      <c r="A1395" s="38" t="n">
        <v>23</v>
      </c>
      <c r="B1395" s="38" t="inlineStr">
        <is>
          <t>Rueda</t>
        </is>
      </c>
      <c r="C1395" s="38" t="inlineStr">
        <is>
          <t>São Bento da Abadá</t>
        </is>
      </c>
      <c r="D1395" s="54" t="inlineStr">
        <is>
          <t>INF_23</t>
        </is>
      </c>
      <c r="E1395" s="11" t="n"/>
      <c r="F1395" s="11" t="n"/>
      <c r="G1395" s="11" t="n"/>
      <c r="H1395" s="41" t="n"/>
      <c r="I1395" s="11" t="n"/>
      <c r="J1395" s="11" t="n"/>
    </row>
    <row r="1396" ht="19.5" customHeight="1" s="72">
      <c r="A1396" s="38" t="n">
        <v>24</v>
      </c>
      <c r="B1396" s="38" t="inlineStr">
        <is>
          <t>Rueda</t>
        </is>
      </c>
      <c r="C1396" s="38" t="inlineStr">
        <is>
          <t>São Bento da Abadá</t>
        </is>
      </c>
      <c r="D1396" s="54" t="inlineStr">
        <is>
          <t>INF_24</t>
        </is>
      </c>
      <c r="E1396" s="11" t="n"/>
      <c r="F1396" s="11" t="n"/>
      <c r="G1396" s="11" t="n"/>
      <c r="H1396" s="41" t="n"/>
      <c r="I1396" s="11" t="n"/>
      <c r="J1396" s="11" t="n"/>
    </row>
    <row r="1397" ht="19.5" customHeight="1" s="72">
      <c r="A1397" s="38" t="n">
        <v>25</v>
      </c>
      <c r="B1397" s="38" t="inlineStr">
        <is>
          <t>Rueda</t>
        </is>
      </c>
      <c r="C1397" s="38" t="inlineStr">
        <is>
          <t>São Bento da Abadá</t>
        </is>
      </c>
      <c r="D1397" s="54" t="inlineStr">
        <is>
          <t>INF_25</t>
        </is>
      </c>
      <c r="E1397" s="11" t="n"/>
      <c r="F1397" s="11" t="n"/>
      <c r="G1397" s="11" t="n"/>
      <c r="H1397" s="41" t="n"/>
      <c r="I1397" s="11" t="n"/>
      <c r="J1397" s="11" t="n"/>
    </row>
    <row r="1398" ht="19.5" customHeight="1" s="72">
      <c r="A1398" s="38" t="n">
        <v>26</v>
      </c>
      <c r="B1398" s="38" t="inlineStr">
        <is>
          <t>Rueda</t>
        </is>
      </c>
      <c r="C1398" s="38" t="inlineStr">
        <is>
          <t>São Bento da Abadá</t>
        </is>
      </c>
      <c r="D1398" s="54" t="inlineStr">
        <is>
          <t>INF_26</t>
        </is>
      </c>
      <c r="E1398" s="11" t="n"/>
      <c r="F1398" s="11" t="n"/>
      <c r="G1398" s="11" t="n"/>
      <c r="H1398" s="41" t="n"/>
      <c r="I1398" s="11" t="n"/>
      <c r="J1398" s="11" t="n"/>
    </row>
    <row r="1399" ht="19.5" customHeight="1" s="72">
      <c r="A1399" s="38" t="n">
        <v>27</v>
      </c>
      <c r="B1399" s="38" t="inlineStr">
        <is>
          <t>Rueda</t>
        </is>
      </c>
      <c r="C1399" s="38" t="inlineStr">
        <is>
          <t>São Bento da Abadá</t>
        </is>
      </c>
      <c r="D1399" s="54" t="inlineStr">
        <is>
          <t>INF_27</t>
        </is>
      </c>
      <c r="E1399" s="11" t="n"/>
      <c r="F1399" s="11" t="n"/>
      <c r="G1399" s="11" t="n"/>
      <c r="H1399" s="41" t="n"/>
      <c r="I1399" s="11" t="n"/>
      <c r="J1399" s="11" t="n"/>
    </row>
    <row r="1400" ht="19.5" customHeight="1" s="72">
      <c r="A1400" s="38" t="n">
        <v>28</v>
      </c>
      <c r="B1400" s="38" t="inlineStr">
        <is>
          <t>Rueda</t>
        </is>
      </c>
      <c r="C1400" s="38" t="inlineStr">
        <is>
          <t>São Bento da Abadá</t>
        </is>
      </c>
      <c r="D1400" s="54" t="inlineStr">
        <is>
          <t>INF_28</t>
        </is>
      </c>
      <c r="E1400" s="11" t="n"/>
      <c r="F1400" s="11" t="n"/>
      <c r="G1400" s="11" t="n"/>
      <c r="H1400" s="41" t="n"/>
      <c r="I1400" s="11" t="n"/>
      <c r="J1400" s="11" t="n"/>
    </row>
    <row r="1401" ht="19.5" customHeight="1" s="72">
      <c r="A1401" s="38" t="n">
        <v>29</v>
      </c>
      <c r="B1401" s="38" t="inlineStr">
        <is>
          <t>Rueda</t>
        </is>
      </c>
      <c r="C1401" s="38" t="inlineStr">
        <is>
          <t>São Bento da Abadá</t>
        </is>
      </c>
      <c r="D1401" s="54" t="inlineStr">
        <is>
          <t>INF_29</t>
        </is>
      </c>
      <c r="E1401" s="11" t="n"/>
      <c r="F1401" s="11" t="n"/>
      <c r="G1401" s="11" t="n"/>
      <c r="H1401" s="41" t="n"/>
      <c r="I1401" s="11" t="n"/>
      <c r="J1401" s="11" t="n"/>
    </row>
    <row r="1402" ht="19.5" customHeight="1" s="72">
      <c r="A1402" s="38" t="n">
        <v>30</v>
      </c>
      <c r="B1402" s="38" t="inlineStr">
        <is>
          <t>Rueda</t>
        </is>
      </c>
      <c r="C1402" s="38" t="inlineStr">
        <is>
          <t>São Bento da Abadá</t>
        </is>
      </c>
      <c r="D1402" s="54" t="inlineStr">
        <is>
          <t>INF_30</t>
        </is>
      </c>
      <c r="E1402" s="11" t="n"/>
      <c r="F1402" s="11" t="n"/>
      <c r="G1402" s="11" t="n"/>
      <c r="H1402" s="41" t="n"/>
      <c r="I1402" s="11" t="n"/>
      <c r="J1402" s="11" t="n"/>
    </row>
    <row r="1403" ht="19.5" customHeight="1" s="72">
      <c r="A1403" s="38" t="n">
        <v>31</v>
      </c>
      <c r="B1403" s="38" t="inlineStr">
        <is>
          <t>Rueda</t>
        </is>
      </c>
      <c r="C1403" s="38" t="inlineStr">
        <is>
          <t>São Bento da Abadá</t>
        </is>
      </c>
      <c r="D1403" s="54" t="inlineStr">
        <is>
          <t>INF_31</t>
        </is>
      </c>
      <c r="E1403" s="11" t="n"/>
      <c r="F1403" s="11" t="n"/>
      <c r="G1403" s="11" t="n"/>
      <c r="H1403" s="41" t="n"/>
      <c r="I1403" s="11" t="n"/>
      <c r="J1403" s="11" t="n"/>
    </row>
    <row r="1404" ht="19.5" customHeight="1" s="72">
      <c r="A1404" s="38" t="n">
        <v>32</v>
      </c>
      <c r="B1404" s="38" t="inlineStr">
        <is>
          <t>Rueda</t>
        </is>
      </c>
      <c r="C1404" s="38" t="inlineStr">
        <is>
          <t>São Bento da Abadá</t>
        </is>
      </c>
      <c r="D1404" s="54" t="inlineStr">
        <is>
          <t>INF_32</t>
        </is>
      </c>
      <c r="E1404" s="11" t="n"/>
      <c r="F1404" s="11" t="n"/>
      <c r="G1404" s="11" t="n"/>
      <c r="H1404" s="41" t="n"/>
      <c r="I1404" s="11" t="n"/>
      <c r="J1404" s="11" t="n"/>
    </row>
    <row r="1405" ht="19.5" customHeight="1" s="72">
      <c r="A1405" s="38" t="n">
        <v>33</v>
      </c>
      <c r="B1405" s="38" t="inlineStr">
        <is>
          <t>Rueda</t>
        </is>
      </c>
      <c r="C1405" s="38" t="inlineStr">
        <is>
          <t>São Bento da Abadá</t>
        </is>
      </c>
      <c r="D1405" s="54" t="inlineStr">
        <is>
          <t>INF_33</t>
        </is>
      </c>
      <c r="E1405" s="11" t="n"/>
      <c r="F1405" s="11" t="n"/>
      <c r="G1405" s="11" t="n"/>
      <c r="H1405" s="41" t="n"/>
      <c r="I1405" s="11" t="n"/>
      <c r="J1405" s="11" t="n"/>
    </row>
    <row r="1406" ht="19.5" customHeight="1" s="72">
      <c r="A1406" s="38" t="n">
        <v>34</v>
      </c>
      <c r="B1406" s="38" t="inlineStr">
        <is>
          <t>Rueda</t>
        </is>
      </c>
      <c r="C1406" s="38" t="inlineStr">
        <is>
          <t>São Bento da Abadá</t>
        </is>
      </c>
      <c r="D1406" s="54" t="inlineStr">
        <is>
          <t>INF_34</t>
        </is>
      </c>
      <c r="E1406" s="11" t="n"/>
      <c r="F1406" s="11" t="n"/>
      <c r="G1406" s="11" t="n"/>
      <c r="H1406" s="41" t="n"/>
      <c r="I1406" s="11" t="n"/>
      <c r="J1406" s="11" t="n"/>
    </row>
    <row r="1407" ht="19.5" customHeight="1" s="72">
      <c r="A1407" s="38" t="n">
        <v>35</v>
      </c>
      <c r="B1407" s="38" t="inlineStr">
        <is>
          <t>Rueda</t>
        </is>
      </c>
      <c r="C1407" s="38" t="inlineStr">
        <is>
          <t>São Bento da Abadá</t>
        </is>
      </c>
      <c r="D1407" s="54" t="inlineStr">
        <is>
          <t>INF_35</t>
        </is>
      </c>
      <c r="E1407" s="11" t="n"/>
      <c r="F1407" s="11" t="n"/>
      <c r="G1407" s="11" t="n"/>
      <c r="H1407" s="41" t="n"/>
      <c r="I1407" s="11" t="n"/>
      <c r="J1407" s="11" t="n"/>
    </row>
    <row r="1408" ht="19.5" customHeight="1" s="72">
      <c r="A1408" s="38" t="n">
        <v>36</v>
      </c>
      <c r="B1408" s="38" t="inlineStr">
        <is>
          <t>Rueda</t>
        </is>
      </c>
      <c r="C1408" s="38" t="inlineStr">
        <is>
          <t>São Bento da Abadá</t>
        </is>
      </c>
      <c r="D1408" s="54" t="inlineStr">
        <is>
          <t>INF_36</t>
        </is>
      </c>
      <c r="E1408" s="11" t="n"/>
      <c r="F1408" s="11" t="n"/>
      <c r="G1408" s="11" t="n"/>
      <c r="H1408" s="41" t="n"/>
      <c r="I1408" s="11" t="n"/>
      <c r="J1408" s="11" t="n"/>
    </row>
    <row r="1409" ht="19.5" customHeight="1" s="72">
      <c r="A1409" s="38" t="n">
        <v>37</v>
      </c>
      <c r="B1409" s="38" t="inlineStr">
        <is>
          <t>Rueda</t>
        </is>
      </c>
      <c r="C1409" s="38" t="inlineStr">
        <is>
          <t>São Bento da Abadá</t>
        </is>
      </c>
      <c r="D1409" s="54" t="inlineStr">
        <is>
          <t>INF_37</t>
        </is>
      </c>
      <c r="E1409" s="11" t="n"/>
      <c r="F1409" s="11" t="n"/>
      <c r="G1409" s="11" t="n"/>
      <c r="H1409" s="41" t="n"/>
      <c r="I1409" s="11" t="n"/>
      <c r="J1409" s="11" t="n"/>
    </row>
    <row r="1410" ht="19.5" customHeight="1" s="72">
      <c r="A1410" s="38" t="n">
        <v>38</v>
      </c>
      <c r="B1410" s="38" t="inlineStr">
        <is>
          <t>Rueda</t>
        </is>
      </c>
      <c r="C1410" s="38" t="inlineStr">
        <is>
          <t>São Bento da Abadá</t>
        </is>
      </c>
      <c r="D1410" s="54" t="inlineStr">
        <is>
          <t>INF_38</t>
        </is>
      </c>
      <c r="E1410" s="11" t="n"/>
      <c r="F1410" s="11" t="n"/>
      <c r="G1410" s="11" t="n"/>
      <c r="H1410" s="41" t="n"/>
      <c r="I1410" s="11" t="n"/>
      <c r="J1410" s="11" t="n"/>
    </row>
    <row r="1411" ht="19.5" customHeight="1" s="72">
      <c r="A1411" s="38" t="n">
        <v>39</v>
      </c>
      <c r="B1411" s="38" t="inlineStr">
        <is>
          <t>Rueda</t>
        </is>
      </c>
      <c r="C1411" s="38" t="inlineStr">
        <is>
          <t>São Bento da Abadá</t>
        </is>
      </c>
      <c r="D1411" s="54" t="inlineStr">
        <is>
          <t>INF_39</t>
        </is>
      </c>
      <c r="E1411" s="11" t="n"/>
      <c r="F1411" s="11" t="n"/>
      <c r="G1411" s="11" t="n"/>
      <c r="H1411" s="41" t="n"/>
      <c r="I1411" s="11" t="n"/>
      <c r="J1411" s="11" t="n"/>
    </row>
    <row r="1412" ht="19.5" customHeight="1" s="72">
      <c r="A1412" s="38" t="n">
        <v>40</v>
      </c>
      <c r="B1412" s="38" t="inlineStr">
        <is>
          <t>Rueda</t>
        </is>
      </c>
      <c r="C1412" s="38" t="inlineStr">
        <is>
          <t>São Bento da Abadá</t>
        </is>
      </c>
      <c r="D1412" s="54" t="inlineStr">
        <is>
          <t>INF_40</t>
        </is>
      </c>
      <c r="E1412" s="11" t="n"/>
      <c r="F1412" s="11" t="n"/>
      <c r="G1412" s="11" t="n"/>
      <c r="H1412" s="41" t="n"/>
      <c r="I1412" s="11" t="n"/>
      <c r="J1412" s="11" t="n"/>
    </row>
  </sheetData>
  <mergeCells count="18">
    <mergeCell ref="A1:J1"/>
    <mergeCell ref="A966:J966"/>
    <mergeCell ref="A1185:J1185"/>
    <mergeCell ref="A1278:J1278"/>
    <mergeCell ref="A375:J375"/>
    <mergeCell ref="A282:J282"/>
    <mergeCell ref="A561:J561"/>
    <mergeCell ref="A468:J468"/>
    <mergeCell ref="A189:J189"/>
    <mergeCell ref="A873:J873"/>
    <mergeCell ref="A3:J3"/>
    <mergeCell ref="A654:J654"/>
    <mergeCell ref="A747:J747"/>
    <mergeCell ref="A96:J96"/>
    <mergeCell ref="A1059:J1059"/>
    <mergeCell ref="A1122:J1122"/>
    <mergeCell ref="A1371:J1371"/>
    <mergeCell ref="A810:J810"/>
  </mergeCell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89" t="inlineStr">
        <is>
          <t>CLASIFICACIÓN · Cat A Masculino · suma de toques × 3 jueces</t>
        </is>
      </c>
    </row>
    <row r="2" ht="14.25" customHeight="1" s="72"/>
    <row r="3" ht="14.25" customHeight="1" s="72">
      <c r="J3" s="90" t="inlineStr">
        <is>
          <t>FASE OCTAVAS · pasan 8 a Semifinal</t>
        </is>
      </c>
      <c r="S3" s="90" t="inlineStr">
        <is>
          <t>FASE SEMIFINAL · pasan 4 a la Final</t>
        </is>
      </c>
      <c r="AB3" s="9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JUEZ_1!D5</f>
        <v/>
      </c>
      <c r="B5" s="4">
        <f>(SUM(JUEZ_1!I5:I7)+SUM(JUEZ_2!I5:I7)+SUM(JUEZ_3!I5:I7))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JUEZ_1!D53</f>
        <v/>
      </c>
      <c r="K5" s="4">
        <f>(SUM(JUEZ_1!I53:I55)+SUM(JUEZ_2!I53:I55)+SUM(JUEZ_3!I53:I55))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JUEZ_1!D77</f>
        <v/>
      </c>
      <c r="T5" s="4">
        <f>(SUM(JUEZ_1!I77:I79)+SUM(JUEZ_2!I77:I79)+SUM(JUEZ_3!I77:I79))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JUEZ_1!D89</f>
        <v/>
      </c>
      <c r="AC5" s="4">
        <f>(SUM(JUEZ_1!I89:I91)+SUM(JUEZ_2!I89:I91)+SUM(JUEZ_3!I89:I91))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JUEZ_1!F5</f>
        <v/>
      </c>
      <c r="B6" s="4">
        <f>(SUM(JUEZ_1!J5:J7)+SUM(JUEZ_2!J5:J7)+SUM(JUEZ_3!J5:J7))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JUEZ_1!F53</f>
        <v/>
      </c>
      <c r="K6" s="4">
        <f>(SUM(JUEZ_1!J53:J55)+SUM(JUEZ_2!J53:J55)+SUM(JUEZ_3!J53:J55))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JUEZ_1!F77</f>
        <v/>
      </c>
      <c r="T6" s="4">
        <f>(SUM(JUEZ_1!J77:J79)+SUM(JUEZ_2!J77:J79)+SUM(JUEZ_3!J77:J79))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JUEZ_1!F89</f>
        <v/>
      </c>
      <c r="AC6" s="4">
        <f>(SUM(JUEZ_1!J89:J91)+SUM(JUEZ_2!J89:J91)+SUM(JUEZ_3!J89:J91))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JUEZ_1!D8</f>
        <v/>
      </c>
      <c r="B7" s="4">
        <f>(SUM(JUEZ_1!I8:I10)+SUM(JUEZ_2!I8:I10)+SUM(JUEZ_3!I8:I10))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JUEZ_1!D56</f>
        <v/>
      </c>
      <c r="K7" s="4">
        <f>(SUM(JUEZ_1!I56:I58)+SUM(JUEZ_2!I56:I58)+SUM(JUEZ_3!I56:I58))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JUEZ_1!D80</f>
        <v/>
      </c>
      <c r="T7" s="4">
        <f>(SUM(JUEZ_1!I80:I82)+SUM(JUEZ_2!I80:I82)+SUM(JUEZ_3!I80:I82))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JUEZ_1!D92</f>
        <v/>
      </c>
      <c r="AC7" s="4">
        <f>(SUM(JUEZ_1!I92:I94)+SUM(JUEZ_2!I92:I94)+SUM(JUEZ_3!I92:I94))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JUEZ_1!F8</f>
        <v/>
      </c>
      <c r="B8" s="4">
        <f>(SUM(JUEZ_1!J8:J10)+SUM(JUEZ_2!J8:J10)+SUM(JUEZ_3!J8:J10))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JUEZ_1!F56</f>
        <v/>
      </c>
      <c r="K8" s="4">
        <f>(SUM(JUEZ_1!J56:J58)+SUM(JUEZ_2!J56:J58)+SUM(JUEZ_3!J56:J58))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JUEZ_1!F80</f>
        <v/>
      </c>
      <c r="T8" s="4">
        <f>(SUM(JUEZ_1!J80:J82)+SUM(JUEZ_2!J80:J82)+SUM(JUEZ_3!J80:J82))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JUEZ_1!F92</f>
        <v/>
      </c>
      <c r="AC8" s="4">
        <f>(SUM(JUEZ_1!J92:J94)+SUM(JUEZ_2!J92:J94)+SUM(JUEZ_3!J92:J94))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JUEZ_1!D11</f>
        <v/>
      </c>
      <c r="B9" s="4">
        <f>(SUM(JUEZ_1!I11:I13)+SUM(JUEZ_2!I11:I13)+SUM(JUEZ_3!I11:I13))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JUEZ_1!D59</f>
        <v/>
      </c>
      <c r="K9" s="4">
        <f>(SUM(JUEZ_1!I59:I61)+SUM(JUEZ_2!I59:I61)+SUM(JUEZ_3!I59:I61))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JUEZ_1!D83</f>
        <v/>
      </c>
      <c r="T9" s="4">
        <f>(SUM(JUEZ_1!I83:I85)+SUM(JUEZ_2!I83:I85)+SUM(JUEZ_3!I83:I85))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JUEZ_1!F11</f>
        <v/>
      </c>
      <c r="B10" s="4">
        <f>(SUM(JUEZ_1!J11:J13)+SUM(JUEZ_2!J11:J13)+SUM(JUEZ_3!J11:J13))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JUEZ_1!F59</f>
        <v/>
      </c>
      <c r="K10" s="4">
        <f>(SUM(JUEZ_1!J59:J61)+SUM(JUEZ_2!J59:J61)+SUM(JUEZ_3!J59:J61))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JUEZ_1!F83</f>
        <v/>
      </c>
      <c r="T10" s="4">
        <f>(SUM(JUEZ_1!J83:J85)+SUM(JUEZ_2!J83:J85)+SUM(JUEZ_3!J83:J85))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JUEZ_1!D14</f>
        <v/>
      </c>
      <c r="B11" s="4">
        <f>(SUM(JUEZ_1!I14:I16)+SUM(JUEZ_2!I14:I16)+SUM(JUEZ_3!I14:I16))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JUEZ_1!D62</f>
        <v/>
      </c>
      <c r="K11" s="4">
        <f>(SUM(JUEZ_1!I62:I64)+SUM(JUEZ_2!I62:I64)+SUM(JUEZ_3!I62:I64))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JUEZ_1!D86</f>
        <v/>
      </c>
      <c r="T11" s="4">
        <f>(SUM(JUEZ_1!I86:I88)+SUM(JUEZ_2!I86:I88)+SUM(JUEZ_3!I86:I88))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JUEZ_1!F14</f>
        <v/>
      </c>
      <c r="B12" s="4">
        <f>(SUM(JUEZ_1!J14:J16)+SUM(JUEZ_2!J14:J16)+SUM(JUEZ_3!J14:J16))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JUEZ_1!F62</f>
        <v/>
      </c>
      <c r="K12" s="4">
        <f>(SUM(JUEZ_1!J62:J64)+SUM(JUEZ_2!J62:J64)+SUM(JUEZ_3!J62:J64))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JUEZ_1!F86</f>
        <v/>
      </c>
      <c r="T12" s="4">
        <f>(SUM(JUEZ_1!J86:J88)+SUM(JUEZ_2!J86:J88)+SUM(JUEZ_3!J86:J88))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JUEZ_1!A89</f>
        <v/>
      </c>
      <c r="AD12" s="4">
        <f>JUEZ_1!D89</f>
        <v/>
      </c>
      <c r="AE12" s="4">
        <f>JUEZ_1!F89</f>
        <v/>
      </c>
      <c r="AF12" s="4">
        <f>(N(JUEZ_1!I89)+N(JUEZ_1!J89))+(N(JUEZ_2!I89)+N(JUEZ_2!J89))+(N(JUEZ_3!I89)+N(JUEZ_3!J89))</f>
        <v/>
      </c>
      <c r="AG12" s="4">
        <f>IF(AND($AF12=MAX($AF12,$AF13),$AF12&gt;0),"🥇 MEJOR Benguela","")</f>
        <v/>
      </c>
    </row>
    <row r="13" ht="14.25" customHeight="1" s="72">
      <c r="A13" s="4">
        <f>JUEZ_1!D17</f>
        <v/>
      </c>
      <c r="B13" s="4">
        <f>(SUM(JUEZ_1!I17:I19)+SUM(JUEZ_2!I17:I19)+SUM(JUEZ_3!I17:I19))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JUEZ_1!D65</f>
        <v/>
      </c>
      <c r="K13" s="4">
        <f>(SUM(JUEZ_1!I65:I67)+SUM(JUEZ_2!I65:I67)+SUM(JUEZ_3!I65:I67))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JUEZ_1!A92</f>
        <v/>
      </c>
      <c r="AD13" s="4">
        <f>JUEZ_1!D92</f>
        <v/>
      </c>
      <c r="AE13" s="4">
        <f>JUEZ_1!F92</f>
        <v/>
      </c>
      <c r="AF13" s="4">
        <f>(N(JUEZ_1!I92)+N(JUEZ_1!J92))+(N(JUEZ_2!I92)+N(JUEZ_2!J92))+(N(JUEZ_3!I92)+N(JUEZ_3!J92))</f>
        <v/>
      </c>
      <c r="AG13" s="4">
        <f>IF(AND($AF13=MAX($AF12,$AF13),$AF13&gt;0),"🥇 MEJOR Benguela","")</f>
        <v/>
      </c>
    </row>
    <row r="14" ht="14.25" customHeight="1" s="72">
      <c r="A14" s="4">
        <f>JUEZ_1!F17</f>
        <v/>
      </c>
      <c r="B14" s="4">
        <f>(SUM(JUEZ_1!J17:J19)+SUM(JUEZ_2!J17:J19)+SUM(JUEZ_3!J17:J19))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JUEZ_1!F65</f>
        <v/>
      </c>
      <c r="K14" s="4">
        <f>(SUM(JUEZ_1!J65:J67)+SUM(JUEZ_2!J65:J67)+SUM(JUEZ_3!J65:J67))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JUEZ_1!A90</f>
        <v/>
      </c>
      <c r="AD14" s="4">
        <f>JUEZ_1!D90</f>
        <v/>
      </c>
      <c r="AE14" s="4">
        <f>JUEZ_1!F90</f>
        <v/>
      </c>
      <c r="AF14" s="4">
        <f>(N(JUEZ_1!I90)+N(JUEZ_1!J90))+(N(JUEZ_2!I90)+N(JUEZ_2!J90))+(N(JUEZ_3!I90)+N(JUEZ_3!J90))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JUEZ_1!D20</f>
        <v/>
      </c>
      <c r="B15" s="4">
        <f>(SUM(JUEZ_1!I20:I22)+SUM(JUEZ_2!I20:I22)+SUM(JUEZ_3!I20:I22))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JUEZ_1!D68</f>
        <v/>
      </c>
      <c r="K15" s="4">
        <f>(SUM(JUEZ_1!I68:I70)+SUM(JUEZ_2!I68:I70)+SUM(JUEZ_3!I68:I70))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JUEZ_1!A93</f>
        <v/>
      </c>
      <c r="AD15" s="4">
        <f>JUEZ_1!D93</f>
        <v/>
      </c>
      <c r="AE15" s="4">
        <f>JUEZ_1!F93</f>
        <v/>
      </c>
      <c r="AF15" s="4">
        <f>(N(JUEZ_1!I93)+N(JUEZ_1!J93))+(N(JUEZ_2!I93)+N(JUEZ_2!J93))+(N(JUEZ_3!I93)+N(JUEZ_3!J93))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JUEZ_1!F20</f>
        <v/>
      </c>
      <c r="B16" s="4">
        <f>(SUM(JUEZ_1!J20:J22)+SUM(JUEZ_2!J20:J22)+SUM(JUEZ_3!J20:J22))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JUEZ_1!F68</f>
        <v/>
      </c>
      <c r="K16" s="4">
        <f>(SUM(JUEZ_1!J68:J70)+SUM(JUEZ_2!J68:J70)+SUM(JUEZ_3!J68:J70))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JUEZ_1!A91</f>
        <v/>
      </c>
      <c r="AD16" s="4">
        <f>JUEZ_1!D91</f>
        <v/>
      </c>
      <c r="AE16" s="4">
        <f>JUEZ_1!F91</f>
        <v/>
      </c>
      <c r="AF16" s="4">
        <f>(N(JUEZ_1!I91)+N(JUEZ_1!J91))+(N(JUEZ_2!I91)+N(JUEZ_2!J91))+(N(JUEZ_3!I91)+N(JUEZ_3!J91))</f>
        <v/>
      </c>
      <c r="AG16" s="4">
        <f>IF(AND($AF16=MAX($AF16,$AF17),$AF16&gt;0),"🥇 MEJOR Siriuna","")</f>
        <v/>
      </c>
    </row>
    <row r="17" ht="14.25" customHeight="1" s="72">
      <c r="A17" s="4">
        <f>JUEZ_1!D23</f>
        <v/>
      </c>
      <c r="B17" s="4">
        <f>(SUM(JUEZ_1!I23:I25)+SUM(JUEZ_2!I23:I25)+SUM(JUEZ_3!I23:I25))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JUEZ_1!D71</f>
        <v/>
      </c>
      <c r="K17" s="4">
        <f>(SUM(JUEZ_1!I71:I73)+SUM(JUEZ_2!I71:I73)+SUM(JUEZ_3!I71:I73))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JUEZ_1!A94</f>
        <v/>
      </c>
      <c r="AD17" s="4">
        <f>JUEZ_1!D94</f>
        <v/>
      </c>
      <c r="AE17" s="4">
        <f>JUEZ_1!F94</f>
        <v/>
      </c>
      <c r="AF17" s="4">
        <f>(N(JUEZ_1!I94)+N(JUEZ_1!J94))+(N(JUEZ_2!I94)+N(JUEZ_2!J94))+(N(JUEZ_3!I94)+N(JUEZ_3!J94))</f>
        <v/>
      </c>
      <c r="AG17" s="4">
        <f>IF(AND($AF17=MAX($AF16,$AF17),$AF17&gt;0),"🥇 MEJOR Siriuna","")</f>
        <v/>
      </c>
    </row>
    <row r="18" ht="14.25" customHeight="1" s="72">
      <c r="A18" s="4">
        <f>JUEZ_1!F23</f>
        <v/>
      </c>
      <c r="B18" s="4">
        <f>(SUM(JUEZ_1!J23:J25)+SUM(JUEZ_2!J23:J25)+SUM(JUEZ_3!J23:J25))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JUEZ_1!F71</f>
        <v/>
      </c>
      <c r="K18" s="4">
        <f>(SUM(JUEZ_1!J71:J73)+SUM(JUEZ_2!J71:J73)+SUM(JUEZ_3!J71:J73))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JUEZ_1!D26</f>
        <v/>
      </c>
      <c r="B19" s="4">
        <f>(SUM(JUEZ_1!I26:I28)+SUM(JUEZ_2!I26:I28)+SUM(JUEZ_3!I26:I28))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JUEZ_1!D74</f>
        <v/>
      </c>
      <c r="K19" s="4">
        <f>(SUM(JUEZ_1!I74:I76)+SUM(JUEZ_2!I74:I76)+SUM(JUEZ_3!I74:I76))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JUEZ_1!F26</f>
        <v/>
      </c>
      <c r="B20" s="4">
        <f>(SUM(JUEZ_1!J26:J28)+SUM(JUEZ_2!J26:J28)+SUM(JUEZ_3!J26:J28))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JUEZ_1!F74</f>
        <v/>
      </c>
      <c r="K20" s="4">
        <f>(SUM(JUEZ_1!J74:J76)+SUM(JUEZ_2!J74:J76)+SUM(JUEZ_3!J74:J76))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JUEZ_1!D29</f>
        <v/>
      </c>
      <c r="B21" s="4">
        <f>(SUM(JUEZ_1!I29:I31)+SUM(JUEZ_2!I29:I31)+SUM(JUEZ_3!I29:I31))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JUEZ_1!F29</f>
        <v/>
      </c>
      <c r="B22" s="4">
        <f>(SUM(JUEZ_1!J29:J31)+SUM(JUEZ_2!J29:J31)+SUM(JUEZ_3!J29:J31))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JUEZ_1!D32</f>
        <v/>
      </c>
      <c r="B23" s="4">
        <f>(SUM(JUEZ_1!I32:I34)+SUM(JUEZ_2!I32:I34)+SUM(JUEZ_3!I32:I34))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JUEZ_1!F32</f>
        <v/>
      </c>
      <c r="B24" s="4">
        <f>(SUM(JUEZ_1!J32:J34)+SUM(JUEZ_2!J32:J34)+SUM(JUEZ_3!J32:J34))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JUEZ_1!D35</f>
        <v/>
      </c>
      <c r="B25" s="4">
        <f>(SUM(JUEZ_1!I35:I37)+SUM(JUEZ_2!I35:I37)+SUM(JUEZ_3!I35:I37))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JUEZ_1!F35</f>
        <v/>
      </c>
      <c r="B26" s="4">
        <f>(SUM(JUEZ_1!J35:J37)+SUM(JUEZ_2!J35:J37)+SUM(JUEZ_3!J35:J37))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JUEZ_1!D38</f>
        <v/>
      </c>
      <c r="B27" s="4">
        <f>(SUM(JUEZ_1!I38:I40)+SUM(JUEZ_2!I38:I40)+SUM(JUEZ_3!I38:I40))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JUEZ_1!F38</f>
        <v/>
      </c>
      <c r="B28" s="4">
        <f>(SUM(JUEZ_1!J38:J40)+SUM(JUEZ_2!J38:J40)+SUM(JUEZ_3!J38:J40))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JUEZ_1!D41</f>
        <v/>
      </c>
      <c r="B29" s="4">
        <f>(SUM(JUEZ_1!I41:I43)+SUM(JUEZ_2!I41:I43)+SUM(JUEZ_3!I41:I43))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JUEZ_1!F41</f>
        <v/>
      </c>
      <c r="B30" s="4">
        <f>(SUM(JUEZ_1!J41:J43)+SUM(JUEZ_2!J41:J43)+SUM(JUEZ_3!J41:J43))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JUEZ_1!D44</f>
        <v/>
      </c>
      <c r="B31" s="4">
        <f>(SUM(JUEZ_1!I44:I46)+SUM(JUEZ_2!I44:I46)+SUM(JUEZ_3!I44:I46))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JUEZ_1!F44</f>
        <v/>
      </c>
      <c r="B32" s="4">
        <f>(SUM(JUEZ_1!J44:J46)+SUM(JUEZ_2!J44:J46)+SUM(JUEZ_3!J44:J46))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JUEZ_1!D47</f>
        <v/>
      </c>
      <c r="B33" s="4">
        <f>(SUM(JUEZ_1!I47:I49)+SUM(JUEZ_2!I47:I49)+SUM(JUEZ_3!I47:I49))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JUEZ_1!F47</f>
        <v/>
      </c>
      <c r="B34" s="4">
        <f>(SUM(JUEZ_1!J47:J49)+SUM(JUEZ_2!J47:J49)+SUM(JUEZ_3!J47:J49))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JUEZ_1!D50</f>
        <v/>
      </c>
      <c r="B35" s="4">
        <f>(SUM(JUEZ_1!I50:I52)+SUM(JUEZ_2!I50:I52)+SUM(JUEZ_3!I50:I52))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JUEZ_1!F50</f>
        <v/>
      </c>
      <c r="B36" s="4">
        <f>(SUM(JUEZ_1!J50:J52)+SUM(JUEZ_2!J50:J52)+SUM(JUEZ_3!J50:J52))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conditionalFormatting sqref="E5:H36">
    <cfRule type="expression" priority="1" dxfId="0">
      <formula>$H5="CLASIFICA"</formula>
    </cfRule>
    <cfRule type="expression" priority="2" dxfId="1">
      <formula>$H5="Empate (mesa)"</formula>
    </cfRule>
  </conditionalFormatting>
  <conditionalFormatting sqref="N5:Q20">
    <cfRule type="expression" priority="3" dxfId="0">
      <formula>$Q5="CLASIFICA"</formula>
    </cfRule>
    <cfRule type="expression" priority="4" dxfId="1">
      <formula>$Q5="Empate (mesa)"</formula>
    </cfRule>
  </conditionalFormatting>
  <conditionalFormatting sqref="W5:Z12">
    <cfRule type="expression" priority="5" dxfId="0">
      <formula>$Z5="CLASIFICA"</formula>
    </cfRule>
    <cfRule type="expression" priority="6" dxfId="1">
      <formula>$Z5="Empate (mesa)"</formula>
    </cfRule>
  </conditionalFormatting>
  <conditionalFormatting sqref="AF5:AI8">
    <cfRule type="expression" priority="7" dxfId="2">
      <formula>$AI5="🏆 CAMPEÓN"</formula>
    </cfRule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89" t="inlineStr">
        <is>
          <t>CLASIFICACIÓN · Cat A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JUEZ_1!D98</f>
        <v/>
      </c>
      <c r="B5" s="4">
        <f>(SUM(JUEZ_1!I98:I100)+SUM(JUEZ_2!I98:I100)+SUM(JUEZ_3!I98:I100))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JUEZ_1!D146</f>
        <v/>
      </c>
      <c r="K5" s="4">
        <f>(SUM(JUEZ_1!I146:I148)+SUM(JUEZ_2!I146:I148)+SUM(JUEZ_3!I146:I148))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JUEZ_1!D170</f>
        <v/>
      </c>
      <c r="T5" s="4">
        <f>(SUM(JUEZ_1!I170:I172)+SUM(JUEZ_2!I170:I172)+SUM(JUEZ_3!I170:I172))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JUEZ_1!D182</f>
        <v/>
      </c>
      <c r="AC5" s="4">
        <f>(SUM(JUEZ_1!I182:I184)+SUM(JUEZ_2!I182:I184)+SUM(JUEZ_3!I182:I184))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JUEZ_1!F98</f>
        <v/>
      </c>
      <c r="B6" s="4">
        <f>(SUM(JUEZ_1!J98:J100)+SUM(JUEZ_2!J98:J100)+SUM(JUEZ_3!J98:J100))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JUEZ_1!F146</f>
        <v/>
      </c>
      <c r="K6" s="4">
        <f>(SUM(JUEZ_1!J146:J148)+SUM(JUEZ_2!J146:J148)+SUM(JUEZ_3!J146:J148))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JUEZ_1!F170</f>
        <v/>
      </c>
      <c r="T6" s="4">
        <f>(SUM(JUEZ_1!J170:J172)+SUM(JUEZ_2!J170:J172)+SUM(JUEZ_3!J170:J172))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JUEZ_1!F182</f>
        <v/>
      </c>
      <c r="AC6" s="4">
        <f>(SUM(JUEZ_1!J182:J184)+SUM(JUEZ_2!J182:J184)+SUM(JUEZ_3!J182:J184))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JUEZ_1!D101</f>
        <v/>
      </c>
      <c r="B7" s="4">
        <f>(SUM(JUEZ_1!I101:I103)+SUM(JUEZ_2!I101:I103)+SUM(JUEZ_3!I101:I103))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JUEZ_1!D149</f>
        <v/>
      </c>
      <c r="K7" s="4">
        <f>(SUM(JUEZ_1!I149:I151)+SUM(JUEZ_2!I149:I151)+SUM(JUEZ_3!I149:I151))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JUEZ_1!D173</f>
        <v/>
      </c>
      <c r="T7" s="4">
        <f>(SUM(JUEZ_1!I173:I175)+SUM(JUEZ_2!I173:I175)+SUM(JUEZ_3!I173:I175))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JUEZ_1!D185</f>
        <v/>
      </c>
      <c r="AC7" s="4">
        <f>(SUM(JUEZ_1!I185:I187)+SUM(JUEZ_2!I185:I187)+SUM(JUEZ_3!I185:I187))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JUEZ_1!F101</f>
        <v/>
      </c>
      <c r="B8" s="4">
        <f>(SUM(JUEZ_1!J101:J103)+SUM(JUEZ_2!J101:J103)+SUM(JUEZ_3!J101:J103))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JUEZ_1!F149</f>
        <v/>
      </c>
      <c r="K8" s="4">
        <f>(SUM(JUEZ_1!J149:J151)+SUM(JUEZ_2!J149:J151)+SUM(JUEZ_3!J149:J151))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JUEZ_1!F173</f>
        <v/>
      </c>
      <c r="T8" s="4">
        <f>(SUM(JUEZ_1!J173:J175)+SUM(JUEZ_2!J173:J175)+SUM(JUEZ_3!J173:J175))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JUEZ_1!F185</f>
        <v/>
      </c>
      <c r="AC8" s="4">
        <f>(SUM(JUEZ_1!J185:J187)+SUM(JUEZ_2!J185:J187)+SUM(JUEZ_3!J185:J187))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JUEZ_1!D104</f>
        <v/>
      </c>
      <c r="B9" s="4">
        <f>(SUM(JUEZ_1!I104:I106)+SUM(JUEZ_2!I104:I106)+SUM(JUEZ_3!I104:I106))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JUEZ_1!D152</f>
        <v/>
      </c>
      <c r="K9" s="4">
        <f>(SUM(JUEZ_1!I152:I154)+SUM(JUEZ_2!I152:I154)+SUM(JUEZ_3!I152:I154))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JUEZ_1!D176</f>
        <v/>
      </c>
      <c r="T9" s="4">
        <f>(SUM(JUEZ_1!I176:I178)+SUM(JUEZ_2!I176:I178)+SUM(JUEZ_3!I176:I178))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JUEZ_1!F104</f>
        <v/>
      </c>
      <c r="B10" s="4">
        <f>(SUM(JUEZ_1!J104:J106)+SUM(JUEZ_2!J104:J106)+SUM(JUEZ_3!J104:J106))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JUEZ_1!F152</f>
        <v/>
      </c>
      <c r="K10" s="4">
        <f>(SUM(JUEZ_1!J152:J154)+SUM(JUEZ_2!J152:J154)+SUM(JUEZ_3!J152:J154))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JUEZ_1!F176</f>
        <v/>
      </c>
      <c r="T10" s="4">
        <f>(SUM(JUEZ_1!J176:J178)+SUM(JUEZ_2!J176:J178)+SUM(JUEZ_3!J176:J178))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JUEZ_1!D107</f>
        <v/>
      </c>
      <c r="B11" s="4">
        <f>(SUM(JUEZ_1!I107:I109)+SUM(JUEZ_2!I107:I109)+SUM(JUEZ_3!I107:I109))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JUEZ_1!D155</f>
        <v/>
      </c>
      <c r="K11" s="4">
        <f>(SUM(JUEZ_1!I155:I157)+SUM(JUEZ_2!I155:I157)+SUM(JUEZ_3!I155:I157))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JUEZ_1!D179</f>
        <v/>
      </c>
      <c r="T11" s="4">
        <f>(SUM(JUEZ_1!I179:I181)+SUM(JUEZ_2!I179:I181)+SUM(JUEZ_3!I179:I181))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JUEZ_1!F107</f>
        <v/>
      </c>
      <c r="B12" s="4">
        <f>(SUM(JUEZ_1!J107:J109)+SUM(JUEZ_2!J107:J109)+SUM(JUEZ_3!J107:J109))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JUEZ_1!F155</f>
        <v/>
      </c>
      <c r="K12" s="4">
        <f>(SUM(JUEZ_1!J155:J157)+SUM(JUEZ_2!J155:J157)+SUM(JUEZ_3!J155:J157))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JUEZ_1!F179</f>
        <v/>
      </c>
      <c r="T12" s="4">
        <f>(SUM(JUEZ_1!J179:J181)+SUM(JUEZ_2!J179:J181)+SUM(JUEZ_3!J179:J181))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JUEZ_1!A182</f>
        <v/>
      </c>
      <c r="AD12" s="4">
        <f>JUEZ_1!D182</f>
        <v/>
      </c>
      <c r="AE12" s="4">
        <f>JUEZ_1!F182</f>
        <v/>
      </c>
      <c r="AF12" s="4">
        <f>(N(JUEZ_1!I182)+N(JUEZ_1!J182))+(N(JUEZ_2!I182)+N(JUEZ_2!J182))+(N(JUEZ_3!I182)+N(JUEZ_3!J182))</f>
        <v/>
      </c>
      <c r="AG12" s="4">
        <f>IF(AND($AF12=MAX($AF12,$AF13),$AF12&gt;0),"🥇 MEJOR Benguela","")</f>
        <v/>
      </c>
    </row>
    <row r="13" ht="14.25" customHeight="1" s="72">
      <c r="A13" s="4">
        <f>JUEZ_1!D110</f>
        <v/>
      </c>
      <c r="B13" s="4">
        <f>(SUM(JUEZ_1!I110:I112)+SUM(JUEZ_2!I110:I112)+SUM(JUEZ_3!I110:I112))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JUEZ_1!D158</f>
        <v/>
      </c>
      <c r="K13" s="4">
        <f>(SUM(JUEZ_1!I158:I160)+SUM(JUEZ_2!I158:I160)+SUM(JUEZ_3!I158:I160))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JUEZ_1!A185</f>
        <v/>
      </c>
      <c r="AD13" s="4">
        <f>JUEZ_1!D185</f>
        <v/>
      </c>
      <c r="AE13" s="4">
        <f>JUEZ_1!F185</f>
        <v/>
      </c>
      <c r="AF13" s="4">
        <f>(N(JUEZ_1!I185)+N(JUEZ_1!J185))+(N(JUEZ_2!I185)+N(JUEZ_2!J185))+(N(JUEZ_3!I185)+N(JUEZ_3!J185))</f>
        <v/>
      </c>
      <c r="AG13" s="4">
        <f>IF(AND($AF13=MAX($AF12,$AF13),$AF13&gt;0),"🥇 MEJOR Benguela","")</f>
        <v/>
      </c>
    </row>
    <row r="14" ht="14.25" customHeight="1" s="72">
      <c r="A14" s="4">
        <f>JUEZ_1!F110</f>
        <v/>
      </c>
      <c r="B14" s="4">
        <f>(SUM(JUEZ_1!J110:J112)+SUM(JUEZ_2!J110:J112)+SUM(JUEZ_3!J110:J112))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JUEZ_1!F158</f>
        <v/>
      </c>
      <c r="K14" s="4">
        <f>(SUM(JUEZ_1!J158:J160)+SUM(JUEZ_2!J158:J160)+SUM(JUEZ_3!J158:J160))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JUEZ_1!A183</f>
        <v/>
      </c>
      <c r="AD14" s="4">
        <f>JUEZ_1!D183</f>
        <v/>
      </c>
      <c r="AE14" s="4">
        <f>JUEZ_1!F183</f>
        <v/>
      </c>
      <c r="AF14" s="4">
        <f>(N(JUEZ_1!I183)+N(JUEZ_1!J183))+(N(JUEZ_2!I183)+N(JUEZ_2!J183))+(N(JUEZ_3!I183)+N(JUEZ_3!J183))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JUEZ_1!D113</f>
        <v/>
      </c>
      <c r="B15" s="4">
        <f>(SUM(JUEZ_1!I113:I115)+SUM(JUEZ_2!I113:I115)+SUM(JUEZ_3!I113:I115))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JUEZ_1!D161</f>
        <v/>
      </c>
      <c r="K15" s="4">
        <f>(SUM(JUEZ_1!I161:I163)+SUM(JUEZ_2!I161:I163)+SUM(JUEZ_3!I161:I163))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JUEZ_1!A186</f>
        <v/>
      </c>
      <c r="AD15" s="4">
        <f>JUEZ_1!D186</f>
        <v/>
      </c>
      <c r="AE15" s="4">
        <f>JUEZ_1!F186</f>
        <v/>
      </c>
      <c r="AF15" s="4">
        <f>(N(JUEZ_1!I186)+N(JUEZ_1!J186))+(N(JUEZ_2!I186)+N(JUEZ_2!J186))+(N(JUEZ_3!I186)+N(JUEZ_3!J186))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JUEZ_1!F113</f>
        <v/>
      </c>
      <c r="B16" s="4">
        <f>(SUM(JUEZ_1!J113:J115)+SUM(JUEZ_2!J113:J115)+SUM(JUEZ_3!J113:J115))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JUEZ_1!F161</f>
        <v/>
      </c>
      <c r="K16" s="4">
        <f>(SUM(JUEZ_1!J161:J163)+SUM(JUEZ_2!J161:J163)+SUM(JUEZ_3!J161:J163))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JUEZ_1!A184</f>
        <v/>
      </c>
      <c r="AD16" s="4">
        <f>JUEZ_1!D184</f>
        <v/>
      </c>
      <c r="AE16" s="4">
        <f>JUEZ_1!F184</f>
        <v/>
      </c>
      <c r="AF16" s="4">
        <f>(N(JUEZ_1!I184)+N(JUEZ_1!J184))+(N(JUEZ_2!I184)+N(JUEZ_2!J184))+(N(JUEZ_3!I184)+N(JUEZ_3!J184))</f>
        <v/>
      </c>
      <c r="AG16" s="4">
        <f>IF(AND($AF16=MAX($AF16,$AF17),$AF16&gt;0),"🥇 MEJOR Siriuna","")</f>
        <v/>
      </c>
    </row>
    <row r="17" ht="14.25" customHeight="1" s="72">
      <c r="A17" s="4">
        <f>JUEZ_1!D116</f>
        <v/>
      </c>
      <c r="B17" s="4">
        <f>(SUM(JUEZ_1!I116:I118)+SUM(JUEZ_2!I116:I118)+SUM(JUEZ_3!I116:I118))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JUEZ_1!D164</f>
        <v/>
      </c>
      <c r="K17" s="4">
        <f>(SUM(JUEZ_1!I164:I166)+SUM(JUEZ_2!I164:I166)+SUM(JUEZ_3!I164:I166))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JUEZ_1!A187</f>
        <v/>
      </c>
      <c r="AD17" s="4">
        <f>JUEZ_1!D187</f>
        <v/>
      </c>
      <c r="AE17" s="4">
        <f>JUEZ_1!F187</f>
        <v/>
      </c>
      <c r="AF17" s="4">
        <f>(N(JUEZ_1!I187)+N(JUEZ_1!J187))+(N(JUEZ_2!I187)+N(JUEZ_2!J187))+(N(JUEZ_3!I187)+N(JUEZ_3!J187))</f>
        <v/>
      </c>
      <c r="AG17" s="4">
        <f>IF(AND($AF17=MAX($AF16,$AF17),$AF17&gt;0),"🥇 MEJOR Siriuna","")</f>
        <v/>
      </c>
    </row>
    <row r="18" ht="14.25" customHeight="1" s="72">
      <c r="A18" s="4">
        <f>JUEZ_1!F116</f>
        <v/>
      </c>
      <c r="B18" s="4">
        <f>(SUM(JUEZ_1!J116:J118)+SUM(JUEZ_2!J116:J118)+SUM(JUEZ_3!J116:J118))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JUEZ_1!F164</f>
        <v/>
      </c>
      <c r="K18" s="4">
        <f>(SUM(JUEZ_1!J164:J166)+SUM(JUEZ_2!J164:J166)+SUM(JUEZ_3!J164:J166))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JUEZ_1!D119</f>
        <v/>
      </c>
      <c r="B19" s="4">
        <f>(SUM(JUEZ_1!I119:I121)+SUM(JUEZ_2!I119:I121)+SUM(JUEZ_3!I119:I121))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JUEZ_1!D167</f>
        <v/>
      </c>
      <c r="K19" s="4">
        <f>(SUM(JUEZ_1!I167:I169)+SUM(JUEZ_2!I167:I169)+SUM(JUEZ_3!I167:I169))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JUEZ_1!F119</f>
        <v/>
      </c>
      <c r="B20" s="4">
        <f>(SUM(JUEZ_1!J119:J121)+SUM(JUEZ_2!J119:J121)+SUM(JUEZ_3!J119:J121))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JUEZ_1!F167</f>
        <v/>
      </c>
      <c r="K20" s="4">
        <f>(SUM(JUEZ_1!J167:J169)+SUM(JUEZ_2!J167:J169)+SUM(JUEZ_3!J167:J169))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JUEZ_1!D122</f>
        <v/>
      </c>
      <c r="B21" s="4">
        <f>(SUM(JUEZ_1!I122:I124)+SUM(JUEZ_2!I122:I124)+SUM(JUEZ_3!I122:I124))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JUEZ_1!F122</f>
        <v/>
      </c>
      <c r="B22" s="4">
        <f>(SUM(JUEZ_1!J122:J124)+SUM(JUEZ_2!J122:J124)+SUM(JUEZ_3!J122:J124))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JUEZ_1!D125</f>
        <v/>
      </c>
      <c r="B23" s="4">
        <f>(SUM(JUEZ_1!I125:I127)+SUM(JUEZ_2!I125:I127)+SUM(JUEZ_3!I125:I127))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JUEZ_1!F125</f>
        <v/>
      </c>
      <c r="B24" s="4">
        <f>(SUM(JUEZ_1!J125:J127)+SUM(JUEZ_2!J125:J127)+SUM(JUEZ_3!J125:J127))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JUEZ_1!D128</f>
        <v/>
      </c>
      <c r="B25" s="4">
        <f>(SUM(JUEZ_1!I128:I130)+SUM(JUEZ_2!I128:I130)+SUM(JUEZ_3!I128:I130))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JUEZ_1!F128</f>
        <v/>
      </c>
      <c r="B26" s="4">
        <f>(SUM(JUEZ_1!J128:J130)+SUM(JUEZ_2!J128:J130)+SUM(JUEZ_3!J128:J130))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JUEZ_1!D131</f>
        <v/>
      </c>
      <c r="B27" s="4">
        <f>(SUM(JUEZ_1!I131:I133)+SUM(JUEZ_2!I131:I133)+SUM(JUEZ_3!I131:I133))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JUEZ_1!F131</f>
        <v/>
      </c>
      <c r="B28" s="4">
        <f>(SUM(JUEZ_1!J131:J133)+SUM(JUEZ_2!J131:J133)+SUM(JUEZ_3!J131:J133))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JUEZ_1!D134</f>
        <v/>
      </c>
      <c r="B29" s="4">
        <f>(SUM(JUEZ_1!I134:I136)+SUM(JUEZ_2!I134:I136)+SUM(JUEZ_3!I134:I136))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JUEZ_1!F134</f>
        <v/>
      </c>
      <c r="B30" s="4">
        <f>(SUM(JUEZ_1!J134:J136)+SUM(JUEZ_2!J134:J136)+SUM(JUEZ_3!J134:J136))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JUEZ_1!D137</f>
        <v/>
      </c>
      <c r="B31" s="4">
        <f>(SUM(JUEZ_1!I137:I139)+SUM(JUEZ_2!I137:I139)+SUM(JUEZ_3!I137:I139))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JUEZ_1!F137</f>
        <v/>
      </c>
      <c r="B32" s="4">
        <f>(SUM(JUEZ_1!J137:J139)+SUM(JUEZ_2!J137:J139)+SUM(JUEZ_3!J137:J139))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JUEZ_1!D140</f>
        <v/>
      </c>
      <c r="B33" s="4">
        <f>(SUM(JUEZ_1!I140:I142)+SUM(JUEZ_2!I140:I142)+SUM(JUEZ_3!I140:I142))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JUEZ_1!F140</f>
        <v/>
      </c>
      <c r="B34" s="4">
        <f>(SUM(JUEZ_1!J140:J142)+SUM(JUEZ_2!J140:J142)+SUM(JUEZ_3!J140:J142))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JUEZ_1!D143</f>
        <v/>
      </c>
      <c r="B35" s="4">
        <f>(SUM(JUEZ_1!I143:I145)+SUM(JUEZ_2!I143:I145)+SUM(JUEZ_3!I143:I145))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JUEZ_1!F143</f>
        <v/>
      </c>
      <c r="B36" s="4">
        <f>(SUM(JUEZ_1!J143:J145)+SUM(JUEZ_2!J143:J145)+SUM(JUEZ_3!J143:J145))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2" t="inlineStr">
        <is>
          <t>CLASIFICACIÓN · Cat B Masculino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JUEZ_1!D191</f>
        <v/>
      </c>
      <c r="B5" s="4">
        <f>(SUM(JUEZ_1!I191:I193)+SUM(JUEZ_2!I191:I193)+SUM(JUEZ_3!I191:I193))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JUEZ_1!D239</f>
        <v/>
      </c>
      <c r="K5" s="4">
        <f>(SUM(JUEZ_1!I239:I241)+SUM(JUEZ_2!I239:I241)+SUM(JUEZ_3!I239:I241))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JUEZ_1!D263</f>
        <v/>
      </c>
      <c r="T5" s="4">
        <f>(SUM(JUEZ_1!I263:I265)+SUM(JUEZ_2!I263:I265)+SUM(JUEZ_3!I263:I265))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JUEZ_1!D275</f>
        <v/>
      </c>
      <c r="AC5" s="4">
        <f>(SUM(JUEZ_1!I275:I277)+SUM(JUEZ_2!I275:I277)+SUM(JUEZ_3!I275:I277))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JUEZ_1!F191</f>
        <v/>
      </c>
      <c r="B6" s="4">
        <f>(SUM(JUEZ_1!J191:J193)+SUM(JUEZ_2!J191:J193)+SUM(JUEZ_3!J191:J193))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JUEZ_1!F239</f>
        <v/>
      </c>
      <c r="K6" s="4">
        <f>(SUM(JUEZ_1!J239:J241)+SUM(JUEZ_2!J239:J241)+SUM(JUEZ_3!J239:J241))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JUEZ_1!F263</f>
        <v/>
      </c>
      <c r="T6" s="4">
        <f>(SUM(JUEZ_1!J263:J265)+SUM(JUEZ_2!J263:J265)+SUM(JUEZ_3!J263:J265))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JUEZ_1!F275</f>
        <v/>
      </c>
      <c r="AC6" s="4">
        <f>(SUM(JUEZ_1!J275:J277)+SUM(JUEZ_2!J275:J277)+SUM(JUEZ_3!J275:J277))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JUEZ_1!D194</f>
        <v/>
      </c>
      <c r="B7" s="4">
        <f>(SUM(JUEZ_1!I194:I196)+SUM(JUEZ_2!I194:I196)+SUM(JUEZ_3!I194:I196))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JUEZ_1!D242</f>
        <v/>
      </c>
      <c r="K7" s="4">
        <f>(SUM(JUEZ_1!I242:I244)+SUM(JUEZ_2!I242:I244)+SUM(JUEZ_3!I242:I244))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JUEZ_1!D266</f>
        <v/>
      </c>
      <c r="T7" s="4">
        <f>(SUM(JUEZ_1!I266:I268)+SUM(JUEZ_2!I266:I268)+SUM(JUEZ_3!I266:I268))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JUEZ_1!D278</f>
        <v/>
      </c>
      <c r="AC7" s="4">
        <f>(SUM(JUEZ_1!I278:I280)+SUM(JUEZ_2!I278:I280)+SUM(JUEZ_3!I278:I280))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JUEZ_1!F194</f>
        <v/>
      </c>
      <c r="B8" s="4">
        <f>(SUM(JUEZ_1!J194:J196)+SUM(JUEZ_2!J194:J196)+SUM(JUEZ_3!J194:J196))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JUEZ_1!F242</f>
        <v/>
      </c>
      <c r="K8" s="4">
        <f>(SUM(JUEZ_1!J242:J244)+SUM(JUEZ_2!J242:J244)+SUM(JUEZ_3!J242:J244))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JUEZ_1!F266</f>
        <v/>
      </c>
      <c r="T8" s="4">
        <f>(SUM(JUEZ_1!J266:J268)+SUM(JUEZ_2!J266:J268)+SUM(JUEZ_3!J266:J268))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JUEZ_1!F278</f>
        <v/>
      </c>
      <c r="AC8" s="4">
        <f>(SUM(JUEZ_1!J278:J280)+SUM(JUEZ_2!J278:J280)+SUM(JUEZ_3!J278:J280))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JUEZ_1!D197</f>
        <v/>
      </c>
      <c r="B9" s="4">
        <f>(SUM(JUEZ_1!I197:I199)+SUM(JUEZ_2!I197:I199)+SUM(JUEZ_3!I197:I199))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JUEZ_1!D245</f>
        <v/>
      </c>
      <c r="K9" s="4">
        <f>(SUM(JUEZ_1!I245:I247)+SUM(JUEZ_2!I245:I247)+SUM(JUEZ_3!I245:I247))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JUEZ_1!D269</f>
        <v/>
      </c>
      <c r="T9" s="4">
        <f>(SUM(JUEZ_1!I269:I271)+SUM(JUEZ_2!I269:I271)+SUM(JUEZ_3!I269:I271))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JUEZ_1!F197</f>
        <v/>
      </c>
      <c r="B10" s="4">
        <f>(SUM(JUEZ_1!J197:J199)+SUM(JUEZ_2!J197:J199)+SUM(JUEZ_3!J197:J199))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JUEZ_1!F245</f>
        <v/>
      </c>
      <c r="K10" s="4">
        <f>(SUM(JUEZ_1!J245:J247)+SUM(JUEZ_2!J245:J247)+SUM(JUEZ_3!J245:J247))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JUEZ_1!F269</f>
        <v/>
      </c>
      <c r="T10" s="4">
        <f>(SUM(JUEZ_1!J269:J271)+SUM(JUEZ_2!J269:J271)+SUM(JUEZ_3!J269:J271))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JUEZ_1!D200</f>
        <v/>
      </c>
      <c r="B11" s="4">
        <f>(SUM(JUEZ_1!I200:I202)+SUM(JUEZ_2!I200:I202)+SUM(JUEZ_3!I200:I202))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JUEZ_1!D248</f>
        <v/>
      </c>
      <c r="K11" s="4">
        <f>(SUM(JUEZ_1!I248:I250)+SUM(JUEZ_2!I248:I250)+SUM(JUEZ_3!I248:I250))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JUEZ_1!D272</f>
        <v/>
      </c>
      <c r="T11" s="4">
        <f>(SUM(JUEZ_1!I272:I274)+SUM(JUEZ_2!I272:I274)+SUM(JUEZ_3!I272:I274))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JUEZ_1!F200</f>
        <v/>
      </c>
      <c r="B12" s="4">
        <f>(SUM(JUEZ_1!J200:J202)+SUM(JUEZ_2!J200:J202)+SUM(JUEZ_3!J200:J202))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JUEZ_1!F248</f>
        <v/>
      </c>
      <c r="K12" s="4">
        <f>(SUM(JUEZ_1!J248:J250)+SUM(JUEZ_2!J248:J250)+SUM(JUEZ_3!J248:J250))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JUEZ_1!F272</f>
        <v/>
      </c>
      <c r="T12" s="4">
        <f>(SUM(JUEZ_1!J272:J274)+SUM(JUEZ_2!J272:J274)+SUM(JUEZ_3!J272:J274))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JUEZ_1!A275</f>
        <v/>
      </c>
      <c r="AD12" s="4">
        <f>JUEZ_1!D275</f>
        <v/>
      </c>
      <c r="AE12" s="4">
        <f>JUEZ_1!F275</f>
        <v/>
      </c>
      <c r="AF12" s="4">
        <f>(N(JUEZ_1!I275)+N(JUEZ_1!J275))+(N(JUEZ_2!I275)+N(JUEZ_2!J275))+(N(JUEZ_3!I275)+N(JUEZ_3!J275))</f>
        <v/>
      </c>
      <c r="AG12" s="4">
        <f>IF(AND($AF12=MAX($AF12,$AF13),$AF12&gt;0),"🥇 MEJOR Benguela","")</f>
        <v/>
      </c>
    </row>
    <row r="13" ht="14.25" customHeight="1" s="72">
      <c r="A13" s="4">
        <f>JUEZ_1!D203</f>
        <v/>
      </c>
      <c r="B13" s="4">
        <f>(SUM(JUEZ_1!I203:I205)+SUM(JUEZ_2!I203:I205)+SUM(JUEZ_3!I203:I205))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JUEZ_1!D251</f>
        <v/>
      </c>
      <c r="K13" s="4">
        <f>(SUM(JUEZ_1!I251:I253)+SUM(JUEZ_2!I251:I253)+SUM(JUEZ_3!I251:I253))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JUEZ_1!A278</f>
        <v/>
      </c>
      <c r="AD13" s="4">
        <f>JUEZ_1!D278</f>
        <v/>
      </c>
      <c r="AE13" s="4">
        <f>JUEZ_1!F278</f>
        <v/>
      </c>
      <c r="AF13" s="4">
        <f>(N(JUEZ_1!I278)+N(JUEZ_1!J278))+(N(JUEZ_2!I278)+N(JUEZ_2!J278))+(N(JUEZ_3!I278)+N(JUEZ_3!J278))</f>
        <v/>
      </c>
      <c r="AG13" s="4">
        <f>IF(AND($AF13=MAX($AF12,$AF13),$AF13&gt;0),"🥇 MEJOR Benguela","")</f>
        <v/>
      </c>
    </row>
    <row r="14" ht="14.25" customHeight="1" s="72">
      <c r="A14" s="4">
        <f>JUEZ_1!F203</f>
        <v/>
      </c>
      <c r="B14" s="4">
        <f>(SUM(JUEZ_1!J203:J205)+SUM(JUEZ_2!J203:J205)+SUM(JUEZ_3!J203:J205))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JUEZ_1!F251</f>
        <v/>
      </c>
      <c r="K14" s="4">
        <f>(SUM(JUEZ_1!J251:J253)+SUM(JUEZ_2!J251:J253)+SUM(JUEZ_3!J251:J253))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JUEZ_1!A276</f>
        <v/>
      </c>
      <c r="AD14" s="4">
        <f>JUEZ_1!D276</f>
        <v/>
      </c>
      <c r="AE14" s="4">
        <f>JUEZ_1!F276</f>
        <v/>
      </c>
      <c r="AF14" s="4">
        <f>(N(JUEZ_1!I276)+N(JUEZ_1!J276))+(N(JUEZ_2!I276)+N(JUEZ_2!J276))+(N(JUEZ_3!I276)+N(JUEZ_3!J276))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JUEZ_1!D206</f>
        <v/>
      </c>
      <c r="B15" s="4">
        <f>(SUM(JUEZ_1!I206:I208)+SUM(JUEZ_2!I206:I208)+SUM(JUEZ_3!I206:I208))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JUEZ_1!D254</f>
        <v/>
      </c>
      <c r="K15" s="4">
        <f>(SUM(JUEZ_1!I254:I256)+SUM(JUEZ_2!I254:I256)+SUM(JUEZ_3!I254:I256))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JUEZ_1!A279</f>
        <v/>
      </c>
      <c r="AD15" s="4">
        <f>JUEZ_1!D279</f>
        <v/>
      </c>
      <c r="AE15" s="4">
        <f>JUEZ_1!F279</f>
        <v/>
      </c>
      <c r="AF15" s="4">
        <f>(N(JUEZ_1!I279)+N(JUEZ_1!J279))+(N(JUEZ_2!I279)+N(JUEZ_2!J279))+(N(JUEZ_3!I279)+N(JUEZ_3!J279))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JUEZ_1!F206</f>
        <v/>
      </c>
      <c r="B16" s="4">
        <f>(SUM(JUEZ_1!J206:J208)+SUM(JUEZ_2!J206:J208)+SUM(JUEZ_3!J206:J208))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JUEZ_1!F254</f>
        <v/>
      </c>
      <c r="K16" s="4">
        <f>(SUM(JUEZ_1!J254:J256)+SUM(JUEZ_2!J254:J256)+SUM(JUEZ_3!J254:J256))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JUEZ_1!A277</f>
        <v/>
      </c>
      <c r="AD16" s="4">
        <f>JUEZ_1!D277</f>
        <v/>
      </c>
      <c r="AE16" s="4">
        <f>JUEZ_1!F277</f>
        <v/>
      </c>
      <c r="AF16" s="4">
        <f>(N(JUEZ_1!I277)+N(JUEZ_1!J277))+(N(JUEZ_2!I277)+N(JUEZ_2!J277))+(N(JUEZ_3!I277)+N(JUEZ_3!J277))</f>
        <v/>
      </c>
      <c r="AG16" s="4">
        <f>IF(AND($AF16=MAX($AF16,$AF17),$AF16&gt;0),"🥇 MEJOR Siriuna","")</f>
        <v/>
      </c>
    </row>
    <row r="17" ht="14.25" customHeight="1" s="72">
      <c r="A17" s="4">
        <f>JUEZ_1!D209</f>
        <v/>
      </c>
      <c r="B17" s="4">
        <f>(SUM(JUEZ_1!I209:I211)+SUM(JUEZ_2!I209:I211)+SUM(JUEZ_3!I209:I211))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JUEZ_1!D257</f>
        <v/>
      </c>
      <c r="K17" s="4">
        <f>(SUM(JUEZ_1!I257:I259)+SUM(JUEZ_2!I257:I259)+SUM(JUEZ_3!I257:I259))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JUEZ_1!A280</f>
        <v/>
      </c>
      <c r="AD17" s="4">
        <f>JUEZ_1!D280</f>
        <v/>
      </c>
      <c r="AE17" s="4">
        <f>JUEZ_1!F280</f>
        <v/>
      </c>
      <c r="AF17" s="4">
        <f>(N(JUEZ_1!I280)+N(JUEZ_1!J280))+(N(JUEZ_2!I280)+N(JUEZ_2!J280))+(N(JUEZ_3!I280)+N(JUEZ_3!J280))</f>
        <v/>
      </c>
      <c r="AG17" s="4">
        <f>IF(AND($AF17=MAX($AF16,$AF17),$AF17&gt;0),"🥇 MEJOR Siriuna","")</f>
        <v/>
      </c>
    </row>
    <row r="18" ht="14.25" customHeight="1" s="72">
      <c r="A18" s="4">
        <f>JUEZ_1!F209</f>
        <v/>
      </c>
      <c r="B18" s="4">
        <f>(SUM(JUEZ_1!J209:J211)+SUM(JUEZ_2!J209:J211)+SUM(JUEZ_3!J209:J211))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JUEZ_1!F257</f>
        <v/>
      </c>
      <c r="K18" s="4">
        <f>(SUM(JUEZ_1!J257:J259)+SUM(JUEZ_2!J257:J259)+SUM(JUEZ_3!J257:J259))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JUEZ_1!D212</f>
        <v/>
      </c>
      <c r="B19" s="4">
        <f>(SUM(JUEZ_1!I212:I214)+SUM(JUEZ_2!I212:I214)+SUM(JUEZ_3!I212:I214))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JUEZ_1!D260</f>
        <v/>
      </c>
      <c r="K19" s="4">
        <f>(SUM(JUEZ_1!I260:I262)+SUM(JUEZ_2!I260:I262)+SUM(JUEZ_3!I260:I262))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JUEZ_1!F212</f>
        <v/>
      </c>
      <c r="B20" s="4">
        <f>(SUM(JUEZ_1!J212:J214)+SUM(JUEZ_2!J212:J214)+SUM(JUEZ_3!J212:J214))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JUEZ_1!F260</f>
        <v/>
      </c>
      <c r="K20" s="4">
        <f>(SUM(JUEZ_1!J260:J262)+SUM(JUEZ_2!J260:J262)+SUM(JUEZ_3!J260:J262))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JUEZ_1!D215</f>
        <v/>
      </c>
      <c r="B21" s="4">
        <f>(SUM(JUEZ_1!I215:I217)+SUM(JUEZ_2!I215:I217)+SUM(JUEZ_3!I215:I217))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JUEZ_1!F215</f>
        <v/>
      </c>
      <c r="B22" s="4">
        <f>(SUM(JUEZ_1!J215:J217)+SUM(JUEZ_2!J215:J217)+SUM(JUEZ_3!J215:J217))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JUEZ_1!D218</f>
        <v/>
      </c>
      <c r="B23" s="4">
        <f>(SUM(JUEZ_1!I218:I220)+SUM(JUEZ_2!I218:I220)+SUM(JUEZ_3!I218:I220))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JUEZ_1!F218</f>
        <v/>
      </c>
      <c r="B24" s="4">
        <f>(SUM(JUEZ_1!J218:J220)+SUM(JUEZ_2!J218:J220)+SUM(JUEZ_3!J218:J220))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JUEZ_1!D221</f>
        <v/>
      </c>
      <c r="B25" s="4">
        <f>(SUM(JUEZ_1!I221:I223)+SUM(JUEZ_2!I221:I223)+SUM(JUEZ_3!I221:I223))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JUEZ_1!F221</f>
        <v/>
      </c>
      <c r="B26" s="4">
        <f>(SUM(JUEZ_1!J221:J223)+SUM(JUEZ_2!J221:J223)+SUM(JUEZ_3!J221:J223))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JUEZ_1!D224</f>
        <v/>
      </c>
      <c r="B27" s="4">
        <f>(SUM(JUEZ_1!I224:I226)+SUM(JUEZ_2!I224:I226)+SUM(JUEZ_3!I224:I226))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JUEZ_1!F224</f>
        <v/>
      </c>
      <c r="B28" s="4">
        <f>(SUM(JUEZ_1!J224:J226)+SUM(JUEZ_2!J224:J226)+SUM(JUEZ_3!J224:J226))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JUEZ_1!D227</f>
        <v/>
      </c>
      <c r="B29" s="4">
        <f>(SUM(JUEZ_1!I227:I229)+SUM(JUEZ_2!I227:I229)+SUM(JUEZ_3!I227:I229))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JUEZ_1!F227</f>
        <v/>
      </c>
      <c r="B30" s="4">
        <f>(SUM(JUEZ_1!J227:J229)+SUM(JUEZ_2!J227:J229)+SUM(JUEZ_3!J227:J229))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JUEZ_1!D230</f>
        <v/>
      </c>
      <c r="B31" s="4">
        <f>(SUM(JUEZ_1!I230:I232)+SUM(JUEZ_2!I230:I232)+SUM(JUEZ_3!I230:I232))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JUEZ_1!F230</f>
        <v/>
      </c>
      <c r="B32" s="4">
        <f>(SUM(JUEZ_1!J230:J232)+SUM(JUEZ_2!J230:J232)+SUM(JUEZ_3!J230:J232))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JUEZ_1!D233</f>
        <v/>
      </c>
      <c r="B33" s="4">
        <f>(SUM(JUEZ_1!I233:I235)+SUM(JUEZ_2!I233:I235)+SUM(JUEZ_3!I233:I235))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JUEZ_1!F233</f>
        <v/>
      </c>
      <c r="B34" s="4">
        <f>(SUM(JUEZ_1!J233:J235)+SUM(JUEZ_2!J233:J235)+SUM(JUEZ_3!J233:J235))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JUEZ_1!D236</f>
        <v/>
      </c>
      <c r="B35" s="4">
        <f>(SUM(JUEZ_1!I236:I238)+SUM(JUEZ_2!I236:I238)+SUM(JUEZ_3!I236:I238))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JUEZ_1!F236</f>
        <v/>
      </c>
      <c r="B36" s="4">
        <f>(SUM(JUEZ_1!J236:J238)+SUM(JUEZ_2!J236:J238)+SUM(JUEZ_3!J236:J238))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2" t="inlineStr">
        <is>
          <t>CLASIFICACIÓN · Cat B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JUEZ_1!D284</f>
        <v/>
      </c>
      <c r="B5" s="4">
        <f>(SUM(JUEZ_1!I284:I286)+SUM(JUEZ_2!I284:I286)+SUM(JUEZ_3!I284:I286))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JUEZ_1!D332</f>
        <v/>
      </c>
      <c r="K5" s="4">
        <f>(SUM(JUEZ_1!I332:I334)+SUM(JUEZ_2!I332:I334)+SUM(JUEZ_3!I332:I334))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JUEZ_1!D356</f>
        <v/>
      </c>
      <c r="T5" s="4">
        <f>(SUM(JUEZ_1!I356:I358)+SUM(JUEZ_2!I356:I358)+SUM(JUEZ_3!I356:I358))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JUEZ_1!D368</f>
        <v/>
      </c>
      <c r="AC5" s="4">
        <f>(SUM(JUEZ_1!I368:I370)+SUM(JUEZ_2!I368:I370)+SUM(JUEZ_3!I368:I370))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JUEZ_1!F284</f>
        <v/>
      </c>
      <c r="B6" s="4">
        <f>(SUM(JUEZ_1!J284:J286)+SUM(JUEZ_2!J284:J286)+SUM(JUEZ_3!J284:J286))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JUEZ_1!F332</f>
        <v/>
      </c>
      <c r="K6" s="4">
        <f>(SUM(JUEZ_1!J332:J334)+SUM(JUEZ_2!J332:J334)+SUM(JUEZ_3!J332:J334))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JUEZ_1!F356</f>
        <v/>
      </c>
      <c r="T6" s="4">
        <f>(SUM(JUEZ_1!J356:J358)+SUM(JUEZ_2!J356:J358)+SUM(JUEZ_3!J356:J358))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JUEZ_1!F368</f>
        <v/>
      </c>
      <c r="AC6" s="4">
        <f>(SUM(JUEZ_1!J368:J370)+SUM(JUEZ_2!J368:J370)+SUM(JUEZ_3!J368:J370))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JUEZ_1!D287</f>
        <v/>
      </c>
      <c r="B7" s="4">
        <f>(SUM(JUEZ_1!I287:I289)+SUM(JUEZ_2!I287:I289)+SUM(JUEZ_3!I287:I289))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JUEZ_1!D335</f>
        <v/>
      </c>
      <c r="K7" s="4">
        <f>(SUM(JUEZ_1!I335:I337)+SUM(JUEZ_2!I335:I337)+SUM(JUEZ_3!I335:I337))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JUEZ_1!D359</f>
        <v/>
      </c>
      <c r="T7" s="4">
        <f>(SUM(JUEZ_1!I359:I361)+SUM(JUEZ_2!I359:I361)+SUM(JUEZ_3!I359:I361))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JUEZ_1!D371</f>
        <v/>
      </c>
      <c r="AC7" s="4">
        <f>(SUM(JUEZ_1!I371:I373)+SUM(JUEZ_2!I371:I373)+SUM(JUEZ_3!I371:I373))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JUEZ_1!F287</f>
        <v/>
      </c>
      <c r="B8" s="4">
        <f>(SUM(JUEZ_1!J287:J289)+SUM(JUEZ_2!J287:J289)+SUM(JUEZ_3!J287:J289))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JUEZ_1!F335</f>
        <v/>
      </c>
      <c r="K8" s="4">
        <f>(SUM(JUEZ_1!J335:J337)+SUM(JUEZ_2!J335:J337)+SUM(JUEZ_3!J335:J337))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JUEZ_1!F359</f>
        <v/>
      </c>
      <c r="T8" s="4">
        <f>(SUM(JUEZ_1!J359:J361)+SUM(JUEZ_2!J359:J361)+SUM(JUEZ_3!J359:J361))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JUEZ_1!F371</f>
        <v/>
      </c>
      <c r="AC8" s="4">
        <f>(SUM(JUEZ_1!J371:J373)+SUM(JUEZ_2!J371:J373)+SUM(JUEZ_3!J371:J373))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JUEZ_1!D290</f>
        <v/>
      </c>
      <c r="B9" s="4">
        <f>(SUM(JUEZ_1!I290:I292)+SUM(JUEZ_2!I290:I292)+SUM(JUEZ_3!I290:I292))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JUEZ_1!D338</f>
        <v/>
      </c>
      <c r="K9" s="4">
        <f>(SUM(JUEZ_1!I338:I340)+SUM(JUEZ_2!I338:I340)+SUM(JUEZ_3!I338:I340))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JUEZ_1!D362</f>
        <v/>
      </c>
      <c r="T9" s="4">
        <f>(SUM(JUEZ_1!I362:I364)+SUM(JUEZ_2!I362:I364)+SUM(JUEZ_3!I362:I364))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JUEZ_1!F290</f>
        <v/>
      </c>
      <c r="B10" s="4">
        <f>(SUM(JUEZ_1!J290:J292)+SUM(JUEZ_2!J290:J292)+SUM(JUEZ_3!J290:J292))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JUEZ_1!F338</f>
        <v/>
      </c>
      <c r="K10" s="4">
        <f>(SUM(JUEZ_1!J338:J340)+SUM(JUEZ_2!J338:J340)+SUM(JUEZ_3!J338:J340))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JUEZ_1!F362</f>
        <v/>
      </c>
      <c r="T10" s="4">
        <f>(SUM(JUEZ_1!J362:J364)+SUM(JUEZ_2!J362:J364)+SUM(JUEZ_3!J362:J364))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JUEZ_1!D293</f>
        <v/>
      </c>
      <c r="B11" s="4">
        <f>(SUM(JUEZ_1!I293:I295)+SUM(JUEZ_2!I293:I295)+SUM(JUEZ_3!I293:I295))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JUEZ_1!D341</f>
        <v/>
      </c>
      <c r="K11" s="4">
        <f>(SUM(JUEZ_1!I341:I343)+SUM(JUEZ_2!I341:I343)+SUM(JUEZ_3!I341:I343))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JUEZ_1!D365</f>
        <v/>
      </c>
      <c r="T11" s="4">
        <f>(SUM(JUEZ_1!I365:I367)+SUM(JUEZ_2!I365:I367)+SUM(JUEZ_3!I365:I367))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JUEZ_1!F293</f>
        <v/>
      </c>
      <c r="B12" s="4">
        <f>(SUM(JUEZ_1!J293:J295)+SUM(JUEZ_2!J293:J295)+SUM(JUEZ_3!J293:J295))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JUEZ_1!F341</f>
        <v/>
      </c>
      <c r="K12" s="4">
        <f>(SUM(JUEZ_1!J341:J343)+SUM(JUEZ_2!J341:J343)+SUM(JUEZ_3!J341:J343))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JUEZ_1!F365</f>
        <v/>
      </c>
      <c r="T12" s="4">
        <f>(SUM(JUEZ_1!J365:J367)+SUM(JUEZ_2!J365:J367)+SUM(JUEZ_3!J365:J367))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JUEZ_1!A368</f>
        <v/>
      </c>
      <c r="AD12" s="4">
        <f>JUEZ_1!D368</f>
        <v/>
      </c>
      <c r="AE12" s="4">
        <f>JUEZ_1!F368</f>
        <v/>
      </c>
      <c r="AF12" s="4">
        <f>(N(JUEZ_1!I368)+N(JUEZ_1!J368))+(N(JUEZ_2!I368)+N(JUEZ_2!J368))+(N(JUEZ_3!I368)+N(JUEZ_3!J368))</f>
        <v/>
      </c>
      <c r="AG12" s="4">
        <f>IF(AND($AF12=MAX($AF12,$AF13),$AF12&gt;0),"🥇 MEJOR Benguela","")</f>
        <v/>
      </c>
    </row>
    <row r="13" ht="14.25" customHeight="1" s="72">
      <c r="A13" s="4">
        <f>JUEZ_1!D296</f>
        <v/>
      </c>
      <c r="B13" s="4">
        <f>(SUM(JUEZ_1!I296:I298)+SUM(JUEZ_2!I296:I298)+SUM(JUEZ_3!I296:I298))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JUEZ_1!D344</f>
        <v/>
      </c>
      <c r="K13" s="4">
        <f>(SUM(JUEZ_1!I344:I346)+SUM(JUEZ_2!I344:I346)+SUM(JUEZ_3!I344:I346))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JUEZ_1!A371</f>
        <v/>
      </c>
      <c r="AD13" s="4">
        <f>JUEZ_1!D371</f>
        <v/>
      </c>
      <c r="AE13" s="4">
        <f>JUEZ_1!F371</f>
        <v/>
      </c>
      <c r="AF13" s="4">
        <f>(N(JUEZ_1!I371)+N(JUEZ_1!J371))+(N(JUEZ_2!I371)+N(JUEZ_2!J371))+(N(JUEZ_3!I371)+N(JUEZ_3!J371))</f>
        <v/>
      </c>
      <c r="AG13" s="4">
        <f>IF(AND($AF13=MAX($AF12,$AF13),$AF13&gt;0),"🥇 MEJOR Benguela","")</f>
        <v/>
      </c>
    </row>
    <row r="14" ht="14.25" customHeight="1" s="72">
      <c r="A14" s="4">
        <f>JUEZ_1!F296</f>
        <v/>
      </c>
      <c r="B14" s="4">
        <f>(SUM(JUEZ_1!J296:J298)+SUM(JUEZ_2!J296:J298)+SUM(JUEZ_3!J296:J298))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JUEZ_1!F344</f>
        <v/>
      </c>
      <c r="K14" s="4">
        <f>(SUM(JUEZ_1!J344:J346)+SUM(JUEZ_2!J344:J346)+SUM(JUEZ_3!J344:J346))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JUEZ_1!A369</f>
        <v/>
      </c>
      <c r="AD14" s="4">
        <f>JUEZ_1!D369</f>
        <v/>
      </c>
      <c r="AE14" s="4">
        <f>JUEZ_1!F369</f>
        <v/>
      </c>
      <c r="AF14" s="4">
        <f>(N(JUEZ_1!I369)+N(JUEZ_1!J369))+(N(JUEZ_2!I369)+N(JUEZ_2!J369))+(N(JUEZ_3!I369)+N(JUEZ_3!J369))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JUEZ_1!D299</f>
        <v/>
      </c>
      <c r="B15" s="4">
        <f>(SUM(JUEZ_1!I299:I301)+SUM(JUEZ_2!I299:I301)+SUM(JUEZ_3!I299:I301))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JUEZ_1!D347</f>
        <v/>
      </c>
      <c r="K15" s="4">
        <f>(SUM(JUEZ_1!I347:I349)+SUM(JUEZ_2!I347:I349)+SUM(JUEZ_3!I347:I349))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JUEZ_1!A372</f>
        <v/>
      </c>
      <c r="AD15" s="4">
        <f>JUEZ_1!D372</f>
        <v/>
      </c>
      <c r="AE15" s="4">
        <f>JUEZ_1!F372</f>
        <v/>
      </c>
      <c r="AF15" s="4">
        <f>(N(JUEZ_1!I372)+N(JUEZ_1!J372))+(N(JUEZ_2!I372)+N(JUEZ_2!J372))+(N(JUEZ_3!I372)+N(JUEZ_3!J372))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JUEZ_1!F299</f>
        <v/>
      </c>
      <c r="B16" s="4">
        <f>(SUM(JUEZ_1!J299:J301)+SUM(JUEZ_2!J299:J301)+SUM(JUEZ_3!J299:J301))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JUEZ_1!F347</f>
        <v/>
      </c>
      <c r="K16" s="4">
        <f>(SUM(JUEZ_1!J347:J349)+SUM(JUEZ_2!J347:J349)+SUM(JUEZ_3!J347:J349))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JUEZ_1!A370</f>
        <v/>
      </c>
      <c r="AD16" s="4">
        <f>JUEZ_1!D370</f>
        <v/>
      </c>
      <c r="AE16" s="4">
        <f>JUEZ_1!F370</f>
        <v/>
      </c>
      <c r="AF16" s="4">
        <f>(N(JUEZ_1!I370)+N(JUEZ_1!J370))+(N(JUEZ_2!I370)+N(JUEZ_2!J370))+(N(JUEZ_3!I370)+N(JUEZ_3!J370))</f>
        <v/>
      </c>
      <c r="AG16" s="4">
        <f>IF(AND($AF16=MAX($AF16,$AF17),$AF16&gt;0),"🥇 MEJOR Siriuna","")</f>
        <v/>
      </c>
    </row>
    <row r="17" ht="14.25" customHeight="1" s="72">
      <c r="A17" s="4">
        <f>JUEZ_1!D302</f>
        <v/>
      </c>
      <c r="B17" s="4">
        <f>(SUM(JUEZ_1!I302:I304)+SUM(JUEZ_2!I302:I304)+SUM(JUEZ_3!I302:I304))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JUEZ_1!D350</f>
        <v/>
      </c>
      <c r="K17" s="4">
        <f>(SUM(JUEZ_1!I350:I352)+SUM(JUEZ_2!I350:I352)+SUM(JUEZ_3!I350:I352))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JUEZ_1!A373</f>
        <v/>
      </c>
      <c r="AD17" s="4">
        <f>JUEZ_1!D373</f>
        <v/>
      </c>
      <c r="AE17" s="4">
        <f>JUEZ_1!F373</f>
        <v/>
      </c>
      <c r="AF17" s="4">
        <f>(N(JUEZ_1!I373)+N(JUEZ_1!J373))+(N(JUEZ_2!I373)+N(JUEZ_2!J373))+(N(JUEZ_3!I373)+N(JUEZ_3!J373))</f>
        <v/>
      </c>
      <c r="AG17" s="4">
        <f>IF(AND($AF17=MAX($AF16,$AF17),$AF17&gt;0),"🥇 MEJOR Siriuna","")</f>
        <v/>
      </c>
    </row>
    <row r="18" ht="14.25" customHeight="1" s="72">
      <c r="A18" s="4">
        <f>JUEZ_1!F302</f>
        <v/>
      </c>
      <c r="B18" s="4">
        <f>(SUM(JUEZ_1!J302:J304)+SUM(JUEZ_2!J302:J304)+SUM(JUEZ_3!J302:J304))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JUEZ_1!F350</f>
        <v/>
      </c>
      <c r="K18" s="4">
        <f>(SUM(JUEZ_1!J350:J352)+SUM(JUEZ_2!J350:J352)+SUM(JUEZ_3!J350:J352))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JUEZ_1!D305</f>
        <v/>
      </c>
      <c r="B19" s="4">
        <f>(SUM(JUEZ_1!I305:I307)+SUM(JUEZ_2!I305:I307)+SUM(JUEZ_3!I305:I307))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JUEZ_1!D353</f>
        <v/>
      </c>
      <c r="K19" s="4">
        <f>(SUM(JUEZ_1!I353:I355)+SUM(JUEZ_2!I353:I355)+SUM(JUEZ_3!I353:I355))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JUEZ_1!F305</f>
        <v/>
      </c>
      <c r="B20" s="4">
        <f>(SUM(JUEZ_1!J305:J307)+SUM(JUEZ_2!J305:J307)+SUM(JUEZ_3!J305:J307))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JUEZ_1!F353</f>
        <v/>
      </c>
      <c r="K20" s="4">
        <f>(SUM(JUEZ_1!J353:J355)+SUM(JUEZ_2!J353:J355)+SUM(JUEZ_3!J353:J355))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JUEZ_1!D308</f>
        <v/>
      </c>
      <c r="B21" s="4">
        <f>(SUM(JUEZ_1!I308:I310)+SUM(JUEZ_2!I308:I310)+SUM(JUEZ_3!I308:I310))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JUEZ_1!F308</f>
        <v/>
      </c>
      <c r="B22" s="4">
        <f>(SUM(JUEZ_1!J308:J310)+SUM(JUEZ_2!J308:J310)+SUM(JUEZ_3!J308:J310))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JUEZ_1!D311</f>
        <v/>
      </c>
      <c r="B23" s="4">
        <f>(SUM(JUEZ_1!I311:I313)+SUM(JUEZ_2!I311:I313)+SUM(JUEZ_3!I311:I313))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JUEZ_1!F311</f>
        <v/>
      </c>
      <c r="B24" s="4">
        <f>(SUM(JUEZ_1!J311:J313)+SUM(JUEZ_2!J311:J313)+SUM(JUEZ_3!J311:J313))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JUEZ_1!D314</f>
        <v/>
      </c>
      <c r="B25" s="4">
        <f>(SUM(JUEZ_1!I314:I316)+SUM(JUEZ_2!I314:I316)+SUM(JUEZ_3!I314:I316))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JUEZ_1!F314</f>
        <v/>
      </c>
      <c r="B26" s="4">
        <f>(SUM(JUEZ_1!J314:J316)+SUM(JUEZ_2!J314:J316)+SUM(JUEZ_3!J314:J316))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JUEZ_1!D317</f>
        <v/>
      </c>
      <c r="B27" s="4">
        <f>(SUM(JUEZ_1!I317:I319)+SUM(JUEZ_2!I317:I319)+SUM(JUEZ_3!I317:I319))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JUEZ_1!F317</f>
        <v/>
      </c>
      <c r="B28" s="4">
        <f>(SUM(JUEZ_1!J317:J319)+SUM(JUEZ_2!J317:J319)+SUM(JUEZ_3!J317:J319))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JUEZ_1!D320</f>
        <v/>
      </c>
      <c r="B29" s="4">
        <f>(SUM(JUEZ_1!I320:I322)+SUM(JUEZ_2!I320:I322)+SUM(JUEZ_3!I320:I322))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JUEZ_1!F320</f>
        <v/>
      </c>
      <c r="B30" s="4">
        <f>(SUM(JUEZ_1!J320:J322)+SUM(JUEZ_2!J320:J322)+SUM(JUEZ_3!J320:J322))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JUEZ_1!D323</f>
        <v/>
      </c>
      <c r="B31" s="4">
        <f>(SUM(JUEZ_1!I323:I325)+SUM(JUEZ_2!I323:I325)+SUM(JUEZ_3!I323:I325))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JUEZ_1!F323</f>
        <v/>
      </c>
      <c r="B32" s="4">
        <f>(SUM(JUEZ_1!J323:J325)+SUM(JUEZ_2!J323:J325)+SUM(JUEZ_3!J323:J325))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JUEZ_1!D326</f>
        <v/>
      </c>
      <c r="B33" s="4">
        <f>(SUM(JUEZ_1!I326:I328)+SUM(JUEZ_2!I326:I328)+SUM(JUEZ_3!I326:I328))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JUEZ_1!F326</f>
        <v/>
      </c>
      <c r="B34" s="4">
        <f>(SUM(JUEZ_1!J326:J328)+SUM(JUEZ_2!J326:J328)+SUM(JUEZ_3!J326:J328))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JUEZ_1!D329</f>
        <v/>
      </c>
      <c r="B35" s="4">
        <f>(SUM(JUEZ_1!I329:I331)+SUM(JUEZ_2!I329:I331)+SUM(JUEZ_3!I329:I331))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JUEZ_1!F329</f>
        <v/>
      </c>
      <c r="B36" s="4">
        <f>(SUM(JUEZ_1!J329:J331)+SUM(JUEZ_2!J329:J331)+SUM(JUEZ_3!J329:J331))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3" t="inlineStr">
        <is>
          <t>CLASIFICACIÓN · Cat C Masculino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JUEZ_1!D377</f>
        <v/>
      </c>
      <c r="B5" s="4">
        <f>(SUM(JUEZ_1!I377:I379)+SUM(JUEZ_2!I377:I379)+SUM(JUEZ_3!I377:I379))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JUEZ_1!D425</f>
        <v/>
      </c>
      <c r="K5" s="4">
        <f>(SUM(JUEZ_1!I425:I427)+SUM(JUEZ_2!I425:I427)+SUM(JUEZ_3!I425:I427))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JUEZ_1!D449</f>
        <v/>
      </c>
      <c r="T5" s="4">
        <f>(SUM(JUEZ_1!I449:I451)+SUM(JUEZ_2!I449:I451)+SUM(JUEZ_3!I449:I451))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JUEZ_1!D461</f>
        <v/>
      </c>
      <c r="AC5" s="4">
        <f>(SUM(JUEZ_1!I461:I463)+SUM(JUEZ_2!I461:I463)+SUM(JUEZ_3!I461:I463))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JUEZ_1!F377</f>
        <v/>
      </c>
      <c r="B6" s="4">
        <f>(SUM(JUEZ_1!J377:J379)+SUM(JUEZ_2!J377:J379)+SUM(JUEZ_3!J377:J379))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JUEZ_1!F425</f>
        <v/>
      </c>
      <c r="K6" s="4">
        <f>(SUM(JUEZ_1!J425:J427)+SUM(JUEZ_2!J425:J427)+SUM(JUEZ_3!J425:J427))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JUEZ_1!F449</f>
        <v/>
      </c>
      <c r="T6" s="4">
        <f>(SUM(JUEZ_1!J449:J451)+SUM(JUEZ_2!J449:J451)+SUM(JUEZ_3!J449:J451))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JUEZ_1!F461</f>
        <v/>
      </c>
      <c r="AC6" s="4">
        <f>(SUM(JUEZ_1!J461:J463)+SUM(JUEZ_2!J461:J463)+SUM(JUEZ_3!J461:J463))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JUEZ_1!D380</f>
        <v/>
      </c>
      <c r="B7" s="4">
        <f>(SUM(JUEZ_1!I380:I382)+SUM(JUEZ_2!I380:I382)+SUM(JUEZ_3!I380:I382))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JUEZ_1!D428</f>
        <v/>
      </c>
      <c r="K7" s="4">
        <f>(SUM(JUEZ_1!I428:I430)+SUM(JUEZ_2!I428:I430)+SUM(JUEZ_3!I428:I430))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JUEZ_1!D452</f>
        <v/>
      </c>
      <c r="T7" s="4">
        <f>(SUM(JUEZ_1!I452:I454)+SUM(JUEZ_2!I452:I454)+SUM(JUEZ_3!I452:I454))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JUEZ_1!D464</f>
        <v/>
      </c>
      <c r="AC7" s="4">
        <f>(SUM(JUEZ_1!I464:I466)+SUM(JUEZ_2!I464:I466)+SUM(JUEZ_3!I464:I466))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JUEZ_1!F380</f>
        <v/>
      </c>
      <c r="B8" s="4">
        <f>(SUM(JUEZ_1!J380:J382)+SUM(JUEZ_2!J380:J382)+SUM(JUEZ_3!J380:J382))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JUEZ_1!F428</f>
        <v/>
      </c>
      <c r="K8" s="4">
        <f>(SUM(JUEZ_1!J428:J430)+SUM(JUEZ_2!J428:J430)+SUM(JUEZ_3!J428:J430))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JUEZ_1!F452</f>
        <v/>
      </c>
      <c r="T8" s="4">
        <f>(SUM(JUEZ_1!J452:J454)+SUM(JUEZ_2!J452:J454)+SUM(JUEZ_3!J452:J454))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JUEZ_1!F464</f>
        <v/>
      </c>
      <c r="AC8" s="4">
        <f>(SUM(JUEZ_1!J464:J466)+SUM(JUEZ_2!J464:J466)+SUM(JUEZ_3!J464:J466))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JUEZ_1!D383</f>
        <v/>
      </c>
      <c r="B9" s="4">
        <f>(SUM(JUEZ_1!I383:I385)+SUM(JUEZ_2!I383:I385)+SUM(JUEZ_3!I383:I385))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JUEZ_1!D431</f>
        <v/>
      </c>
      <c r="K9" s="4">
        <f>(SUM(JUEZ_1!I431:I433)+SUM(JUEZ_2!I431:I433)+SUM(JUEZ_3!I431:I433))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JUEZ_1!D455</f>
        <v/>
      </c>
      <c r="T9" s="4">
        <f>(SUM(JUEZ_1!I455:I457)+SUM(JUEZ_2!I455:I457)+SUM(JUEZ_3!I455:I457))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JUEZ_1!F383</f>
        <v/>
      </c>
      <c r="B10" s="4">
        <f>(SUM(JUEZ_1!J383:J385)+SUM(JUEZ_2!J383:J385)+SUM(JUEZ_3!J383:J385))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JUEZ_1!F431</f>
        <v/>
      </c>
      <c r="K10" s="4">
        <f>(SUM(JUEZ_1!J431:J433)+SUM(JUEZ_2!J431:J433)+SUM(JUEZ_3!J431:J433))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JUEZ_1!F455</f>
        <v/>
      </c>
      <c r="T10" s="4">
        <f>(SUM(JUEZ_1!J455:J457)+SUM(JUEZ_2!J455:J457)+SUM(JUEZ_3!J455:J457))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JUEZ_1!D386</f>
        <v/>
      </c>
      <c r="B11" s="4">
        <f>(SUM(JUEZ_1!I386:I388)+SUM(JUEZ_2!I386:I388)+SUM(JUEZ_3!I386:I388))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JUEZ_1!D434</f>
        <v/>
      </c>
      <c r="K11" s="4">
        <f>(SUM(JUEZ_1!I434:I436)+SUM(JUEZ_2!I434:I436)+SUM(JUEZ_3!I434:I436))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JUEZ_1!D458</f>
        <v/>
      </c>
      <c r="T11" s="4">
        <f>(SUM(JUEZ_1!I458:I460)+SUM(JUEZ_2!I458:I460)+SUM(JUEZ_3!I458:I460))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JUEZ_1!F386</f>
        <v/>
      </c>
      <c r="B12" s="4">
        <f>(SUM(JUEZ_1!J386:J388)+SUM(JUEZ_2!J386:J388)+SUM(JUEZ_3!J386:J388))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JUEZ_1!F434</f>
        <v/>
      </c>
      <c r="K12" s="4">
        <f>(SUM(JUEZ_1!J434:J436)+SUM(JUEZ_2!J434:J436)+SUM(JUEZ_3!J434:J436))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JUEZ_1!F458</f>
        <v/>
      </c>
      <c r="T12" s="4">
        <f>(SUM(JUEZ_1!J458:J460)+SUM(JUEZ_2!J458:J460)+SUM(JUEZ_3!J458:J460))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JUEZ_1!A461</f>
        <v/>
      </c>
      <c r="AD12" s="4">
        <f>JUEZ_1!D461</f>
        <v/>
      </c>
      <c r="AE12" s="4">
        <f>JUEZ_1!F461</f>
        <v/>
      </c>
      <c r="AF12" s="4">
        <f>(N(JUEZ_1!I461)+N(JUEZ_1!J461))+(N(JUEZ_2!I461)+N(JUEZ_2!J461))+(N(JUEZ_3!I461)+N(JUEZ_3!J461))</f>
        <v/>
      </c>
      <c r="AG12" s="4">
        <f>IF(AND($AF12=MAX($AF12,$AF13),$AF12&gt;0),"🥇 MEJOR Benguela","")</f>
        <v/>
      </c>
    </row>
    <row r="13" ht="14.25" customHeight="1" s="72">
      <c r="A13" s="4">
        <f>JUEZ_1!D389</f>
        <v/>
      </c>
      <c r="B13" s="4">
        <f>(SUM(JUEZ_1!I389:I391)+SUM(JUEZ_2!I389:I391)+SUM(JUEZ_3!I389:I391))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JUEZ_1!D437</f>
        <v/>
      </c>
      <c r="K13" s="4">
        <f>(SUM(JUEZ_1!I437:I439)+SUM(JUEZ_2!I437:I439)+SUM(JUEZ_3!I437:I439))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JUEZ_1!A464</f>
        <v/>
      </c>
      <c r="AD13" s="4">
        <f>JUEZ_1!D464</f>
        <v/>
      </c>
      <c r="AE13" s="4">
        <f>JUEZ_1!F464</f>
        <v/>
      </c>
      <c r="AF13" s="4">
        <f>(N(JUEZ_1!I464)+N(JUEZ_1!J464))+(N(JUEZ_2!I464)+N(JUEZ_2!J464))+(N(JUEZ_3!I464)+N(JUEZ_3!J464))</f>
        <v/>
      </c>
      <c r="AG13" s="4">
        <f>IF(AND($AF13=MAX($AF12,$AF13),$AF13&gt;0),"🥇 MEJOR Benguela","")</f>
        <v/>
      </c>
    </row>
    <row r="14" ht="14.25" customHeight="1" s="72">
      <c r="A14" s="4">
        <f>JUEZ_1!F389</f>
        <v/>
      </c>
      <c r="B14" s="4">
        <f>(SUM(JUEZ_1!J389:J391)+SUM(JUEZ_2!J389:J391)+SUM(JUEZ_3!J389:J391))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JUEZ_1!F437</f>
        <v/>
      </c>
      <c r="K14" s="4">
        <f>(SUM(JUEZ_1!J437:J439)+SUM(JUEZ_2!J437:J439)+SUM(JUEZ_3!J437:J439))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JUEZ_1!A462</f>
        <v/>
      </c>
      <c r="AD14" s="4">
        <f>JUEZ_1!D462</f>
        <v/>
      </c>
      <c r="AE14" s="4">
        <f>JUEZ_1!F462</f>
        <v/>
      </c>
      <c r="AF14" s="4">
        <f>(N(JUEZ_1!I462)+N(JUEZ_1!J462))+(N(JUEZ_2!I462)+N(JUEZ_2!J462))+(N(JUEZ_3!I462)+N(JUEZ_3!J462))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JUEZ_1!D392</f>
        <v/>
      </c>
      <c r="B15" s="4">
        <f>(SUM(JUEZ_1!I392:I394)+SUM(JUEZ_2!I392:I394)+SUM(JUEZ_3!I392:I394))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JUEZ_1!D440</f>
        <v/>
      </c>
      <c r="K15" s="4">
        <f>(SUM(JUEZ_1!I440:I442)+SUM(JUEZ_2!I440:I442)+SUM(JUEZ_3!I440:I442))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JUEZ_1!A465</f>
        <v/>
      </c>
      <c r="AD15" s="4">
        <f>JUEZ_1!D465</f>
        <v/>
      </c>
      <c r="AE15" s="4">
        <f>JUEZ_1!F465</f>
        <v/>
      </c>
      <c r="AF15" s="4">
        <f>(N(JUEZ_1!I465)+N(JUEZ_1!J465))+(N(JUEZ_2!I465)+N(JUEZ_2!J465))+(N(JUEZ_3!I465)+N(JUEZ_3!J465))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JUEZ_1!F392</f>
        <v/>
      </c>
      <c r="B16" s="4">
        <f>(SUM(JUEZ_1!J392:J394)+SUM(JUEZ_2!J392:J394)+SUM(JUEZ_3!J392:J394))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JUEZ_1!F440</f>
        <v/>
      </c>
      <c r="K16" s="4">
        <f>(SUM(JUEZ_1!J440:J442)+SUM(JUEZ_2!J440:J442)+SUM(JUEZ_3!J440:J442))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JUEZ_1!A463</f>
        <v/>
      </c>
      <c r="AD16" s="4">
        <f>JUEZ_1!D463</f>
        <v/>
      </c>
      <c r="AE16" s="4">
        <f>JUEZ_1!F463</f>
        <v/>
      </c>
      <c r="AF16" s="4">
        <f>(N(JUEZ_1!I463)+N(JUEZ_1!J463))+(N(JUEZ_2!I463)+N(JUEZ_2!J463))+(N(JUEZ_3!I463)+N(JUEZ_3!J463))</f>
        <v/>
      </c>
      <c r="AG16" s="4">
        <f>IF(AND($AF16=MAX($AF16,$AF17),$AF16&gt;0),"🥇 MEJOR Siriuna","")</f>
        <v/>
      </c>
    </row>
    <row r="17" ht="14.25" customHeight="1" s="72">
      <c r="A17" s="4">
        <f>JUEZ_1!D395</f>
        <v/>
      </c>
      <c r="B17" s="4">
        <f>(SUM(JUEZ_1!I395:I397)+SUM(JUEZ_2!I395:I397)+SUM(JUEZ_3!I395:I397))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JUEZ_1!D443</f>
        <v/>
      </c>
      <c r="K17" s="4">
        <f>(SUM(JUEZ_1!I443:I445)+SUM(JUEZ_2!I443:I445)+SUM(JUEZ_3!I443:I445))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JUEZ_1!A466</f>
        <v/>
      </c>
      <c r="AD17" s="4">
        <f>JUEZ_1!D466</f>
        <v/>
      </c>
      <c r="AE17" s="4">
        <f>JUEZ_1!F466</f>
        <v/>
      </c>
      <c r="AF17" s="4">
        <f>(N(JUEZ_1!I466)+N(JUEZ_1!J466))+(N(JUEZ_2!I466)+N(JUEZ_2!J466))+(N(JUEZ_3!I466)+N(JUEZ_3!J466))</f>
        <v/>
      </c>
      <c r="AG17" s="4">
        <f>IF(AND($AF17=MAX($AF16,$AF17),$AF17&gt;0),"🥇 MEJOR Siriuna","")</f>
        <v/>
      </c>
    </row>
    <row r="18" ht="14.25" customHeight="1" s="72">
      <c r="A18" s="4">
        <f>JUEZ_1!F395</f>
        <v/>
      </c>
      <c r="B18" s="4">
        <f>(SUM(JUEZ_1!J395:J397)+SUM(JUEZ_2!J395:J397)+SUM(JUEZ_3!J395:J397))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JUEZ_1!F443</f>
        <v/>
      </c>
      <c r="K18" s="4">
        <f>(SUM(JUEZ_1!J443:J445)+SUM(JUEZ_2!J443:J445)+SUM(JUEZ_3!J443:J445))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JUEZ_1!D398</f>
        <v/>
      </c>
      <c r="B19" s="4">
        <f>(SUM(JUEZ_1!I398:I400)+SUM(JUEZ_2!I398:I400)+SUM(JUEZ_3!I398:I400))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JUEZ_1!D446</f>
        <v/>
      </c>
      <c r="K19" s="4">
        <f>(SUM(JUEZ_1!I446:I448)+SUM(JUEZ_2!I446:I448)+SUM(JUEZ_3!I446:I448))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JUEZ_1!F398</f>
        <v/>
      </c>
      <c r="B20" s="4">
        <f>(SUM(JUEZ_1!J398:J400)+SUM(JUEZ_2!J398:J400)+SUM(JUEZ_3!J398:J400))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JUEZ_1!F446</f>
        <v/>
      </c>
      <c r="K20" s="4">
        <f>(SUM(JUEZ_1!J446:J448)+SUM(JUEZ_2!J446:J448)+SUM(JUEZ_3!J446:J448))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JUEZ_1!D401</f>
        <v/>
      </c>
      <c r="B21" s="4">
        <f>(SUM(JUEZ_1!I401:I403)+SUM(JUEZ_2!I401:I403)+SUM(JUEZ_3!I401:I403))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JUEZ_1!F401</f>
        <v/>
      </c>
      <c r="B22" s="4">
        <f>(SUM(JUEZ_1!J401:J403)+SUM(JUEZ_2!J401:J403)+SUM(JUEZ_3!J401:J403))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JUEZ_1!D404</f>
        <v/>
      </c>
      <c r="B23" s="4">
        <f>(SUM(JUEZ_1!I404:I406)+SUM(JUEZ_2!I404:I406)+SUM(JUEZ_3!I404:I406))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JUEZ_1!F404</f>
        <v/>
      </c>
      <c r="B24" s="4">
        <f>(SUM(JUEZ_1!J404:J406)+SUM(JUEZ_2!J404:J406)+SUM(JUEZ_3!J404:J406))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JUEZ_1!D407</f>
        <v/>
      </c>
      <c r="B25" s="4">
        <f>(SUM(JUEZ_1!I407:I409)+SUM(JUEZ_2!I407:I409)+SUM(JUEZ_3!I407:I409))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JUEZ_1!F407</f>
        <v/>
      </c>
      <c r="B26" s="4">
        <f>(SUM(JUEZ_1!J407:J409)+SUM(JUEZ_2!J407:J409)+SUM(JUEZ_3!J407:J409))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JUEZ_1!D410</f>
        <v/>
      </c>
      <c r="B27" s="4">
        <f>(SUM(JUEZ_1!I410:I412)+SUM(JUEZ_2!I410:I412)+SUM(JUEZ_3!I410:I412))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JUEZ_1!F410</f>
        <v/>
      </c>
      <c r="B28" s="4">
        <f>(SUM(JUEZ_1!J410:J412)+SUM(JUEZ_2!J410:J412)+SUM(JUEZ_3!J410:J412))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JUEZ_1!D413</f>
        <v/>
      </c>
      <c r="B29" s="4">
        <f>(SUM(JUEZ_1!I413:I415)+SUM(JUEZ_2!I413:I415)+SUM(JUEZ_3!I413:I415))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JUEZ_1!F413</f>
        <v/>
      </c>
      <c r="B30" s="4">
        <f>(SUM(JUEZ_1!J413:J415)+SUM(JUEZ_2!J413:J415)+SUM(JUEZ_3!J413:J415))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JUEZ_1!D416</f>
        <v/>
      </c>
      <c r="B31" s="4">
        <f>(SUM(JUEZ_1!I416:I418)+SUM(JUEZ_2!I416:I418)+SUM(JUEZ_3!I416:I418))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JUEZ_1!F416</f>
        <v/>
      </c>
      <c r="B32" s="4">
        <f>(SUM(JUEZ_1!J416:J418)+SUM(JUEZ_2!J416:J418)+SUM(JUEZ_3!J416:J418))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JUEZ_1!D419</f>
        <v/>
      </c>
      <c r="B33" s="4">
        <f>(SUM(JUEZ_1!I419:I421)+SUM(JUEZ_2!I419:I421)+SUM(JUEZ_3!I419:I421))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JUEZ_1!F419</f>
        <v/>
      </c>
      <c r="B34" s="4">
        <f>(SUM(JUEZ_1!J419:J421)+SUM(JUEZ_2!J419:J421)+SUM(JUEZ_3!J419:J421))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JUEZ_1!D422</f>
        <v/>
      </c>
      <c r="B35" s="4">
        <f>(SUM(JUEZ_1!I422:I424)+SUM(JUEZ_2!I422:I424)+SUM(JUEZ_3!I422:I424))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JUEZ_1!F422</f>
        <v/>
      </c>
      <c r="B36" s="4">
        <f>(SUM(JUEZ_1!J422:J424)+SUM(JUEZ_2!J422:J424)+SUM(JUEZ_3!J422:J424))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3" t="inlineStr">
        <is>
          <t>CLASIFICACIÓN · Cat C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JUEZ_1!D470</f>
        <v/>
      </c>
      <c r="B5" s="4">
        <f>(SUM(JUEZ_1!I470:I472)+SUM(JUEZ_2!I470:I472)+SUM(JUEZ_3!I470:I472))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JUEZ_1!D518</f>
        <v/>
      </c>
      <c r="K5" s="4">
        <f>(SUM(JUEZ_1!I518:I520)+SUM(JUEZ_2!I518:I520)+SUM(JUEZ_3!I518:I520))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JUEZ_1!D542</f>
        <v/>
      </c>
      <c r="T5" s="4">
        <f>(SUM(JUEZ_1!I542:I544)+SUM(JUEZ_2!I542:I544)+SUM(JUEZ_3!I542:I544))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JUEZ_1!D554</f>
        <v/>
      </c>
      <c r="AC5" s="4">
        <f>(SUM(JUEZ_1!I554:I556)+SUM(JUEZ_2!I554:I556)+SUM(JUEZ_3!I554:I556))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JUEZ_1!F470</f>
        <v/>
      </c>
      <c r="B6" s="4">
        <f>(SUM(JUEZ_1!J470:J472)+SUM(JUEZ_2!J470:J472)+SUM(JUEZ_3!J470:J472))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JUEZ_1!F518</f>
        <v/>
      </c>
      <c r="K6" s="4">
        <f>(SUM(JUEZ_1!J518:J520)+SUM(JUEZ_2!J518:J520)+SUM(JUEZ_3!J518:J520))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JUEZ_1!F542</f>
        <v/>
      </c>
      <c r="T6" s="4">
        <f>(SUM(JUEZ_1!J542:J544)+SUM(JUEZ_2!J542:J544)+SUM(JUEZ_3!J542:J544))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JUEZ_1!F554</f>
        <v/>
      </c>
      <c r="AC6" s="4">
        <f>(SUM(JUEZ_1!J554:J556)+SUM(JUEZ_2!J554:J556)+SUM(JUEZ_3!J554:J556))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JUEZ_1!D473</f>
        <v/>
      </c>
      <c r="B7" s="4">
        <f>(SUM(JUEZ_1!I473:I475)+SUM(JUEZ_2!I473:I475)+SUM(JUEZ_3!I473:I475))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JUEZ_1!D521</f>
        <v/>
      </c>
      <c r="K7" s="4">
        <f>(SUM(JUEZ_1!I521:I523)+SUM(JUEZ_2!I521:I523)+SUM(JUEZ_3!I521:I523))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JUEZ_1!D545</f>
        <v/>
      </c>
      <c r="T7" s="4">
        <f>(SUM(JUEZ_1!I545:I547)+SUM(JUEZ_2!I545:I547)+SUM(JUEZ_3!I545:I547))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JUEZ_1!D557</f>
        <v/>
      </c>
      <c r="AC7" s="4">
        <f>(SUM(JUEZ_1!I557:I559)+SUM(JUEZ_2!I557:I559)+SUM(JUEZ_3!I557:I559))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JUEZ_1!F473</f>
        <v/>
      </c>
      <c r="B8" s="4">
        <f>(SUM(JUEZ_1!J473:J475)+SUM(JUEZ_2!J473:J475)+SUM(JUEZ_3!J473:J475))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JUEZ_1!F521</f>
        <v/>
      </c>
      <c r="K8" s="4">
        <f>(SUM(JUEZ_1!J521:J523)+SUM(JUEZ_2!J521:J523)+SUM(JUEZ_3!J521:J523))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JUEZ_1!F545</f>
        <v/>
      </c>
      <c r="T8" s="4">
        <f>(SUM(JUEZ_1!J545:J547)+SUM(JUEZ_2!J545:J547)+SUM(JUEZ_3!J545:J547))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JUEZ_1!F557</f>
        <v/>
      </c>
      <c r="AC8" s="4">
        <f>(SUM(JUEZ_1!J557:J559)+SUM(JUEZ_2!J557:J559)+SUM(JUEZ_3!J557:J559))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JUEZ_1!D476</f>
        <v/>
      </c>
      <c r="B9" s="4">
        <f>(SUM(JUEZ_1!I476:I478)+SUM(JUEZ_2!I476:I478)+SUM(JUEZ_3!I476:I478))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JUEZ_1!D524</f>
        <v/>
      </c>
      <c r="K9" s="4">
        <f>(SUM(JUEZ_1!I524:I526)+SUM(JUEZ_2!I524:I526)+SUM(JUEZ_3!I524:I526))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JUEZ_1!D548</f>
        <v/>
      </c>
      <c r="T9" s="4">
        <f>(SUM(JUEZ_1!I548:I550)+SUM(JUEZ_2!I548:I550)+SUM(JUEZ_3!I548:I550))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JUEZ_1!F476</f>
        <v/>
      </c>
      <c r="B10" s="4">
        <f>(SUM(JUEZ_1!J476:J478)+SUM(JUEZ_2!J476:J478)+SUM(JUEZ_3!J476:J478))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JUEZ_1!F524</f>
        <v/>
      </c>
      <c r="K10" s="4">
        <f>(SUM(JUEZ_1!J524:J526)+SUM(JUEZ_2!J524:J526)+SUM(JUEZ_3!J524:J526))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JUEZ_1!F548</f>
        <v/>
      </c>
      <c r="T10" s="4">
        <f>(SUM(JUEZ_1!J548:J550)+SUM(JUEZ_2!J548:J550)+SUM(JUEZ_3!J548:J550))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JUEZ_1!D479</f>
        <v/>
      </c>
      <c r="B11" s="4">
        <f>(SUM(JUEZ_1!I479:I481)+SUM(JUEZ_2!I479:I481)+SUM(JUEZ_3!I479:I481))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JUEZ_1!D527</f>
        <v/>
      </c>
      <c r="K11" s="4">
        <f>(SUM(JUEZ_1!I527:I529)+SUM(JUEZ_2!I527:I529)+SUM(JUEZ_3!I527:I529))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JUEZ_1!D551</f>
        <v/>
      </c>
      <c r="T11" s="4">
        <f>(SUM(JUEZ_1!I551:I553)+SUM(JUEZ_2!I551:I553)+SUM(JUEZ_3!I551:I553))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JUEZ_1!F479</f>
        <v/>
      </c>
      <c r="B12" s="4">
        <f>(SUM(JUEZ_1!J479:J481)+SUM(JUEZ_2!J479:J481)+SUM(JUEZ_3!J479:J481))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JUEZ_1!F527</f>
        <v/>
      </c>
      <c r="K12" s="4">
        <f>(SUM(JUEZ_1!J527:J529)+SUM(JUEZ_2!J527:J529)+SUM(JUEZ_3!J527:J529))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JUEZ_1!F551</f>
        <v/>
      </c>
      <c r="T12" s="4">
        <f>(SUM(JUEZ_1!J551:J553)+SUM(JUEZ_2!J551:J553)+SUM(JUEZ_3!J551:J553))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JUEZ_1!A554</f>
        <v/>
      </c>
      <c r="AD12" s="4">
        <f>JUEZ_1!D554</f>
        <v/>
      </c>
      <c r="AE12" s="4">
        <f>JUEZ_1!F554</f>
        <v/>
      </c>
      <c r="AF12" s="4">
        <f>(N(JUEZ_1!I554)+N(JUEZ_1!J554))+(N(JUEZ_2!I554)+N(JUEZ_2!J554))+(N(JUEZ_3!I554)+N(JUEZ_3!J554))</f>
        <v/>
      </c>
      <c r="AG12" s="4">
        <f>IF(AND($AF12=MAX($AF12,$AF13),$AF12&gt;0),"🥇 MEJOR Benguela","")</f>
        <v/>
      </c>
    </row>
    <row r="13" ht="14.25" customHeight="1" s="72">
      <c r="A13" s="4">
        <f>JUEZ_1!D482</f>
        <v/>
      </c>
      <c r="B13" s="4">
        <f>(SUM(JUEZ_1!I482:I484)+SUM(JUEZ_2!I482:I484)+SUM(JUEZ_3!I482:I484))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JUEZ_1!D530</f>
        <v/>
      </c>
      <c r="K13" s="4">
        <f>(SUM(JUEZ_1!I530:I532)+SUM(JUEZ_2!I530:I532)+SUM(JUEZ_3!I530:I532))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JUEZ_1!A557</f>
        <v/>
      </c>
      <c r="AD13" s="4">
        <f>JUEZ_1!D557</f>
        <v/>
      </c>
      <c r="AE13" s="4">
        <f>JUEZ_1!F557</f>
        <v/>
      </c>
      <c r="AF13" s="4">
        <f>(N(JUEZ_1!I557)+N(JUEZ_1!J557))+(N(JUEZ_2!I557)+N(JUEZ_2!J557))+(N(JUEZ_3!I557)+N(JUEZ_3!J557))</f>
        <v/>
      </c>
      <c r="AG13" s="4">
        <f>IF(AND($AF13=MAX($AF12,$AF13),$AF13&gt;0),"🥇 MEJOR Benguela","")</f>
        <v/>
      </c>
    </row>
    <row r="14" ht="14.25" customHeight="1" s="72">
      <c r="A14" s="4">
        <f>JUEZ_1!F482</f>
        <v/>
      </c>
      <c r="B14" s="4">
        <f>(SUM(JUEZ_1!J482:J484)+SUM(JUEZ_2!J482:J484)+SUM(JUEZ_3!J482:J484))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JUEZ_1!F530</f>
        <v/>
      </c>
      <c r="K14" s="4">
        <f>(SUM(JUEZ_1!J530:J532)+SUM(JUEZ_2!J530:J532)+SUM(JUEZ_3!J530:J532))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JUEZ_1!A555</f>
        <v/>
      </c>
      <c r="AD14" s="4">
        <f>JUEZ_1!D555</f>
        <v/>
      </c>
      <c r="AE14" s="4">
        <f>JUEZ_1!F555</f>
        <v/>
      </c>
      <c r="AF14" s="4">
        <f>(N(JUEZ_1!I555)+N(JUEZ_1!J555))+(N(JUEZ_2!I555)+N(JUEZ_2!J555))+(N(JUEZ_3!I555)+N(JUEZ_3!J555))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JUEZ_1!D485</f>
        <v/>
      </c>
      <c r="B15" s="4">
        <f>(SUM(JUEZ_1!I485:I487)+SUM(JUEZ_2!I485:I487)+SUM(JUEZ_3!I485:I487))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JUEZ_1!D533</f>
        <v/>
      </c>
      <c r="K15" s="4">
        <f>(SUM(JUEZ_1!I533:I535)+SUM(JUEZ_2!I533:I535)+SUM(JUEZ_3!I533:I535))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JUEZ_1!A558</f>
        <v/>
      </c>
      <c r="AD15" s="4">
        <f>JUEZ_1!D558</f>
        <v/>
      </c>
      <c r="AE15" s="4">
        <f>JUEZ_1!F558</f>
        <v/>
      </c>
      <c r="AF15" s="4">
        <f>(N(JUEZ_1!I558)+N(JUEZ_1!J558))+(N(JUEZ_2!I558)+N(JUEZ_2!J558))+(N(JUEZ_3!I558)+N(JUEZ_3!J558))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JUEZ_1!F485</f>
        <v/>
      </c>
      <c r="B16" s="4">
        <f>(SUM(JUEZ_1!J485:J487)+SUM(JUEZ_2!J485:J487)+SUM(JUEZ_3!J485:J487))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JUEZ_1!F533</f>
        <v/>
      </c>
      <c r="K16" s="4">
        <f>(SUM(JUEZ_1!J533:J535)+SUM(JUEZ_2!J533:J535)+SUM(JUEZ_3!J533:J535))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JUEZ_1!A556</f>
        <v/>
      </c>
      <c r="AD16" s="4">
        <f>JUEZ_1!D556</f>
        <v/>
      </c>
      <c r="AE16" s="4">
        <f>JUEZ_1!F556</f>
        <v/>
      </c>
      <c r="AF16" s="4">
        <f>(N(JUEZ_1!I556)+N(JUEZ_1!J556))+(N(JUEZ_2!I556)+N(JUEZ_2!J556))+(N(JUEZ_3!I556)+N(JUEZ_3!J556))</f>
        <v/>
      </c>
      <c r="AG16" s="4">
        <f>IF(AND($AF16=MAX($AF16,$AF17),$AF16&gt;0),"🥇 MEJOR Siriuna","")</f>
        <v/>
      </c>
    </row>
    <row r="17" ht="14.25" customHeight="1" s="72">
      <c r="A17" s="4">
        <f>JUEZ_1!D488</f>
        <v/>
      </c>
      <c r="B17" s="4">
        <f>(SUM(JUEZ_1!I488:I490)+SUM(JUEZ_2!I488:I490)+SUM(JUEZ_3!I488:I490))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JUEZ_1!D536</f>
        <v/>
      </c>
      <c r="K17" s="4">
        <f>(SUM(JUEZ_1!I536:I538)+SUM(JUEZ_2!I536:I538)+SUM(JUEZ_3!I536:I538))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JUEZ_1!A559</f>
        <v/>
      </c>
      <c r="AD17" s="4">
        <f>JUEZ_1!D559</f>
        <v/>
      </c>
      <c r="AE17" s="4">
        <f>JUEZ_1!F559</f>
        <v/>
      </c>
      <c r="AF17" s="4">
        <f>(N(JUEZ_1!I559)+N(JUEZ_1!J559))+(N(JUEZ_2!I559)+N(JUEZ_2!J559))+(N(JUEZ_3!I559)+N(JUEZ_3!J559))</f>
        <v/>
      </c>
      <c r="AG17" s="4">
        <f>IF(AND($AF17=MAX($AF16,$AF17),$AF17&gt;0),"🥇 MEJOR Siriuna","")</f>
        <v/>
      </c>
    </row>
    <row r="18" ht="14.25" customHeight="1" s="72">
      <c r="A18" s="4">
        <f>JUEZ_1!F488</f>
        <v/>
      </c>
      <c r="B18" s="4">
        <f>(SUM(JUEZ_1!J488:J490)+SUM(JUEZ_2!J488:J490)+SUM(JUEZ_3!J488:J490))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JUEZ_1!F536</f>
        <v/>
      </c>
      <c r="K18" s="4">
        <f>(SUM(JUEZ_1!J536:J538)+SUM(JUEZ_2!J536:J538)+SUM(JUEZ_3!J536:J538))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JUEZ_1!D491</f>
        <v/>
      </c>
      <c r="B19" s="4">
        <f>(SUM(JUEZ_1!I491:I493)+SUM(JUEZ_2!I491:I493)+SUM(JUEZ_3!I491:I493))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JUEZ_1!D539</f>
        <v/>
      </c>
      <c r="K19" s="4">
        <f>(SUM(JUEZ_1!I539:I541)+SUM(JUEZ_2!I539:I541)+SUM(JUEZ_3!I539:I541))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JUEZ_1!F491</f>
        <v/>
      </c>
      <c r="B20" s="4">
        <f>(SUM(JUEZ_1!J491:J493)+SUM(JUEZ_2!J491:J493)+SUM(JUEZ_3!J491:J493))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JUEZ_1!F539</f>
        <v/>
      </c>
      <c r="K20" s="4">
        <f>(SUM(JUEZ_1!J539:J541)+SUM(JUEZ_2!J539:J541)+SUM(JUEZ_3!J539:J541))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JUEZ_1!D494</f>
        <v/>
      </c>
      <c r="B21" s="4">
        <f>(SUM(JUEZ_1!I494:I496)+SUM(JUEZ_2!I494:I496)+SUM(JUEZ_3!I494:I496))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JUEZ_1!F494</f>
        <v/>
      </c>
      <c r="B22" s="4">
        <f>(SUM(JUEZ_1!J494:J496)+SUM(JUEZ_2!J494:J496)+SUM(JUEZ_3!J494:J496))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JUEZ_1!D497</f>
        <v/>
      </c>
      <c r="B23" s="4">
        <f>(SUM(JUEZ_1!I497:I499)+SUM(JUEZ_2!I497:I499)+SUM(JUEZ_3!I497:I499))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JUEZ_1!F497</f>
        <v/>
      </c>
      <c r="B24" s="4">
        <f>(SUM(JUEZ_1!J497:J499)+SUM(JUEZ_2!J497:J499)+SUM(JUEZ_3!J497:J499))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JUEZ_1!D500</f>
        <v/>
      </c>
      <c r="B25" s="4">
        <f>(SUM(JUEZ_1!I500:I502)+SUM(JUEZ_2!I500:I502)+SUM(JUEZ_3!I500:I502))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JUEZ_1!F500</f>
        <v/>
      </c>
      <c r="B26" s="4">
        <f>(SUM(JUEZ_1!J500:J502)+SUM(JUEZ_2!J500:J502)+SUM(JUEZ_3!J500:J502))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JUEZ_1!D503</f>
        <v/>
      </c>
      <c r="B27" s="4">
        <f>(SUM(JUEZ_1!I503:I505)+SUM(JUEZ_2!I503:I505)+SUM(JUEZ_3!I503:I505))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JUEZ_1!F503</f>
        <v/>
      </c>
      <c r="B28" s="4">
        <f>(SUM(JUEZ_1!J503:J505)+SUM(JUEZ_2!J503:J505)+SUM(JUEZ_3!J503:J505))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JUEZ_1!D506</f>
        <v/>
      </c>
      <c r="B29" s="4">
        <f>(SUM(JUEZ_1!I506:I508)+SUM(JUEZ_2!I506:I508)+SUM(JUEZ_3!I506:I508))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JUEZ_1!F506</f>
        <v/>
      </c>
      <c r="B30" s="4">
        <f>(SUM(JUEZ_1!J506:J508)+SUM(JUEZ_2!J506:J508)+SUM(JUEZ_3!J506:J508))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JUEZ_1!D509</f>
        <v/>
      </c>
      <c r="B31" s="4">
        <f>(SUM(JUEZ_1!I509:I511)+SUM(JUEZ_2!I509:I511)+SUM(JUEZ_3!I509:I511))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JUEZ_1!F509</f>
        <v/>
      </c>
      <c r="B32" s="4">
        <f>(SUM(JUEZ_1!J509:J511)+SUM(JUEZ_2!J509:J511)+SUM(JUEZ_3!J509:J511))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JUEZ_1!D512</f>
        <v/>
      </c>
      <c r="B33" s="4">
        <f>(SUM(JUEZ_1!I512:I514)+SUM(JUEZ_2!I512:I514)+SUM(JUEZ_3!I512:I514))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JUEZ_1!F512</f>
        <v/>
      </c>
      <c r="B34" s="4">
        <f>(SUM(JUEZ_1!J512:J514)+SUM(JUEZ_2!J512:J514)+SUM(JUEZ_3!J512:J514))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JUEZ_1!D515</f>
        <v/>
      </c>
      <c r="B35" s="4">
        <f>(SUM(JUEZ_1!I515:I517)+SUM(JUEZ_2!I515:I517)+SUM(JUEZ_3!I515:I517))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JUEZ_1!F515</f>
        <v/>
      </c>
      <c r="B36" s="4">
        <f>(SUM(JUEZ_1!J515:J517)+SUM(JUEZ_2!J515:J517)+SUM(JUEZ_3!J515:J517))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4" t="inlineStr">
        <is>
          <t>CLASIFICACIÓN · Cat D Masculino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JUEZ_1!D563</f>
        <v/>
      </c>
      <c r="B5" s="4">
        <f>(SUM(JUEZ_1!I563:I565)+SUM(JUEZ_2!I563:I565)+SUM(JUEZ_3!I563:I565))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JUEZ_1!D611</f>
        <v/>
      </c>
      <c r="K5" s="4">
        <f>(SUM(JUEZ_1!I611:I613)+SUM(JUEZ_2!I611:I613)+SUM(JUEZ_3!I611:I613))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JUEZ_1!D635</f>
        <v/>
      </c>
      <c r="T5" s="4">
        <f>(SUM(JUEZ_1!I635:I637)+SUM(JUEZ_2!I635:I637)+SUM(JUEZ_3!I635:I637))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JUEZ_1!D647</f>
        <v/>
      </c>
      <c r="AC5" s="4">
        <f>(SUM(JUEZ_1!I647:I649)+SUM(JUEZ_2!I647:I649)+SUM(JUEZ_3!I647:I649))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JUEZ_1!F563</f>
        <v/>
      </c>
      <c r="B6" s="4">
        <f>(SUM(JUEZ_1!J563:J565)+SUM(JUEZ_2!J563:J565)+SUM(JUEZ_3!J563:J565))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JUEZ_1!F611</f>
        <v/>
      </c>
      <c r="K6" s="4">
        <f>(SUM(JUEZ_1!J611:J613)+SUM(JUEZ_2!J611:J613)+SUM(JUEZ_3!J611:J613))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JUEZ_1!F635</f>
        <v/>
      </c>
      <c r="T6" s="4">
        <f>(SUM(JUEZ_1!J635:J637)+SUM(JUEZ_2!J635:J637)+SUM(JUEZ_3!J635:J637))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JUEZ_1!F647</f>
        <v/>
      </c>
      <c r="AC6" s="4">
        <f>(SUM(JUEZ_1!J647:J649)+SUM(JUEZ_2!J647:J649)+SUM(JUEZ_3!J647:J649))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JUEZ_1!D566</f>
        <v/>
      </c>
      <c r="B7" s="4">
        <f>(SUM(JUEZ_1!I566:I568)+SUM(JUEZ_2!I566:I568)+SUM(JUEZ_3!I566:I568))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JUEZ_1!D614</f>
        <v/>
      </c>
      <c r="K7" s="4">
        <f>(SUM(JUEZ_1!I614:I616)+SUM(JUEZ_2!I614:I616)+SUM(JUEZ_3!I614:I616))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JUEZ_1!D638</f>
        <v/>
      </c>
      <c r="T7" s="4">
        <f>(SUM(JUEZ_1!I638:I640)+SUM(JUEZ_2!I638:I640)+SUM(JUEZ_3!I638:I640))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JUEZ_1!D650</f>
        <v/>
      </c>
      <c r="AC7" s="4">
        <f>(SUM(JUEZ_1!I650:I652)+SUM(JUEZ_2!I650:I652)+SUM(JUEZ_3!I650:I652))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JUEZ_1!F566</f>
        <v/>
      </c>
      <c r="B8" s="4">
        <f>(SUM(JUEZ_1!J566:J568)+SUM(JUEZ_2!J566:J568)+SUM(JUEZ_3!J566:J568))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JUEZ_1!F614</f>
        <v/>
      </c>
      <c r="K8" s="4">
        <f>(SUM(JUEZ_1!J614:J616)+SUM(JUEZ_2!J614:J616)+SUM(JUEZ_3!J614:J616))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JUEZ_1!F638</f>
        <v/>
      </c>
      <c r="T8" s="4">
        <f>(SUM(JUEZ_1!J638:J640)+SUM(JUEZ_2!J638:J640)+SUM(JUEZ_3!J638:J640))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JUEZ_1!F650</f>
        <v/>
      </c>
      <c r="AC8" s="4">
        <f>(SUM(JUEZ_1!J650:J652)+SUM(JUEZ_2!J650:J652)+SUM(JUEZ_3!J650:J652))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JUEZ_1!D569</f>
        <v/>
      </c>
      <c r="B9" s="4">
        <f>(SUM(JUEZ_1!I569:I571)+SUM(JUEZ_2!I569:I571)+SUM(JUEZ_3!I569:I571))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JUEZ_1!D617</f>
        <v/>
      </c>
      <c r="K9" s="4">
        <f>(SUM(JUEZ_1!I617:I619)+SUM(JUEZ_2!I617:I619)+SUM(JUEZ_3!I617:I619))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JUEZ_1!D641</f>
        <v/>
      </c>
      <c r="T9" s="4">
        <f>(SUM(JUEZ_1!I641:I643)+SUM(JUEZ_2!I641:I643)+SUM(JUEZ_3!I641:I643))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JUEZ_1!F569</f>
        <v/>
      </c>
      <c r="B10" s="4">
        <f>(SUM(JUEZ_1!J569:J571)+SUM(JUEZ_2!J569:J571)+SUM(JUEZ_3!J569:J571))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JUEZ_1!F617</f>
        <v/>
      </c>
      <c r="K10" s="4">
        <f>(SUM(JUEZ_1!J617:J619)+SUM(JUEZ_2!J617:J619)+SUM(JUEZ_3!J617:J619))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JUEZ_1!F641</f>
        <v/>
      </c>
      <c r="T10" s="4">
        <f>(SUM(JUEZ_1!J641:J643)+SUM(JUEZ_2!J641:J643)+SUM(JUEZ_3!J641:J643))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JUEZ_1!D572</f>
        <v/>
      </c>
      <c r="B11" s="4">
        <f>(SUM(JUEZ_1!I572:I574)+SUM(JUEZ_2!I572:I574)+SUM(JUEZ_3!I572:I574))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JUEZ_1!D620</f>
        <v/>
      </c>
      <c r="K11" s="4">
        <f>(SUM(JUEZ_1!I620:I622)+SUM(JUEZ_2!I620:I622)+SUM(JUEZ_3!I620:I622))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JUEZ_1!D644</f>
        <v/>
      </c>
      <c r="T11" s="4">
        <f>(SUM(JUEZ_1!I644:I646)+SUM(JUEZ_2!I644:I646)+SUM(JUEZ_3!I644:I646))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JUEZ_1!F572</f>
        <v/>
      </c>
      <c r="B12" s="4">
        <f>(SUM(JUEZ_1!J572:J574)+SUM(JUEZ_2!J572:J574)+SUM(JUEZ_3!J572:J574))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JUEZ_1!F620</f>
        <v/>
      </c>
      <c r="K12" s="4">
        <f>(SUM(JUEZ_1!J620:J622)+SUM(JUEZ_2!J620:J622)+SUM(JUEZ_3!J620:J622))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JUEZ_1!F644</f>
        <v/>
      </c>
      <c r="T12" s="4">
        <f>(SUM(JUEZ_1!J644:J646)+SUM(JUEZ_2!J644:J646)+SUM(JUEZ_3!J644:J646))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JUEZ_1!A647</f>
        <v/>
      </c>
      <c r="AD12" s="4">
        <f>JUEZ_1!D647</f>
        <v/>
      </c>
      <c r="AE12" s="4">
        <f>JUEZ_1!F647</f>
        <v/>
      </c>
      <c r="AF12" s="4">
        <f>(N(JUEZ_1!I647)+N(JUEZ_1!J647))+(N(JUEZ_2!I647)+N(JUEZ_2!J647))+(N(JUEZ_3!I647)+N(JUEZ_3!J647))</f>
        <v/>
      </c>
      <c r="AG12" s="4">
        <f>IF(AND($AF12=MAX($AF12,$AF13),$AF12&gt;0),"🥇 MEJOR Benguela","")</f>
        <v/>
      </c>
    </row>
    <row r="13" ht="14.25" customHeight="1" s="72">
      <c r="A13" s="4">
        <f>JUEZ_1!D575</f>
        <v/>
      </c>
      <c r="B13" s="4">
        <f>(SUM(JUEZ_1!I575:I577)+SUM(JUEZ_2!I575:I577)+SUM(JUEZ_3!I575:I577))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JUEZ_1!D623</f>
        <v/>
      </c>
      <c r="K13" s="4">
        <f>(SUM(JUEZ_1!I623:I625)+SUM(JUEZ_2!I623:I625)+SUM(JUEZ_3!I623:I625))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JUEZ_1!A650</f>
        <v/>
      </c>
      <c r="AD13" s="4">
        <f>JUEZ_1!D650</f>
        <v/>
      </c>
      <c r="AE13" s="4">
        <f>JUEZ_1!F650</f>
        <v/>
      </c>
      <c r="AF13" s="4">
        <f>(N(JUEZ_1!I650)+N(JUEZ_1!J650))+(N(JUEZ_2!I650)+N(JUEZ_2!J650))+(N(JUEZ_3!I650)+N(JUEZ_3!J650))</f>
        <v/>
      </c>
      <c r="AG13" s="4">
        <f>IF(AND($AF13=MAX($AF12,$AF13),$AF13&gt;0),"🥇 MEJOR Benguela","")</f>
        <v/>
      </c>
    </row>
    <row r="14" ht="14.25" customHeight="1" s="72">
      <c r="A14" s="4">
        <f>JUEZ_1!F575</f>
        <v/>
      </c>
      <c r="B14" s="4">
        <f>(SUM(JUEZ_1!J575:J577)+SUM(JUEZ_2!J575:J577)+SUM(JUEZ_3!J575:J577))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JUEZ_1!F623</f>
        <v/>
      </c>
      <c r="K14" s="4">
        <f>(SUM(JUEZ_1!J623:J625)+SUM(JUEZ_2!J623:J625)+SUM(JUEZ_3!J623:J625))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JUEZ_1!A648</f>
        <v/>
      </c>
      <c r="AD14" s="4">
        <f>JUEZ_1!D648</f>
        <v/>
      </c>
      <c r="AE14" s="4">
        <f>JUEZ_1!F648</f>
        <v/>
      </c>
      <c r="AF14" s="4">
        <f>(N(JUEZ_1!I648)+N(JUEZ_1!J648))+(N(JUEZ_2!I648)+N(JUEZ_2!J648))+(N(JUEZ_3!I648)+N(JUEZ_3!J648))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JUEZ_1!D578</f>
        <v/>
      </c>
      <c r="B15" s="4">
        <f>(SUM(JUEZ_1!I578:I580)+SUM(JUEZ_2!I578:I580)+SUM(JUEZ_3!I578:I580))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JUEZ_1!D626</f>
        <v/>
      </c>
      <c r="K15" s="4">
        <f>(SUM(JUEZ_1!I626:I628)+SUM(JUEZ_2!I626:I628)+SUM(JUEZ_3!I626:I628))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JUEZ_1!A651</f>
        <v/>
      </c>
      <c r="AD15" s="4">
        <f>JUEZ_1!D651</f>
        <v/>
      </c>
      <c r="AE15" s="4">
        <f>JUEZ_1!F651</f>
        <v/>
      </c>
      <c r="AF15" s="4">
        <f>(N(JUEZ_1!I651)+N(JUEZ_1!J651))+(N(JUEZ_2!I651)+N(JUEZ_2!J651))+(N(JUEZ_3!I651)+N(JUEZ_3!J651))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JUEZ_1!F578</f>
        <v/>
      </c>
      <c r="B16" s="4">
        <f>(SUM(JUEZ_1!J578:J580)+SUM(JUEZ_2!J578:J580)+SUM(JUEZ_3!J578:J580))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JUEZ_1!F626</f>
        <v/>
      </c>
      <c r="K16" s="4">
        <f>(SUM(JUEZ_1!J626:J628)+SUM(JUEZ_2!J626:J628)+SUM(JUEZ_3!J626:J628))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JUEZ_1!A649</f>
        <v/>
      </c>
      <c r="AD16" s="4">
        <f>JUEZ_1!D649</f>
        <v/>
      </c>
      <c r="AE16" s="4">
        <f>JUEZ_1!F649</f>
        <v/>
      </c>
      <c r="AF16" s="4">
        <f>(N(JUEZ_1!I649)+N(JUEZ_1!J649))+(N(JUEZ_2!I649)+N(JUEZ_2!J649))+(N(JUEZ_3!I649)+N(JUEZ_3!J649))</f>
        <v/>
      </c>
      <c r="AG16" s="4">
        <f>IF(AND($AF16=MAX($AF16,$AF17),$AF16&gt;0),"🥇 MEJOR Siriuna","")</f>
        <v/>
      </c>
    </row>
    <row r="17" ht="14.25" customHeight="1" s="72">
      <c r="A17" s="4">
        <f>JUEZ_1!D581</f>
        <v/>
      </c>
      <c r="B17" s="4">
        <f>(SUM(JUEZ_1!I581:I583)+SUM(JUEZ_2!I581:I583)+SUM(JUEZ_3!I581:I583))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JUEZ_1!D629</f>
        <v/>
      </c>
      <c r="K17" s="4">
        <f>(SUM(JUEZ_1!I629:I631)+SUM(JUEZ_2!I629:I631)+SUM(JUEZ_3!I629:I631))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JUEZ_1!A652</f>
        <v/>
      </c>
      <c r="AD17" s="4">
        <f>JUEZ_1!D652</f>
        <v/>
      </c>
      <c r="AE17" s="4">
        <f>JUEZ_1!F652</f>
        <v/>
      </c>
      <c r="AF17" s="4">
        <f>(N(JUEZ_1!I652)+N(JUEZ_1!J652))+(N(JUEZ_2!I652)+N(JUEZ_2!J652))+(N(JUEZ_3!I652)+N(JUEZ_3!J652))</f>
        <v/>
      </c>
      <c r="AG17" s="4">
        <f>IF(AND($AF17=MAX($AF16,$AF17),$AF17&gt;0),"🥇 MEJOR Siriuna","")</f>
        <v/>
      </c>
    </row>
    <row r="18" ht="14.25" customHeight="1" s="72">
      <c r="A18" s="4">
        <f>JUEZ_1!F581</f>
        <v/>
      </c>
      <c r="B18" s="4">
        <f>(SUM(JUEZ_1!J581:J583)+SUM(JUEZ_2!J581:J583)+SUM(JUEZ_3!J581:J583))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JUEZ_1!F629</f>
        <v/>
      </c>
      <c r="K18" s="4">
        <f>(SUM(JUEZ_1!J629:J631)+SUM(JUEZ_2!J629:J631)+SUM(JUEZ_3!J629:J631))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JUEZ_1!D584</f>
        <v/>
      </c>
      <c r="B19" s="4">
        <f>(SUM(JUEZ_1!I584:I586)+SUM(JUEZ_2!I584:I586)+SUM(JUEZ_3!I584:I586))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JUEZ_1!D632</f>
        <v/>
      </c>
      <c r="K19" s="4">
        <f>(SUM(JUEZ_1!I632:I634)+SUM(JUEZ_2!I632:I634)+SUM(JUEZ_3!I632:I634))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JUEZ_1!F584</f>
        <v/>
      </c>
      <c r="B20" s="4">
        <f>(SUM(JUEZ_1!J584:J586)+SUM(JUEZ_2!J584:J586)+SUM(JUEZ_3!J584:J586))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JUEZ_1!F632</f>
        <v/>
      </c>
      <c r="K20" s="4">
        <f>(SUM(JUEZ_1!J632:J634)+SUM(JUEZ_2!J632:J634)+SUM(JUEZ_3!J632:J634))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JUEZ_1!D587</f>
        <v/>
      </c>
      <c r="B21" s="4">
        <f>(SUM(JUEZ_1!I587:I589)+SUM(JUEZ_2!I587:I589)+SUM(JUEZ_3!I587:I589))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JUEZ_1!F587</f>
        <v/>
      </c>
      <c r="B22" s="4">
        <f>(SUM(JUEZ_1!J587:J589)+SUM(JUEZ_2!J587:J589)+SUM(JUEZ_3!J587:J589))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JUEZ_1!D590</f>
        <v/>
      </c>
      <c r="B23" s="4">
        <f>(SUM(JUEZ_1!I590:I592)+SUM(JUEZ_2!I590:I592)+SUM(JUEZ_3!I590:I592))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JUEZ_1!F590</f>
        <v/>
      </c>
      <c r="B24" s="4">
        <f>(SUM(JUEZ_1!J590:J592)+SUM(JUEZ_2!J590:J592)+SUM(JUEZ_3!J590:J592))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JUEZ_1!D593</f>
        <v/>
      </c>
      <c r="B25" s="4">
        <f>(SUM(JUEZ_1!I593:I595)+SUM(JUEZ_2!I593:I595)+SUM(JUEZ_3!I593:I595))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JUEZ_1!F593</f>
        <v/>
      </c>
      <c r="B26" s="4">
        <f>(SUM(JUEZ_1!J593:J595)+SUM(JUEZ_2!J593:J595)+SUM(JUEZ_3!J593:J595))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JUEZ_1!D596</f>
        <v/>
      </c>
      <c r="B27" s="4">
        <f>(SUM(JUEZ_1!I596:I598)+SUM(JUEZ_2!I596:I598)+SUM(JUEZ_3!I596:I598))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JUEZ_1!F596</f>
        <v/>
      </c>
      <c r="B28" s="4">
        <f>(SUM(JUEZ_1!J596:J598)+SUM(JUEZ_2!J596:J598)+SUM(JUEZ_3!J596:J598))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JUEZ_1!D599</f>
        <v/>
      </c>
      <c r="B29" s="4">
        <f>(SUM(JUEZ_1!I599:I601)+SUM(JUEZ_2!I599:I601)+SUM(JUEZ_3!I599:I601))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JUEZ_1!F599</f>
        <v/>
      </c>
      <c r="B30" s="4">
        <f>(SUM(JUEZ_1!J599:J601)+SUM(JUEZ_2!J599:J601)+SUM(JUEZ_3!J599:J601))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JUEZ_1!D602</f>
        <v/>
      </c>
      <c r="B31" s="4">
        <f>(SUM(JUEZ_1!I602:I604)+SUM(JUEZ_2!I602:I604)+SUM(JUEZ_3!I602:I604))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JUEZ_1!F602</f>
        <v/>
      </c>
      <c r="B32" s="4">
        <f>(SUM(JUEZ_1!J602:J604)+SUM(JUEZ_2!J602:J604)+SUM(JUEZ_3!J602:J604))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JUEZ_1!D605</f>
        <v/>
      </c>
      <c r="B33" s="4">
        <f>(SUM(JUEZ_1!I605:I607)+SUM(JUEZ_2!I605:I607)+SUM(JUEZ_3!I605:I607))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JUEZ_1!F605</f>
        <v/>
      </c>
      <c r="B34" s="4">
        <f>(SUM(JUEZ_1!J605:J607)+SUM(JUEZ_2!J605:J607)+SUM(JUEZ_3!J605:J607))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JUEZ_1!D608</f>
        <v/>
      </c>
      <c r="B35" s="4">
        <f>(SUM(JUEZ_1!I608:I610)+SUM(JUEZ_2!I608:I610)+SUM(JUEZ_3!I608:I610))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JUEZ_1!F608</f>
        <v/>
      </c>
      <c r="B36" s="4">
        <f>(SUM(JUEZ_1!J608:J610)+SUM(JUEZ_2!J608:J610)+SUM(JUEZ_3!J608:J610))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4" t="inlineStr">
        <is>
          <t>CLASIFICACIÓN · Cat D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JUEZ_1!D656</f>
        <v/>
      </c>
      <c r="B5" s="4">
        <f>(SUM(JUEZ_1!I656:I658)+SUM(JUEZ_2!I656:I658)+SUM(JUEZ_3!I656:I658))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JUEZ_1!D704</f>
        <v/>
      </c>
      <c r="K5" s="4">
        <f>(SUM(JUEZ_1!I704:I706)+SUM(JUEZ_2!I704:I706)+SUM(JUEZ_3!I704:I706))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JUEZ_1!D728</f>
        <v/>
      </c>
      <c r="T5" s="4">
        <f>(SUM(JUEZ_1!I728:I730)+SUM(JUEZ_2!I728:I730)+SUM(JUEZ_3!I728:I730))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JUEZ_1!D740</f>
        <v/>
      </c>
      <c r="AC5" s="4">
        <f>(SUM(JUEZ_1!I740:I742)+SUM(JUEZ_2!I740:I742)+SUM(JUEZ_3!I740:I742))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JUEZ_1!F656</f>
        <v/>
      </c>
      <c r="B6" s="4">
        <f>(SUM(JUEZ_1!J656:J658)+SUM(JUEZ_2!J656:J658)+SUM(JUEZ_3!J656:J658))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JUEZ_1!F704</f>
        <v/>
      </c>
      <c r="K6" s="4">
        <f>(SUM(JUEZ_1!J704:J706)+SUM(JUEZ_2!J704:J706)+SUM(JUEZ_3!J704:J706))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JUEZ_1!F728</f>
        <v/>
      </c>
      <c r="T6" s="4">
        <f>(SUM(JUEZ_1!J728:J730)+SUM(JUEZ_2!J728:J730)+SUM(JUEZ_3!J728:J730))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JUEZ_1!F740</f>
        <v/>
      </c>
      <c r="AC6" s="4">
        <f>(SUM(JUEZ_1!J740:J742)+SUM(JUEZ_2!J740:J742)+SUM(JUEZ_3!J740:J742))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JUEZ_1!D659</f>
        <v/>
      </c>
      <c r="B7" s="4">
        <f>(SUM(JUEZ_1!I659:I661)+SUM(JUEZ_2!I659:I661)+SUM(JUEZ_3!I659:I661))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JUEZ_1!D707</f>
        <v/>
      </c>
      <c r="K7" s="4">
        <f>(SUM(JUEZ_1!I707:I709)+SUM(JUEZ_2!I707:I709)+SUM(JUEZ_3!I707:I709))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JUEZ_1!D731</f>
        <v/>
      </c>
      <c r="T7" s="4">
        <f>(SUM(JUEZ_1!I731:I733)+SUM(JUEZ_2!I731:I733)+SUM(JUEZ_3!I731:I733))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JUEZ_1!D743</f>
        <v/>
      </c>
      <c r="AC7" s="4">
        <f>(SUM(JUEZ_1!I743:I745)+SUM(JUEZ_2!I743:I745)+SUM(JUEZ_3!I743:I745))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JUEZ_1!F659</f>
        <v/>
      </c>
      <c r="B8" s="4">
        <f>(SUM(JUEZ_1!J659:J661)+SUM(JUEZ_2!J659:J661)+SUM(JUEZ_3!J659:J661))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JUEZ_1!F707</f>
        <v/>
      </c>
      <c r="K8" s="4">
        <f>(SUM(JUEZ_1!J707:J709)+SUM(JUEZ_2!J707:J709)+SUM(JUEZ_3!J707:J709))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JUEZ_1!F731</f>
        <v/>
      </c>
      <c r="T8" s="4">
        <f>(SUM(JUEZ_1!J731:J733)+SUM(JUEZ_2!J731:J733)+SUM(JUEZ_3!J731:J733))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JUEZ_1!F743</f>
        <v/>
      </c>
      <c r="AC8" s="4">
        <f>(SUM(JUEZ_1!J743:J745)+SUM(JUEZ_2!J743:J745)+SUM(JUEZ_3!J743:J745))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JUEZ_1!D662</f>
        <v/>
      </c>
      <c r="B9" s="4">
        <f>(SUM(JUEZ_1!I662:I664)+SUM(JUEZ_2!I662:I664)+SUM(JUEZ_3!I662:I664))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JUEZ_1!D710</f>
        <v/>
      </c>
      <c r="K9" s="4">
        <f>(SUM(JUEZ_1!I710:I712)+SUM(JUEZ_2!I710:I712)+SUM(JUEZ_3!I710:I712))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JUEZ_1!D734</f>
        <v/>
      </c>
      <c r="T9" s="4">
        <f>(SUM(JUEZ_1!I734:I736)+SUM(JUEZ_2!I734:I736)+SUM(JUEZ_3!I734:I736))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JUEZ_1!F662</f>
        <v/>
      </c>
      <c r="B10" s="4">
        <f>(SUM(JUEZ_1!J662:J664)+SUM(JUEZ_2!J662:J664)+SUM(JUEZ_3!J662:J664))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JUEZ_1!F710</f>
        <v/>
      </c>
      <c r="K10" s="4">
        <f>(SUM(JUEZ_1!J710:J712)+SUM(JUEZ_2!J710:J712)+SUM(JUEZ_3!J710:J712))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JUEZ_1!F734</f>
        <v/>
      </c>
      <c r="T10" s="4">
        <f>(SUM(JUEZ_1!J734:J736)+SUM(JUEZ_2!J734:J736)+SUM(JUEZ_3!J734:J736))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JUEZ_1!D665</f>
        <v/>
      </c>
      <c r="B11" s="4">
        <f>(SUM(JUEZ_1!I665:I667)+SUM(JUEZ_2!I665:I667)+SUM(JUEZ_3!I665:I667))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JUEZ_1!D713</f>
        <v/>
      </c>
      <c r="K11" s="4">
        <f>(SUM(JUEZ_1!I713:I715)+SUM(JUEZ_2!I713:I715)+SUM(JUEZ_3!I713:I715))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JUEZ_1!D737</f>
        <v/>
      </c>
      <c r="T11" s="4">
        <f>(SUM(JUEZ_1!I737:I739)+SUM(JUEZ_2!I737:I739)+SUM(JUEZ_3!I737:I739))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JUEZ_1!F665</f>
        <v/>
      </c>
      <c r="B12" s="4">
        <f>(SUM(JUEZ_1!J665:J667)+SUM(JUEZ_2!J665:J667)+SUM(JUEZ_3!J665:J667))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JUEZ_1!F713</f>
        <v/>
      </c>
      <c r="K12" s="4">
        <f>(SUM(JUEZ_1!J713:J715)+SUM(JUEZ_2!J713:J715)+SUM(JUEZ_3!J713:J715))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JUEZ_1!F737</f>
        <v/>
      </c>
      <c r="T12" s="4">
        <f>(SUM(JUEZ_1!J737:J739)+SUM(JUEZ_2!J737:J739)+SUM(JUEZ_3!J737:J739))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JUEZ_1!A740</f>
        <v/>
      </c>
      <c r="AD12" s="4">
        <f>JUEZ_1!D740</f>
        <v/>
      </c>
      <c r="AE12" s="4">
        <f>JUEZ_1!F740</f>
        <v/>
      </c>
      <c r="AF12" s="4">
        <f>(N(JUEZ_1!I740)+N(JUEZ_1!J740))+(N(JUEZ_2!I740)+N(JUEZ_2!J740))+(N(JUEZ_3!I740)+N(JUEZ_3!J740))</f>
        <v/>
      </c>
      <c r="AG12" s="4">
        <f>IF(AND($AF12=MAX($AF12,$AF13),$AF12&gt;0),"🥇 MEJOR Benguela","")</f>
        <v/>
      </c>
    </row>
    <row r="13" ht="14.25" customHeight="1" s="72">
      <c r="A13" s="4">
        <f>JUEZ_1!D668</f>
        <v/>
      </c>
      <c r="B13" s="4">
        <f>(SUM(JUEZ_1!I668:I670)+SUM(JUEZ_2!I668:I670)+SUM(JUEZ_3!I668:I670))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JUEZ_1!D716</f>
        <v/>
      </c>
      <c r="K13" s="4">
        <f>(SUM(JUEZ_1!I716:I718)+SUM(JUEZ_2!I716:I718)+SUM(JUEZ_3!I716:I718))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JUEZ_1!A743</f>
        <v/>
      </c>
      <c r="AD13" s="4">
        <f>JUEZ_1!D743</f>
        <v/>
      </c>
      <c r="AE13" s="4">
        <f>JUEZ_1!F743</f>
        <v/>
      </c>
      <c r="AF13" s="4">
        <f>(N(JUEZ_1!I743)+N(JUEZ_1!J743))+(N(JUEZ_2!I743)+N(JUEZ_2!J743))+(N(JUEZ_3!I743)+N(JUEZ_3!J743))</f>
        <v/>
      </c>
      <c r="AG13" s="4">
        <f>IF(AND($AF13=MAX($AF12,$AF13),$AF13&gt;0),"🥇 MEJOR Benguela","")</f>
        <v/>
      </c>
    </row>
    <row r="14" ht="14.25" customHeight="1" s="72">
      <c r="A14" s="4">
        <f>JUEZ_1!F668</f>
        <v/>
      </c>
      <c r="B14" s="4">
        <f>(SUM(JUEZ_1!J668:J670)+SUM(JUEZ_2!J668:J670)+SUM(JUEZ_3!J668:J670))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JUEZ_1!F716</f>
        <v/>
      </c>
      <c r="K14" s="4">
        <f>(SUM(JUEZ_1!J716:J718)+SUM(JUEZ_2!J716:J718)+SUM(JUEZ_3!J716:J718))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JUEZ_1!A741</f>
        <v/>
      </c>
      <c r="AD14" s="4">
        <f>JUEZ_1!D741</f>
        <v/>
      </c>
      <c r="AE14" s="4">
        <f>JUEZ_1!F741</f>
        <v/>
      </c>
      <c r="AF14" s="4">
        <f>(N(JUEZ_1!I741)+N(JUEZ_1!J741))+(N(JUEZ_2!I741)+N(JUEZ_2!J741))+(N(JUEZ_3!I741)+N(JUEZ_3!J741))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JUEZ_1!D671</f>
        <v/>
      </c>
      <c r="B15" s="4">
        <f>(SUM(JUEZ_1!I671:I673)+SUM(JUEZ_2!I671:I673)+SUM(JUEZ_3!I671:I673))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JUEZ_1!D719</f>
        <v/>
      </c>
      <c r="K15" s="4">
        <f>(SUM(JUEZ_1!I719:I721)+SUM(JUEZ_2!I719:I721)+SUM(JUEZ_3!I719:I721))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JUEZ_1!A744</f>
        <v/>
      </c>
      <c r="AD15" s="4">
        <f>JUEZ_1!D744</f>
        <v/>
      </c>
      <c r="AE15" s="4">
        <f>JUEZ_1!F744</f>
        <v/>
      </c>
      <c r="AF15" s="4">
        <f>(N(JUEZ_1!I744)+N(JUEZ_1!J744))+(N(JUEZ_2!I744)+N(JUEZ_2!J744))+(N(JUEZ_3!I744)+N(JUEZ_3!J744))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JUEZ_1!F671</f>
        <v/>
      </c>
      <c r="B16" s="4">
        <f>(SUM(JUEZ_1!J671:J673)+SUM(JUEZ_2!J671:J673)+SUM(JUEZ_3!J671:J673))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JUEZ_1!F719</f>
        <v/>
      </c>
      <c r="K16" s="4">
        <f>(SUM(JUEZ_1!J719:J721)+SUM(JUEZ_2!J719:J721)+SUM(JUEZ_3!J719:J721))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JUEZ_1!A742</f>
        <v/>
      </c>
      <c r="AD16" s="4">
        <f>JUEZ_1!D742</f>
        <v/>
      </c>
      <c r="AE16" s="4">
        <f>JUEZ_1!F742</f>
        <v/>
      </c>
      <c r="AF16" s="4">
        <f>(N(JUEZ_1!I742)+N(JUEZ_1!J742))+(N(JUEZ_2!I742)+N(JUEZ_2!J742))+(N(JUEZ_3!I742)+N(JUEZ_3!J742))</f>
        <v/>
      </c>
      <c r="AG16" s="4">
        <f>IF(AND($AF16=MAX($AF16,$AF17),$AF16&gt;0),"🥇 MEJOR Siriuna","")</f>
        <v/>
      </c>
    </row>
    <row r="17" ht="14.25" customHeight="1" s="72">
      <c r="A17" s="4">
        <f>JUEZ_1!D674</f>
        <v/>
      </c>
      <c r="B17" s="4">
        <f>(SUM(JUEZ_1!I674:I676)+SUM(JUEZ_2!I674:I676)+SUM(JUEZ_3!I674:I676))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JUEZ_1!D722</f>
        <v/>
      </c>
      <c r="K17" s="4">
        <f>(SUM(JUEZ_1!I722:I724)+SUM(JUEZ_2!I722:I724)+SUM(JUEZ_3!I722:I724))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JUEZ_1!A745</f>
        <v/>
      </c>
      <c r="AD17" s="4">
        <f>JUEZ_1!D745</f>
        <v/>
      </c>
      <c r="AE17" s="4">
        <f>JUEZ_1!F745</f>
        <v/>
      </c>
      <c r="AF17" s="4">
        <f>(N(JUEZ_1!I745)+N(JUEZ_1!J745))+(N(JUEZ_2!I745)+N(JUEZ_2!J745))+(N(JUEZ_3!I745)+N(JUEZ_3!J745))</f>
        <v/>
      </c>
      <c r="AG17" s="4">
        <f>IF(AND($AF17=MAX($AF16,$AF17),$AF17&gt;0),"🥇 MEJOR Siriuna","")</f>
        <v/>
      </c>
    </row>
    <row r="18" ht="14.25" customHeight="1" s="72">
      <c r="A18" s="4">
        <f>JUEZ_1!F674</f>
        <v/>
      </c>
      <c r="B18" s="4">
        <f>(SUM(JUEZ_1!J674:J676)+SUM(JUEZ_2!J674:J676)+SUM(JUEZ_3!J674:J676))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JUEZ_1!F722</f>
        <v/>
      </c>
      <c r="K18" s="4">
        <f>(SUM(JUEZ_1!J722:J724)+SUM(JUEZ_2!J722:J724)+SUM(JUEZ_3!J722:J724))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JUEZ_1!D677</f>
        <v/>
      </c>
      <c r="B19" s="4">
        <f>(SUM(JUEZ_1!I677:I679)+SUM(JUEZ_2!I677:I679)+SUM(JUEZ_3!I677:I679))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JUEZ_1!D725</f>
        <v/>
      </c>
      <c r="K19" s="4">
        <f>(SUM(JUEZ_1!I725:I727)+SUM(JUEZ_2!I725:I727)+SUM(JUEZ_3!I725:I727))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JUEZ_1!F677</f>
        <v/>
      </c>
      <c r="B20" s="4">
        <f>(SUM(JUEZ_1!J677:J679)+SUM(JUEZ_2!J677:J679)+SUM(JUEZ_3!J677:J679))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JUEZ_1!F725</f>
        <v/>
      </c>
      <c r="K20" s="4">
        <f>(SUM(JUEZ_1!J725:J727)+SUM(JUEZ_2!J725:J727)+SUM(JUEZ_3!J725:J727))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JUEZ_1!D680</f>
        <v/>
      </c>
      <c r="B21" s="4">
        <f>(SUM(JUEZ_1!I680:I682)+SUM(JUEZ_2!I680:I682)+SUM(JUEZ_3!I680:I682))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JUEZ_1!F680</f>
        <v/>
      </c>
      <c r="B22" s="4">
        <f>(SUM(JUEZ_1!J680:J682)+SUM(JUEZ_2!J680:J682)+SUM(JUEZ_3!J680:J682))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JUEZ_1!D683</f>
        <v/>
      </c>
      <c r="B23" s="4">
        <f>(SUM(JUEZ_1!I683:I685)+SUM(JUEZ_2!I683:I685)+SUM(JUEZ_3!I683:I685))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JUEZ_1!F683</f>
        <v/>
      </c>
      <c r="B24" s="4">
        <f>(SUM(JUEZ_1!J683:J685)+SUM(JUEZ_2!J683:J685)+SUM(JUEZ_3!J683:J685))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JUEZ_1!D686</f>
        <v/>
      </c>
      <c r="B25" s="4">
        <f>(SUM(JUEZ_1!I686:I688)+SUM(JUEZ_2!I686:I688)+SUM(JUEZ_3!I686:I688))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JUEZ_1!F686</f>
        <v/>
      </c>
      <c r="B26" s="4">
        <f>(SUM(JUEZ_1!J686:J688)+SUM(JUEZ_2!J686:J688)+SUM(JUEZ_3!J686:J688))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JUEZ_1!D689</f>
        <v/>
      </c>
      <c r="B27" s="4">
        <f>(SUM(JUEZ_1!I689:I691)+SUM(JUEZ_2!I689:I691)+SUM(JUEZ_3!I689:I691))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JUEZ_1!F689</f>
        <v/>
      </c>
      <c r="B28" s="4">
        <f>(SUM(JUEZ_1!J689:J691)+SUM(JUEZ_2!J689:J691)+SUM(JUEZ_3!J689:J691))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JUEZ_1!D692</f>
        <v/>
      </c>
      <c r="B29" s="4">
        <f>(SUM(JUEZ_1!I692:I694)+SUM(JUEZ_2!I692:I694)+SUM(JUEZ_3!I692:I694))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JUEZ_1!F692</f>
        <v/>
      </c>
      <c r="B30" s="4">
        <f>(SUM(JUEZ_1!J692:J694)+SUM(JUEZ_2!J692:J694)+SUM(JUEZ_3!J692:J694))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JUEZ_1!D695</f>
        <v/>
      </c>
      <c r="B31" s="4">
        <f>(SUM(JUEZ_1!I695:I697)+SUM(JUEZ_2!I695:I697)+SUM(JUEZ_3!I695:I697))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JUEZ_1!F695</f>
        <v/>
      </c>
      <c r="B32" s="4">
        <f>(SUM(JUEZ_1!J695:J697)+SUM(JUEZ_2!J695:J697)+SUM(JUEZ_3!J695:J697))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JUEZ_1!D698</f>
        <v/>
      </c>
      <c r="B33" s="4">
        <f>(SUM(JUEZ_1!I698:I700)+SUM(JUEZ_2!I698:I700)+SUM(JUEZ_3!I698:I700))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JUEZ_1!F698</f>
        <v/>
      </c>
      <c r="B34" s="4">
        <f>(SUM(JUEZ_1!J698:J700)+SUM(JUEZ_2!J698:J700)+SUM(JUEZ_3!J698:J700))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JUEZ_1!D701</f>
        <v/>
      </c>
      <c r="B35" s="4">
        <f>(SUM(JUEZ_1!I701:I703)+SUM(JUEZ_2!I701:I703)+SUM(JUEZ_3!I701:I703))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JUEZ_1!F701</f>
        <v/>
      </c>
      <c r="B36" s="4">
        <f>(SUM(JUEZ_1!J701:J703)+SUM(JUEZ_2!J701:J703)+SUM(JUEZ_3!J701:J703))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5" t="inlineStr">
        <is>
          <t>CLASIFICACIÓN · Cat E Masculino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JUEZ_1!D749</f>
        <v/>
      </c>
      <c r="B5" s="4">
        <f>(SUM(JUEZ_1!I749:I750)+SUM(JUEZ_2!I749:I750)+SUM(JUEZ_3!I749:I750))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JUEZ_1!D781</f>
        <v/>
      </c>
      <c r="K5" s="4">
        <f>(SUM(JUEZ_1!I781:I782)+SUM(JUEZ_2!I781:I782)+SUM(JUEZ_3!I781:I782))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JUEZ_1!D797</f>
        <v/>
      </c>
      <c r="T5" s="4">
        <f>(SUM(JUEZ_1!I797:I798)+SUM(JUEZ_2!I797:I798)+SUM(JUEZ_3!I797:I798))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JUEZ_1!D805</f>
        <v/>
      </c>
      <c r="AC5" s="4">
        <f>(SUM(JUEZ_1!I805:I806)+SUM(JUEZ_2!I805:I806)+SUM(JUEZ_3!I805:I806))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JUEZ_1!F749</f>
        <v/>
      </c>
      <c r="B6" s="4">
        <f>(SUM(JUEZ_1!J749:J750)+SUM(JUEZ_2!J749:J750)+SUM(JUEZ_3!J749:J750))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JUEZ_1!F781</f>
        <v/>
      </c>
      <c r="K6" s="4">
        <f>(SUM(JUEZ_1!J781:J782)+SUM(JUEZ_2!J781:J782)+SUM(JUEZ_3!J781:J782))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JUEZ_1!F797</f>
        <v/>
      </c>
      <c r="T6" s="4">
        <f>(SUM(JUEZ_1!J797:J798)+SUM(JUEZ_2!J797:J798)+SUM(JUEZ_3!J797:J798))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JUEZ_1!F805</f>
        <v/>
      </c>
      <c r="AC6" s="4">
        <f>(SUM(JUEZ_1!J805:J806)+SUM(JUEZ_2!J805:J806)+SUM(JUEZ_3!J805:J806))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JUEZ_1!D751</f>
        <v/>
      </c>
      <c r="B7" s="4">
        <f>(SUM(JUEZ_1!I751:I752)+SUM(JUEZ_2!I751:I752)+SUM(JUEZ_3!I751:I752))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JUEZ_1!D783</f>
        <v/>
      </c>
      <c r="K7" s="4">
        <f>(SUM(JUEZ_1!I783:I784)+SUM(JUEZ_2!I783:I784)+SUM(JUEZ_3!I783:I784))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JUEZ_1!D799</f>
        <v/>
      </c>
      <c r="T7" s="4">
        <f>(SUM(JUEZ_1!I799:I800)+SUM(JUEZ_2!I799:I800)+SUM(JUEZ_3!I799:I800))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JUEZ_1!D807</f>
        <v/>
      </c>
      <c r="AC7" s="4">
        <f>(SUM(JUEZ_1!I807:I808)+SUM(JUEZ_2!I807:I808)+SUM(JUEZ_3!I807:I808))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JUEZ_1!F751</f>
        <v/>
      </c>
      <c r="B8" s="4">
        <f>(SUM(JUEZ_1!J751:J752)+SUM(JUEZ_2!J751:J752)+SUM(JUEZ_3!J751:J752))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JUEZ_1!F783</f>
        <v/>
      </c>
      <c r="K8" s="4">
        <f>(SUM(JUEZ_1!J783:J784)+SUM(JUEZ_2!J783:J784)+SUM(JUEZ_3!J783:J784))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JUEZ_1!F799</f>
        <v/>
      </c>
      <c r="T8" s="4">
        <f>(SUM(JUEZ_1!J799:J800)+SUM(JUEZ_2!J799:J800)+SUM(JUEZ_3!J799:J800))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JUEZ_1!F807</f>
        <v/>
      </c>
      <c r="AC8" s="4">
        <f>(SUM(JUEZ_1!J807:J808)+SUM(JUEZ_2!J807:J808)+SUM(JUEZ_3!J807:J808))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JUEZ_1!D753</f>
        <v/>
      </c>
      <c r="B9" s="4">
        <f>(SUM(JUEZ_1!I753:I754)+SUM(JUEZ_2!I753:I754)+SUM(JUEZ_3!I753:I754))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JUEZ_1!D785</f>
        <v/>
      </c>
      <c r="K9" s="4">
        <f>(SUM(JUEZ_1!I785:I786)+SUM(JUEZ_2!I785:I786)+SUM(JUEZ_3!I785:I786))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JUEZ_1!D801</f>
        <v/>
      </c>
      <c r="T9" s="4">
        <f>(SUM(JUEZ_1!I801:I802)+SUM(JUEZ_2!I801:I802)+SUM(JUEZ_3!I801:I802))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JUEZ_1!F753</f>
        <v/>
      </c>
      <c r="B10" s="4">
        <f>(SUM(JUEZ_1!J753:J754)+SUM(JUEZ_2!J753:J754)+SUM(JUEZ_3!J753:J754))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JUEZ_1!F785</f>
        <v/>
      </c>
      <c r="K10" s="4">
        <f>(SUM(JUEZ_1!J785:J786)+SUM(JUEZ_2!J785:J786)+SUM(JUEZ_3!J785:J786))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JUEZ_1!F801</f>
        <v/>
      </c>
      <c r="T10" s="4">
        <f>(SUM(JUEZ_1!J801:J802)+SUM(JUEZ_2!J801:J802)+SUM(JUEZ_3!J801:J802))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JUEZ_1!D755</f>
        <v/>
      </c>
      <c r="B11" s="4">
        <f>(SUM(JUEZ_1!I755:I756)+SUM(JUEZ_2!I755:I756)+SUM(JUEZ_3!I755:I756))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JUEZ_1!D787</f>
        <v/>
      </c>
      <c r="K11" s="4">
        <f>(SUM(JUEZ_1!I787:I788)+SUM(JUEZ_2!I787:I788)+SUM(JUEZ_3!I787:I788))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JUEZ_1!D803</f>
        <v/>
      </c>
      <c r="T11" s="4">
        <f>(SUM(JUEZ_1!I803:I804)+SUM(JUEZ_2!I803:I804)+SUM(JUEZ_3!I803:I804))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JUEZ_1!F755</f>
        <v/>
      </c>
      <c r="B12" s="4">
        <f>(SUM(JUEZ_1!J755:J756)+SUM(JUEZ_2!J755:J756)+SUM(JUEZ_3!J755:J756))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JUEZ_1!F787</f>
        <v/>
      </c>
      <c r="K12" s="4">
        <f>(SUM(JUEZ_1!J787:J788)+SUM(JUEZ_2!J787:J788)+SUM(JUEZ_3!J787:J788))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JUEZ_1!F803</f>
        <v/>
      </c>
      <c r="T12" s="4">
        <f>(SUM(JUEZ_1!J803:J804)+SUM(JUEZ_2!J803:J804)+SUM(JUEZ_3!J803:J804))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São Bento da Abadá</t>
        </is>
      </c>
      <c r="AC12" s="4">
        <f>JUEZ_1!A805</f>
        <v/>
      </c>
      <c r="AD12" s="4">
        <f>JUEZ_1!D805</f>
        <v/>
      </c>
      <c r="AE12" s="4">
        <f>JUEZ_1!F805</f>
        <v/>
      </c>
      <c r="AF12" s="4">
        <f>(N(JUEZ_1!I805)+N(JUEZ_1!J805))+(N(JUEZ_2!I805)+N(JUEZ_2!J805))+(N(JUEZ_3!I805)+N(JUEZ_3!J805))</f>
        <v/>
      </c>
      <c r="AG12" s="4">
        <f>IF(AND($AF12=MAX($AF12,$AF13),$AF12&gt;0),"🥇 MEJOR São Bento da Abadá","")</f>
        <v/>
      </c>
    </row>
    <row r="13" ht="14.25" customHeight="1" s="72">
      <c r="A13" s="4">
        <f>JUEZ_1!D757</f>
        <v/>
      </c>
      <c r="B13" s="4">
        <f>(SUM(JUEZ_1!I757:I758)+SUM(JUEZ_2!I757:I758)+SUM(JUEZ_3!I757:I758))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JUEZ_1!D789</f>
        <v/>
      </c>
      <c r="K13" s="4">
        <f>(SUM(JUEZ_1!I789:I790)+SUM(JUEZ_2!I789:I790)+SUM(JUEZ_3!I789:I790))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São Bento da Abadá</t>
        </is>
      </c>
      <c r="AC13" s="4">
        <f>JUEZ_1!A807</f>
        <v/>
      </c>
      <c r="AD13" s="4">
        <f>JUEZ_1!D807</f>
        <v/>
      </c>
      <c r="AE13" s="4">
        <f>JUEZ_1!F807</f>
        <v/>
      </c>
      <c r="AF13" s="4">
        <f>(N(JUEZ_1!I807)+N(JUEZ_1!J807))+(N(JUEZ_2!I807)+N(JUEZ_2!J807))+(N(JUEZ_3!I807)+N(JUEZ_3!J807))</f>
        <v/>
      </c>
      <c r="AG13" s="4">
        <f>IF(AND($AF13=MAX($AF12,$AF13),$AF13&gt;0),"🥇 MEJOR São Bento da Abadá","")</f>
        <v/>
      </c>
    </row>
    <row r="14" ht="14.25" customHeight="1" s="72">
      <c r="A14" s="4">
        <f>JUEZ_1!F757</f>
        <v/>
      </c>
      <c r="B14" s="4">
        <f>(SUM(JUEZ_1!J757:J758)+SUM(JUEZ_2!J757:J758)+SUM(JUEZ_3!J757:J758))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JUEZ_1!F789</f>
        <v/>
      </c>
      <c r="K14" s="4">
        <f>(SUM(JUEZ_1!J789:J790)+SUM(JUEZ_2!J789:J790)+SUM(JUEZ_3!J789:J790))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Benguela</t>
        </is>
      </c>
      <c r="AC14" s="4">
        <f>JUEZ_1!A806</f>
        <v/>
      </c>
      <c r="AD14" s="4">
        <f>JUEZ_1!D806</f>
        <v/>
      </c>
      <c r="AE14" s="4">
        <f>JUEZ_1!F806</f>
        <v/>
      </c>
      <c r="AF14" s="4">
        <f>(N(JUEZ_1!I806)+N(JUEZ_1!J806))+(N(JUEZ_2!I806)+N(JUEZ_2!J806))+(N(JUEZ_3!I806)+N(JUEZ_3!J806))</f>
        <v/>
      </c>
      <c r="AG14" s="4">
        <f>IF(AND($AF14=MAX($AF14,$AF15),$AF14&gt;0),"🥇 MEJOR Benguela","")</f>
        <v/>
      </c>
    </row>
    <row r="15" ht="14.25" customHeight="1" s="72">
      <c r="A15" s="4">
        <f>JUEZ_1!D759</f>
        <v/>
      </c>
      <c r="B15" s="4">
        <f>(SUM(JUEZ_1!I759:I760)+SUM(JUEZ_2!I759:I760)+SUM(JUEZ_3!I759:I760))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JUEZ_1!D791</f>
        <v/>
      </c>
      <c r="K15" s="4">
        <f>(SUM(JUEZ_1!I791:I792)+SUM(JUEZ_2!I791:I792)+SUM(JUEZ_3!I791:I792))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Benguela</t>
        </is>
      </c>
      <c r="AC15" s="4">
        <f>JUEZ_1!A808</f>
        <v/>
      </c>
      <c r="AD15" s="4">
        <f>JUEZ_1!D808</f>
        <v/>
      </c>
      <c r="AE15" s="4">
        <f>JUEZ_1!F808</f>
        <v/>
      </c>
      <c r="AF15" s="4">
        <f>(N(JUEZ_1!I808)+N(JUEZ_1!J808))+(N(JUEZ_2!I808)+N(JUEZ_2!J808))+(N(JUEZ_3!I808)+N(JUEZ_3!J808))</f>
        <v/>
      </c>
      <c r="AG15" s="4">
        <f>IF(AND($AF15=MAX($AF14,$AF15),$AF15&gt;0),"🥇 MEJOR Benguela","")</f>
        <v/>
      </c>
    </row>
    <row r="16" ht="14.25" customHeight="1" s="72">
      <c r="A16" s="4">
        <f>JUEZ_1!F759</f>
        <v/>
      </c>
      <c r="B16" s="4">
        <f>(SUM(JUEZ_1!J759:J760)+SUM(JUEZ_2!J759:J760)+SUM(JUEZ_3!J759:J760))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JUEZ_1!F791</f>
        <v/>
      </c>
      <c r="K16" s="4">
        <f>(SUM(JUEZ_1!J791:J792)+SUM(JUEZ_2!J791:J792)+SUM(JUEZ_3!J791:J792))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</row>
    <row r="17" ht="14.25" customHeight="1" s="72">
      <c r="A17" s="4">
        <f>JUEZ_1!D761</f>
        <v/>
      </c>
      <c r="B17" s="4">
        <f>(SUM(JUEZ_1!I761:I762)+SUM(JUEZ_2!I761:I762)+SUM(JUEZ_3!I761:I762))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JUEZ_1!D793</f>
        <v/>
      </c>
      <c r="K17" s="4">
        <f>(SUM(JUEZ_1!I793:I794)+SUM(JUEZ_2!I793:I794)+SUM(JUEZ_3!I793:I794))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</row>
    <row r="18" ht="14.25" customHeight="1" s="72">
      <c r="A18" s="4">
        <f>JUEZ_1!F761</f>
        <v/>
      </c>
      <c r="B18" s="4">
        <f>(SUM(JUEZ_1!J761:J762)+SUM(JUEZ_2!J761:J762)+SUM(JUEZ_3!J761:J762))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JUEZ_1!F793</f>
        <v/>
      </c>
      <c r="K18" s="4">
        <f>(SUM(JUEZ_1!J793:J794)+SUM(JUEZ_2!J793:J794)+SUM(JUEZ_3!J793:J794))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JUEZ_1!D763</f>
        <v/>
      </c>
      <c r="B19" s="4">
        <f>(SUM(JUEZ_1!I763:I764)+SUM(JUEZ_2!I763:I764)+SUM(JUEZ_3!I763:I764))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JUEZ_1!D795</f>
        <v/>
      </c>
      <c r="K19" s="4">
        <f>(SUM(JUEZ_1!I795:I796)+SUM(JUEZ_2!I795:I796)+SUM(JUEZ_3!I795:I796))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JUEZ_1!F763</f>
        <v/>
      </c>
      <c r="B20" s="4">
        <f>(SUM(JUEZ_1!J763:J764)+SUM(JUEZ_2!J763:J764)+SUM(JUEZ_3!J763:J764))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JUEZ_1!F795</f>
        <v/>
      </c>
      <c r="K20" s="4">
        <f>(SUM(JUEZ_1!J795:J796)+SUM(JUEZ_2!J795:J796)+SUM(JUEZ_3!J795:J796))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JUEZ_1!D765</f>
        <v/>
      </c>
      <c r="B21" s="4">
        <f>(SUM(JUEZ_1!I765:I766)+SUM(JUEZ_2!I765:I766)+SUM(JUEZ_3!I765:I766))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JUEZ_1!F765</f>
        <v/>
      </c>
      <c r="B22" s="4">
        <f>(SUM(JUEZ_1!J765:J766)+SUM(JUEZ_2!J765:J766)+SUM(JUEZ_3!J765:J766))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JUEZ_1!D767</f>
        <v/>
      </c>
      <c r="B23" s="4">
        <f>(SUM(JUEZ_1!I767:I768)+SUM(JUEZ_2!I767:I768)+SUM(JUEZ_3!I767:I768))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JUEZ_1!F767</f>
        <v/>
      </c>
      <c r="B24" s="4">
        <f>(SUM(JUEZ_1!J767:J768)+SUM(JUEZ_2!J767:J768)+SUM(JUEZ_3!J767:J768))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JUEZ_1!D769</f>
        <v/>
      </c>
      <c r="B25" s="4">
        <f>(SUM(JUEZ_1!I769:I770)+SUM(JUEZ_2!I769:I770)+SUM(JUEZ_3!I769:I770))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JUEZ_1!F769</f>
        <v/>
      </c>
      <c r="B26" s="4">
        <f>(SUM(JUEZ_1!J769:J770)+SUM(JUEZ_2!J769:J770)+SUM(JUEZ_3!J769:J770))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JUEZ_1!D771</f>
        <v/>
      </c>
      <c r="B27" s="4">
        <f>(SUM(JUEZ_1!I771:I772)+SUM(JUEZ_2!I771:I772)+SUM(JUEZ_3!I771:I772))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JUEZ_1!F771</f>
        <v/>
      </c>
      <c r="B28" s="4">
        <f>(SUM(JUEZ_1!J771:J772)+SUM(JUEZ_2!J771:J772)+SUM(JUEZ_3!J771:J772))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JUEZ_1!D773</f>
        <v/>
      </c>
      <c r="B29" s="4">
        <f>(SUM(JUEZ_1!I773:I774)+SUM(JUEZ_2!I773:I774)+SUM(JUEZ_3!I773:I774))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JUEZ_1!F773</f>
        <v/>
      </c>
      <c r="B30" s="4">
        <f>(SUM(JUEZ_1!J773:J774)+SUM(JUEZ_2!J773:J774)+SUM(JUEZ_3!J773:J774))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JUEZ_1!D775</f>
        <v/>
      </c>
      <c r="B31" s="4">
        <f>(SUM(JUEZ_1!I775:I776)+SUM(JUEZ_2!I775:I776)+SUM(JUEZ_3!I775:I776))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JUEZ_1!F775</f>
        <v/>
      </c>
      <c r="B32" s="4">
        <f>(SUM(JUEZ_1!J775:J776)+SUM(JUEZ_2!J775:J776)+SUM(JUEZ_3!J775:J776))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JUEZ_1!D777</f>
        <v/>
      </c>
      <c r="B33" s="4">
        <f>(SUM(JUEZ_1!I777:I778)+SUM(JUEZ_2!I777:I778)+SUM(JUEZ_3!I777:I778))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JUEZ_1!F777</f>
        <v/>
      </c>
      <c r="B34" s="4">
        <f>(SUM(JUEZ_1!J777:J778)+SUM(JUEZ_2!J777:J778)+SUM(JUEZ_3!J777:J778))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JUEZ_1!D779</f>
        <v/>
      </c>
      <c r="B35" s="4">
        <f>(SUM(JUEZ_1!I779:I780)+SUM(JUEZ_2!I779:I780)+SUM(JUEZ_3!I779:I780))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JUEZ_1!F779</f>
        <v/>
      </c>
      <c r="B36" s="4">
        <f>(SUM(JUEZ_1!J779:J780)+SUM(JUEZ_2!J779:J780)+SUM(JUEZ_3!J779:J780))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5" t="inlineStr">
        <is>
          <t>CLASIFICACIÓN · Cat E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JUEZ_1!D812</f>
        <v/>
      </c>
      <c r="B5" s="4">
        <f>(SUM(JUEZ_1!I812:I813)+SUM(JUEZ_2!I812:I813)+SUM(JUEZ_3!I812:I813))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JUEZ_1!D844</f>
        <v/>
      </c>
      <c r="K5" s="4">
        <f>(SUM(JUEZ_1!I844:I845)+SUM(JUEZ_2!I844:I845)+SUM(JUEZ_3!I844:I845))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JUEZ_1!D860</f>
        <v/>
      </c>
      <c r="T5" s="4">
        <f>(SUM(JUEZ_1!I860:I861)+SUM(JUEZ_2!I860:I861)+SUM(JUEZ_3!I860:I861))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JUEZ_1!D868</f>
        <v/>
      </c>
      <c r="AC5" s="4">
        <f>(SUM(JUEZ_1!I868:I869)+SUM(JUEZ_2!I868:I869)+SUM(JUEZ_3!I868:I869))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JUEZ_1!F812</f>
        <v/>
      </c>
      <c r="B6" s="4">
        <f>(SUM(JUEZ_1!J812:J813)+SUM(JUEZ_2!J812:J813)+SUM(JUEZ_3!J812:J813))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JUEZ_1!F844</f>
        <v/>
      </c>
      <c r="K6" s="4">
        <f>(SUM(JUEZ_1!J844:J845)+SUM(JUEZ_2!J844:J845)+SUM(JUEZ_3!J844:J845))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JUEZ_1!F860</f>
        <v/>
      </c>
      <c r="T6" s="4">
        <f>(SUM(JUEZ_1!J860:J861)+SUM(JUEZ_2!J860:J861)+SUM(JUEZ_3!J860:J861))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JUEZ_1!F868</f>
        <v/>
      </c>
      <c r="AC6" s="4">
        <f>(SUM(JUEZ_1!J868:J869)+SUM(JUEZ_2!J868:J869)+SUM(JUEZ_3!J868:J869))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JUEZ_1!D814</f>
        <v/>
      </c>
      <c r="B7" s="4">
        <f>(SUM(JUEZ_1!I814:I815)+SUM(JUEZ_2!I814:I815)+SUM(JUEZ_3!I814:I815))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JUEZ_1!D846</f>
        <v/>
      </c>
      <c r="K7" s="4">
        <f>(SUM(JUEZ_1!I846:I847)+SUM(JUEZ_2!I846:I847)+SUM(JUEZ_3!I846:I847))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JUEZ_1!D862</f>
        <v/>
      </c>
      <c r="T7" s="4">
        <f>(SUM(JUEZ_1!I862:I863)+SUM(JUEZ_2!I862:I863)+SUM(JUEZ_3!I862:I863))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JUEZ_1!D870</f>
        <v/>
      </c>
      <c r="AC7" s="4">
        <f>(SUM(JUEZ_1!I870:I871)+SUM(JUEZ_2!I870:I871)+SUM(JUEZ_3!I870:I871))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JUEZ_1!F814</f>
        <v/>
      </c>
      <c r="B8" s="4">
        <f>(SUM(JUEZ_1!J814:J815)+SUM(JUEZ_2!J814:J815)+SUM(JUEZ_3!J814:J815))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JUEZ_1!F846</f>
        <v/>
      </c>
      <c r="K8" s="4">
        <f>(SUM(JUEZ_1!J846:J847)+SUM(JUEZ_2!J846:J847)+SUM(JUEZ_3!J846:J847))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JUEZ_1!F862</f>
        <v/>
      </c>
      <c r="T8" s="4">
        <f>(SUM(JUEZ_1!J862:J863)+SUM(JUEZ_2!J862:J863)+SUM(JUEZ_3!J862:J863))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JUEZ_1!F870</f>
        <v/>
      </c>
      <c r="AC8" s="4">
        <f>(SUM(JUEZ_1!J870:J871)+SUM(JUEZ_2!J870:J871)+SUM(JUEZ_3!J870:J871))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JUEZ_1!D816</f>
        <v/>
      </c>
      <c r="B9" s="4">
        <f>(SUM(JUEZ_1!I816:I817)+SUM(JUEZ_2!I816:I817)+SUM(JUEZ_3!I816:I817))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JUEZ_1!D848</f>
        <v/>
      </c>
      <c r="K9" s="4">
        <f>(SUM(JUEZ_1!I848:I849)+SUM(JUEZ_2!I848:I849)+SUM(JUEZ_3!I848:I849))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JUEZ_1!D864</f>
        <v/>
      </c>
      <c r="T9" s="4">
        <f>(SUM(JUEZ_1!I864:I865)+SUM(JUEZ_2!I864:I865)+SUM(JUEZ_3!I864:I865))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JUEZ_1!F816</f>
        <v/>
      </c>
      <c r="B10" s="4">
        <f>(SUM(JUEZ_1!J816:J817)+SUM(JUEZ_2!J816:J817)+SUM(JUEZ_3!J816:J817))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JUEZ_1!F848</f>
        <v/>
      </c>
      <c r="K10" s="4">
        <f>(SUM(JUEZ_1!J848:J849)+SUM(JUEZ_2!J848:J849)+SUM(JUEZ_3!J848:J849))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JUEZ_1!F864</f>
        <v/>
      </c>
      <c r="T10" s="4">
        <f>(SUM(JUEZ_1!J864:J865)+SUM(JUEZ_2!J864:J865)+SUM(JUEZ_3!J864:J865))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JUEZ_1!D818</f>
        <v/>
      </c>
      <c r="B11" s="4">
        <f>(SUM(JUEZ_1!I818:I819)+SUM(JUEZ_2!I818:I819)+SUM(JUEZ_3!I818:I819))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JUEZ_1!D850</f>
        <v/>
      </c>
      <c r="K11" s="4">
        <f>(SUM(JUEZ_1!I850:I851)+SUM(JUEZ_2!I850:I851)+SUM(JUEZ_3!I850:I851))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JUEZ_1!D866</f>
        <v/>
      </c>
      <c r="T11" s="4">
        <f>(SUM(JUEZ_1!I866:I867)+SUM(JUEZ_2!I866:I867)+SUM(JUEZ_3!I866:I867))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JUEZ_1!F818</f>
        <v/>
      </c>
      <c r="B12" s="4">
        <f>(SUM(JUEZ_1!J818:J819)+SUM(JUEZ_2!J818:J819)+SUM(JUEZ_3!J818:J819))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JUEZ_1!F850</f>
        <v/>
      </c>
      <c r="K12" s="4">
        <f>(SUM(JUEZ_1!J850:J851)+SUM(JUEZ_2!J850:J851)+SUM(JUEZ_3!J850:J851))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JUEZ_1!F866</f>
        <v/>
      </c>
      <c r="T12" s="4">
        <f>(SUM(JUEZ_1!J866:J867)+SUM(JUEZ_2!J866:J867)+SUM(JUEZ_3!J866:J867))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São Bento da Abadá</t>
        </is>
      </c>
      <c r="AC12" s="4">
        <f>JUEZ_1!A868</f>
        <v/>
      </c>
      <c r="AD12" s="4">
        <f>JUEZ_1!D868</f>
        <v/>
      </c>
      <c r="AE12" s="4">
        <f>JUEZ_1!F868</f>
        <v/>
      </c>
      <c r="AF12" s="4">
        <f>(N(JUEZ_1!I868)+N(JUEZ_1!J868))+(N(JUEZ_2!I868)+N(JUEZ_2!J868))+(N(JUEZ_3!I868)+N(JUEZ_3!J868))</f>
        <v/>
      </c>
      <c r="AG12" s="4">
        <f>IF(AND($AF12=MAX($AF12,$AF13),$AF12&gt;0),"🥇 MEJOR São Bento da Abadá","")</f>
        <v/>
      </c>
    </row>
    <row r="13" ht="14.25" customHeight="1" s="72">
      <c r="A13" s="4">
        <f>JUEZ_1!D820</f>
        <v/>
      </c>
      <c r="B13" s="4">
        <f>(SUM(JUEZ_1!I820:I821)+SUM(JUEZ_2!I820:I821)+SUM(JUEZ_3!I820:I821))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JUEZ_1!D852</f>
        <v/>
      </c>
      <c r="K13" s="4">
        <f>(SUM(JUEZ_1!I852:I853)+SUM(JUEZ_2!I852:I853)+SUM(JUEZ_3!I852:I853))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São Bento da Abadá</t>
        </is>
      </c>
      <c r="AC13" s="4">
        <f>JUEZ_1!A870</f>
        <v/>
      </c>
      <c r="AD13" s="4">
        <f>JUEZ_1!D870</f>
        <v/>
      </c>
      <c r="AE13" s="4">
        <f>JUEZ_1!F870</f>
        <v/>
      </c>
      <c r="AF13" s="4">
        <f>(N(JUEZ_1!I870)+N(JUEZ_1!J870))+(N(JUEZ_2!I870)+N(JUEZ_2!J870))+(N(JUEZ_3!I870)+N(JUEZ_3!J870))</f>
        <v/>
      </c>
      <c r="AG13" s="4">
        <f>IF(AND($AF13=MAX($AF12,$AF13),$AF13&gt;0),"🥇 MEJOR São Bento da Abadá","")</f>
        <v/>
      </c>
    </row>
    <row r="14" ht="14.25" customHeight="1" s="72">
      <c r="A14" s="4">
        <f>JUEZ_1!F820</f>
        <v/>
      </c>
      <c r="B14" s="4">
        <f>(SUM(JUEZ_1!J820:J821)+SUM(JUEZ_2!J820:J821)+SUM(JUEZ_3!J820:J821))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JUEZ_1!F852</f>
        <v/>
      </c>
      <c r="K14" s="4">
        <f>(SUM(JUEZ_1!J852:J853)+SUM(JUEZ_2!J852:J853)+SUM(JUEZ_3!J852:J853))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Benguela</t>
        </is>
      </c>
      <c r="AC14" s="4">
        <f>JUEZ_1!A869</f>
        <v/>
      </c>
      <c r="AD14" s="4">
        <f>JUEZ_1!D869</f>
        <v/>
      </c>
      <c r="AE14" s="4">
        <f>JUEZ_1!F869</f>
        <v/>
      </c>
      <c r="AF14" s="4">
        <f>(N(JUEZ_1!I869)+N(JUEZ_1!J869))+(N(JUEZ_2!I869)+N(JUEZ_2!J869))+(N(JUEZ_3!I869)+N(JUEZ_3!J869))</f>
        <v/>
      </c>
      <c r="AG14" s="4">
        <f>IF(AND($AF14=MAX($AF14,$AF15),$AF14&gt;0),"🥇 MEJOR Benguela","")</f>
        <v/>
      </c>
    </row>
    <row r="15" ht="14.25" customHeight="1" s="72">
      <c r="A15" s="4">
        <f>JUEZ_1!D822</f>
        <v/>
      </c>
      <c r="B15" s="4">
        <f>(SUM(JUEZ_1!I822:I823)+SUM(JUEZ_2!I822:I823)+SUM(JUEZ_3!I822:I823))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JUEZ_1!D854</f>
        <v/>
      </c>
      <c r="K15" s="4">
        <f>(SUM(JUEZ_1!I854:I855)+SUM(JUEZ_2!I854:I855)+SUM(JUEZ_3!I854:I855))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Benguela</t>
        </is>
      </c>
      <c r="AC15" s="4">
        <f>JUEZ_1!A871</f>
        <v/>
      </c>
      <c r="AD15" s="4">
        <f>JUEZ_1!D871</f>
        <v/>
      </c>
      <c r="AE15" s="4">
        <f>JUEZ_1!F871</f>
        <v/>
      </c>
      <c r="AF15" s="4">
        <f>(N(JUEZ_1!I871)+N(JUEZ_1!J871))+(N(JUEZ_2!I871)+N(JUEZ_2!J871))+(N(JUEZ_3!I871)+N(JUEZ_3!J871))</f>
        <v/>
      </c>
      <c r="AG15" s="4">
        <f>IF(AND($AF15=MAX($AF14,$AF15),$AF15&gt;0),"🥇 MEJOR Benguela","")</f>
        <v/>
      </c>
    </row>
    <row r="16" ht="14.25" customHeight="1" s="72">
      <c r="A16" s="4">
        <f>JUEZ_1!F822</f>
        <v/>
      </c>
      <c r="B16" s="4">
        <f>(SUM(JUEZ_1!J822:J823)+SUM(JUEZ_2!J822:J823)+SUM(JUEZ_3!J822:J823))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JUEZ_1!F854</f>
        <v/>
      </c>
      <c r="K16" s="4">
        <f>(SUM(JUEZ_1!J854:J855)+SUM(JUEZ_2!J854:J855)+SUM(JUEZ_3!J854:J855))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</row>
    <row r="17" ht="14.25" customHeight="1" s="72">
      <c r="A17" s="4">
        <f>JUEZ_1!D824</f>
        <v/>
      </c>
      <c r="B17" s="4">
        <f>(SUM(JUEZ_1!I824:I825)+SUM(JUEZ_2!I824:I825)+SUM(JUEZ_3!I824:I825))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JUEZ_1!D856</f>
        <v/>
      </c>
      <c r="K17" s="4">
        <f>(SUM(JUEZ_1!I856:I857)+SUM(JUEZ_2!I856:I857)+SUM(JUEZ_3!I856:I857))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</row>
    <row r="18" ht="14.25" customHeight="1" s="72">
      <c r="A18" s="4">
        <f>JUEZ_1!F824</f>
        <v/>
      </c>
      <c r="B18" s="4">
        <f>(SUM(JUEZ_1!J824:J825)+SUM(JUEZ_2!J824:J825)+SUM(JUEZ_3!J824:J825))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JUEZ_1!F856</f>
        <v/>
      </c>
      <c r="K18" s="4">
        <f>(SUM(JUEZ_1!J856:J857)+SUM(JUEZ_2!J856:J857)+SUM(JUEZ_3!J856:J857))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JUEZ_1!D826</f>
        <v/>
      </c>
      <c r="B19" s="4">
        <f>(SUM(JUEZ_1!I826:I827)+SUM(JUEZ_2!I826:I827)+SUM(JUEZ_3!I826:I827))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JUEZ_1!D858</f>
        <v/>
      </c>
      <c r="K19" s="4">
        <f>(SUM(JUEZ_1!I858:I859)+SUM(JUEZ_2!I858:I859)+SUM(JUEZ_3!I858:I859))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JUEZ_1!F826</f>
        <v/>
      </c>
      <c r="B20" s="4">
        <f>(SUM(JUEZ_1!J826:J827)+SUM(JUEZ_2!J826:J827)+SUM(JUEZ_3!J826:J827))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JUEZ_1!F858</f>
        <v/>
      </c>
      <c r="K20" s="4">
        <f>(SUM(JUEZ_1!J858:J859)+SUM(JUEZ_2!J858:J859)+SUM(JUEZ_3!J858:J859))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JUEZ_1!D828</f>
        <v/>
      </c>
      <c r="B21" s="4">
        <f>(SUM(JUEZ_1!I828:I829)+SUM(JUEZ_2!I828:I829)+SUM(JUEZ_3!I828:I829))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JUEZ_1!F828</f>
        <v/>
      </c>
      <c r="B22" s="4">
        <f>(SUM(JUEZ_1!J828:J829)+SUM(JUEZ_2!J828:J829)+SUM(JUEZ_3!J828:J829))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JUEZ_1!D830</f>
        <v/>
      </c>
      <c r="B23" s="4">
        <f>(SUM(JUEZ_1!I830:I831)+SUM(JUEZ_2!I830:I831)+SUM(JUEZ_3!I830:I831))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JUEZ_1!F830</f>
        <v/>
      </c>
      <c r="B24" s="4">
        <f>(SUM(JUEZ_1!J830:J831)+SUM(JUEZ_2!J830:J831)+SUM(JUEZ_3!J830:J831))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JUEZ_1!D832</f>
        <v/>
      </c>
      <c r="B25" s="4">
        <f>(SUM(JUEZ_1!I832:I833)+SUM(JUEZ_2!I832:I833)+SUM(JUEZ_3!I832:I833))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JUEZ_1!F832</f>
        <v/>
      </c>
      <c r="B26" s="4">
        <f>(SUM(JUEZ_1!J832:J833)+SUM(JUEZ_2!J832:J833)+SUM(JUEZ_3!J832:J833))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JUEZ_1!D834</f>
        <v/>
      </c>
      <c r="B27" s="4">
        <f>(SUM(JUEZ_1!I834:I835)+SUM(JUEZ_2!I834:I835)+SUM(JUEZ_3!I834:I835))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JUEZ_1!F834</f>
        <v/>
      </c>
      <c r="B28" s="4">
        <f>(SUM(JUEZ_1!J834:J835)+SUM(JUEZ_2!J834:J835)+SUM(JUEZ_3!J834:J835))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JUEZ_1!D836</f>
        <v/>
      </c>
      <c r="B29" s="4">
        <f>(SUM(JUEZ_1!I836:I837)+SUM(JUEZ_2!I836:I837)+SUM(JUEZ_3!I836:I837))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JUEZ_1!F836</f>
        <v/>
      </c>
      <c r="B30" s="4">
        <f>(SUM(JUEZ_1!J836:J837)+SUM(JUEZ_2!J836:J837)+SUM(JUEZ_3!J836:J837))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JUEZ_1!D838</f>
        <v/>
      </c>
      <c r="B31" s="4">
        <f>(SUM(JUEZ_1!I838:I839)+SUM(JUEZ_2!I838:I839)+SUM(JUEZ_3!I838:I839))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JUEZ_1!F838</f>
        <v/>
      </c>
      <c r="B32" s="4">
        <f>(SUM(JUEZ_1!J838:J839)+SUM(JUEZ_2!J838:J839)+SUM(JUEZ_3!J838:J839))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JUEZ_1!D840</f>
        <v/>
      </c>
      <c r="B33" s="4">
        <f>(SUM(JUEZ_1!I840:I841)+SUM(JUEZ_2!I840:I841)+SUM(JUEZ_3!I840:I841))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JUEZ_1!F840</f>
        <v/>
      </c>
      <c r="B34" s="4">
        <f>(SUM(JUEZ_1!J840:J841)+SUM(JUEZ_2!J840:J841)+SUM(JUEZ_3!J840:J841))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JUEZ_1!D842</f>
        <v/>
      </c>
      <c r="B35" s="4">
        <f>(SUM(JUEZ_1!I842:I843)+SUM(JUEZ_2!I842:I843)+SUM(JUEZ_3!I842:I843))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JUEZ_1!F842</f>
        <v/>
      </c>
      <c r="B36" s="4">
        <f>(SUM(JUEZ_1!J842:J843)+SUM(JUEZ_2!J842:J843)+SUM(JUEZ_3!J842:J843))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6" t="inlineStr">
        <is>
          <t>CLASIFICACIÓN · Cat Baobá Masculino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JUEZ_1!D875</f>
        <v/>
      </c>
      <c r="B5" s="4">
        <f>(SUM(JUEZ_1!I875:I877)+SUM(JUEZ_2!I875:I877)+SUM(JUEZ_3!I875:I877))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JUEZ_1!D923</f>
        <v/>
      </c>
      <c r="K5" s="4">
        <f>(SUM(JUEZ_1!I923:I925)+SUM(JUEZ_2!I923:I925)+SUM(JUEZ_3!I923:I925))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JUEZ_1!D947</f>
        <v/>
      </c>
      <c r="T5" s="4">
        <f>(SUM(JUEZ_1!I947:I949)+SUM(JUEZ_2!I947:I949)+SUM(JUEZ_3!I947:I949))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JUEZ_1!D959</f>
        <v/>
      </c>
      <c r="AC5" s="4">
        <f>(SUM(JUEZ_1!I959:I961)+SUM(JUEZ_2!I959:I961)+SUM(JUEZ_3!I959:I961))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JUEZ_1!F875</f>
        <v/>
      </c>
      <c r="B6" s="4">
        <f>(SUM(JUEZ_1!J875:J877)+SUM(JUEZ_2!J875:J877)+SUM(JUEZ_3!J875:J877))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JUEZ_1!F923</f>
        <v/>
      </c>
      <c r="K6" s="4">
        <f>(SUM(JUEZ_1!J923:J925)+SUM(JUEZ_2!J923:J925)+SUM(JUEZ_3!J923:J925))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JUEZ_1!F947</f>
        <v/>
      </c>
      <c r="T6" s="4">
        <f>(SUM(JUEZ_1!J947:J949)+SUM(JUEZ_2!J947:J949)+SUM(JUEZ_3!J947:J949))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JUEZ_1!F959</f>
        <v/>
      </c>
      <c r="AC6" s="4">
        <f>(SUM(JUEZ_1!J959:J961)+SUM(JUEZ_2!J959:J961)+SUM(JUEZ_3!J959:J961))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JUEZ_1!D878</f>
        <v/>
      </c>
      <c r="B7" s="4">
        <f>(SUM(JUEZ_1!I878:I880)+SUM(JUEZ_2!I878:I880)+SUM(JUEZ_3!I878:I880))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JUEZ_1!D926</f>
        <v/>
      </c>
      <c r="K7" s="4">
        <f>(SUM(JUEZ_1!I926:I928)+SUM(JUEZ_2!I926:I928)+SUM(JUEZ_3!I926:I928))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JUEZ_1!D950</f>
        <v/>
      </c>
      <c r="T7" s="4">
        <f>(SUM(JUEZ_1!I950:I952)+SUM(JUEZ_2!I950:I952)+SUM(JUEZ_3!I950:I952))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JUEZ_1!D962</f>
        <v/>
      </c>
      <c r="AC7" s="4">
        <f>(SUM(JUEZ_1!I962:I964)+SUM(JUEZ_2!I962:I964)+SUM(JUEZ_3!I962:I964))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JUEZ_1!F878</f>
        <v/>
      </c>
      <c r="B8" s="4">
        <f>(SUM(JUEZ_1!J878:J880)+SUM(JUEZ_2!J878:J880)+SUM(JUEZ_3!J878:J880))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JUEZ_1!F926</f>
        <v/>
      </c>
      <c r="K8" s="4">
        <f>(SUM(JUEZ_1!J926:J928)+SUM(JUEZ_2!J926:J928)+SUM(JUEZ_3!J926:J928))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JUEZ_1!F950</f>
        <v/>
      </c>
      <c r="T8" s="4">
        <f>(SUM(JUEZ_1!J950:J952)+SUM(JUEZ_2!J950:J952)+SUM(JUEZ_3!J950:J952))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JUEZ_1!F962</f>
        <v/>
      </c>
      <c r="AC8" s="4">
        <f>(SUM(JUEZ_1!J962:J964)+SUM(JUEZ_2!J962:J964)+SUM(JUEZ_3!J962:J964))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JUEZ_1!D881</f>
        <v/>
      </c>
      <c r="B9" s="4">
        <f>(SUM(JUEZ_1!I881:I883)+SUM(JUEZ_2!I881:I883)+SUM(JUEZ_3!I881:I883))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JUEZ_1!D929</f>
        <v/>
      </c>
      <c r="K9" s="4">
        <f>(SUM(JUEZ_1!I929:I931)+SUM(JUEZ_2!I929:I931)+SUM(JUEZ_3!I929:I931))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JUEZ_1!D953</f>
        <v/>
      </c>
      <c r="T9" s="4">
        <f>(SUM(JUEZ_1!I953:I955)+SUM(JUEZ_2!I953:I955)+SUM(JUEZ_3!I953:I955))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JUEZ_1!F881</f>
        <v/>
      </c>
      <c r="B10" s="4">
        <f>(SUM(JUEZ_1!J881:J883)+SUM(JUEZ_2!J881:J883)+SUM(JUEZ_3!J881:J883))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JUEZ_1!F929</f>
        <v/>
      </c>
      <c r="K10" s="4">
        <f>(SUM(JUEZ_1!J929:J931)+SUM(JUEZ_2!J929:J931)+SUM(JUEZ_3!J929:J931))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JUEZ_1!F953</f>
        <v/>
      </c>
      <c r="T10" s="4">
        <f>(SUM(JUEZ_1!J953:J955)+SUM(JUEZ_2!J953:J955)+SUM(JUEZ_3!J953:J955))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JUEZ_1!D884</f>
        <v/>
      </c>
      <c r="B11" s="4">
        <f>(SUM(JUEZ_1!I884:I886)+SUM(JUEZ_2!I884:I886)+SUM(JUEZ_3!I884:I886))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JUEZ_1!D932</f>
        <v/>
      </c>
      <c r="K11" s="4">
        <f>(SUM(JUEZ_1!I932:I934)+SUM(JUEZ_2!I932:I934)+SUM(JUEZ_3!I932:I934))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JUEZ_1!D956</f>
        <v/>
      </c>
      <c r="T11" s="4">
        <f>(SUM(JUEZ_1!I956:I958)+SUM(JUEZ_2!I956:I958)+SUM(JUEZ_3!I956:I958))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JUEZ_1!F884</f>
        <v/>
      </c>
      <c r="B12" s="4">
        <f>(SUM(JUEZ_1!J884:J886)+SUM(JUEZ_2!J884:J886)+SUM(JUEZ_3!J884:J886))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JUEZ_1!F932</f>
        <v/>
      </c>
      <c r="K12" s="4">
        <f>(SUM(JUEZ_1!J932:J934)+SUM(JUEZ_2!J932:J934)+SUM(JUEZ_3!J932:J934))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JUEZ_1!F956</f>
        <v/>
      </c>
      <c r="T12" s="4">
        <f>(SUM(JUEZ_1!J956:J958)+SUM(JUEZ_2!J956:J958)+SUM(JUEZ_3!J956:J958))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São Bento da Abadá</t>
        </is>
      </c>
      <c r="AC12" s="4">
        <f>JUEZ_1!A959</f>
        <v/>
      </c>
      <c r="AD12" s="4">
        <f>JUEZ_1!D959</f>
        <v/>
      </c>
      <c r="AE12" s="4">
        <f>JUEZ_1!F959</f>
        <v/>
      </c>
      <c r="AF12" s="4">
        <f>(N(JUEZ_1!I959)+N(JUEZ_1!J959))+(N(JUEZ_2!I959)+N(JUEZ_2!J959))+(N(JUEZ_3!I959)+N(JUEZ_3!J959))</f>
        <v/>
      </c>
      <c r="AG12" s="4">
        <f>IF(AND($AF12=MAX($AF12,$AF13),$AF12&gt;0),"🥇 MEJOR São Bento da Abadá","")</f>
        <v/>
      </c>
    </row>
    <row r="13" ht="14.25" customHeight="1" s="72">
      <c r="A13" s="4">
        <f>JUEZ_1!D887</f>
        <v/>
      </c>
      <c r="B13" s="4">
        <f>(SUM(JUEZ_1!I887:I889)+SUM(JUEZ_2!I887:I889)+SUM(JUEZ_3!I887:I889))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JUEZ_1!D935</f>
        <v/>
      </c>
      <c r="K13" s="4">
        <f>(SUM(JUEZ_1!I935:I937)+SUM(JUEZ_2!I935:I937)+SUM(JUEZ_3!I935:I937))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São Bento da Abadá</t>
        </is>
      </c>
      <c r="AC13" s="4">
        <f>JUEZ_1!A962</f>
        <v/>
      </c>
      <c r="AD13" s="4">
        <f>JUEZ_1!D962</f>
        <v/>
      </c>
      <c r="AE13" s="4">
        <f>JUEZ_1!F962</f>
        <v/>
      </c>
      <c r="AF13" s="4">
        <f>(N(JUEZ_1!I962)+N(JUEZ_1!J962))+(N(JUEZ_2!I962)+N(JUEZ_2!J962))+(N(JUEZ_3!I962)+N(JUEZ_3!J962))</f>
        <v/>
      </c>
      <c r="AG13" s="4">
        <f>IF(AND($AF13=MAX($AF12,$AF13),$AF13&gt;0),"🥇 MEJOR São Bento da Abadá","")</f>
        <v/>
      </c>
    </row>
    <row r="14" ht="14.25" customHeight="1" s="72">
      <c r="A14" s="4">
        <f>JUEZ_1!F887</f>
        <v/>
      </c>
      <c r="B14" s="4">
        <f>(SUM(JUEZ_1!J887:J889)+SUM(JUEZ_2!J887:J889)+SUM(JUEZ_3!J887:J889))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JUEZ_1!F935</f>
        <v/>
      </c>
      <c r="K14" s="4">
        <f>(SUM(JUEZ_1!J935:J937)+SUM(JUEZ_2!J935:J937)+SUM(JUEZ_3!J935:J937))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Benguela</t>
        </is>
      </c>
      <c r="AC14" s="4">
        <f>JUEZ_1!A960</f>
        <v/>
      </c>
      <c r="AD14" s="4">
        <f>JUEZ_1!D960</f>
        <v/>
      </c>
      <c r="AE14" s="4">
        <f>JUEZ_1!F960</f>
        <v/>
      </c>
      <c r="AF14" s="4">
        <f>(N(JUEZ_1!I960)+N(JUEZ_1!J960))+(N(JUEZ_2!I960)+N(JUEZ_2!J960))+(N(JUEZ_3!I960)+N(JUEZ_3!J960))</f>
        <v/>
      </c>
      <c r="AG14" s="4">
        <f>IF(AND($AF14=MAX($AF14,$AF15),$AF14&gt;0),"🥇 MEJOR Benguela","")</f>
        <v/>
      </c>
    </row>
    <row r="15" ht="14.25" customHeight="1" s="72">
      <c r="A15" s="4">
        <f>JUEZ_1!D890</f>
        <v/>
      </c>
      <c r="B15" s="4">
        <f>(SUM(JUEZ_1!I890:I892)+SUM(JUEZ_2!I890:I892)+SUM(JUEZ_3!I890:I892))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JUEZ_1!D938</f>
        <v/>
      </c>
      <c r="K15" s="4">
        <f>(SUM(JUEZ_1!I938:I940)+SUM(JUEZ_2!I938:I940)+SUM(JUEZ_3!I938:I940))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Benguela</t>
        </is>
      </c>
      <c r="AC15" s="4">
        <f>JUEZ_1!A963</f>
        <v/>
      </c>
      <c r="AD15" s="4">
        <f>JUEZ_1!D963</f>
        <v/>
      </c>
      <c r="AE15" s="4">
        <f>JUEZ_1!F963</f>
        <v/>
      </c>
      <c r="AF15" s="4">
        <f>(N(JUEZ_1!I963)+N(JUEZ_1!J963))+(N(JUEZ_2!I963)+N(JUEZ_2!J963))+(N(JUEZ_3!I963)+N(JUEZ_3!J963))</f>
        <v/>
      </c>
      <c r="AG15" s="4">
        <f>IF(AND($AF15=MAX($AF14,$AF15),$AF15&gt;0),"🥇 MEJOR Benguela","")</f>
        <v/>
      </c>
    </row>
    <row r="16" ht="14.25" customHeight="1" s="72">
      <c r="A16" s="4">
        <f>JUEZ_1!F890</f>
        <v/>
      </c>
      <c r="B16" s="4">
        <f>(SUM(JUEZ_1!J890:J892)+SUM(JUEZ_2!J890:J892)+SUM(JUEZ_3!J890:J892))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JUEZ_1!F938</f>
        <v/>
      </c>
      <c r="K16" s="4">
        <f>(SUM(JUEZ_1!J938:J940)+SUM(JUEZ_2!J938:J940)+SUM(JUEZ_3!J938:J940))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JUEZ_1!A961</f>
        <v/>
      </c>
      <c r="AD16" s="4">
        <f>JUEZ_1!D961</f>
        <v/>
      </c>
      <c r="AE16" s="4">
        <f>JUEZ_1!F961</f>
        <v/>
      </c>
      <c r="AF16" s="4">
        <f>(N(JUEZ_1!I961)+N(JUEZ_1!J961))+(N(JUEZ_2!I961)+N(JUEZ_2!J961))+(N(JUEZ_3!I961)+N(JUEZ_3!J961))</f>
        <v/>
      </c>
      <c r="AG16" s="4">
        <f>IF(AND($AF16=MAX($AF16,$AF17),$AF16&gt;0),"🥇 MEJOR Siriuna","")</f>
        <v/>
      </c>
    </row>
    <row r="17" ht="14.25" customHeight="1" s="72">
      <c r="A17" s="4">
        <f>JUEZ_1!D893</f>
        <v/>
      </c>
      <c r="B17" s="4">
        <f>(SUM(JUEZ_1!I893:I895)+SUM(JUEZ_2!I893:I895)+SUM(JUEZ_3!I893:I895))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JUEZ_1!D941</f>
        <v/>
      </c>
      <c r="K17" s="4">
        <f>(SUM(JUEZ_1!I941:I943)+SUM(JUEZ_2!I941:I943)+SUM(JUEZ_3!I941:I943))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JUEZ_1!A964</f>
        <v/>
      </c>
      <c r="AD17" s="4">
        <f>JUEZ_1!D964</f>
        <v/>
      </c>
      <c r="AE17" s="4">
        <f>JUEZ_1!F964</f>
        <v/>
      </c>
      <c r="AF17" s="4">
        <f>(N(JUEZ_1!I964)+N(JUEZ_1!J964))+(N(JUEZ_2!I964)+N(JUEZ_2!J964))+(N(JUEZ_3!I964)+N(JUEZ_3!J964))</f>
        <v/>
      </c>
      <c r="AG17" s="4">
        <f>IF(AND($AF17=MAX($AF16,$AF17),$AF17&gt;0),"🥇 MEJOR Siriuna","")</f>
        <v/>
      </c>
    </row>
    <row r="18" ht="14.25" customHeight="1" s="72">
      <c r="A18" s="4">
        <f>JUEZ_1!F893</f>
        <v/>
      </c>
      <c r="B18" s="4">
        <f>(SUM(JUEZ_1!J893:J895)+SUM(JUEZ_2!J893:J895)+SUM(JUEZ_3!J893:J895))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JUEZ_1!F941</f>
        <v/>
      </c>
      <c r="K18" s="4">
        <f>(SUM(JUEZ_1!J941:J943)+SUM(JUEZ_2!J941:J943)+SUM(JUEZ_3!J941:J943))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JUEZ_1!D896</f>
        <v/>
      </c>
      <c r="B19" s="4">
        <f>(SUM(JUEZ_1!I896:I898)+SUM(JUEZ_2!I896:I898)+SUM(JUEZ_3!I896:I898))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JUEZ_1!D944</f>
        <v/>
      </c>
      <c r="K19" s="4">
        <f>(SUM(JUEZ_1!I944:I946)+SUM(JUEZ_2!I944:I946)+SUM(JUEZ_3!I944:I946))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JUEZ_1!F896</f>
        <v/>
      </c>
      <c r="B20" s="4">
        <f>(SUM(JUEZ_1!J896:J898)+SUM(JUEZ_2!J896:J898)+SUM(JUEZ_3!J896:J898))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JUEZ_1!F944</f>
        <v/>
      </c>
      <c r="K20" s="4">
        <f>(SUM(JUEZ_1!J944:J946)+SUM(JUEZ_2!J944:J946)+SUM(JUEZ_3!J944:J946))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JUEZ_1!D899</f>
        <v/>
      </c>
      <c r="B21" s="4">
        <f>(SUM(JUEZ_1!I899:I901)+SUM(JUEZ_2!I899:I901)+SUM(JUEZ_3!I899:I901))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JUEZ_1!F899</f>
        <v/>
      </c>
      <c r="B22" s="4">
        <f>(SUM(JUEZ_1!J899:J901)+SUM(JUEZ_2!J899:J901)+SUM(JUEZ_3!J899:J901))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JUEZ_1!D902</f>
        <v/>
      </c>
      <c r="B23" s="4">
        <f>(SUM(JUEZ_1!I902:I904)+SUM(JUEZ_2!I902:I904)+SUM(JUEZ_3!I902:I904))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JUEZ_1!F902</f>
        <v/>
      </c>
      <c r="B24" s="4">
        <f>(SUM(JUEZ_1!J902:J904)+SUM(JUEZ_2!J902:J904)+SUM(JUEZ_3!J902:J904))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JUEZ_1!D905</f>
        <v/>
      </c>
      <c r="B25" s="4">
        <f>(SUM(JUEZ_1!I905:I907)+SUM(JUEZ_2!I905:I907)+SUM(JUEZ_3!I905:I907))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JUEZ_1!F905</f>
        <v/>
      </c>
      <c r="B26" s="4">
        <f>(SUM(JUEZ_1!J905:J907)+SUM(JUEZ_2!J905:J907)+SUM(JUEZ_3!J905:J907))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JUEZ_1!D908</f>
        <v/>
      </c>
      <c r="B27" s="4">
        <f>(SUM(JUEZ_1!I908:I910)+SUM(JUEZ_2!I908:I910)+SUM(JUEZ_3!I908:I910))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JUEZ_1!F908</f>
        <v/>
      </c>
      <c r="B28" s="4">
        <f>(SUM(JUEZ_1!J908:J910)+SUM(JUEZ_2!J908:J910)+SUM(JUEZ_3!J908:J910))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JUEZ_1!D911</f>
        <v/>
      </c>
      <c r="B29" s="4">
        <f>(SUM(JUEZ_1!I911:I913)+SUM(JUEZ_2!I911:I913)+SUM(JUEZ_3!I911:I913))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JUEZ_1!F911</f>
        <v/>
      </c>
      <c r="B30" s="4">
        <f>(SUM(JUEZ_1!J911:J913)+SUM(JUEZ_2!J911:J913)+SUM(JUEZ_3!J911:J913))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JUEZ_1!D914</f>
        <v/>
      </c>
      <c r="B31" s="4">
        <f>(SUM(JUEZ_1!I914:I916)+SUM(JUEZ_2!I914:I916)+SUM(JUEZ_3!I914:I916))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JUEZ_1!F914</f>
        <v/>
      </c>
      <c r="B32" s="4">
        <f>(SUM(JUEZ_1!J914:J916)+SUM(JUEZ_2!J914:J916)+SUM(JUEZ_3!J914:J916))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JUEZ_1!D917</f>
        <v/>
      </c>
      <c r="B33" s="4">
        <f>(SUM(JUEZ_1!I917:I919)+SUM(JUEZ_2!I917:I919)+SUM(JUEZ_3!I917:I919))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JUEZ_1!F917</f>
        <v/>
      </c>
      <c r="B34" s="4">
        <f>(SUM(JUEZ_1!J917:J919)+SUM(JUEZ_2!J917:J919)+SUM(JUEZ_3!J917:J919))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JUEZ_1!D920</f>
        <v/>
      </c>
      <c r="B35" s="4">
        <f>(SUM(JUEZ_1!I920:I922)+SUM(JUEZ_2!I920:I922)+SUM(JUEZ_3!I920:I922))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JUEZ_1!F920</f>
        <v/>
      </c>
      <c r="B36" s="4">
        <f>(SUM(JUEZ_1!J920:J922)+SUM(JUEZ_2!J920:J922)+SUM(JUEZ_3!J920:J922))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6" t="inlineStr">
        <is>
          <t>CLASIFICACIÓN · Cat Baobá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JUEZ_1!D968</f>
        <v/>
      </c>
      <c r="B5" s="4">
        <f>(SUM(JUEZ_1!I968:I970)+SUM(JUEZ_2!I968:I970)+SUM(JUEZ_3!I968:I970))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JUEZ_1!D1016</f>
        <v/>
      </c>
      <c r="K5" s="4">
        <f>(SUM(JUEZ_1!I1016:I1018)+SUM(JUEZ_2!I1016:I1018)+SUM(JUEZ_3!I1016:I1018))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JUEZ_1!D1040</f>
        <v/>
      </c>
      <c r="T5" s="4">
        <f>(SUM(JUEZ_1!I1040:I1042)+SUM(JUEZ_2!I1040:I1042)+SUM(JUEZ_3!I1040:I1042))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JUEZ_1!D1052</f>
        <v/>
      </c>
      <c r="AC5" s="4">
        <f>(SUM(JUEZ_1!I1052:I1054)+SUM(JUEZ_2!I1052:I1054)+SUM(JUEZ_3!I1052:I1054))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JUEZ_1!F968</f>
        <v/>
      </c>
      <c r="B6" s="4">
        <f>(SUM(JUEZ_1!J968:J970)+SUM(JUEZ_2!J968:J970)+SUM(JUEZ_3!J968:J970))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JUEZ_1!F1016</f>
        <v/>
      </c>
      <c r="K6" s="4">
        <f>(SUM(JUEZ_1!J1016:J1018)+SUM(JUEZ_2!J1016:J1018)+SUM(JUEZ_3!J1016:J1018))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JUEZ_1!F1040</f>
        <v/>
      </c>
      <c r="T6" s="4">
        <f>(SUM(JUEZ_1!J1040:J1042)+SUM(JUEZ_2!J1040:J1042)+SUM(JUEZ_3!J1040:J1042))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JUEZ_1!F1052</f>
        <v/>
      </c>
      <c r="AC6" s="4">
        <f>(SUM(JUEZ_1!J1052:J1054)+SUM(JUEZ_2!J1052:J1054)+SUM(JUEZ_3!J1052:J1054))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JUEZ_1!D971</f>
        <v/>
      </c>
      <c r="B7" s="4">
        <f>(SUM(JUEZ_1!I971:I973)+SUM(JUEZ_2!I971:I973)+SUM(JUEZ_3!I971:I973))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JUEZ_1!D1019</f>
        <v/>
      </c>
      <c r="K7" s="4">
        <f>(SUM(JUEZ_1!I1019:I1021)+SUM(JUEZ_2!I1019:I1021)+SUM(JUEZ_3!I1019:I1021))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JUEZ_1!D1043</f>
        <v/>
      </c>
      <c r="T7" s="4">
        <f>(SUM(JUEZ_1!I1043:I1045)+SUM(JUEZ_2!I1043:I1045)+SUM(JUEZ_3!I1043:I1045))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JUEZ_1!D1055</f>
        <v/>
      </c>
      <c r="AC7" s="4">
        <f>(SUM(JUEZ_1!I1055:I1057)+SUM(JUEZ_2!I1055:I1057)+SUM(JUEZ_3!I1055:I1057))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JUEZ_1!F971</f>
        <v/>
      </c>
      <c r="B8" s="4">
        <f>(SUM(JUEZ_1!J971:J973)+SUM(JUEZ_2!J971:J973)+SUM(JUEZ_3!J971:J973))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JUEZ_1!F1019</f>
        <v/>
      </c>
      <c r="K8" s="4">
        <f>(SUM(JUEZ_1!J1019:J1021)+SUM(JUEZ_2!J1019:J1021)+SUM(JUEZ_3!J1019:J1021))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JUEZ_1!F1043</f>
        <v/>
      </c>
      <c r="T8" s="4">
        <f>(SUM(JUEZ_1!J1043:J1045)+SUM(JUEZ_2!J1043:J1045)+SUM(JUEZ_3!J1043:J1045))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JUEZ_1!F1055</f>
        <v/>
      </c>
      <c r="AC8" s="4">
        <f>(SUM(JUEZ_1!J1055:J1057)+SUM(JUEZ_2!J1055:J1057)+SUM(JUEZ_3!J1055:J1057))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JUEZ_1!D974</f>
        <v/>
      </c>
      <c r="B9" s="4">
        <f>(SUM(JUEZ_1!I974:I976)+SUM(JUEZ_2!I974:I976)+SUM(JUEZ_3!I974:I976))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JUEZ_1!D1022</f>
        <v/>
      </c>
      <c r="K9" s="4">
        <f>(SUM(JUEZ_1!I1022:I1024)+SUM(JUEZ_2!I1022:I1024)+SUM(JUEZ_3!I1022:I1024))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JUEZ_1!D1046</f>
        <v/>
      </c>
      <c r="T9" s="4">
        <f>(SUM(JUEZ_1!I1046:I1048)+SUM(JUEZ_2!I1046:I1048)+SUM(JUEZ_3!I1046:I1048))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JUEZ_1!F974</f>
        <v/>
      </c>
      <c r="B10" s="4">
        <f>(SUM(JUEZ_1!J974:J976)+SUM(JUEZ_2!J974:J976)+SUM(JUEZ_3!J974:J976))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JUEZ_1!F1022</f>
        <v/>
      </c>
      <c r="K10" s="4">
        <f>(SUM(JUEZ_1!J1022:J1024)+SUM(JUEZ_2!J1022:J1024)+SUM(JUEZ_3!J1022:J1024))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JUEZ_1!F1046</f>
        <v/>
      </c>
      <c r="T10" s="4">
        <f>(SUM(JUEZ_1!J1046:J1048)+SUM(JUEZ_2!J1046:J1048)+SUM(JUEZ_3!J1046:J1048))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JUEZ_1!D977</f>
        <v/>
      </c>
      <c r="B11" s="4">
        <f>(SUM(JUEZ_1!I977:I979)+SUM(JUEZ_2!I977:I979)+SUM(JUEZ_3!I977:I979))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JUEZ_1!D1025</f>
        <v/>
      </c>
      <c r="K11" s="4">
        <f>(SUM(JUEZ_1!I1025:I1027)+SUM(JUEZ_2!I1025:I1027)+SUM(JUEZ_3!I1025:I1027))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JUEZ_1!D1049</f>
        <v/>
      </c>
      <c r="T11" s="4">
        <f>(SUM(JUEZ_1!I1049:I1051)+SUM(JUEZ_2!I1049:I1051)+SUM(JUEZ_3!I1049:I1051))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JUEZ_1!F977</f>
        <v/>
      </c>
      <c r="B12" s="4">
        <f>(SUM(JUEZ_1!J977:J979)+SUM(JUEZ_2!J977:J979)+SUM(JUEZ_3!J977:J979))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JUEZ_1!F1025</f>
        <v/>
      </c>
      <c r="K12" s="4">
        <f>(SUM(JUEZ_1!J1025:J1027)+SUM(JUEZ_2!J1025:J1027)+SUM(JUEZ_3!J1025:J1027))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JUEZ_1!F1049</f>
        <v/>
      </c>
      <c r="T12" s="4">
        <f>(SUM(JUEZ_1!J1049:J1051)+SUM(JUEZ_2!J1049:J1051)+SUM(JUEZ_3!J1049:J1051))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São Bento da Abadá</t>
        </is>
      </c>
      <c r="AC12" s="4">
        <f>JUEZ_1!A1052</f>
        <v/>
      </c>
      <c r="AD12" s="4">
        <f>JUEZ_1!D1052</f>
        <v/>
      </c>
      <c r="AE12" s="4">
        <f>JUEZ_1!F1052</f>
        <v/>
      </c>
      <c r="AF12" s="4">
        <f>(N(JUEZ_1!I1052)+N(JUEZ_1!J1052))+(N(JUEZ_2!I1052)+N(JUEZ_2!J1052))+(N(JUEZ_3!I1052)+N(JUEZ_3!J1052))</f>
        <v/>
      </c>
      <c r="AG12" s="4">
        <f>IF(AND($AF12=MAX($AF12,$AF13),$AF12&gt;0),"🥇 MEJOR São Bento da Abadá","")</f>
        <v/>
      </c>
    </row>
    <row r="13" ht="14.25" customHeight="1" s="72">
      <c r="A13" s="4">
        <f>JUEZ_1!D980</f>
        <v/>
      </c>
      <c r="B13" s="4">
        <f>(SUM(JUEZ_1!I980:I982)+SUM(JUEZ_2!I980:I982)+SUM(JUEZ_3!I980:I982))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JUEZ_1!D1028</f>
        <v/>
      </c>
      <c r="K13" s="4">
        <f>(SUM(JUEZ_1!I1028:I1030)+SUM(JUEZ_2!I1028:I1030)+SUM(JUEZ_3!I1028:I1030))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São Bento da Abadá</t>
        </is>
      </c>
      <c r="AC13" s="4">
        <f>JUEZ_1!A1055</f>
        <v/>
      </c>
      <c r="AD13" s="4">
        <f>JUEZ_1!D1055</f>
        <v/>
      </c>
      <c r="AE13" s="4">
        <f>JUEZ_1!F1055</f>
        <v/>
      </c>
      <c r="AF13" s="4">
        <f>(N(JUEZ_1!I1055)+N(JUEZ_1!J1055))+(N(JUEZ_2!I1055)+N(JUEZ_2!J1055))+(N(JUEZ_3!I1055)+N(JUEZ_3!J1055))</f>
        <v/>
      </c>
      <c r="AG13" s="4">
        <f>IF(AND($AF13=MAX($AF12,$AF13),$AF13&gt;0),"🥇 MEJOR São Bento da Abadá","")</f>
        <v/>
      </c>
    </row>
    <row r="14" ht="14.25" customHeight="1" s="72">
      <c r="A14" s="4">
        <f>JUEZ_1!F980</f>
        <v/>
      </c>
      <c r="B14" s="4">
        <f>(SUM(JUEZ_1!J980:J982)+SUM(JUEZ_2!J980:J982)+SUM(JUEZ_3!J980:J982))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JUEZ_1!F1028</f>
        <v/>
      </c>
      <c r="K14" s="4">
        <f>(SUM(JUEZ_1!J1028:J1030)+SUM(JUEZ_2!J1028:J1030)+SUM(JUEZ_3!J1028:J1030))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Benguela</t>
        </is>
      </c>
      <c r="AC14" s="4">
        <f>JUEZ_1!A1053</f>
        <v/>
      </c>
      <c r="AD14" s="4">
        <f>JUEZ_1!D1053</f>
        <v/>
      </c>
      <c r="AE14" s="4">
        <f>JUEZ_1!F1053</f>
        <v/>
      </c>
      <c r="AF14" s="4">
        <f>(N(JUEZ_1!I1053)+N(JUEZ_1!J1053))+(N(JUEZ_2!I1053)+N(JUEZ_2!J1053))+(N(JUEZ_3!I1053)+N(JUEZ_3!J1053))</f>
        <v/>
      </c>
      <c r="AG14" s="4">
        <f>IF(AND($AF14=MAX($AF14,$AF15),$AF14&gt;0),"🥇 MEJOR Benguela","")</f>
        <v/>
      </c>
    </row>
    <row r="15" ht="14.25" customHeight="1" s="72">
      <c r="A15" s="4">
        <f>JUEZ_1!D983</f>
        <v/>
      </c>
      <c r="B15" s="4">
        <f>(SUM(JUEZ_1!I983:I985)+SUM(JUEZ_2!I983:I985)+SUM(JUEZ_3!I983:I985))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JUEZ_1!D1031</f>
        <v/>
      </c>
      <c r="K15" s="4">
        <f>(SUM(JUEZ_1!I1031:I1033)+SUM(JUEZ_2!I1031:I1033)+SUM(JUEZ_3!I1031:I1033))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Benguela</t>
        </is>
      </c>
      <c r="AC15" s="4">
        <f>JUEZ_1!A1056</f>
        <v/>
      </c>
      <c r="AD15" s="4">
        <f>JUEZ_1!D1056</f>
        <v/>
      </c>
      <c r="AE15" s="4">
        <f>JUEZ_1!F1056</f>
        <v/>
      </c>
      <c r="AF15" s="4">
        <f>(N(JUEZ_1!I1056)+N(JUEZ_1!J1056))+(N(JUEZ_2!I1056)+N(JUEZ_2!J1056))+(N(JUEZ_3!I1056)+N(JUEZ_3!J1056))</f>
        <v/>
      </c>
      <c r="AG15" s="4">
        <f>IF(AND($AF15=MAX($AF14,$AF15),$AF15&gt;0),"🥇 MEJOR Benguela","")</f>
        <v/>
      </c>
    </row>
    <row r="16" ht="14.25" customHeight="1" s="72">
      <c r="A16" s="4">
        <f>JUEZ_1!F983</f>
        <v/>
      </c>
      <c r="B16" s="4">
        <f>(SUM(JUEZ_1!J983:J985)+SUM(JUEZ_2!J983:J985)+SUM(JUEZ_3!J983:J985))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JUEZ_1!F1031</f>
        <v/>
      </c>
      <c r="K16" s="4">
        <f>(SUM(JUEZ_1!J1031:J1033)+SUM(JUEZ_2!J1031:J1033)+SUM(JUEZ_3!J1031:J1033))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JUEZ_1!A1054</f>
        <v/>
      </c>
      <c r="AD16" s="4">
        <f>JUEZ_1!D1054</f>
        <v/>
      </c>
      <c r="AE16" s="4">
        <f>JUEZ_1!F1054</f>
        <v/>
      </c>
      <c r="AF16" s="4">
        <f>(N(JUEZ_1!I1054)+N(JUEZ_1!J1054))+(N(JUEZ_2!I1054)+N(JUEZ_2!J1054))+(N(JUEZ_3!I1054)+N(JUEZ_3!J1054))</f>
        <v/>
      </c>
      <c r="AG16" s="4">
        <f>IF(AND($AF16=MAX($AF16,$AF17),$AF16&gt;0),"🥇 MEJOR Siriuna","")</f>
        <v/>
      </c>
    </row>
    <row r="17" ht="14.25" customHeight="1" s="72">
      <c r="A17" s="4">
        <f>JUEZ_1!D986</f>
        <v/>
      </c>
      <c r="B17" s="4">
        <f>(SUM(JUEZ_1!I986:I988)+SUM(JUEZ_2!I986:I988)+SUM(JUEZ_3!I986:I988))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JUEZ_1!D1034</f>
        <v/>
      </c>
      <c r="K17" s="4">
        <f>(SUM(JUEZ_1!I1034:I1036)+SUM(JUEZ_2!I1034:I1036)+SUM(JUEZ_3!I1034:I1036))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JUEZ_1!A1057</f>
        <v/>
      </c>
      <c r="AD17" s="4">
        <f>JUEZ_1!D1057</f>
        <v/>
      </c>
      <c r="AE17" s="4">
        <f>JUEZ_1!F1057</f>
        <v/>
      </c>
      <c r="AF17" s="4">
        <f>(N(JUEZ_1!I1057)+N(JUEZ_1!J1057))+(N(JUEZ_2!I1057)+N(JUEZ_2!J1057))+(N(JUEZ_3!I1057)+N(JUEZ_3!J1057))</f>
        <v/>
      </c>
      <c r="AG17" s="4">
        <f>IF(AND($AF17=MAX($AF16,$AF17),$AF17&gt;0),"🥇 MEJOR Siriuna","")</f>
        <v/>
      </c>
    </row>
    <row r="18" ht="14.25" customHeight="1" s="72">
      <c r="A18" s="4">
        <f>JUEZ_1!F986</f>
        <v/>
      </c>
      <c r="B18" s="4">
        <f>(SUM(JUEZ_1!J986:J988)+SUM(JUEZ_2!J986:J988)+SUM(JUEZ_3!J986:J988))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JUEZ_1!F1034</f>
        <v/>
      </c>
      <c r="K18" s="4">
        <f>(SUM(JUEZ_1!J1034:J1036)+SUM(JUEZ_2!J1034:J1036)+SUM(JUEZ_3!J1034:J1036))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JUEZ_1!D989</f>
        <v/>
      </c>
      <c r="B19" s="4">
        <f>(SUM(JUEZ_1!I989:I991)+SUM(JUEZ_2!I989:I991)+SUM(JUEZ_3!I989:I991))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JUEZ_1!D1037</f>
        <v/>
      </c>
      <c r="K19" s="4">
        <f>(SUM(JUEZ_1!I1037:I1039)+SUM(JUEZ_2!I1037:I1039)+SUM(JUEZ_3!I1037:I1039))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JUEZ_1!F989</f>
        <v/>
      </c>
      <c r="B20" s="4">
        <f>(SUM(JUEZ_1!J989:J991)+SUM(JUEZ_2!J989:J991)+SUM(JUEZ_3!J989:J991))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JUEZ_1!F1037</f>
        <v/>
      </c>
      <c r="K20" s="4">
        <f>(SUM(JUEZ_1!J1037:J1039)+SUM(JUEZ_2!J1037:J1039)+SUM(JUEZ_3!J1037:J1039))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JUEZ_1!D992</f>
        <v/>
      </c>
      <c r="B21" s="4">
        <f>(SUM(JUEZ_1!I992:I994)+SUM(JUEZ_2!I992:I994)+SUM(JUEZ_3!I992:I994))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JUEZ_1!F992</f>
        <v/>
      </c>
      <c r="B22" s="4">
        <f>(SUM(JUEZ_1!J992:J994)+SUM(JUEZ_2!J992:J994)+SUM(JUEZ_3!J992:J994))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JUEZ_1!D995</f>
        <v/>
      </c>
      <c r="B23" s="4">
        <f>(SUM(JUEZ_1!I995:I997)+SUM(JUEZ_2!I995:I997)+SUM(JUEZ_3!I995:I997))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JUEZ_1!F995</f>
        <v/>
      </c>
      <c r="B24" s="4">
        <f>(SUM(JUEZ_1!J995:J997)+SUM(JUEZ_2!J995:J997)+SUM(JUEZ_3!J995:J997))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JUEZ_1!D998</f>
        <v/>
      </c>
      <c r="B25" s="4">
        <f>(SUM(JUEZ_1!I998:I1000)+SUM(JUEZ_2!I998:I1000)+SUM(JUEZ_3!I998:I1000))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JUEZ_1!F998</f>
        <v/>
      </c>
      <c r="B26" s="4">
        <f>(SUM(JUEZ_1!J998:J1000)+SUM(JUEZ_2!J998:J1000)+SUM(JUEZ_3!J998:J1000))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JUEZ_1!D1001</f>
        <v/>
      </c>
      <c r="B27" s="4">
        <f>(SUM(JUEZ_1!I1001:I1003)+SUM(JUEZ_2!I1001:I1003)+SUM(JUEZ_3!I1001:I1003))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JUEZ_1!F1001</f>
        <v/>
      </c>
      <c r="B28" s="4">
        <f>(SUM(JUEZ_1!J1001:J1003)+SUM(JUEZ_2!J1001:J1003)+SUM(JUEZ_3!J1001:J1003))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JUEZ_1!D1004</f>
        <v/>
      </c>
      <c r="B29" s="4">
        <f>(SUM(JUEZ_1!I1004:I1006)+SUM(JUEZ_2!I1004:I1006)+SUM(JUEZ_3!I1004:I1006))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JUEZ_1!F1004</f>
        <v/>
      </c>
      <c r="B30" s="4">
        <f>(SUM(JUEZ_1!J1004:J1006)+SUM(JUEZ_2!J1004:J1006)+SUM(JUEZ_3!J1004:J1006))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JUEZ_1!D1007</f>
        <v/>
      </c>
      <c r="B31" s="4">
        <f>(SUM(JUEZ_1!I1007:I1009)+SUM(JUEZ_2!I1007:I1009)+SUM(JUEZ_3!I1007:I1009))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JUEZ_1!F1007</f>
        <v/>
      </c>
      <c r="B32" s="4">
        <f>(SUM(JUEZ_1!J1007:J1009)+SUM(JUEZ_2!J1007:J1009)+SUM(JUEZ_3!J1007:J1009))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JUEZ_1!D1010</f>
        <v/>
      </c>
      <c r="B33" s="4">
        <f>(SUM(JUEZ_1!I1010:I1012)+SUM(JUEZ_2!I1010:I1012)+SUM(JUEZ_3!I1010:I1012))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JUEZ_1!F1010</f>
        <v/>
      </c>
      <c r="B34" s="4">
        <f>(SUM(JUEZ_1!J1010:J1012)+SUM(JUEZ_2!J1010:J1012)+SUM(JUEZ_3!J1010:J1012))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JUEZ_1!D1013</f>
        <v/>
      </c>
      <c r="B35" s="4">
        <f>(SUM(JUEZ_1!I1013:I1015)+SUM(JUEZ_2!I1013:I1015)+SUM(JUEZ_3!I1013:I1015))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JUEZ_1!F1013</f>
        <v/>
      </c>
      <c r="B36" s="4">
        <f>(SUM(JUEZ_1!J1013:J1015)+SUM(JUEZ_2!J1013:J1015)+SUM(JUEZ_3!J1013:J1015))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7" t="inlineStr">
        <is>
          <t>CLASIFICACIÓN · Cat Juvenil Masculino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JUEZ_1!D1061</f>
        <v/>
      </c>
      <c r="B5" s="4">
        <f>(SUM(JUEZ_1!I1061:I1062)+SUM(JUEZ_2!I1061:I1062)+SUM(JUEZ_3!I1061:I1062))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JUEZ_1!D1093</f>
        <v/>
      </c>
      <c r="K5" s="4">
        <f>(SUM(JUEZ_1!I1093:I1094)+SUM(JUEZ_2!I1093:I1094)+SUM(JUEZ_3!I1093:I1094))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JUEZ_1!D1109</f>
        <v/>
      </c>
      <c r="T5" s="4">
        <f>(SUM(JUEZ_1!I1109:I1110)+SUM(JUEZ_2!I1109:I1110)+SUM(JUEZ_3!I1109:I1110))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JUEZ_1!D1117</f>
        <v/>
      </c>
      <c r="AC5" s="4">
        <f>(SUM(JUEZ_1!I1117:I1118)+SUM(JUEZ_2!I1117:I1118)+SUM(JUEZ_3!I1117:I1118))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JUEZ_1!F1061</f>
        <v/>
      </c>
      <c r="B6" s="4">
        <f>(SUM(JUEZ_1!J1061:J1062)+SUM(JUEZ_2!J1061:J1062)+SUM(JUEZ_3!J1061:J1062))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JUEZ_1!F1093</f>
        <v/>
      </c>
      <c r="K6" s="4">
        <f>(SUM(JUEZ_1!J1093:J1094)+SUM(JUEZ_2!J1093:J1094)+SUM(JUEZ_3!J1093:J1094))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JUEZ_1!F1109</f>
        <v/>
      </c>
      <c r="T6" s="4">
        <f>(SUM(JUEZ_1!J1109:J1110)+SUM(JUEZ_2!J1109:J1110)+SUM(JUEZ_3!J1109:J1110))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JUEZ_1!F1117</f>
        <v/>
      </c>
      <c r="AC6" s="4">
        <f>(SUM(JUEZ_1!J1117:J1118)+SUM(JUEZ_2!J1117:J1118)+SUM(JUEZ_3!J1117:J1118))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JUEZ_1!D1063</f>
        <v/>
      </c>
      <c r="B7" s="4">
        <f>(SUM(JUEZ_1!I1063:I1064)+SUM(JUEZ_2!I1063:I1064)+SUM(JUEZ_3!I1063:I1064))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JUEZ_1!D1095</f>
        <v/>
      </c>
      <c r="K7" s="4">
        <f>(SUM(JUEZ_1!I1095:I1096)+SUM(JUEZ_2!I1095:I1096)+SUM(JUEZ_3!I1095:I1096))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JUEZ_1!D1111</f>
        <v/>
      </c>
      <c r="T7" s="4">
        <f>(SUM(JUEZ_1!I1111:I1112)+SUM(JUEZ_2!I1111:I1112)+SUM(JUEZ_3!I1111:I1112))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JUEZ_1!D1119</f>
        <v/>
      </c>
      <c r="AC7" s="4">
        <f>(SUM(JUEZ_1!I1119:I1120)+SUM(JUEZ_2!I1119:I1120)+SUM(JUEZ_3!I1119:I1120))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JUEZ_1!F1063</f>
        <v/>
      </c>
      <c r="B8" s="4">
        <f>(SUM(JUEZ_1!J1063:J1064)+SUM(JUEZ_2!J1063:J1064)+SUM(JUEZ_3!J1063:J1064))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JUEZ_1!F1095</f>
        <v/>
      </c>
      <c r="K8" s="4">
        <f>(SUM(JUEZ_1!J1095:J1096)+SUM(JUEZ_2!J1095:J1096)+SUM(JUEZ_3!J1095:J1096))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JUEZ_1!F1111</f>
        <v/>
      </c>
      <c r="T8" s="4">
        <f>(SUM(JUEZ_1!J1111:J1112)+SUM(JUEZ_2!J1111:J1112)+SUM(JUEZ_3!J1111:J1112))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JUEZ_1!F1119</f>
        <v/>
      </c>
      <c r="AC8" s="4">
        <f>(SUM(JUEZ_1!J1119:J1120)+SUM(JUEZ_2!J1119:J1120)+SUM(JUEZ_3!J1119:J1120))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JUEZ_1!D1065</f>
        <v/>
      </c>
      <c r="B9" s="4">
        <f>(SUM(JUEZ_1!I1065:I1066)+SUM(JUEZ_2!I1065:I1066)+SUM(JUEZ_3!I1065:I1066))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JUEZ_1!D1097</f>
        <v/>
      </c>
      <c r="K9" s="4">
        <f>(SUM(JUEZ_1!I1097:I1098)+SUM(JUEZ_2!I1097:I1098)+SUM(JUEZ_3!I1097:I1098))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JUEZ_1!D1113</f>
        <v/>
      </c>
      <c r="T9" s="4">
        <f>(SUM(JUEZ_1!I1113:I1114)+SUM(JUEZ_2!I1113:I1114)+SUM(JUEZ_3!I1113:I1114))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JUEZ_1!F1065</f>
        <v/>
      </c>
      <c r="B10" s="4">
        <f>(SUM(JUEZ_1!J1065:J1066)+SUM(JUEZ_2!J1065:J1066)+SUM(JUEZ_3!J1065:J1066))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JUEZ_1!F1097</f>
        <v/>
      </c>
      <c r="K10" s="4">
        <f>(SUM(JUEZ_1!J1097:J1098)+SUM(JUEZ_2!J1097:J1098)+SUM(JUEZ_3!J1097:J1098))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JUEZ_1!F1113</f>
        <v/>
      </c>
      <c r="T10" s="4">
        <f>(SUM(JUEZ_1!J1113:J1114)+SUM(JUEZ_2!J1113:J1114)+SUM(JUEZ_3!J1113:J1114))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JUEZ_1!D1067</f>
        <v/>
      </c>
      <c r="B11" s="4">
        <f>(SUM(JUEZ_1!I1067:I1068)+SUM(JUEZ_2!I1067:I1068)+SUM(JUEZ_3!I1067:I1068))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JUEZ_1!D1099</f>
        <v/>
      </c>
      <c r="K11" s="4">
        <f>(SUM(JUEZ_1!I1099:I1100)+SUM(JUEZ_2!I1099:I1100)+SUM(JUEZ_3!I1099:I1100))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JUEZ_1!D1115</f>
        <v/>
      </c>
      <c r="T11" s="4">
        <f>(SUM(JUEZ_1!I1115:I1116)+SUM(JUEZ_2!I1115:I1116)+SUM(JUEZ_3!I1115:I1116))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JUEZ_1!F1067</f>
        <v/>
      </c>
      <c r="B12" s="4">
        <f>(SUM(JUEZ_1!J1067:J1068)+SUM(JUEZ_2!J1067:J1068)+SUM(JUEZ_3!J1067:J1068))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JUEZ_1!F1099</f>
        <v/>
      </c>
      <c r="K12" s="4">
        <f>(SUM(JUEZ_1!J1099:J1100)+SUM(JUEZ_2!J1099:J1100)+SUM(JUEZ_3!J1099:J1100))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JUEZ_1!F1115</f>
        <v/>
      </c>
      <c r="T12" s="4">
        <f>(SUM(JUEZ_1!J1115:J1116)+SUM(JUEZ_2!J1115:J1116)+SUM(JUEZ_3!J1115:J1116))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São Bento da Abadá</t>
        </is>
      </c>
      <c r="AC12" s="4">
        <f>JUEZ_1!A1117</f>
        <v/>
      </c>
      <c r="AD12" s="4">
        <f>JUEZ_1!D1117</f>
        <v/>
      </c>
      <c r="AE12" s="4">
        <f>JUEZ_1!F1117</f>
        <v/>
      </c>
      <c r="AF12" s="4">
        <f>(N(JUEZ_1!I1117)+N(JUEZ_1!J1117))+(N(JUEZ_2!I1117)+N(JUEZ_2!J1117))+(N(JUEZ_3!I1117)+N(JUEZ_3!J1117))</f>
        <v/>
      </c>
      <c r="AG12" s="4">
        <f>IF(AND($AF12=MAX($AF12,$AF13),$AF12&gt;0),"🥇 MEJOR São Bento da Abadá","")</f>
        <v/>
      </c>
    </row>
    <row r="13" ht="14.25" customHeight="1" s="72">
      <c r="A13" s="4">
        <f>JUEZ_1!D1069</f>
        <v/>
      </c>
      <c r="B13" s="4">
        <f>(SUM(JUEZ_1!I1069:I1070)+SUM(JUEZ_2!I1069:I1070)+SUM(JUEZ_3!I1069:I1070))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JUEZ_1!D1101</f>
        <v/>
      </c>
      <c r="K13" s="4">
        <f>(SUM(JUEZ_1!I1101:I1102)+SUM(JUEZ_2!I1101:I1102)+SUM(JUEZ_3!I1101:I1102))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São Bento da Abadá</t>
        </is>
      </c>
      <c r="AC13" s="4">
        <f>JUEZ_1!A1119</f>
        <v/>
      </c>
      <c r="AD13" s="4">
        <f>JUEZ_1!D1119</f>
        <v/>
      </c>
      <c r="AE13" s="4">
        <f>JUEZ_1!F1119</f>
        <v/>
      </c>
      <c r="AF13" s="4">
        <f>(N(JUEZ_1!I1119)+N(JUEZ_1!J1119))+(N(JUEZ_2!I1119)+N(JUEZ_2!J1119))+(N(JUEZ_3!I1119)+N(JUEZ_3!J1119))</f>
        <v/>
      </c>
      <c r="AG13" s="4">
        <f>IF(AND($AF13=MAX($AF12,$AF13),$AF13&gt;0),"🥇 MEJOR São Bento da Abadá","")</f>
        <v/>
      </c>
    </row>
    <row r="14" ht="14.25" customHeight="1" s="72">
      <c r="A14" s="4">
        <f>JUEZ_1!F1069</f>
        <v/>
      </c>
      <c r="B14" s="4">
        <f>(SUM(JUEZ_1!J1069:J1070)+SUM(JUEZ_2!J1069:J1070)+SUM(JUEZ_3!J1069:J1070))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JUEZ_1!F1101</f>
        <v/>
      </c>
      <c r="K14" s="4">
        <f>(SUM(JUEZ_1!J1101:J1102)+SUM(JUEZ_2!J1101:J1102)+SUM(JUEZ_3!J1101:J1102))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Benguela</t>
        </is>
      </c>
      <c r="AC14" s="4">
        <f>JUEZ_1!A1118</f>
        <v/>
      </c>
      <c r="AD14" s="4">
        <f>JUEZ_1!D1118</f>
        <v/>
      </c>
      <c r="AE14" s="4">
        <f>JUEZ_1!F1118</f>
        <v/>
      </c>
      <c r="AF14" s="4">
        <f>(N(JUEZ_1!I1118)+N(JUEZ_1!J1118))+(N(JUEZ_2!I1118)+N(JUEZ_2!J1118))+(N(JUEZ_3!I1118)+N(JUEZ_3!J1118))</f>
        <v/>
      </c>
      <c r="AG14" s="4">
        <f>IF(AND($AF14=MAX($AF14,$AF15),$AF14&gt;0),"🥇 MEJOR Benguela","")</f>
        <v/>
      </c>
    </row>
    <row r="15" ht="14.25" customHeight="1" s="72">
      <c r="A15" s="4">
        <f>JUEZ_1!D1071</f>
        <v/>
      </c>
      <c r="B15" s="4">
        <f>(SUM(JUEZ_1!I1071:I1072)+SUM(JUEZ_2!I1071:I1072)+SUM(JUEZ_3!I1071:I1072))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JUEZ_1!D1103</f>
        <v/>
      </c>
      <c r="K15" s="4">
        <f>(SUM(JUEZ_1!I1103:I1104)+SUM(JUEZ_2!I1103:I1104)+SUM(JUEZ_3!I1103:I1104))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Benguela</t>
        </is>
      </c>
      <c r="AC15" s="4">
        <f>JUEZ_1!A1120</f>
        <v/>
      </c>
      <c r="AD15" s="4">
        <f>JUEZ_1!D1120</f>
        <v/>
      </c>
      <c r="AE15" s="4">
        <f>JUEZ_1!F1120</f>
        <v/>
      </c>
      <c r="AF15" s="4">
        <f>(N(JUEZ_1!I1120)+N(JUEZ_1!J1120))+(N(JUEZ_2!I1120)+N(JUEZ_2!J1120))+(N(JUEZ_3!I1120)+N(JUEZ_3!J1120))</f>
        <v/>
      </c>
      <c r="AG15" s="4">
        <f>IF(AND($AF15=MAX($AF14,$AF15),$AF15&gt;0),"🥇 MEJOR Benguela","")</f>
        <v/>
      </c>
    </row>
    <row r="16" ht="14.25" customHeight="1" s="72">
      <c r="A16" s="4">
        <f>JUEZ_1!F1071</f>
        <v/>
      </c>
      <c r="B16" s="4">
        <f>(SUM(JUEZ_1!J1071:J1072)+SUM(JUEZ_2!J1071:J1072)+SUM(JUEZ_3!J1071:J1072))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JUEZ_1!F1103</f>
        <v/>
      </c>
      <c r="K16" s="4">
        <f>(SUM(JUEZ_1!J1103:J1104)+SUM(JUEZ_2!J1103:J1104)+SUM(JUEZ_3!J1103:J1104))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</row>
    <row r="17" ht="14.25" customHeight="1" s="72">
      <c r="A17" s="4">
        <f>JUEZ_1!D1073</f>
        <v/>
      </c>
      <c r="B17" s="4">
        <f>(SUM(JUEZ_1!I1073:I1074)+SUM(JUEZ_2!I1073:I1074)+SUM(JUEZ_3!I1073:I1074))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JUEZ_1!D1105</f>
        <v/>
      </c>
      <c r="K17" s="4">
        <f>(SUM(JUEZ_1!I1105:I1106)+SUM(JUEZ_2!I1105:I1106)+SUM(JUEZ_3!I1105:I1106))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</row>
    <row r="18" ht="14.25" customHeight="1" s="72">
      <c r="A18" s="4">
        <f>JUEZ_1!F1073</f>
        <v/>
      </c>
      <c r="B18" s="4">
        <f>(SUM(JUEZ_1!J1073:J1074)+SUM(JUEZ_2!J1073:J1074)+SUM(JUEZ_3!J1073:J1074))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JUEZ_1!F1105</f>
        <v/>
      </c>
      <c r="K18" s="4">
        <f>(SUM(JUEZ_1!J1105:J1106)+SUM(JUEZ_2!J1105:J1106)+SUM(JUEZ_3!J1105:J1106))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JUEZ_1!D1075</f>
        <v/>
      </c>
      <c r="B19" s="4">
        <f>(SUM(JUEZ_1!I1075:I1076)+SUM(JUEZ_2!I1075:I1076)+SUM(JUEZ_3!I1075:I1076))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JUEZ_1!D1107</f>
        <v/>
      </c>
      <c r="K19" s="4">
        <f>(SUM(JUEZ_1!I1107:I1108)+SUM(JUEZ_2!I1107:I1108)+SUM(JUEZ_3!I1107:I1108))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JUEZ_1!F1075</f>
        <v/>
      </c>
      <c r="B20" s="4">
        <f>(SUM(JUEZ_1!J1075:J1076)+SUM(JUEZ_2!J1075:J1076)+SUM(JUEZ_3!J1075:J1076))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JUEZ_1!F1107</f>
        <v/>
      </c>
      <c r="K20" s="4">
        <f>(SUM(JUEZ_1!J1107:J1108)+SUM(JUEZ_2!J1107:J1108)+SUM(JUEZ_3!J1107:J1108))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JUEZ_1!D1077</f>
        <v/>
      </c>
      <c r="B21" s="4">
        <f>(SUM(JUEZ_1!I1077:I1078)+SUM(JUEZ_2!I1077:I1078)+SUM(JUEZ_3!I1077:I1078))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JUEZ_1!F1077</f>
        <v/>
      </c>
      <c r="B22" s="4">
        <f>(SUM(JUEZ_1!J1077:J1078)+SUM(JUEZ_2!J1077:J1078)+SUM(JUEZ_3!J1077:J1078))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JUEZ_1!D1079</f>
        <v/>
      </c>
      <c r="B23" s="4">
        <f>(SUM(JUEZ_1!I1079:I1080)+SUM(JUEZ_2!I1079:I1080)+SUM(JUEZ_3!I1079:I1080))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JUEZ_1!F1079</f>
        <v/>
      </c>
      <c r="B24" s="4">
        <f>(SUM(JUEZ_1!J1079:J1080)+SUM(JUEZ_2!J1079:J1080)+SUM(JUEZ_3!J1079:J1080))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JUEZ_1!D1081</f>
        <v/>
      </c>
      <c r="B25" s="4">
        <f>(SUM(JUEZ_1!I1081:I1082)+SUM(JUEZ_2!I1081:I1082)+SUM(JUEZ_3!I1081:I1082))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JUEZ_1!F1081</f>
        <v/>
      </c>
      <c r="B26" s="4">
        <f>(SUM(JUEZ_1!J1081:J1082)+SUM(JUEZ_2!J1081:J1082)+SUM(JUEZ_3!J1081:J1082))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JUEZ_1!D1083</f>
        <v/>
      </c>
      <c r="B27" s="4">
        <f>(SUM(JUEZ_1!I1083:I1084)+SUM(JUEZ_2!I1083:I1084)+SUM(JUEZ_3!I1083:I1084))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JUEZ_1!F1083</f>
        <v/>
      </c>
      <c r="B28" s="4">
        <f>(SUM(JUEZ_1!J1083:J1084)+SUM(JUEZ_2!J1083:J1084)+SUM(JUEZ_3!J1083:J1084))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JUEZ_1!D1085</f>
        <v/>
      </c>
      <c r="B29" s="4">
        <f>(SUM(JUEZ_1!I1085:I1086)+SUM(JUEZ_2!I1085:I1086)+SUM(JUEZ_3!I1085:I1086))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JUEZ_1!F1085</f>
        <v/>
      </c>
      <c r="B30" s="4">
        <f>(SUM(JUEZ_1!J1085:J1086)+SUM(JUEZ_2!J1085:J1086)+SUM(JUEZ_3!J1085:J1086))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JUEZ_1!D1087</f>
        <v/>
      </c>
      <c r="B31" s="4">
        <f>(SUM(JUEZ_1!I1087:I1088)+SUM(JUEZ_2!I1087:I1088)+SUM(JUEZ_3!I1087:I1088))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JUEZ_1!F1087</f>
        <v/>
      </c>
      <c r="B32" s="4">
        <f>(SUM(JUEZ_1!J1087:J1088)+SUM(JUEZ_2!J1087:J1088)+SUM(JUEZ_3!J1087:J1088))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JUEZ_1!D1089</f>
        <v/>
      </c>
      <c r="B33" s="4">
        <f>(SUM(JUEZ_1!I1089:I1090)+SUM(JUEZ_2!I1089:I1090)+SUM(JUEZ_3!I1089:I1090))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JUEZ_1!F1089</f>
        <v/>
      </c>
      <c r="B34" s="4">
        <f>(SUM(JUEZ_1!J1089:J1090)+SUM(JUEZ_2!J1089:J1090)+SUM(JUEZ_3!J1089:J1090))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JUEZ_1!D1091</f>
        <v/>
      </c>
      <c r="B35" s="4">
        <f>(SUM(JUEZ_1!I1091:I1092)+SUM(JUEZ_2!I1091:I1092)+SUM(JUEZ_3!I1091:I1092))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JUEZ_1!F1091</f>
        <v/>
      </c>
      <c r="B36" s="4">
        <f>(SUM(JUEZ_1!J1091:J1092)+SUM(JUEZ_2!J1091:J1092)+SUM(JUEZ_3!J1091:J1092))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7" t="inlineStr">
        <is>
          <t>CLASIFICACIÓN · Cat Juvenil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JUEZ_1!D1124</f>
        <v/>
      </c>
      <c r="B5" s="4">
        <f>(SUM(JUEZ_1!I1124:I1125)+SUM(JUEZ_2!I1124:I1125)+SUM(JUEZ_3!I1124:I1125))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JUEZ_1!D1156</f>
        <v/>
      </c>
      <c r="K5" s="4">
        <f>(SUM(JUEZ_1!I1156:I1157)+SUM(JUEZ_2!I1156:I1157)+SUM(JUEZ_3!I1156:I1157))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JUEZ_1!D1172</f>
        <v/>
      </c>
      <c r="T5" s="4">
        <f>(SUM(JUEZ_1!I1172:I1173)+SUM(JUEZ_2!I1172:I1173)+SUM(JUEZ_3!I1172:I1173))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JUEZ_1!D1180</f>
        <v/>
      </c>
      <c r="AC5" s="4">
        <f>(SUM(JUEZ_1!I1180:I1181)+SUM(JUEZ_2!I1180:I1181)+SUM(JUEZ_3!I1180:I1181))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JUEZ_1!F1124</f>
        <v/>
      </c>
      <c r="B6" s="4">
        <f>(SUM(JUEZ_1!J1124:J1125)+SUM(JUEZ_2!J1124:J1125)+SUM(JUEZ_3!J1124:J1125))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JUEZ_1!F1156</f>
        <v/>
      </c>
      <c r="K6" s="4">
        <f>(SUM(JUEZ_1!J1156:J1157)+SUM(JUEZ_2!J1156:J1157)+SUM(JUEZ_3!J1156:J1157))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JUEZ_1!F1172</f>
        <v/>
      </c>
      <c r="T6" s="4">
        <f>(SUM(JUEZ_1!J1172:J1173)+SUM(JUEZ_2!J1172:J1173)+SUM(JUEZ_3!J1172:J1173))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JUEZ_1!F1180</f>
        <v/>
      </c>
      <c r="AC6" s="4">
        <f>(SUM(JUEZ_1!J1180:J1181)+SUM(JUEZ_2!J1180:J1181)+SUM(JUEZ_3!J1180:J1181))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JUEZ_1!D1126</f>
        <v/>
      </c>
      <c r="B7" s="4">
        <f>(SUM(JUEZ_1!I1126:I1127)+SUM(JUEZ_2!I1126:I1127)+SUM(JUEZ_3!I1126:I1127))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JUEZ_1!D1158</f>
        <v/>
      </c>
      <c r="K7" s="4">
        <f>(SUM(JUEZ_1!I1158:I1159)+SUM(JUEZ_2!I1158:I1159)+SUM(JUEZ_3!I1158:I1159))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JUEZ_1!D1174</f>
        <v/>
      </c>
      <c r="T7" s="4">
        <f>(SUM(JUEZ_1!I1174:I1175)+SUM(JUEZ_2!I1174:I1175)+SUM(JUEZ_3!I1174:I1175))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JUEZ_1!D1182</f>
        <v/>
      </c>
      <c r="AC7" s="4">
        <f>(SUM(JUEZ_1!I1182:I1183)+SUM(JUEZ_2!I1182:I1183)+SUM(JUEZ_3!I1182:I1183))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JUEZ_1!F1126</f>
        <v/>
      </c>
      <c r="B8" s="4">
        <f>(SUM(JUEZ_1!J1126:J1127)+SUM(JUEZ_2!J1126:J1127)+SUM(JUEZ_3!J1126:J1127))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JUEZ_1!F1158</f>
        <v/>
      </c>
      <c r="K8" s="4">
        <f>(SUM(JUEZ_1!J1158:J1159)+SUM(JUEZ_2!J1158:J1159)+SUM(JUEZ_3!J1158:J1159))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JUEZ_1!F1174</f>
        <v/>
      </c>
      <c r="T8" s="4">
        <f>(SUM(JUEZ_1!J1174:J1175)+SUM(JUEZ_2!J1174:J1175)+SUM(JUEZ_3!J1174:J1175))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JUEZ_1!F1182</f>
        <v/>
      </c>
      <c r="AC8" s="4">
        <f>(SUM(JUEZ_1!J1182:J1183)+SUM(JUEZ_2!J1182:J1183)+SUM(JUEZ_3!J1182:J1183))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JUEZ_1!D1128</f>
        <v/>
      </c>
      <c r="B9" s="4">
        <f>(SUM(JUEZ_1!I1128:I1129)+SUM(JUEZ_2!I1128:I1129)+SUM(JUEZ_3!I1128:I1129))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JUEZ_1!D1160</f>
        <v/>
      </c>
      <c r="K9" s="4">
        <f>(SUM(JUEZ_1!I1160:I1161)+SUM(JUEZ_2!I1160:I1161)+SUM(JUEZ_3!I1160:I1161))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JUEZ_1!D1176</f>
        <v/>
      </c>
      <c r="T9" s="4">
        <f>(SUM(JUEZ_1!I1176:I1177)+SUM(JUEZ_2!I1176:I1177)+SUM(JUEZ_3!I1176:I1177))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JUEZ_1!F1128</f>
        <v/>
      </c>
      <c r="B10" s="4">
        <f>(SUM(JUEZ_1!J1128:J1129)+SUM(JUEZ_2!J1128:J1129)+SUM(JUEZ_3!J1128:J1129))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JUEZ_1!F1160</f>
        <v/>
      </c>
      <c r="K10" s="4">
        <f>(SUM(JUEZ_1!J1160:J1161)+SUM(JUEZ_2!J1160:J1161)+SUM(JUEZ_3!J1160:J1161))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JUEZ_1!F1176</f>
        <v/>
      </c>
      <c r="T10" s="4">
        <f>(SUM(JUEZ_1!J1176:J1177)+SUM(JUEZ_2!J1176:J1177)+SUM(JUEZ_3!J1176:J1177))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JUEZ_1!D1130</f>
        <v/>
      </c>
      <c r="B11" s="4">
        <f>(SUM(JUEZ_1!I1130:I1131)+SUM(JUEZ_2!I1130:I1131)+SUM(JUEZ_3!I1130:I1131))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JUEZ_1!D1162</f>
        <v/>
      </c>
      <c r="K11" s="4">
        <f>(SUM(JUEZ_1!I1162:I1163)+SUM(JUEZ_2!I1162:I1163)+SUM(JUEZ_3!I1162:I1163))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JUEZ_1!D1178</f>
        <v/>
      </c>
      <c r="T11" s="4">
        <f>(SUM(JUEZ_1!I1178:I1179)+SUM(JUEZ_2!I1178:I1179)+SUM(JUEZ_3!I1178:I1179))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JUEZ_1!F1130</f>
        <v/>
      </c>
      <c r="B12" s="4">
        <f>(SUM(JUEZ_1!J1130:J1131)+SUM(JUEZ_2!J1130:J1131)+SUM(JUEZ_3!J1130:J1131))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JUEZ_1!F1162</f>
        <v/>
      </c>
      <c r="K12" s="4">
        <f>(SUM(JUEZ_1!J1162:J1163)+SUM(JUEZ_2!J1162:J1163)+SUM(JUEZ_3!J1162:J1163))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JUEZ_1!F1178</f>
        <v/>
      </c>
      <c r="T12" s="4">
        <f>(SUM(JUEZ_1!J1178:J1179)+SUM(JUEZ_2!J1178:J1179)+SUM(JUEZ_3!J1178:J1179))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São Bento da Abadá</t>
        </is>
      </c>
      <c r="AC12" s="4">
        <f>JUEZ_1!A1180</f>
        <v/>
      </c>
      <c r="AD12" s="4">
        <f>JUEZ_1!D1180</f>
        <v/>
      </c>
      <c r="AE12" s="4">
        <f>JUEZ_1!F1180</f>
        <v/>
      </c>
      <c r="AF12" s="4">
        <f>(N(JUEZ_1!I1180)+N(JUEZ_1!J1180))+(N(JUEZ_2!I1180)+N(JUEZ_2!J1180))+(N(JUEZ_3!I1180)+N(JUEZ_3!J1180))</f>
        <v/>
      </c>
      <c r="AG12" s="4">
        <f>IF(AND($AF12=MAX($AF12,$AF13),$AF12&gt;0),"🥇 MEJOR São Bento da Abadá","")</f>
        <v/>
      </c>
    </row>
    <row r="13" ht="14.25" customHeight="1" s="72">
      <c r="A13" s="4">
        <f>JUEZ_1!D1132</f>
        <v/>
      </c>
      <c r="B13" s="4">
        <f>(SUM(JUEZ_1!I1132:I1133)+SUM(JUEZ_2!I1132:I1133)+SUM(JUEZ_3!I1132:I1133))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JUEZ_1!D1164</f>
        <v/>
      </c>
      <c r="K13" s="4">
        <f>(SUM(JUEZ_1!I1164:I1165)+SUM(JUEZ_2!I1164:I1165)+SUM(JUEZ_3!I1164:I1165))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São Bento da Abadá</t>
        </is>
      </c>
      <c r="AC13" s="4">
        <f>JUEZ_1!A1182</f>
        <v/>
      </c>
      <c r="AD13" s="4">
        <f>JUEZ_1!D1182</f>
        <v/>
      </c>
      <c r="AE13" s="4">
        <f>JUEZ_1!F1182</f>
        <v/>
      </c>
      <c r="AF13" s="4">
        <f>(N(JUEZ_1!I1182)+N(JUEZ_1!J1182))+(N(JUEZ_2!I1182)+N(JUEZ_2!J1182))+(N(JUEZ_3!I1182)+N(JUEZ_3!J1182))</f>
        <v/>
      </c>
      <c r="AG13" s="4">
        <f>IF(AND($AF13=MAX($AF12,$AF13),$AF13&gt;0),"🥇 MEJOR São Bento da Abadá","")</f>
        <v/>
      </c>
    </row>
    <row r="14" ht="14.25" customHeight="1" s="72">
      <c r="A14" s="4">
        <f>JUEZ_1!F1132</f>
        <v/>
      </c>
      <c r="B14" s="4">
        <f>(SUM(JUEZ_1!J1132:J1133)+SUM(JUEZ_2!J1132:J1133)+SUM(JUEZ_3!J1132:J1133))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JUEZ_1!F1164</f>
        <v/>
      </c>
      <c r="K14" s="4">
        <f>(SUM(JUEZ_1!J1164:J1165)+SUM(JUEZ_2!J1164:J1165)+SUM(JUEZ_3!J1164:J1165))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Benguela</t>
        </is>
      </c>
      <c r="AC14" s="4">
        <f>JUEZ_1!A1181</f>
        <v/>
      </c>
      <c r="AD14" s="4">
        <f>JUEZ_1!D1181</f>
        <v/>
      </c>
      <c r="AE14" s="4">
        <f>JUEZ_1!F1181</f>
        <v/>
      </c>
      <c r="AF14" s="4">
        <f>(N(JUEZ_1!I1181)+N(JUEZ_1!J1181))+(N(JUEZ_2!I1181)+N(JUEZ_2!J1181))+(N(JUEZ_3!I1181)+N(JUEZ_3!J1181))</f>
        <v/>
      </c>
      <c r="AG14" s="4">
        <f>IF(AND($AF14=MAX($AF14,$AF15),$AF14&gt;0),"🥇 MEJOR Benguela","")</f>
        <v/>
      </c>
    </row>
    <row r="15" ht="14.25" customHeight="1" s="72">
      <c r="A15" s="4">
        <f>JUEZ_1!D1134</f>
        <v/>
      </c>
      <c r="B15" s="4">
        <f>(SUM(JUEZ_1!I1134:I1135)+SUM(JUEZ_2!I1134:I1135)+SUM(JUEZ_3!I1134:I1135))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JUEZ_1!D1166</f>
        <v/>
      </c>
      <c r="K15" s="4">
        <f>(SUM(JUEZ_1!I1166:I1167)+SUM(JUEZ_2!I1166:I1167)+SUM(JUEZ_3!I1166:I1167))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Benguela</t>
        </is>
      </c>
      <c r="AC15" s="4">
        <f>JUEZ_1!A1183</f>
        <v/>
      </c>
      <c r="AD15" s="4">
        <f>JUEZ_1!D1183</f>
        <v/>
      </c>
      <c r="AE15" s="4">
        <f>JUEZ_1!F1183</f>
        <v/>
      </c>
      <c r="AF15" s="4">
        <f>(N(JUEZ_1!I1183)+N(JUEZ_1!J1183))+(N(JUEZ_2!I1183)+N(JUEZ_2!J1183))+(N(JUEZ_3!I1183)+N(JUEZ_3!J1183))</f>
        <v/>
      </c>
      <c r="AG15" s="4">
        <f>IF(AND($AF15=MAX($AF14,$AF15),$AF15&gt;0),"🥇 MEJOR Benguela","")</f>
        <v/>
      </c>
    </row>
    <row r="16" ht="14.25" customHeight="1" s="72">
      <c r="A16" s="4">
        <f>JUEZ_1!F1134</f>
        <v/>
      </c>
      <c r="B16" s="4">
        <f>(SUM(JUEZ_1!J1134:J1135)+SUM(JUEZ_2!J1134:J1135)+SUM(JUEZ_3!J1134:J1135))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JUEZ_1!F1166</f>
        <v/>
      </c>
      <c r="K16" s="4">
        <f>(SUM(JUEZ_1!J1166:J1167)+SUM(JUEZ_2!J1166:J1167)+SUM(JUEZ_3!J1166:J1167))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</row>
    <row r="17" ht="14.25" customHeight="1" s="72">
      <c r="A17" s="4">
        <f>JUEZ_1!D1136</f>
        <v/>
      </c>
      <c r="B17" s="4">
        <f>(SUM(JUEZ_1!I1136:I1137)+SUM(JUEZ_2!I1136:I1137)+SUM(JUEZ_3!I1136:I1137))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JUEZ_1!D1168</f>
        <v/>
      </c>
      <c r="K17" s="4">
        <f>(SUM(JUEZ_1!I1168:I1169)+SUM(JUEZ_2!I1168:I1169)+SUM(JUEZ_3!I1168:I1169))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</row>
    <row r="18" ht="14.25" customHeight="1" s="72">
      <c r="A18" s="4">
        <f>JUEZ_1!F1136</f>
        <v/>
      </c>
      <c r="B18" s="4">
        <f>(SUM(JUEZ_1!J1136:J1137)+SUM(JUEZ_2!J1136:J1137)+SUM(JUEZ_3!J1136:J1137))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JUEZ_1!F1168</f>
        <v/>
      </c>
      <c r="K18" s="4">
        <f>(SUM(JUEZ_1!J1168:J1169)+SUM(JUEZ_2!J1168:J1169)+SUM(JUEZ_3!J1168:J1169))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JUEZ_1!D1138</f>
        <v/>
      </c>
      <c r="B19" s="4">
        <f>(SUM(JUEZ_1!I1138:I1139)+SUM(JUEZ_2!I1138:I1139)+SUM(JUEZ_3!I1138:I1139))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JUEZ_1!D1170</f>
        <v/>
      </c>
      <c r="K19" s="4">
        <f>(SUM(JUEZ_1!I1170:I1171)+SUM(JUEZ_2!I1170:I1171)+SUM(JUEZ_3!I1170:I1171))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JUEZ_1!F1138</f>
        <v/>
      </c>
      <c r="B20" s="4">
        <f>(SUM(JUEZ_1!J1138:J1139)+SUM(JUEZ_2!J1138:J1139)+SUM(JUEZ_3!J1138:J1139))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JUEZ_1!F1170</f>
        <v/>
      </c>
      <c r="K20" s="4">
        <f>(SUM(JUEZ_1!J1170:J1171)+SUM(JUEZ_2!J1170:J1171)+SUM(JUEZ_3!J1170:J1171))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JUEZ_1!D1140</f>
        <v/>
      </c>
      <c r="B21" s="4">
        <f>(SUM(JUEZ_1!I1140:I1141)+SUM(JUEZ_2!I1140:I1141)+SUM(JUEZ_3!I1140:I1141))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JUEZ_1!F1140</f>
        <v/>
      </c>
      <c r="B22" s="4">
        <f>(SUM(JUEZ_1!J1140:J1141)+SUM(JUEZ_2!J1140:J1141)+SUM(JUEZ_3!J1140:J1141))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JUEZ_1!D1142</f>
        <v/>
      </c>
      <c r="B23" s="4">
        <f>(SUM(JUEZ_1!I1142:I1143)+SUM(JUEZ_2!I1142:I1143)+SUM(JUEZ_3!I1142:I1143))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JUEZ_1!F1142</f>
        <v/>
      </c>
      <c r="B24" s="4">
        <f>(SUM(JUEZ_1!J1142:J1143)+SUM(JUEZ_2!J1142:J1143)+SUM(JUEZ_3!J1142:J1143))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JUEZ_1!D1144</f>
        <v/>
      </c>
      <c r="B25" s="4">
        <f>(SUM(JUEZ_1!I1144:I1145)+SUM(JUEZ_2!I1144:I1145)+SUM(JUEZ_3!I1144:I1145))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JUEZ_1!F1144</f>
        <v/>
      </c>
      <c r="B26" s="4">
        <f>(SUM(JUEZ_1!J1144:J1145)+SUM(JUEZ_2!J1144:J1145)+SUM(JUEZ_3!J1144:J1145))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JUEZ_1!D1146</f>
        <v/>
      </c>
      <c r="B27" s="4">
        <f>(SUM(JUEZ_1!I1146:I1147)+SUM(JUEZ_2!I1146:I1147)+SUM(JUEZ_3!I1146:I1147))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JUEZ_1!F1146</f>
        <v/>
      </c>
      <c r="B28" s="4">
        <f>(SUM(JUEZ_1!J1146:J1147)+SUM(JUEZ_2!J1146:J1147)+SUM(JUEZ_3!J1146:J1147))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JUEZ_1!D1148</f>
        <v/>
      </c>
      <c r="B29" s="4">
        <f>(SUM(JUEZ_1!I1148:I1149)+SUM(JUEZ_2!I1148:I1149)+SUM(JUEZ_3!I1148:I1149))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JUEZ_1!F1148</f>
        <v/>
      </c>
      <c r="B30" s="4">
        <f>(SUM(JUEZ_1!J1148:J1149)+SUM(JUEZ_2!J1148:J1149)+SUM(JUEZ_3!J1148:J1149))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JUEZ_1!D1150</f>
        <v/>
      </c>
      <c r="B31" s="4">
        <f>(SUM(JUEZ_1!I1150:I1151)+SUM(JUEZ_2!I1150:I1151)+SUM(JUEZ_3!I1150:I1151))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JUEZ_1!F1150</f>
        <v/>
      </c>
      <c r="B32" s="4">
        <f>(SUM(JUEZ_1!J1150:J1151)+SUM(JUEZ_2!J1150:J1151)+SUM(JUEZ_3!J1150:J1151))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JUEZ_1!D1152</f>
        <v/>
      </c>
      <c r="B33" s="4">
        <f>(SUM(JUEZ_1!I1152:I1153)+SUM(JUEZ_2!I1152:I1153)+SUM(JUEZ_3!I1152:I1153))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JUEZ_1!F1152</f>
        <v/>
      </c>
      <c r="B34" s="4">
        <f>(SUM(JUEZ_1!J1152:J1153)+SUM(JUEZ_2!J1152:J1153)+SUM(JUEZ_3!J1152:J1153))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JUEZ_1!D1154</f>
        <v/>
      </c>
      <c r="B35" s="4">
        <f>(SUM(JUEZ_1!I1154:I1155)+SUM(JUEZ_2!I1154:I1155)+SUM(JUEZ_3!I1154:I1155))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JUEZ_1!F1154</f>
        <v/>
      </c>
      <c r="B36" s="4">
        <f>(SUM(JUEZ_1!J1154:J1155)+SUM(JUEZ_2!J1154:J1155)+SUM(JUEZ_3!J1154:J1155))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8" t="inlineStr">
        <is>
          <t>CLASIFICACIÓN · Cat General Masculino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JUEZ_1!D1187</f>
        <v/>
      </c>
      <c r="B5" s="4">
        <f>(SUM(JUEZ_1!I1187:I1189)+SUM(JUEZ_2!I1187:I1189)+SUM(JUEZ_3!I1187:I1189))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JUEZ_1!D1235</f>
        <v/>
      </c>
      <c r="K5" s="4">
        <f>(SUM(JUEZ_1!I1235:I1237)+SUM(JUEZ_2!I1235:I1237)+SUM(JUEZ_3!I1235:I1237))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JUEZ_1!D1259</f>
        <v/>
      </c>
      <c r="T5" s="4">
        <f>(SUM(JUEZ_1!I1259:I1261)+SUM(JUEZ_2!I1259:I1261)+SUM(JUEZ_3!I1259:I1261))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JUEZ_1!D1271</f>
        <v/>
      </c>
      <c r="AC5" s="4">
        <f>(SUM(JUEZ_1!I1271:I1273)+SUM(JUEZ_2!I1271:I1273)+SUM(JUEZ_3!I1271:I1273))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JUEZ_1!F1187</f>
        <v/>
      </c>
      <c r="B6" s="4">
        <f>(SUM(JUEZ_1!J1187:J1189)+SUM(JUEZ_2!J1187:J1189)+SUM(JUEZ_3!J1187:J1189))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JUEZ_1!F1235</f>
        <v/>
      </c>
      <c r="K6" s="4">
        <f>(SUM(JUEZ_1!J1235:J1237)+SUM(JUEZ_2!J1235:J1237)+SUM(JUEZ_3!J1235:J1237))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JUEZ_1!F1259</f>
        <v/>
      </c>
      <c r="T6" s="4">
        <f>(SUM(JUEZ_1!J1259:J1261)+SUM(JUEZ_2!J1259:J1261)+SUM(JUEZ_3!J1259:J1261))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JUEZ_1!F1271</f>
        <v/>
      </c>
      <c r="AC6" s="4">
        <f>(SUM(JUEZ_1!J1271:J1273)+SUM(JUEZ_2!J1271:J1273)+SUM(JUEZ_3!J1271:J1273))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JUEZ_1!D1190</f>
        <v/>
      </c>
      <c r="B7" s="4">
        <f>(SUM(JUEZ_1!I1190:I1192)+SUM(JUEZ_2!I1190:I1192)+SUM(JUEZ_3!I1190:I1192))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JUEZ_1!D1238</f>
        <v/>
      </c>
      <c r="K7" s="4">
        <f>(SUM(JUEZ_1!I1238:I1240)+SUM(JUEZ_2!I1238:I1240)+SUM(JUEZ_3!I1238:I1240))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JUEZ_1!D1262</f>
        <v/>
      </c>
      <c r="T7" s="4">
        <f>(SUM(JUEZ_1!I1262:I1264)+SUM(JUEZ_2!I1262:I1264)+SUM(JUEZ_3!I1262:I1264))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JUEZ_1!D1274</f>
        <v/>
      </c>
      <c r="AC7" s="4">
        <f>(SUM(JUEZ_1!I1274:I1276)+SUM(JUEZ_2!I1274:I1276)+SUM(JUEZ_3!I1274:I1276))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JUEZ_1!F1190</f>
        <v/>
      </c>
      <c r="B8" s="4">
        <f>(SUM(JUEZ_1!J1190:J1192)+SUM(JUEZ_2!J1190:J1192)+SUM(JUEZ_3!J1190:J1192))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JUEZ_1!F1238</f>
        <v/>
      </c>
      <c r="K8" s="4">
        <f>(SUM(JUEZ_1!J1238:J1240)+SUM(JUEZ_2!J1238:J1240)+SUM(JUEZ_3!J1238:J1240))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JUEZ_1!F1262</f>
        <v/>
      </c>
      <c r="T8" s="4">
        <f>(SUM(JUEZ_1!J1262:J1264)+SUM(JUEZ_2!J1262:J1264)+SUM(JUEZ_3!J1262:J1264))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JUEZ_1!F1274</f>
        <v/>
      </c>
      <c r="AC8" s="4">
        <f>(SUM(JUEZ_1!J1274:J1276)+SUM(JUEZ_2!J1274:J1276)+SUM(JUEZ_3!J1274:J1276))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JUEZ_1!D1193</f>
        <v/>
      </c>
      <c r="B9" s="4">
        <f>(SUM(JUEZ_1!I1193:I1195)+SUM(JUEZ_2!I1193:I1195)+SUM(JUEZ_3!I1193:I1195))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JUEZ_1!D1241</f>
        <v/>
      </c>
      <c r="K9" s="4">
        <f>(SUM(JUEZ_1!I1241:I1243)+SUM(JUEZ_2!I1241:I1243)+SUM(JUEZ_3!I1241:I1243))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JUEZ_1!D1265</f>
        <v/>
      </c>
      <c r="T9" s="4">
        <f>(SUM(JUEZ_1!I1265:I1267)+SUM(JUEZ_2!I1265:I1267)+SUM(JUEZ_3!I1265:I1267))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JUEZ_1!F1193</f>
        <v/>
      </c>
      <c r="B10" s="4">
        <f>(SUM(JUEZ_1!J1193:J1195)+SUM(JUEZ_2!J1193:J1195)+SUM(JUEZ_3!J1193:J1195))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JUEZ_1!F1241</f>
        <v/>
      </c>
      <c r="K10" s="4">
        <f>(SUM(JUEZ_1!J1241:J1243)+SUM(JUEZ_2!J1241:J1243)+SUM(JUEZ_3!J1241:J1243))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JUEZ_1!F1265</f>
        <v/>
      </c>
      <c r="T10" s="4">
        <f>(SUM(JUEZ_1!J1265:J1267)+SUM(JUEZ_2!J1265:J1267)+SUM(JUEZ_3!J1265:J1267))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JUEZ_1!D1196</f>
        <v/>
      </c>
      <c r="B11" s="4">
        <f>(SUM(JUEZ_1!I1196:I1198)+SUM(JUEZ_2!I1196:I1198)+SUM(JUEZ_3!I1196:I1198))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JUEZ_1!D1244</f>
        <v/>
      </c>
      <c r="K11" s="4">
        <f>(SUM(JUEZ_1!I1244:I1246)+SUM(JUEZ_2!I1244:I1246)+SUM(JUEZ_3!I1244:I1246))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JUEZ_1!D1268</f>
        <v/>
      </c>
      <c r="T11" s="4">
        <f>(SUM(JUEZ_1!I1268:I1270)+SUM(JUEZ_2!I1268:I1270)+SUM(JUEZ_3!I1268:I1270))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JUEZ_1!F1196</f>
        <v/>
      </c>
      <c r="B12" s="4">
        <f>(SUM(JUEZ_1!J1196:J1198)+SUM(JUEZ_2!J1196:J1198)+SUM(JUEZ_3!J1196:J1198))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JUEZ_1!F1244</f>
        <v/>
      </c>
      <c r="K12" s="4">
        <f>(SUM(JUEZ_1!J1244:J1246)+SUM(JUEZ_2!J1244:J1246)+SUM(JUEZ_3!J1244:J1246))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JUEZ_1!F1268</f>
        <v/>
      </c>
      <c r="T12" s="4">
        <f>(SUM(JUEZ_1!J1268:J1270)+SUM(JUEZ_2!J1268:J1270)+SUM(JUEZ_3!J1268:J1270))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JUEZ_1!A1271</f>
        <v/>
      </c>
      <c r="AD12" s="4">
        <f>JUEZ_1!D1271</f>
        <v/>
      </c>
      <c r="AE12" s="4">
        <f>JUEZ_1!F1271</f>
        <v/>
      </c>
      <c r="AF12" s="4">
        <f>(N(JUEZ_1!I1271)+N(JUEZ_1!J1271))+(N(JUEZ_2!I1271)+N(JUEZ_2!J1271))+(N(JUEZ_3!I1271)+N(JUEZ_3!J1271))</f>
        <v/>
      </c>
      <c r="AG12" s="4">
        <f>IF(AND($AF12=MAX($AF12,$AF13),$AF12&gt;0),"🥇 MEJOR Benguela","")</f>
        <v/>
      </c>
    </row>
    <row r="13" ht="14.25" customHeight="1" s="72">
      <c r="A13" s="4">
        <f>JUEZ_1!D1199</f>
        <v/>
      </c>
      <c r="B13" s="4">
        <f>(SUM(JUEZ_1!I1199:I1201)+SUM(JUEZ_2!I1199:I1201)+SUM(JUEZ_3!I1199:I1201))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JUEZ_1!D1247</f>
        <v/>
      </c>
      <c r="K13" s="4">
        <f>(SUM(JUEZ_1!I1247:I1249)+SUM(JUEZ_2!I1247:I1249)+SUM(JUEZ_3!I1247:I1249))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JUEZ_1!A1274</f>
        <v/>
      </c>
      <c r="AD13" s="4">
        <f>JUEZ_1!D1274</f>
        <v/>
      </c>
      <c r="AE13" s="4">
        <f>JUEZ_1!F1274</f>
        <v/>
      </c>
      <c r="AF13" s="4">
        <f>(N(JUEZ_1!I1274)+N(JUEZ_1!J1274))+(N(JUEZ_2!I1274)+N(JUEZ_2!J1274))+(N(JUEZ_3!I1274)+N(JUEZ_3!J1274))</f>
        <v/>
      </c>
      <c r="AG13" s="4">
        <f>IF(AND($AF13=MAX($AF12,$AF13),$AF13&gt;0),"🥇 MEJOR Benguela","")</f>
        <v/>
      </c>
    </row>
    <row r="14" ht="14.25" customHeight="1" s="72">
      <c r="A14" s="4">
        <f>JUEZ_1!F1199</f>
        <v/>
      </c>
      <c r="B14" s="4">
        <f>(SUM(JUEZ_1!J1199:J1201)+SUM(JUEZ_2!J1199:J1201)+SUM(JUEZ_3!J1199:J1201))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JUEZ_1!F1247</f>
        <v/>
      </c>
      <c r="K14" s="4">
        <f>(SUM(JUEZ_1!J1247:J1249)+SUM(JUEZ_2!J1247:J1249)+SUM(JUEZ_3!J1247:J1249))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JUEZ_1!A1272</f>
        <v/>
      </c>
      <c r="AD14" s="4">
        <f>JUEZ_1!D1272</f>
        <v/>
      </c>
      <c r="AE14" s="4">
        <f>JUEZ_1!F1272</f>
        <v/>
      </c>
      <c r="AF14" s="4">
        <f>(N(JUEZ_1!I1272)+N(JUEZ_1!J1272))+(N(JUEZ_2!I1272)+N(JUEZ_2!J1272))+(N(JUEZ_3!I1272)+N(JUEZ_3!J1272))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JUEZ_1!D1202</f>
        <v/>
      </c>
      <c r="B15" s="4">
        <f>(SUM(JUEZ_1!I1202:I1204)+SUM(JUEZ_2!I1202:I1204)+SUM(JUEZ_3!I1202:I1204))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JUEZ_1!D1250</f>
        <v/>
      </c>
      <c r="K15" s="4">
        <f>(SUM(JUEZ_1!I1250:I1252)+SUM(JUEZ_2!I1250:I1252)+SUM(JUEZ_3!I1250:I1252))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JUEZ_1!A1275</f>
        <v/>
      </c>
      <c r="AD15" s="4">
        <f>JUEZ_1!D1275</f>
        <v/>
      </c>
      <c r="AE15" s="4">
        <f>JUEZ_1!F1275</f>
        <v/>
      </c>
      <c r="AF15" s="4">
        <f>(N(JUEZ_1!I1275)+N(JUEZ_1!J1275))+(N(JUEZ_2!I1275)+N(JUEZ_2!J1275))+(N(JUEZ_3!I1275)+N(JUEZ_3!J1275))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JUEZ_1!F1202</f>
        <v/>
      </c>
      <c r="B16" s="4">
        <f>(SUM(JUEZ_1!J1202:J1204)+SUM(JUEZ_2!J1202:J1204)+SUM(JUEZ_3!J1202:J1204))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JUEZ_1!F1250</f>
        <v/>
      </c>
      <c r="K16" s="4">
        <f>(SUM(JUEZ_1!J1250:J1252)+SUM(JUEZ_2!J1250:J1252)+SUM(JUEZ_3!J1250:J1252))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JUEZ_1!A1273</f>
        <v/>
      </c>
      <c r="AD16" s="4">
        <f>JUEZ_1!D1273</f>
        <v/>
      </c>
      <c r="AE16" s="4">
        <f>JUEZ_1!F1273</f>
        <v/>
      </c>
      <c r="AF16" s="4">
        <f>(N(JUEZ_1!I1273)+N(JUEZ_1!J1273))+(N(JUEZ_2!I1273)+N(JUEZ_2!J1273))+(N(JUEZ_3!I1273)+N(JUEZ_3!J1273))</f>
        <v/>
      </c>
      <c r="AG16" s="4">
        <f>IF(AND($AF16=MAX($AF16,$AF17),$AF16&gt;0),"🥇 MEJOR Siriuna","")</f>
        <v/>
      </c>
    </row>
    <row r="17" ht="14.25" customHeight="1" s="72">
      <c r="A17" s="4">
        <f>JUEZ_1!D1205</f>
        <v/>
      </c>
      <c r="B17" s="4">
        <f>(SUM(JUEZ_1!I1205:I1207)+SUM(JUEZ_2!I1205:I1207)+SUM(JUEZ_3!I1205:I1207))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JUEZ_1!D1253</f>
        <v/>
      </c>
      <c r="K17" s="4">
        <f>(SUM(JUEZ_1!I1253:I1255)+SUM(JUEZ_2!I1253:I1255)+SUM(JUEZ_3!I1253:I1255))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JUEZ_1!A1276</f>
        <v/>
      </c>
      <c r="AD17" s="4">
        <f>JUEZ_1!D1276</f>
        <v/>
      </c>
      <c r="AE17" s="4">
        <f>JUEZ_1!F1276</f>
        <v/>
      </c>
      <c r="AF17" s="4">
        <f>(N(JUEZ_1!I1276)+N(JUEZ_1!J1276))+(N(JUEZ_2!I1276)+N(JUEZ_2!J1276))+(N(JUEZ_3!I1276)+N(JUEZ_3!J1276))</f>
        <v/>
      </c>
      <c r="AG17" s="4">
        <f>IF(AND($AF17=MAX($AF16,$AF17),$AF17&gt;0),"🥇 MEJOR Siriuna","")</f>
        <v/>
      </c>
    </row>
    <row r="18" ht="14.25" customHeight="1" s="72">
      <c r="A18" s="4">
        <f>JUEZ_1!F1205</f>
        <v/>
      </c>
      <c r="B18" s="4">
        <f>(SUM(JUEZ_1!J1205:J1207)+SUM(JUEZ_2!J1205:J1207)+SUM(JUEZ_3!J1205:J1207))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JUEZ_1!F1253</f>
        <v/>
      </c>
      <c r="K18" s="4">
        <f>(SUM(JUEZ_1!J1253:J1255)+SUM(JUEZ_2!J1253:J1255)+SUM(JUEZ_3!J1253:J1255))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JUEZ_1!D1208</f>
        <v/>
      </c>
      <c r="B19" s="4">
        <f>(SUM(JUEZ_1!I1208:I1210)+SUM(JUEZ_2!I1208:I1210)+SUM(JUEZ_3!I1208:I1210))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JUEZ_1!D1256</f>
        <v/>
      </c>
      <c r="K19" s="4">
        <f>(SUM(JUEZ_1!I1256:I1258)+SUM(JUEZ_2!I1256:I1258)+SUM(JUEZ_3!I1256:I1258))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JUEZ_1!F1208</f>
        <v/>
      </c>
      <c r="B20" s="4">
        <f>(SUM(JUEZ_1!J1208:J1210)+SUM(JUEZ_2!J1208:J1210)+SUM(JUEZ_3!J1208:J1210))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JUEZ_1!F1256</f>
        <v/>
      </c>
      <c r="K20" s="4">
        <f>(SUM(JUEZ_1!J1256:J1258)+SUM(JUEZ_2!J1256:J1258)+SUM(JUEZ_3!J1256:J1258))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JUEZ_1!D1211</f>
        <v/>
      </c>
      <c r="B21" s="4">
        <f>(SUM(JUEZ_1!I1211:I1213)+SUM(JUEZ_2!I1211:I1213)+SUM(JUEZ_3!I1211:I1213))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JUEZ_1!F1211</f>
        <v/>
      </c>
      <c r="B22" s="4">
        <f>(SUM(JUEZ_1!J1211:J1213)+SUM(JUEZ_2!J1211:J1213)+SUM(JUEZ_3!J1211:J1213))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JUEZ_1!D1214</f>
        <v/>
      </c>
      <c r="B23" s="4">
        <f>(SUM(JUEZ_1!I1214:I1216)+SUM(JUEZ_2!I1214:I1216)+SUM(JUEZ_3!I1214:I1216))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JUEZ_1!F1214</f>
        <v/>
      </c>
      <c r="B24" s="4">
        <f>(SUM(JUEZ_1!J1214:J1216)+SUM(JUEZ_2!J1214:J1216)+SUM(JUEZ_3!J1214:J1216))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JUEZ_1!D1217</f>
        <v/>
      </c>
      <c r="B25" s="4">
        <f>(SUM(JUEZ_1!I1217:I1219)+SUM(JUEZ_2!I1217:I1219)+SUM(JUEZ_3!I1217:I1219))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JUEZ_1!F1217</f>
        <v/>
      </c>
      <c r="B26" s="4">
        <f>(SUM(JUEZ_1!J1217:J1219)+SUM(JUEZ_2!J1217:J1219)+SUM(JUEZ_3!J1217:J1219))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JUEZ_1!D1220</f>
        <v/>
      </c>
      <c r="B27" s="4">
        <f>(SUM(JUEZ_1!I1220:I1222)+SUM(JUEZ_2!I1220:I1222)+SUM(JUEZ_3!I1220:I1222))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JUEZ_1!F1220</f>
        <v/>
      </c>
      <c r="B28" s="4">
        <f>(SUM(JUEZ_1!J1220:J1222)+SUM(JUEZ_2!J1220:J1222)+SUM(JUEZ_3!J1220:J1222))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JUEZ_1!D1223</f>
        <v/>
      </c>
      <c r="B29" s="4">
        <f>(SUM(JUEZ_1!I1223:I1225)+SUM(JUEZ_2!I1223:I1225)+SUM(JUEZ_3!I1223:I1225))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JUEZ_1!F1223</f>
        <v/>
      </c>
      <c r="B30" s="4">
        <f>(SUM(JUEZ_1!J1223:J1225)+SUM(JUEZ_2!J1223:J1225)+SUM(JUEZ_3!J1223:J1225))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JUEZ_1!D1226</f>
        <v/>
      </c>
      <c r="B31" s="4">
        <f>(SUM(JUEZ_1!I1226:I1228)+SUM(JUEZ_2!I1226:I1228)+SUM(JUEZ_3!I1226:I1228))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JUEZ_1!F1226</f>
        <v/>
      </c>
      <c r="B32" s="4">
        <f>(SUM(JUEZ_1!J1226:J1228)+SUM(JUEZ_2!J1226:J1228)+SUM(JUEZ_3!J1226:J1228))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JUEZ_1!D1229</f>
        <v/>
      </c>
      <c r="B33" s="4">
        <f>(SUM(JUEZ_1!I1229:I1231)+SUM(JUEZ_2!I1229:I1231)+SUM(JUEZ_3!I1229:I1231))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JUEZ_1!F1229</f>
        <v/>
      </c>
      <c r="B34" s="4">
        <f>(SUM(JUEZ_1!J1229:J1231)+SUM(JUEZ_2!J1229:J1231)+SUM(JUEZ_3!J1229:J1231))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JUEZ_1!D1232</f>
        <v/>
      </c>
      <c r="B35" s="4">
        <f>(SUM(JUEZ_1!I1232:I1234)+SUM(JUEZ_2!I1232:I1234)+SUM(JUEZ_3!I1232:I1234))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JUEZ_1!F1232</f>
        <v/>
      </c>
      <c r="B36" s="4">
        <f>(SUM(JUEZ_1!J1232:J1234)+SUM(JUEZ_2!J1232:J1234)+SUM(JUEZ_3!J1232:J1234))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2" min="1" max="35"/>
  </cols>
  <sheetData>
    <row r="1" ht="14.25" customHeight="1" s="72">
      <c r="A1" s="98" t="inlineStr">
        <is>
          <t>CLASIFICACIÓN · Cat General Femenino · suma toques × 3 jueces</t>
        </is>
      </c>
    </row>
    <row r="2" ht="14.25" customHeight="1" s="72"/>
    <row r="3" ht="14.25" customHeight="1" s="72">
      <c r="J3" s="21" t="inlineStr">
        <is>
          <t>FASE OCTAVAS · pasan 8 a Semifinal</t>
        </is>
      </c>
      <c r="S3" s="21" t="inlineStr">
        <is>
          <t>FASE SEMIFINAL · pasan 4 a la Final</t>
        </is>
      </c>
      <c r="AB3" s="21" t="inlineStr">
        <is>
          <t>FASE FINAL · sale el CAMPEÓN</t>
        </is>
      </c>
    </row>
    <row r="4" ht="14.25" customHeight="1" s="72">
      <c r="A4" s="4" t="inlineStr">
        <is>
          <t>Competidor</t>
        </is>
      </c>
      <c r="B4" s="4" t="inlineStr">
        <is>
          <t>Puntos</t>
        </is>
      </c>
      <c r="C4" s="4" t="inlineStr">
        <is>
          <t>clave</t>
        </is>
      </c>
      <c r="E4" s="4" t="inlineStr">
        <is>
          <t>Puesto</t>
        </is>
      </c>
      <c r="F4" s="4" t="inlineStr">
        <is>
          <t>Competidor</t>
        </is>
      </c>
      <c r="G4" s="4" t="inlineStr">
        <is>
          <t>Puntos</t>
        </is>
      </c>
      <c r="H4" s="4" t="inlineStr">
        <is>
          <t>Estado</t>
        </is>
      </c>
      <c r="J4" s="4" t="inlineStr">
        <is>
          <t>Competidor</t>
        </is>
      </c>
      <c r="K4" s="4" t="inlineStr">
        <is>
          <t>Puntos</t>
        </is>
      </c>
      <c r="L4" s="4" t="inlineStr">
        <is>
          <t>clave</t>
        </is>
      </c>
      <c r="N4" s="4" t="inlineStr">
        <is>
          <t>Puesto</t>
        </is>
      </c>
      <c r="O4" s="4" t="inlineStr">
        <is>
          <t>Competidor</t>
        </is>
      </c>
      <c r="P4" s="4" t="inlineStr">
        <is>
          <t>Puntos</t>
        </is>
      </c>
      <c r="Q4" s="4" t="inlineStr">
        <is>
          <t>Estado</t>
        </is>
      </c>
      <c r="S4" s="4" t="inlineStr">
        <is>
          <t>Competidor</t>
        </is>
      </c>
      <c r="T4" s="4" t="inlineStr">
        <is>
          <t>Puntos</t>
        </is>
      </c>
      <c r="U4" s="4" t="inlineStr">
        <is>
          <t>clave</t>
        </is>
      </c>
      <c r="W4" s="4" t="inlineStr">
        <is>
          <t>Puesto</t>
        </is>
      </c>
      <c r="X4" s="4" t="inlineStr">
        <is>
          <t>Competidor</t>
        </is>
      </c>
      <c r="Y4" s="4" t="inlineStr">
        <is>
          <t>Puntos</t>
        </is>
      </c>
      <c r="Z4" s="4" t="inlineStr">
        <is>
          <t>Estado</t>
        </is>
      </c>
      <c r="AB4" s="4" t="inlineStr">
        <is>
          <t>Competidor</t>
        </is>
      </c>
      <c r="AC4" s="4" t="inlineStr">
        <is>
          <t>Puntos</t>
        </is>
      </c>
      <c r="AD4" s="4" t="inlineStr">
        <is>
          <t>clave</t>
        </is>
      </c>
      <c r="AF4" s="4" t="inlineStr">
        <is>
          <t>Puesto</t>
        </is>
      </c>
      <c r="AG4" s="4" t="inlineStr">
        <is>
          <t>Competidor</t>
        </is>
      </c>
      <c r="AH4" s="4" t="inlineStr">
        <is>
          <t>Puntos</t>
        </is>
      </c>
      <c r="AI4" s="4" t="inlineStr">
        <is>
          <t>Resultado</t>
        </is>
      </c>
    </row>
    <row r="5" ht="14.25" customHeight="1" s="72">
      <c r="A5" s="4">
        <f>JUEZ_1!D1280</f>
        <v/>
      </c>
      <c r="B5" s="4">
        <f>(SUM(JUEZ_1!I1280:I1282)+SUM(JUEZ_2!I1280:I1282)+SUM(JUEZ_3!I1280:I1282))</f>
        <v/>
      </c>
      <c r="C5" s="4">
        <f>IF(OR($A5="",$A5="BYE",LEFT($A5,2)="A_",LEFT($A5,2)="B_"),-1000-ROW()*0.0000001,N(B5)-ROW()*0.0000001)</f>
        <v/>
      </c>
      <c r="E5" s="4">
        <f>ROW()-4</f>
        <v/>
      </c>
      <c r="F5" s="4">
        <f>IFERROR(INDEX($A$5:$A$36,MATCH(LARGE($C$5:$C$36,$E5),$C$5:$C$36,0)),"")</f>
        <v/>
      </c>
      <c r="G5" s="4">
        <f>IFERROR(INDEX($B$5:$B$36,MATCH(LARGE($C$5:$C$36,$E5),$C$5:$C$36,0)),"")</f>
        <v/>
      </c>
      <c r="H5" s="4">
        <f>IF(OR($F5="",$F5="BYE",LEFT($F5,2)="A_",LEFT($F5,2)="B_"),"",IF($E5&lt;=16,IF(AND($G5=INDEX($G$5:$G$36,17),$G5=INDEX($G$5:$G$36,16)),"Empate (mesa)","CLASIFICA"),IF($G5=INDEX($G$5:$G$36,16),"Empate (mesa)","—")))</f>
        <v/>
      </c>
      <c r="J5" s="4">
        <f>JUEZ_1!D1328</f>
        <v/>
      </c>
      <c r="K5" s="4">
        <f>(SUM(JUEZ_1!I1328:I1330)+SUM(JUEZ_2!I1328:I1330)+SUM(JUEZ_3!I1328:I1330))</f>
        <v/>
      </c>
      <c r="L5" s="4">
        <f>IF(OR($J5="",$J5="BYE",LEFT($J5,2)="A_",LEFT($J5,2)="B_"),-1000-ROW()*0.0000001,N(K5)-ROW()*0.0000001)</f>
        <v/>
      </c>
      <c r="N5" s="4">
        <f>ROW()-4</f>
        <v/>
      </c>
      <c r="O5" s="4">
        <f>IFERROR(INDEX($J$5:$J$20,MATCH(LARGE($L$5:$L$20,$N5),$L$5:$L$20,0)),"")</f>
        <v/>
      </c>
      <c r="P5" s="4">
        <f>IFERROR(INDEX($K$5:$K$20,MATCH(LARGE($L$5:$L$20,$N5),$L$5:$L$20,0)),"")</f>
        <v/>
      </c>
      <c r="Q5" s="4">
        <f>IF(OR($O5="",$O5="BYE",LEFT($O5,2)="A_",LEFT($O5,2)="B_"),"",IF($N5&lt;=8,IF(AND($P5=INDEX($P$5:$P$20,9),$P5=INDEX($P$5:$P$20,8)),"Empate (mesa)","CLASIFICA"),IF($P5=INDEX($P$5:$P$20,8),"Empate (mesa)","—")))</f>
        <v/>
      </c>
      <c r="S5" s="4">
        <f>JUEZ_1!D1352</f>
        <v/>
      </c>
      <c r="T5" s="4">
        <f>(SUM(JUEZ_1!I1352:I1354)+SUM(JUEZ_2!I1352:I1354)+SUM(JUEZ_3!I1352:I1354))</f>
        <v/>
      </c>
      <c r="U5" s="4">
        <f>IF(OR($S5="",$S5="BYE",LEFT($S5,2)="A_",LEFT($S5,2)="B_"),-1000-ROW()*0.0000001,N(T5)-ROW()*0.0000001)</f>
        <v/>
      </c>
      <c r="W5" s="4">
        <f>ROW()-4</f>
        <v/>
      </c>
      <c r="X5" s="4">
        <f>IFERROR(INDEX($S$5:$S$12,MATCH(LARGE($U$5:$U$12,$W5),$U$5:$U$12,0)),"")</f>
        <v/>
      </c>
      <c r="Y5" s="4">
        <f>IFERROR(INDEX($T$5:$T$12,MATCH(LARGE($U$5:$U$12,$W5),$U$5:$U$12,0)),"")</f>
        <v/>
      </c>
      <c r="Z5" s="4">
        <f>IF(OR($X5="",$X5="BYE",LEFT($X5,2)="A_",LEFT($X5,2)="B_"),"",IF($W5&lt;=4,IF(AND($Y5=INDEX($Y$5:$Y$12,5),$Y5=INDEX($Y$5:$Y$12,4)),"Empate (mesa)","CLASIFICA"),IF($Y5=INDEX($Y$5:$Y$12,4),"Empate (mesa)","—")))</f>
        <v/>
      </c>
      <c r="AB5" s="4">
        <f>JUEZ_1!D1364</f>
        <v/>
      </c>
      <c r="AC5" s="4">
        <f>(SUM(JUEZ_1!I1364:I1366)+SUM(JUEZ_2!I1364:I1366)+SUM(JUEZ_3!I1364:I1366))</f>
        <v/>
      </c>
      <c r="AD5" s="4">
        <f>IF(OR($AB5="",$AB5="BYE",LEFT($AB5,2)="A_",LEFT($AB5,2)="B_"),-1000-ROW()*0.0000001,N(AC5)-ROW()*0.0000001)</f>
        <v/>
      </c>
      <c r="AF5" s="4">
        <f>ROW()-4</f>
        <v/>
      </c>
      <c r="AG5" s="4">
        <f>IFERROR(INDEX($AB$5:$AB$8,MATCH(LARGE($AD$5:$AD$8,$AF5),$AD$5:$AD$8,0)),"")</f>
        <v/>
      </c>
      <c r="AH5" s="4">
        <f>IFERROR(INDEX($AC$5:$AC$8,MATCH(LARGE($AD$5:$AD$8,$AF5),$AD$5:$AD$8,0)),"")</f>
        <v/>
      </c>
      <c r="AI5" s="4">
        <f>IF(OR($AG5="",$AG5="BYE",LEFT($AG5,2)="A_",LEFT($AG5,2)="B_"),"",IF($AF5=1,IF($AH5=INDEX($AH$5:$AH$8,2),"Empate 1º (mesa)","🏆 CAMPEÓN"),IF($AF5=2,"2º Subcampeón",IF($AF5=3,"3er puesto","4º puesto"))))</f>
        <v/>
      </c>
    </row>
    <row r="6" ht="14.25" customHeight="1" s="72">
      <c r="A6" s="4">
        <f>JUEZ_1!F1280</f>
        <v/>
      </c>
      <c r="B6" s="4">
        <f>(SUM(JUEZ_1!J1280:J1282)+SUM(JUEZ_2!J1280:J1282)+SUM(JUEZ_3!J1280:J1282))</f>
        <v/>
      </c>
      <c r="C6" s="4">
        <f>IF(OR($A6="",$A6="BYE",LEFT($A6,2)="A_",LEFT($A6,2)="B_"),-1000-ROW()*0.0000001,N(B6)-ROW()*0.0000001)</f>
        <v/>
      </c>
      <c r="E6" s="4">
        <f>ROW()-4</f>
        <v/>
      </c>
      <c r="F6" s="4">
        <f>IFERROR(INDEX($A$5:$A$36,MATCH(LARGE($C$5:$C$36,$E6),$C$5:$C$36,0)),"")</f>
        <v/>
      </c>
      <c r="G6" s="4">
        <f>IFERROR(INDEX($B$5:$B$36,MATCH(LARGE($C$5:$C$36,$E6),$C$5:$C$36,0)),"")</f>
        <v/>
      </c>
      <c r="H6" s="4">
        <f>IF(OR($F6="",$F6="BYE",LEFT($F6,2)="A_",LEFT($F6,2)="B_"),"",IF($E6&lt;=16,IF(AND($G6=INDEX($G$5:$G$36,17),$G6=INDEX($G$5:$G$36,16)),"Empate (mesa)","CLASIFICA"),IF($G6=INDEX($G$5:$G$36,16),"Empate (mesa)","—")))</f>
        <v/>
      </c>
      <c r="J6" s="4">
        <f>JUEZ_1!F1328</f>
        <v/>
      </c>
      <c r="K6" s="4">
        <f>(SUM(JUEZ_1!J1328:J1330)+SUM(JUEZ_2!J1328:J1330)+SUM(JUEZ_3!J1328:J1330))</f>
        <v/>
      </c>
      <c r="L6" s="4">
        <f>IF(OR($J6="",$J6="BYE",LEFT($J6,2)="A_",LEFT($J6,2)="B_"),-1000-ROW()*0.0000001,N(K6)-ROW()*0.0000001)</f>
        <v/>
      </c>
      <c r="N6" s="4">
        <f>ROW()-4</f>
        <v/>
      </c>
      <c r="O6" s="4">
        <f>IFERROR(INDEX($J$5:$J$20,MATCH(LARGE($L$5:$L$20,$N6),$L$5:$L$20,0)),"")</f>
        <v/>
      </c>
      <c r="P6" s="4">
        <f>IFERROR(INDEX($K$5:$K$20,MATCH(LARGE($L$5:$L$20,$N6),$L$5:$L$20,0)),"")</f>
        <v/>
      </c>
      <c r="Q6" s="4">
        <f>IF(OR($O6="",$O6="BYE",LEFT($O6,2)="A_",LEFT($O6,2)="B_"),"",IF($N6&lt;=8,IF(AND($P6=INDEX($P$5:$P$20,9),$P6=INDEX($P$5:$P$20,8)),"Empate (mesa)","CLASIFICA"),IF($P6=INDEX($P$5:$P$20,8),"Empate (mesa)","—")))</f>
        <v/>
      </c>
      <c r="S6" s="4">
        <f>JUEZ_1!F1352</f>
        <v/>
      </c>
      <c r="T6" s="4">
        <f>(SUM(JUEZ_1!J1352:J1354)+SUM(JUEZ_2!J1352:J1354)+SUM(JUEZ_3!J1352:J1354))</f>
        <v/>
      </c>
      <c r="U6" s="4">
        <f>IF(OR($S6="",$S6="BYE",LEFT($S6,2)="A_",LEFT($S6,2)="B_"),-1000-ROW()*0.0000001,N(T6)-ROW()*0.0000001)</f>
        <v/>
      </c>
      <c r="W6" s="4">
        <f>ROW()-4</f>
        <v/>
      </c>
      <c r="X6" s="4">
        <f>IFERROR(INDEX($S$5:$S$12,MATCH(LARGE($U$5:$U$12,$W6),$U$5:$U$12,0)),"")</f>
        <v/>
      </c>
      <c r="Y6" s="4">
        <f>IFERROR(INDEX($T$5:$T$12,MATCH(LARGE($U$5:$U$12,$W6),$U$5:$U$12,0)),"")</f>
        <v/>
      </c>
      <c r="Z6" s="4">
        <f>IF(OR($X6="",$X6="BYE",LEFT($X6,2)="A_",LEFT($X6,2)="B_"),"",IF($W6&lt;=4,IF(AND($Y6=INDEX($Y$5:$Y$12,5),$Y6=INDEX($Y$5:$Y$12,4)),"Empate (mesa)","CLASIFICA"),IF($Y6=INDEX($Y$5:$Y$12,4),"Empate (mesa)","—")))</f>
        <v/>
      </c>
      <c r="AB6" s="4">
        <f>JUEZ_1!F1364</f>
        <v/>
      </c>
      <c r="AC6" s="4">
        <f>(SUM(JUEZ_1!J1364:J1366)+SUM(JUEZ_2!J1364:J1366)+SUM(JUEZ_3!J1364:J1366))</f>
        <v/>
      </c>
      <c r="AD6" s="4">
        <f>IF(OR($AB6="",$AB6="BYE",LEFT($AB6,2)="A_",LEFT($AB6,2)="B_"),-1000-ROW()*0.0000001,N(AC6)-ROW()*0.0000001)</f>
        <v/>
      </c>
      <c r="AF6" s="4">
        <f>ROW()-4</f>
        <v/>
      </c>
      <c r="AG6" s="4">
        <f>IFERROR(INDEX($AB$5:$AB$8,MATCH(LARGE($AD$5:$AD$8,$AF6),$AD$5:$AD$8,0)),"")</f>
        <v/>
      </c>
      <c r="AH6" s="4">
        <f>IFERROR(INDEX($AC$5:$AC$8,MATCH(LARGE($AD$5:$AD$8,$AF6),$AD$5:$AD$8,0)),"")</f>
        <v/>
      </c>
      <c r="AI6" s="4">
        <f>IF(OR($AG6="",$AG6="BYE",LEFT($AG6,2)="A_",LEFT($AG6,2)="B_"),"",IF($AF6=1,IF($AH6=INDEX($AH$5:$AH$8,2),"Empate 1º (mesa)","🏆 CAMPEÓN"),IF($AF6=2,"2º Subcampeón",IF($AF6=3,"3er puesto","4º puesto"))))</f>
        <v/>
      </c>
    </row>
    <row r="7" ht="14.25" customHeight="1" s="72">
      <c r="A7" s="4">
        <f>JUEZ_1!D1283</f>
        <v/>
      </c>
      <c r="B7" s="4">
        <f>(SUM(JUEZ_1!I1283:I1285)+SUM(JUEZ_2!I1283:I1285)+SUM(JUEZ_3!I1283:I1285))</f>
        <v/>
      </c>
      <c r="C7" s="4">
        <f>IF(OR($A7="",$A7="BYE",LEFT($A7,2)="A_",LEFT($A7,2)="B_"),-1000-ROW()*0.0000001,N(B7)-ROW()*0.0000001)</f>
        <v/>
      </c>
      <c r="E7" s="4">
        <f>ROW()-4</f>
        <v/>
      </c>
      <c r="F7" s="4">
        <f>IFERROR(INDEX($A$5:$A$36,MATCH(LARGE($C$5:$C$36,$E7),$C$5:$C$36,0)),"")</f>
        <v/>
      </c>
      <c r="G7" s="4">
        <f>IFERROR(INDEX($B$5:$B$36,MATCH(LARGE($C$5:$C$36,$E7),$C$5:$C$36,0)),"")</f>
        <v/>
      </c>
      <c r="H7" s="4">
        <f>IF(OR($F7="",$F7="BYE",LEFT($F7,2)="A_",LEFT($F7,2)="B_"),"",IF($E7&lt;=16,IF(AND($G7=INDEX($G$5:$G$36,17),$G7=INDEX($G$5:$G$36,16)),"Empate (mesa)","CLASIFICA"),IF($G7=INDEX($G$5:$G$36,16),"Empate (mesa)","—")))</f>
        <v/>
      </c>
      <c r="J7" s="4">
        <f>JUEZ_1!D1331</f>
        <v/>
      </c>
      <c r="K7" s="4">
        <f>(SUM(JUEZ_1!I1331:I1333)+SUM(JUEZ_2!I1331:I1333)+SUM(JUEZ_3!I1331:I1333))</f>
        <v/>
      </c>
      <c r="L7" s="4">
        <f>IF(OR($J7="",$J7="BYE",LEFT($J7,2)="A_",LEFT($J7,2)="B_"),-1000-ROW()*0.0000001,N(K7)-ROW()*0.0000001)</f>
        <v/>
      </c>
      <c r="N7" s="4">
        <f>ROW()-4</f>
        <v/>
      </c>
      <c r="O7" s="4">
        <f>IFERROR(INDEX($J$5:$J$20,MATCH(LARGE($L$5:$L$20,$N7),$L$5:$L$20,0)),"")</f>
        <v/>
      </c>
      <c r="P7" s="4">
        <f>IFERROR(INDEX($K$5:$K$20,MATCH(LARGE($L$5:$L$20,$N7),$L$5:$L$20,0)),"")</f>
        <v/>
      </c>
      <c r="Q7" s="4">
        <f>IF(OR($O7="",$O7="BYE",LEFT($O7,2)="A_",LEFT($O7,2)="B_"),"",IF($N7&lt;=8,IF(AND($P7=INDEX($P$5:$P$20,9),$P7=INDEX($P$5:$P$20,8)),"Empate (mesa)","CLASIFICA"),IF($P7=INDEX($P$5:$P$20,8),"Empate (mesa)","—")))</f>
        <v/>
      </c>
      <c r="S7" s="4">
        <f>JUEZ_1!D1355</f>
        <v/>
      </c>
      <c r="T7" s="4">
        <f>(SUM(JUEZ_1!I1355:I1357)+SUM(JUEZ_2!I1355:I1357)+SUM(JUEZ_3!I1355:I1357))</f>
        <v/>
      </c>
      <c r="U7" s="4">
        <f>IF(OR($S7="",$S7="BYE",LEFT($S7,2)="A_",LEFT($S7,2)="B_"),-1000-ROW()*0.0000001,N(T7)-ROW()*0.0000001)</f>
        <v/>
      </c>
      <c r="W7" s="4">
        <f>ROW()-4</f>
        <v/>
      </c>
      <c r="X7" s="4">
        <f>IFERROR(INDEX($S$5:$S$12,MATCH(LARGE($U$5:$U$12,$W7),$U$5:$U$12,0)),"")</f>
        <v/>
      </c>
      <c r="Y7" s="4">
        <f>IFERROR(INDEX($T$5:$T$12,MATCH(LARGE($U$5:$U$12,$W7),$U$5:$U$12,0)),"")</f>
        <v/>
      </c>
      <c r="Z7" s="4">
        <f>IF(OR($X7="",$X7="BYE",LEFT($X7,2)="A_",LEFT($X7,2)="B_"),"",IF($W7&lt;=4,IF(AND($Y7=INDEX($Y$5:$Y$12,5),$Y7=INDEX($Y$5:$Y$12,4)),"Empate (mesa)","CLASIFICA"),IF($Y7=INDEX($Y$5:$Y$12,4),"Empate (mesa)","—")))</f>
        <v/>
      </c>
      <c r="AB7" s="4">
        <f>JUEZ_1!D1367</f>
        <v/>
      </c>
      <c r="AC7" s="4">
        <f>(SUM(JUEZ_1!I1367:I1369)+SUM(JUEZ_2!I1367:I1369)+SUM(JUEZ_3!I1367:I1369))</f>
        <v/>
      </c>
      <c r="AD7" s="4">
        <f>IF(OR($AB7="",$AB7="BYE",LEFT($AB7,2)="A_",LEFT($AB7,2)="B_"),-1000-ROW()*0.0000001,N(AC7)-ROW()*0.0000001)</f>
        <v/>
      </c>
      <c r="AF7" s="4">
        <f>ROW()-4</f>
        <v/>
      </c>
      <c r="AG7" s="4">
        <f>IFERROR(INDEX($AB$5:$AB$8,MATCH(LARGE($AD$5:$AD$8,$AF7),$AD$5:$AD$8,0)),"")</f>
        <v/>
      </c>
      <c r="AH7" s="4">
        <f>IFERROR(INDEX($AC$5:$AC$8,MATCH(LARGE($AD$5:$AD$8,$AF7),$AD$5:$AD$8,0)),"")</f>
        <v/>
      </c>
      <c r="AI7" s="4">
        <f>IF(OR($AG7="",$AG7="BYE",LEFT($AG7,2)="A_",LEFT($AG7,2)="B_"),"",IF($AF7=1,IF($AH7=INDEX($AH$5:$AH$8,2),"Empate 1º (mesa)","🏆 CAMPEÓN"),IF($AF7=2,"2º Subcampeón",IF($AF7=3,"3er puesto","4º puesto"))))</f>
        <v/>
      </c>
    </row>
    <row r="8" ht="14.25" customHeight="1" s="72">
      <c r="A8" s="4">
        <f>JUEZ_1!F1283</f>
        <v/>
      </c>
      <c r="B8" s="4">
        <f>(SUM(JUEZ_1!J1283:J1285)+SUM(JUEZ_2!J1283:J1285)+SUM(JUEZ_3!J1283:J1285))</f>
        <v/>
      </c>
      <c r="C8" s="4">
        <f>IF(OR($A8="",$A8="BYE",LEFT($A8,2)="A_",LEFT($A8,2)="B_"),-1000-ROW()*0.0000001,N(B8)-ROW()*0.0000001)</f>
        <v/>
      </c>
      <c r="E8" s="4">
        <f>ROW()-4</f>
        <v/>
      </c>
      <c r="F8" s="4">
        <f>IFERROR(INDEX($A$5:$A$36,MATCH(LARGE($C$5:$C$36,$E8),$C$5:$C$36,0)),"")</f>
        <v/>
      </c>
      <c r="G8" s="4">
        <f>IFERROR(INDEX($B$5:$B$36,MATCH(LARGE($C$5:$C$36,$E8),$C$5:$C$36,0)),"")</f>
        <v/>
      </c>
      <c r="H8" s="4">
        <f>IF(OR($F8="",$F8="BYE",LEFT($F8,2)="A_",LEFT($F8,2)="B_"),"",IF($E8&lt;=16,IF(AND($G8=INDEX($G$5:$G$36,17),$G8=INDEX($G$5:$G$36,16)),"Empate (mesa)","CLASIFICA"),IF($G8=INDEX($G$5:$G$36,16),"Empate (mesa)","—")))</f>
        <v/>
      </c>
      <c r="J8" s="4">
        <f>JUEZ_1!F1331</f>
        <v/>
      </c>
      <c r="K8" s="4">
        <f>(SUM(JUEZ_1!J1331:J1333)+SUM(JUEZ_2!J1331:J1333)+SUM(JUEZ_3!J1331:J1333))</f>
        <v/>
      </c>
      <c r="L8" s="4">
        <f>IF(OR($J8="",$J8="BYE",LEFT($J8,2)="A_",LEFT($J8,2)="B_"),-1000-ROW()*0.0000001,N(K8)-ROW()*0.0000001)</f>
        <v/>
      </c>
      <c r="N8" s="4">
        <f>ROW()-4</f>
        <v/>
      </c>
      <c r="O8" s="4">
        <f>IFERROR(INDEX($J$5:$J$20,MATCH(LARGE($L$5:$L$20,$N8),$L$5:$L$20,0)),"")</f>
        <v/>
      </c>
      <c r="P8" s="4">
        <f>IFERROR(INDEX($K$5:$K$20,MATCH(LARGE($L$5:$L$20,$N8),$L$5:$L$20,0)),"")</f>
        <v/>
      </c>
      <c r="Q8" s="4">
        <f>IF(OR($O8="",$O8="BYE",LEFT($O8,2)="A_",LEFT($O8,2)="B_"),"",IF($N8&lt;=8,IF(AND($P8=INDEX($P$5:$P$20,9),$P8=INDEX($P$5:$P$20,8)),"Empate (mesa)","CLASIFICA"),IF($P8=INDEX($P$5:$P$20,8),"Empate (mesa)","—")))</f>
        <v/>
      </c>
      <c r="S8" s="4">
        <f>JUEZ_1!F1355</f>
        <v/>
      </c>
      <c r="T8" s="4">
        <f>(SUM(JUEZ_1!J1355:J1357)+SUM(JUEZ_2!J1355:J1357)+SUM(JUEZ_3!J1355:J1357))</f>
        <v/>
      </c>
      <c r="U8" s="4">
        <f>IF(OR($S8="",$S8="BYE",LEFT($S8,2)="A_",LEFT($S8,2)="B_"),-1000-ROW()*0.0000001,N(T8)-ROW()*0.0000001)</f>
        <v/>
      </c>
      <c r="W8" s="4">
        <f>ROW()-4</f>
        <v/>
      </c>
      <c r="X8" s="4">
        <f>IFERROR(INDEX($S$5:$S$12,MATCH(LARGE($U$5:$U$12,$W8),$U$5:$U$12,0)),"")</f>
        <v/>
      </c>
      <c r="Y8" s="4">
        <f>IFERROR(INDEX($T$5:$T$12,MATCH(LARGE($U$5:$U$12,$W8),$U$5:$U$12,0)),"")</f>
        <v/>
      </c>
      <c r="Z8" s="4">
        <f>IF(OR($X8="",$X8="BYE",LEFT($X8,2)="A_",LEFT($X8,2)="B_"),"",IF($W8&lt;=4,IF(AND($Y8=INDEX($Y$5:$Y$12,5),$Y8=INDEX($Y$5:$Y$12,4)),"Empate (mesa)","CLASIFICA"),IF($Y8=INDEX($Y$5:$Y$12,4),"Empate (mesa)","—")))</f>
        <v/>
      </c>
      <c r="AB8" s="4">
        <f>JUEZ_1!F1367</f>
        <v/>
      </c>
      <c r="AC8" s="4">
        <f>(SUM(JUEZ_1!J1367:J1369)+SUM(JUEZ_2!J1367:J1369)+SUM(JUEZ_3!J1367:J1369))</f>
        <v/>
      </c>
      <c r="AD8" s="4">
        <f>IF(OR($AB8="",$AB8="BYE",LEFT($AB8,2)="A_",LEFT($AB8,2)="B_"),-1000-ROW()*0.0000001,N(AC8)-ROW()*0.0000001)</f>
        <v/>
      </c>
      <c r="AF8" s="4">
        <f>ROW()-4</f>
        <v/>
      </c>
      <c r="AG8" s="4">
        <f>IFERROR(INDEX($AB$5:$AB$8,MATCH(LARGE($AD$5:$AD$8,$AF8),$AD$5:$AD$8,0)),"")</f>
        <v/>
      </c>
      <c r="AH8" s="4">
        <f>IFERROR(INDEX($AC$5:$AC$8,MATCH(LARGE($AD$5:$AD$8,$AF8),$AD$5:$AD$8,0)),"")</f>
        <v/>
      </c>
      <c r="AI8" s="4">
        <f>IF(OR($AG8="",$AG8="BYE",LEFT($AG8,2)="A_",LEFT($AG8,2)="B_"),"",IF($AF8=1,IF($AH8=INDEX($AH$5:$AH$8,2),"Empate 1º (mesa)","🏆 CAMPEÓN"),IF($AF8=2,"2º Subcampeón",IF($AF8=3,"3er puesto","4º puesto"))))</f>
        <v/>
      </c>
    </row>
    <row r="9" ht="14.25" customHeight="1" s="72">
      <c r="A9" s="4">
        <f>JUEZ_1!D1286</f>
        <v/>
      </c>
      <c r="B9" s="4">
        <f>(SUM(JUEZ_1!I1286:I1288)+SUM(JUEZ_2!I1286:I1288)+SUM(JUEZ_3!I1286:I1288))</f>
        <v/>
      </c>
      <c r="C9" s="4">
        <f>IF(OR($A9="",$A9="BYE",LEFT($A9,2)="A_",LEFT($A9,2)="B_"),-1000-ROW()*0.0000001,N(B9)-ROW()*0.0000001)</f>
        <v/>
      </c>
      <c r="E9" s="4">
        <f>ROW()-4</f>
        <v/>
      </c>
      <c r="F9" s="4">
        <f>IFERROR(INDEX($A$5:$A$36,MATCH(LARGE($C$5:$C$36,$E9),$C$5:$C$36,0)),"")</f>
        <v/>
      </c>
      <c r="G9" s="4">
        <f>IFERROR(INDEX($B$5:$B$36,MATCH(LARGE($C$5:$C$36,$E9),$C$5:$C$36,0)),"")</f>
        <v/>
      </c>
      <c r="H9" s="4">
        <f>IF(OR($F9="",$F9="BYE",LEFT($F9,2)="A_",LEFT($F9,2)="B_"),"",IF($E9&lt;=16,IF(AND($G9=INDEX($G$5:$G$36,17),$G9=INDEX($G$5:$G$36,16)),"Empate (mesa)","CLASIFICA"),IF($G9=INDEX($G$5:$G$36,16),"Empate (mesa)","—")))</f>
        <v/>
      </c>
      <c r="J9" s="4">
        <f>JUEZ_1!D1334</f>
        <v/>
      </c>
      <c r="K9" s="4">
        <f>(SUM(JUEZ_1!I1334:I1336)+SUM(JUEZ_2!I1334:I1336)+SUM(JUEZ_3!I1334:I1336))</f>
        <v/>
      </c>
      <c r="L9" s="4">
        <f>IF(OR($J9="",$J9="BYE",LEFT($J9,2)="A_",LEFT($J9,2)="B_"),-1000-ROW()*0.0000001,N(K9)-ROW()*0.0000001)</f>
        <v/>
      </c>
      <c r="N9" s="4">
        <f>ROW()-4</f>
        <v/>
      </c>
      <c r="O9" s="4">
        <f>IFERROR(INDEX($J$5:$J$20,MATCH(LARGE($L$5:$L$20,$N9),$L$5:$L$20,0)),"")</f>
        <v/>
      </c>
      <c r="P9" s="4">
        <f>IFERROR(INDEX($K$5:$K$20,MATCH(LARGE($L$5:$L$20,$N9),$L$5:$L$20,0)),"")</f>
        <v/>
      </c>
      <c r="Q9" s="4">
        <f>IF(OR($O9="",$O9="BYE",LEFT($O9,2)="A_",LEFT($O9,2)="B_"),"",IF($N9&lt;=8,IF(AND($P9=INDEX($P$5:$P$20,9),$P9=INDEX($P$5:$P$20,8)),"Empate (mesa)","CLASIFICA"),IF($P9=INDEX($P$5:$P$20,8),"Empate (mesa)","—")))</f>
        <v/>
      </c>
      <c r="S9" s="4">
        <f>JUEZ_1!D1358</f>
        <v/>
      </c>
      <c r="T9" s="4">
        <f>(SUM(JUEZ_1!I1358:I1360)+SUM(JUEZ_2!I1358:I1360)+SUM(JUEZ_3!I1358:I1360))</f>
        <v/>
      </c>
      <c r="U9" s="4">
        <f>IF(OR($S9="",$S9="BYE",LEFT($S9,2)="A_",LEFT($S9,2)="B_"),-1000-ROW()*0.0000001,N(T9)-ROW()*0.0000001)</f>
        <v/>
      </c>
      <c r="W9" s="4">
        <f>ROW()-4</f>
        <v/>
      </c>
      <c r="X9" s="4">
        <f>IFERROR(INDEX($S$5:$S$12,MATCH(LARGE($U$5:$U$12,$W9),$U$5:$U$12,0)),"")</f>
        <v/>
      </c>
      <c r="Y9" s="4">
        <f>IFERROR(INDEX($T$5:$T$12,MATCH(LARGE($U$5:$U$12,$W9),$U$5:$U$12,0)),"")</f>
        <v/>
      </c>
      <c r="Z9" s="4">
        <f>IF(OR($X9="",$X9="BYE",LEFT($X9,2)="A_",LEFT($X9,2)="B_"),"",IF($W9&lt;=4,IF(AND($Y9=INDEX($Y$5:$Y$12,5),$Y9=INDEX($Y$5:$Y$12,4)),"Empate (mesa)","CLASIFICA"),IF($Y9=INDEX($Y$5:$Y$12,4),"Empate (mesa)","—")))</f>
        <v/>
      </c>
    </row>
    <row r="10" ht="14.25" customHeight="1" s="72">
      <c r="A10" s="4">
        <f>JUEZ_1!F1286</f>
        <v/>
      </c>
      <c r="B10" s="4">
        <f>(SUM(JUEZ_1!J1286:J1288)+SUM(JUEZ_2!J1286:J1288)+SUM(JUEZ_3!J1286:J1288))</f>
        <v/>
      </c>
      <c r="C10" s="4">
        <f>IF(OR($A10="",$A10="BYE",LEFT($A10,2)="A_",LEFT($A10,2)="B_"),-1000-ROW()*0.0000001,N(B10)-ROW()*0.0000001)</f>
        <v/>
      </c>
      <c r="E10" s="4">
        <f>ROW()-4</f>
        <v/>
      </c>
      <c r="F10" s="4">
        <f>IFERROR(INDEX($A$5:$A$36,MATCH(LARGE($C$5:$C$36,$E10),$C$5:$C$36,0)),"")</f>
        <v/>
      </c>
      <c r="G10" s="4">
        <f>IFERROR(INDEX($B$5:$B$36,MATCH(LARGE($C$5:$C$36,$E10),$C$5:$C$36,0)),"")</f>
        <v/>
      </c>
      <c r="H10" s="4">
        <f>IF(OR($F10="",$F10="BYE",LEFT($F10,2)="A_",LEFT($F10,2)="B_"),"",IF($E10&lt;=16,IF(AND($G10=INDEX($G$5:$G$36,17),$G10=INDEX($G$5:$G$36,16)),"Empate (mesa)","CLASIFICA"),IF($G10=INDEX($G$5:$G$36,16),"Empate (mesa)","—")))</f>
        <v/>
      </c>
      <c r="J10" s="4">
        <f>JUEZ_1!F1334</f>
        <v/>
      </c>
      <c r="K10" s="4">
        <f>(SUM(JUEZ_1!J1334:J1336)+SUM(JUEZ_2!J1334:J1336)+SUM(JUEZ_3!J1334:J1336))</f>
        <v/>
      </c>
      <c r="L10" s="4">
        <f>IF(OR($J10="",$J10="BYE",LEFT($J10,2)="A_",LEFT($J10,2)="B_"),-1000-ROW()*0.0000001,N(K10)-ROW()*0.0000001)</f>
        <v/>
      </c>
      <c r="N10" s="4">
        <f>ROW()-4</f>
        <v/>
      </c>
      <c r="O10" s="4">
        <f>IFERROR(INDEX($J$5:$J$20,MATCH(LARGE($L$5:$L$20,$N10),$L$5:$L$20,0)),"")</f>
        <v/>
      </c>
      <c r="P10" s="4">
        <f>IFERROR(INDEX($K$5:$K$20,MATCH(LARGE($L$5:$L$20,$N10),$L$5:$L$20,0)),"")</f>
        <v/>
      </c>
      <c r="Q10" s="4">
        <f>IF(OR($O10="",$O10="BYE",LEFT($O10,2)="A_",LEFT($O10,2)="B_"),"",IF($N10&lt;=8,IF(AND($P10=INDEX($P$5:$P$20,9),$P10=INDEX($P$5:$P$20,8)),"Empate (mesa)","CLASIFICA"),IF($P10=INDEX($P$5:$P$20,8),"Empate (mesa)","—")))</f>
        <v/>
      </c>
      <c r="S10" s="4">
        <f>JUEZ_1!F1358</f>
        <v/>
      </c>
      <c r="T10" s="4">
        <f>(SUM(JUEZ_1!J1358:J1360)+SUM(JUEZ_2!J1358:J1360)+SUM(JUEZ_3!J1358:J1360))</f>
        <v/>
      </c>
      <c r="U10" s="4">
        <f>IF(OR($S10="",$S10="BYE",LEFT($S10,2)="A_",LEFT($S10,2)="B_"),-1000-ROW()*0.0000001,N(T10)-ROW()*0.0000001)</f>
        <v/>
      </c>
      <c r="W10" s="4">
        <f>ROW()-4</f>
        <v/>
      </c>
      <c r="X10" s="4">
        <f>IFERROR(INDEX($S$5:$S$12,MATCH(LARGE($U$5:$U$12,$W10),$U$5:$U$12,0)),"")</f>
        <v/>
      </c>
      <c r="Y10" s="4">
        <f>IFERROR(INDEX($T$5:$T$12,MATCH(LARGE($U$5:$U$12,$W10),$U$5:$U$12,0)),"")</f>
        <v/>
      </c>
      <c r="Z10" s="4">
        <f>IF(OR($X10="",$X10="BYE",LEFT($X10,2)="A_",LEFT($X10,2)="B_"),"",IF($W10&lt;=4,IF(AND($Y10=INDEX($Y$5:$Y$12,5),$Y10=INDEX($Y$5:$Y$12,4)),"Empate (mesa)","CLASIFICA"),IF($Y10=INDEX($Y$5:$Y$12,4),"Empate (mesa)","—")))</f>
        <v/>
      </c>
      <c r="AB10" s="21" t="inlineStr">
        <is>
          <t>🥇 PREMIO MEJOR JUEGO POR TOQUE (Final)</t>
        </is>
      </c>
    </row>
    <row r="11" ht="14.25" customHeight="1" s="72">
      <c r="A11" s="4">
        <f>JUEZ_1!D1289</f>
        <v/>
      </c>
      <c r="B11" s="4">
        <f>(SUM(JUEZ_1!I1289:I1291)+SUM(JUEZ_2!I1289:I1291)+SUM(JUEZ_3!I1289:I1291))</f>
        <v/>
      </c>
      <c r="C11" s="4">
        <f>IF(OR($A11="",$A11="BYE",LEFT($A11,2)="A_",LEFT($A11,2)="B_"),-1000-ROW()*0.0000001,N(B11)-ROW()*0.0000001)</f>
        <v/>
      </c>
      <c r="E11" s="4">
        <f>ROW()-4</f>
        <v/>
      </c>
      <c r="F11" s="4">
        <f>IFERROR(INDEX($A$5:$A$36,MATCH(LARGE($C$5:$C$36,$E11),$C$5:$C$36,0)),"")</f>
        <v/>
      </c>
      <c r="G11" s="4">
        <f>IFERROR(INDEX($B$5:$B$36,MATCH(LARGE($C$5:$C$36,$E11),$C$5:$C$36,0)),"")</f>
        <v/>
      </c>
      <c r="H11" s="4">
        <f>IF(OR($F11="",$F11="BYE",LEFT($F11,2)="A_",LEFT($F11,2)="B_"),"",IF($E11&lt;=16,IF(AND($G11=INDEX($G$5:$G$36,17),$G11=INDEX($G$5:$G$36,16)),"Empate (mesa)","CLASIFICA"),IF($G11=INDEX($G$5:$G$36,16),"Empate (mesa)","—")))</f>
        <v/>
      </c>
      <c r="J11" s="4">
        <f>JUEZ_1!D1337</f>
        <v/>
      </c>
      <c r="K11" s="4">
        <f>(SUM(JUEZ_1!I1337:I1339)+SUM(JUEZ_2!I1337:I1339)+SUM(JUEZ_3!I1337:I1339))</f>
        <v/>
      </c>
      <c r="L11" s="4">
        <f>IF(OR($J11="",$J11="BYE",LEFT($J11,2)="A_",LEFT($J11,2)="B_"),-1000-ROW()*0.0000001,N(K11)-ROW()*0.0000001)</f>
        <v/>
      </c>
      <c r="N11" s="4">
        <f>ROW()-4</f>
        <v/>
      </c>
      <c r="O11" s="4">
        <f>IFERROR(INDEX($J$5:$J$20,MATCH(LARGE($L$5:$L$20,$N11),$L$5:$L$20,0)),"")</f>
        <v/>
      </c>
      <c r="P11" s="4">
        <f>IFERROR(INDEX($K$5:$K$20,MATCH(LARGE($L$5:$L$20,$N11),$L$5:$L$20,0)),"")</f>
        <v/>
      </c>
      <c r="Q11" s="4">
        <f>IF(OR($O11="",$O11="BYE",LEFT($O11,2)="A_",LEFT($O11,2)="B_"),"",IF($N11&lt;=8,IF(AND($P11=INDEX($P$5:$P$20,9),$P11=INDEX($P$5:$P$20,8)),"Empate (mesa)","CLASIFICA"),IF($P11=INDEX($P$5:$P$20,8),"Empate (mesa)","—")))</f>
        <v/>
      </c>
      <c r="S11" s="4">
        <f>JUEZ_1!D1361</f>
        <v/>
      </c>
      <c r="T11" s="4">
        <f>(SUM(JUEZ_1!I1361:I1363)+SUM(JUEZ_2!I1361:I1363)+SUM(JUEZ_3!I1361:I1363))</f>
        <v/>
      </c>
      <c r="U11" s="4">
        <f>IF(OR($S11="",$S11="BYE",LEFT($S11,2)="A_",LEFT($S11,2)="B_"),-1000-ROW()*0.0000001,N(T11)-ROW()*0.0000001)</f>
        <v/>
      </c>
      <c r="W11" s="4">
        <f>ROW()-4</f>
        <v/>
      </c>
      <c r="X11" s="4">
        <f>IFERROR(INDEX($S$5:$S$12,MATCH(LARGE($U$5:$U$12,$W11),$U$5:$U$12,0)),"")</f>
        <v/>
      </c>
      <c r="Y11" s="4">
        <f>IFERROR(INDEX($T$5:$T$12,MATCH(LARGE($U$5:$U$12,$W11),$U$5:$U$12,0)),"")</f>
        <v/>
      </c>
      <c r="Z11" s="4">
        <f>IF(OR($X11="",$X11="BYE",LEFT($X11,2)="A_",LEFT($X11,2)="B_"),"",IF($W11&lt;=4,IF(AND($Y11=INDEX($Y$5:$Y$12,5),$Y11=INDEX($Y$5:$Y$12,4)),"Empate (mesa)","CLASIFICA"),IF($Y11=INDEX($Y$5:$Y$12,4),"Empate (mesa)","—")))</f>
        <v/>
      </c>
      <c r="AB11" s="4" t="inlineStr">
        <is>
          <t>Toque</t>
        </is>
      </c>
      <c r="AC11" s="4" t="inlineStr">
        <is>
          <t>Jogo</t>
        </is>
      </c>
      <c r="AD11" s="4" t="inlineStr">
        <is>
          <t>Jugador A</t>
        </is>
      </c>
      <c r="AE11" s="4" t="inlineStr">
        <is>
          <t>Jugador B</t>
        </is>
      </c>
      <c r="AF11" s="4" t="inlineStr">
        <is>
          <t>Nota jogo</t>
        </is>
      </c>
      <c r="AG11" s="4" t="inlineStr">
        <is>
          <t>Premio</t>
        </is>
      </c>
    </row>
    <row r="12" ht="14.25" customHeight="1" s="72">
      <c r="A12" s="4">
        <f>JUEZ_1!F1289</f>
        <v/>
      </c>
      <c r="B12" s="4">
        <f>(SUM(JUEZ_1!J1289:J1291)+SUM(JUEZ_2!J1289:J1291)+SUM(JUEZ_3!J1289:J1291))</f>
        <v/>
      </c>
      <c r="C12" s="4">
        <f>IF(OR($A12="",$A12="BYE",LEFT($A12,2)="A_",LEFT($A12,2)="B_"),-1000-ROW()*0.0000001,N(B12)-ROW()*0.0000001)</f>
        <v/>
      </c>
      <c r="E12" s="4">
        <f>ROW()-4</f>
        <v/>
      </c>
      <c r="F12" s="4">
        <f>IFERROR(INDEX($A$5:$A$36,MATCH(LARGE($C$5:$C$36,$E12),$C$5:$C$36,0)),"")</f>
        <v/>
      </c>
      <c r="G12" s="4">
        <f>IFERROR(INDEX($B$5:$B$36,MATCH(LARGE($C$5:$C$36,$E12),$C$5:$C$36,0)),"")</f>
        <v/>
      </c>
      <c r="H12" s="4">
        <f>IF(OR($F12="",$F12="BYE",LEFT($F12,2)="A_",LEFT($F12,2)="B_"),"",IF($E12&lt;=16,IF(AND($G12=INDEX($G$5:$G$36,17),$G12=INDEX($G$5:$G$36,16)),"Empate (mesa)","CLASIFICA"),IF($G12=INDEX($G$5:$G$36,16),"Empate (mesa)","—")))</f>
        <v/>
      </c>
      <c r="J12" s="4">
        <f>JUEZ_1!F1337</f>
        <v/>
      </c>
      <c r="K12" s="4">
        <f>(SUM(JUEZ_1!J1337:J1339)+SUM(JUEZ_2!J1337:J1339)+SUM(JUEZ_3!J1337:J1339))</f>
        <v/>
      </c>
      <c r="L12" s="4">
        <f>IF(OR($J12="",$J12="BYE",LEFT($J12,2)="A_",LEFT($J12,2)="B_"),-1000-ROW()*0.0000001,N(K12)-ROW()*0.0000001)</f>
        <v/>
      </c>
      <c r="N12" s="4">
        <f>ROW()-4</f>
        <v/>
      </c>
      <c r="O12" s="4">
        <f>IFERROR(INDEX($J$5:$J$20,MATCH(LARGE($L$5:$L$20,$N12),$L$5:$L$20,0)),"")</f>
        <v/>
      </c>
      <c r="P12" s="4">
        <f>IFERROR(INDEX($K$5:$K$20,MATCH(LARGE($L$5:$L$20,$N12),$L$5:$L$20,0)),"")</f>
        <v/>
      </c>
      <c r="Q12" s="4">
        <f>IF(OR($O12="",$O12="BYE",LEFT($O12,2)="A_",LEFT($O12,2)="B_"),"",IF($N12&lt;=8,IF(AND($P12=INDEX($P$5:$P$20,9),$P12=INDEX($P$5:$P$20,8)),"Empate (mesa)","CLASIFICA"),IF($P12=INDEX($P$5:$P$20,8),"Empate (mesa)","—")))</f>
        <v/>
      </c>
      <c r="S12" s="4">
        <f>JUEZ_1!F1361</f>
        <v/>
      </c>
      <c r="T12" s="4">
        <f>(SUM(JUEZ_1!J1361:J1363)+SUM(JUEZ_2!J1361:J1363)+SUM(JUEZ_3!J1361:J1363))</f>
        <v/>
      </c>
      <c r="U12" s="4">
        <f>IF(OR($S12="",$S12="BYE",LEFT($S12,2)="A_",LEFT($S12,2)="B_"),-1000-ROW()*0.0000001,N(T12)-ROW()*0.0000001)</f>
        <v/>
      </c>
      <c r="W12" s="4">
        <f>ROW()-4</f>
        <v/>
      </c>
      <c r="X12" s="4">
        <f>IFERROR(INDEX($S$5:$S$12,MATCH(LARGE($U$5:$U$12,$W12),$U$5:$U$12,0)),"")</f>
        <v/>
      </c>
      <c r="Y12" s="4">
        <f>IFERROR(INDEX($T$5:$T$12,MATCH(LARGE($U$5:$U$12,$W12),$U$5:$U$12,0)),"")</f>
        <v/>
      </c>
      <c r="Z12" s="4">
        <f>IF(OR($X12="",$X12="BYE",LEFT($X12,2)="A_",LEFT($X12,2)="B_"),"",IF($W12&lt;=4,IF(AND($Y12=INDEX($Y$5:$Y$12,5),$Y12=INDEX($Y$5:$Y$12,4)),"Empate (mesa)","CLASIFICA"),IF($Y12=INDEX($Y$5:$Y$12,4),"Empate (mesa)","—")))</f>
        <v/>
      </c>
      <c r="AB12" s="4" t="inlineStr">
        <is>
          <t>Benguela</t>
        </is>
      </c>
      <c r="AC12" s="4">
        <f>JUEZ_1!A1364</f>
        <v/>
      </c>
      <c r="AD12" s="4">
        <f>JUEZ_1!D1364</f>
        <v/>
      </c>
      <c r="AE12" s="4">
        <f>JUEZ_1!F1364</f>
        <v/>
      </c>
      <c r="AF12" s="4">
        <f>(N(JUEZ_1!I1364)+N(JUEZ_1!J1364))+(N(JUEZ_2!I1364)+N(JUEZ_2!J1364))+(N(JUEZ_3!I1364)+N(JUEZ_3!J1364))</f>
        <v/>
      </c>
      <c r="AG12" s="4">
        <f>IF(AND($AF12=MAX($AF12,$AF13),$AF12&gt;0),"🥇 MEJOR Benguela","")</f>
        <v/>
      </c>
    </row>
    <row r="13" ht="14.25" customHeight="1" s="72">
      <c r="A13" s="4">
        <f>JUEZ_1!D1292</f>
        <v/>
      </c>
      <c r="B13" s="4">
        <f>(SUM(JUEZ_1!I1292:I1294)+SUM(JUEZ_2!I1292:I1294)+SUM(JUEZ_3!I1292:I1294))</f>
        <v/>
      </c>
      <c r="C13" s="4">
        <f>IF(OR($A13="",$A13="BYE",LEFT($A13,2)="A_",LEFT($A13,2)="B_"),-1000-ROW()*0.0000001,N(B13)-ROW()*0.0000001)</f>
        <v/>
      </c>
      <c r="E13" s="4">
        <f>ROW()-4</f>
        <v/>
      </c>
      <c r="F13" s="4">
        <f>IFERROR(INDEX($A$5:$A$36,MATCH(LARGE($C$5:$C$36,$E13),$C$5:$C$36,0)),"")</f>
        <v/>
      </c>
      <c r="G13" s="4">
        <f>IFERROR(INDEX($B$5:$B$36,MATCH(LARGE($C$5:$C$36,$E13),$C$5:$C$36,0)),"")</f>
        <v/>
      </c>
      <c r="H13" s="4">
        <f>IF(OR($F13="",$F13="BYE",LEFT($F13,2)="A_",LEFT($F13,2)="B_"),"",IF($E13&lt;=16,IF(AND($G13=INDEX($G$5:$G$36,17),$G13=INDEX($G$5:$G$36,16)),"Empate (mesa)","CLASIFICA"),IF($G13=INDEX($G$5:$G$36,16),"Empate (mesa)","—")))</f>
        <v/>
      </c>
      <c r="J13" s="4">
        <f>JUEZ_1!D1340</f>
        <v/>
      </c>
      <c r="K13" s="4">
        <f>(SUM(JUEZ_1!I1340:I1342)+SUM(JUEZ_2!I1340:I1342)+SUM(JUEZ_3!I1340:I1342))</f>
        <v/>
      </c>
      <c r="L13" s="4">
        <f>IF(OR($J13="",$J13="BYE",LEFT($J13,2)="A_",LEFT($J13,2)="B_"),-1000-ROW()*0.0000001,N(K13)-ROW()*0.0000001)</f>
        <v/>
      </c>
      <c r="N13" s="4">
        <f>ROW()-4</f>
        <v/>
      </c>
      <c r="O13" s="4">
        <f>IFERROR(INDEX($J$5:$J$20,MATCH(LARGE($L$5:$L$20,$N13),$L$5:$L$20,0)),"")</f>
        <v/>
      </c>
      <c r="P13" s="4">
        <f>IFERROR(INDEX($K$5:$K$20,MATCH(LARGE($L$5:$L$20,$N13),$L$5:$L$20,0)),"")</f>
        <v/>
      </c>
      <c r="Q13" s="4">
        <f>IF(OR($O13="",$O13="BYE",LEFT($O13,2)="A_",LEFT($O13,2)="B_"),"",IF($N13&lt;=8,IF(AND($P13=INDEX($P$5:$P$20,9),$P13=INDEX($P$5:$P$20,8)),"Empate (mesa)","CLASIFICA"),IF($P13=INDEX($P$5:$P$20,8),"Empate (mesa)","—")))</f>
        <v/>
      </c>
      <c r="AB13" s="4" t="inlineStr">
        <is>
          <t>Benguela</t>
        </is>
      </c>
      <c r="AC13" s="4">
        <f>JUEZ_1!A1367</f>
        <v/>
      </c>
      <c r="AD13" s="4">
        <f>JUEZ_1!D1367</f>
        <v/>
      </c>
      <c r="AE13" s="4">
        <f>JUEZ_1!F1367</f>
        <v/>
      </c>
      <c r="AF13" s="4">
        <f>(N(JUEZ_1!I1367)+N(JUEZ_1!J1367))+(N(JUEZ_2!I1367)+N(JUEZ_2!J1367))+(N(JUEZ_3!I1367)+N(JUEZ_3!J1367))</f>
        <v/>
      </c>
      <c r="AG13" s="4">
        <f>IF(AND($AF13=MAX($AF12,$AF13),$AF13&gt;0),"🥇 MEJOR Benguela","")</f>
        <v/>
      </c>
    </row>
    <row r="14" ht="14.25" customHeight="1" s="72">
      <c r="A14" s="4">
        <f>JUEZ_1!F1292</f>
        <v/>
      </c>
      <c r="B14" s="4">
        <f>(SUM(JUEZ_1!J1292:J1294)+SUM(JUEZ_2!J1292:J1294)+SUM(JUEZ_3!J1292:J1294))</f>
        <v/>
      </c>
      <c r="C14" s="4">
        <f>IF(OR($A14="",$A14="BYE",LEFT($A14,2)="A_",LEFT($A14,2)="B_"),-1000-ROW()*0.0000001,N(B14)-ROW()*0.0000001)</f>
        <v/>
      </c>
      <c r="E14" s="4">
        <f>ROW()-4</f>
        <v/>
      </c>
      <c r="F14" s="4">
        <f>IFERROR(INDEX($A$5:$A$36,MATCH(LARGE($C$5:$C$36,$E14),$C$5:$C$36,0)),"")</f>
        <v/>
      </c>
      <c r="G14" s="4">
        <f>IFERROR(INDEX($B$5:$B$36,MATCH(LARGE($C$5:$C$36,$E14),$C$5:$C$36,0)),"")</f>
        <v/>
      </c>
      <c r="H14" s="4">
        <f>IF(OR($F14="",$F14="BYE",LEFT($F14,2)="A_",LEFT($F14,2)="B_"),"",IF($E14&lt;=16,IF(AND($G14=INDEX($G$5:$G$36,17),$G14=INDEX($G$5:$G$36,16)),"Empate (mesa)","CLASIFICA"),IF($G14=INDEX($G$5:$G$36,16),"Empate (mesa)","—")))</f>
        <v/>
      </c>
      <c r="J14" s="4">
        <f>JUEZ_1!F1340</f>
        <v/>
      </c>
      <c r="K14" s="4">
        <f>(SUM(JUEZ_1!J1340:J1342)+SUM(JUEZ_2!J1340:J1342)+SUM(JUEZ_3!J1340:J1342))</f>
        <v/>
      </c>
      <c r="L14" s="4">
        <f>IF(OR($J14="",$J14="BYE",LEFT($J14,2)="A_",LEFT($J14,2)="B_"),-1000-ROW()*0.0000001,N(K14)-ROW()*0.0000001)</f>
        <v/>
      </c>
      <c r="N14" s="4">
        <f>ROW()-4</f>
        <v/>
      </c>
      <c r="O14" s="4">
        <f>IFERROR(INDEX($J$5:$J$20,MATCH(LARGE($L$5:$L$20,$N14),$L$5:$L$20,0)),"")</f>
        <v/>
      </c>
      <c r="P14" s="4">
        <f>IFERROR(INDEX($K$5:$K$20,MATCH(LARGE($L$5:$L$20,$N14),$L$5:$L$20,0)),"")</f>
        <v/>
      </c>
      <c r="Q14" s="4">
        <f>IF(OR($O14="",$O14="BYE",LEFT($O14,2)="A_",LEFT($O14,2)="B_"),"",IF($N14&lt;=8,IF(AND($P14=INDEX($P$5:$P$20,9),$P14=INDEX($P$5:$P$20,8)),"Empate (mesa)","CLASIFICA"),IF($P14=INDEX($P$5:$P$20,8),"Empate (mesa)","—")))</f>
        <v/>
      </c>
      <c r="AB14" s="4" t="inlineStr">
        <is>
          <t>São Bento da Abadá</t>
        </is>
      </c>
      <c r="AC14" s="4">
        <f>JUEZ_1!A1365</f>
        <v/>
      </c>
      <c r="AD14" s="4">
        <f>JUEZ_1!D1365</f>
        <v/>
      </c>
      <c r="AE14" s="4">
        <f>JUEZ_1!F1365</f>
        <v/>
      </c>
      <c r="AF14" s="4">
        <f>(N(JUEZ_1!I1365)+N(JUEZ_1!J1365))+(N(JUEZ_2!I1365)+N(JUEZ_2!J1365))+(N(JUEZ_3!I1365)+N(JUEZ_3!J1365))</f>
        <v/>
      </c>
      <c r="AG14" s="4">
        <f>IF(AND($AF14=MAX($AF14,$AF15),$AF14&gt;0),"🥇 MEJOR São Bento da Abadá","")</f>
        <v/>
      </c>
    </row>
    <row r="15" ht="14.25" customHeight="1" s="72">
      <c r="A15" s="4">
        <f>JUEZ_1!D1295</f>
        <v/>
      </c>
      <c r="B15" s="4">
        <f>(SUM(JUEZ_1!I1295:I1297)+SUM(JUEZ_2!I1295:I1297)+SUM(JUEZ_3!I1295:I1297))</f>
        <v/>
      </c>
      <c r="C15" s="4">
        <f>IF(OR($A15="",$A15="BYE",LEFT($A15,2)="A_",LEFT($A15,2)="B_"),-1000-ROW()*0.0000001,N(B15)-ROW()*0.0000001)</f>
        <v/>
      </c>
      <c r="E15" s="4">
        <f>ROW()-4</f>
        <v/>
      </c>
      <c r="F15" s="4">
        <f>IFERROR(INDEX($A$5:$A$36,MATCH(LARGE($C$5:$C$36,$E15),$C$5:$C$36,0)),"")</f>
        <v/>
      </c>
      <c r="G15" s="4">
        <f>IFERROR(INDEX($B$5:$B$36,MATCH(LARGE($C$5:$C$36,$E15),$C$5:$C$36,0)),"")</f>
        <v/>
      </c>
      <c r="H15" s="4">
        <f>IF(OR($F15="",$F15="BYE",LEFT($F15,2)="A_",LEFT($F15,2)="B_"),"",IF($E15&lt;=16,IF(AND($G15=INDEX($G$5:$G$36,17),$G15=INDEX($G$5:$G$36,16)),"Empate (mesa)","CLASIFICA"),IF($G15=INDEX($G$5:$G$36,16),"Empate (mesa)","—")))</f>
        <v/>
      </c>
      <c r="J15" s="4">
        <f>JUEZ_1!D1343</f>
        <v/>
      </c>
      <c r="K15" s="4">
        <f>(SUM(JUEZ_1!I1343:I1345)+SUM(JUEZ_2!I1343:I1345)+SUM(JUEZ_3!I1343:I1345))</f>
        <v/>
      </c>
      <c r="L15" s="4">
        <f>IF(OR($J15="",$J15="BYE",LEFT($J15,2)="A_",LEFT($J15,2)="B_"),-1000-ROW()*0.0000001,N(K15)-ROW()*0.0000001)</f>
        <v/>
      </c>
      <c r="N15" s="4">
        <f>ROW()-4</f>
        <v/>
      </c>
      <c r="O15" s="4">
        <f>IFERROR(INDEX($J$5:$J$20,MATCH(LARGE($L$5:$L$20,$N15),$L$5:$L$20,0)),"")</f>
        <v/>
      </c>
      <c r="P15" s="4">
        <f>IFERROR(INDEX($K$5:$K$20,MATCH(LARGE($L$5:$L$20,$N15),$L$5:$L$20,0)),"")</f>
        <v/>
      </c>
      <c r="Q15" s="4">
        <f>IF(OR($O15="",$O15="BYE",LEFT($O15,2)="A_",LEFT($O15,2)="B_"),"",IF($N15&lt;=8,IF(AND($P15=INDEX($P$5:$P$20,9),$P15=INDEX($P$5:$P$20,8)),"Empate (mesa)","CLASIFICA"),IF($P15=INDEX($P$5:$P$20,8),"Empate (mesa)","—")))</f>
        <v/>
      </c>
      <c r="AB15" s="4" t="inlineStr">
        <is>
          <t>São Bento da Abadá</t>
        </is>
      </c>
      <c r="AC15" s="4">
        <f>JUEZ_1!A1368</f>
        <v/>
      </c>
      <c r="AD15" s="4">
        <f>JUEZ_1!D1368</f>
        <v/>
      </c>
      <c r="AE15" s="4">
        <f>JUEZ_1!F1368</f>
        <v/>
      </c>
      <c r="AF15" s="4">
        <f>(N(JUEZ_1!I1368)+N(JUEZ_1!J1368))+(N(JUEZ_2!I1368)+N(JUEZ_2!J1368))+(N(JUEZ_3!I1368)+N(JUEZ_3!J1368))</f>
        <v/>
      </c>
      <c r="AG15" s="4">
        <f>IF(AND($AF15=MAX($AF14,$AF15),$AF15&gt;0),"🥇 MEJOR São Bento da Abadá","")</f>
        <v/>
      </c>
    </row>
    <row r="16" ht="14.25" customHeight="1" s="72">
      <c r="A16" s="4">
        <f>JUEZ_1!F1295</f>
        <v/>
      </c>
      <c r="B16" s="4">
        <f>(SUM(JUEZ_1!J1295:J1297)+SUM(JUEZ_2!J1295:J1297)+SUM(JUEZ_3!J1295:J1297))</f>
        <v/>
      </c>
      <c r="C16" s="4">
        <f>IF(OR($A16="",$A16="BYE",LEFT($A16,2)="A_",LEFT($A16,2)="B_"),-1000-ROW()*0.0000001,N(B16)-ROW()*0.0000001)</f>
        <v/>
      </c>
      <c r="E16" s="4">
        <f>ROW()-4</f>
        <v/>
      </c>
      <c r="F16" s="4">
        <f>IFERROR(INDEX($A$5:$A$36,MATCH(LARGE($C$5:$C$36,$E16),$C$5:$C$36,0)),"")</f>
        <v/>
      </c>
      <c r="G16" s="4">
        <f>IFERROR(INDEX($B$5:$B$36,MATCH(LARGE($C$5:$C$36,$E16),$C$5:$C$36,0)),"")</f>
        <v/>
      </c>
      <c r="H16" s="4">
        <f>IF(OR($F16="",$F16="BYE",LEFT($F16,2)="A_",LEFT($F16,2)="B_"),"",IF($E16&lt;=16,IF(AND($G16=INDEX($G$5:$G$36,17),$G16=INDEX($G$5:$G$36,16)),"Empate (mesa)","CLASIFICA"),IF($G16=INDEX($G$5:$G$36,16),"Empate (mesa)","—")))</f>
        <v/>
      </c>
      <c r="J16" s="4">
        <f>JUEZ_1!F1343</f>
        <v/>
      </c>
      <c r="K16" s="4">
        <f>(SUM(JUEZ_1!J1343:J1345)+SUM(JUEZ_2!J1343:J1345)+SUM(JUEZ_3!J1343:J1345))</f>
        <v/>
      </c>
      <c r="L16" s="4">
        <f>IF(OR($J16="",$J16="BYE",LEFT($J16,2)="A_",LEFT($J16,2)="B_"),-1000-ROW()*0.0000001,N(K16)-ROW()*0.0000001)</f>
        <v/>
      </c>
      <c r="N16" s="4">
        <f>ROW()-4</f>
        <v/>
      </c>
      <c r="O16" s="4">
        <f>IFERROR(INDEX($J$5:$J$20,MATCH(LARGE($L$5:$L$20,$N16),$L$5:$L$20,0)),"")</f>
        <v/>
      </c>
      <c r="P16" s="4">
        <f>IFERROR(INDEX($K$5:$K$20,MATCH(LARGE($L$5:$L$20,$N16),$L$5:$L$20,0)),"")</f>
        <v/>
      </c>
      <c r="Q16" s="4">
        <f>IF(OR($O16="",$O16="BYE",LEFT($O16,2)="A_",LEFT($O16,2)="B_"),"",IF($N16&lt;=8,IF(AND($P16=INDEX($P$5:$P$20,9),$P16=INDEX($P$5:$P$20,8)),"Empate (mesa)","CLASIFICA"),IF($P16=INDEX($P$5:$P$20,8),"Empate (mesa)","—")))</f>
        <v/>
      </c>
      <c r="AB16" s="4" t="inlineStr">
        <is>
          <t>Siriuna</t>
        </is>
      </c>
      <c r="AC16" s="4">
        <f>JUEZ_1!A1366</f>
        <v/>
      </c>
      <c r="AD16" s="4">
        <f>JUEZ_1!D1366</f>
        <v/>
      </c>
      <c r="AE16" s="4">
        <f>JUEZ_1!F1366</f>
        <v/>
      </c>
      <c r="AF16" s="4">
        <f>(N(JUEZ_1!I1366)+N(JUEZ_1!J1366))+(N(JUEZ_2!I1366)+N(JUEZ_2!J1366))+(N(JUEZ_3!I1366)+N(JUEZ_3!J1366))</f>
        <v/>
      </c>
      <c r="AG16" s="4">
        <f>IF(AND($AF16=MAX($AF16,$AF17),$AF16&gt;0),"🥇 MEJOR Siriuna","")</f>
        <v/>
      </c>
    </row>
    <row r="17" ht="14.25" customHeight="1" s="72">
      <c r="A17" s="4">
        <f>JUEZ_1!D1298</f>
        <v/>
      </c>
      <c r="B17" s="4">
        <f>(SUM(JUEZ_1!I1298:I1300)+SUM(JUEZ_2!I1298:I1300)+SUM(JUEZ_3!I1298:I1300))</f>
        <v/>
      </c>
      <c r="C17" s="4">
        <f>IF(OR($A17="",$A17="BYE",LEFT($A17,2)="A_",LEFT($A17,2)="B_"),-1000-ROW()*0.0000001,N(B17)-ROW()*0.0000001)</f>
        <v/>
      </c>
      <c r="E17" s="4">
        <f>ROW()-4</f>
        <v/>
      </c>
      <c r="F17" s="4">
        <f>IFERROR(INDEX($A$5:$A$36,MATCH(LARGE($C$5:$C$36,$E17),$C$5:$C$36,0)),"")</f>
        <v/>
      </c>
      <c r="G17" s="4">
        <f>IFERROR(INDEX($B$5:$B$36,MATCH(LARGE($C$5:$C$36,$E17),$C$5:$C$36,0)),"")</f>
        <v/>
      </c>
      <c r="H17" s="4">
        <f>IF(OR($F17="",$F17="BYE",LEFT($F17,2)="A_",LEFT($F17,2)="B_"),"",IF($E17&lt;=16,IF(AND($G17=INDEX($G$5:$G$36,17),$G17=INDEX($G$5:$G$36,16)),"Empate (mesa)","CLASIFICA"),IF($G17=INDEX($G$5:$G$36,16),"Empate (mesa)","—")))</f>
        <v/>
      </c>
      <c r="J17" s="4">
        <f>JUEZ_1!D1346</f>
        <v/>
      </c>
      <c r="K17" s="4">
        <f>(SUM(JUEZ_1!I1346:I1348)+SUM(JUEZ_2!I1346:I1348)+SUM(JUEZ_3!I1346:I1348))</f>
        <v/>
      </c>
      <c r="L17" s="4">
        <f>IF(OR($J17="",$J17="BYE",LEFT($J17,2)="A_",LEFT($J17,2)="B_"),-1000-ROW()*0.0000001,N(K17)-ROW()*0.0000001)</f>
        <v/>
      </c>
      <c r="N17" s="4">
        <f>ROW()-4</f>
        <v/>
      </c>
      <c r="O17" s="4">
        <f>IFERROR(INDEX($J$5:$J$20,MATCH(LARGE($L$5:$L$20,$N17),$L$5:$L$20,0)),"")</f>
        <v/>
      </c>
      <c r="P17" s="4">
        <f>IFERROR(INDEX($K$5:$K$20,MATCH(LARGE($L$5:$L$20,$N17),$L$5:$L$20,0)),"")</f>
        <v/>
      </c>
      <c r="Q17" s="4">
        <f>IF(OR($O17="",$O17="BYE",LEFT($O17,2)="A_",LEFT($O17,2)="B_"),"",IF($N17&lt;=8,IF(AND($P17=INDEX($P$5:$P$20,9),$P17=INDEX($P$5:$P$20,8)),"Empate (mesa)","CLASIFICA"),IF($P17=INDEX($P$5:$P$20,8),"Empate (mesa)","—")))</f>
        <v/>
      </c>
      <c r="AB17" s="4" t="inlineStr">
        <is>
          <t>Siriuna</t>
        </is>
      </c>
      <c r="AC17" s="4">
        <f>JUEZ_1!A1369</f>
        <v/>
      </c>
      <c r="AD17" s="4">
        <f>JUEZ_1!D1369</f>
        <v/>
      </c>
      <c r="AE17" s="4">
        <f>JUEZ_1!F1369</f>
        <v/>
      </c>
      <c r="AF17" s="4">
        <f>(N(JUEZ_1!I1369)+N(JUEZ_1!J1369))+(N(JUEZ_2!I1369)+N(JUEZ_2!J1369))+(N(JUEZ_3!I1369)+N(JUEZ_3!J1369))</f>
        <v/>
      </c>
      <c r="AG17" s="4">
        <f>IF(AND($AF17=MAX($AF16,$AF17),$AF17&gt;0),"🥇 MEJOR Siriuna","")</f>
        <v/>
      </c>
    </row>
    <row r="18" ht="14.25" customHeight="1" s="72">
      <c r="A18" s="4">
        <f>JUEZ_1!F1298</f>
        <v/>
      </c>
      <c r="B18" s="4">
        <f>(SUM(JUEZ_1!J1298:J1300)+SUM(JUEZ_2!J1298:J1300)+SUM(JUEZ_3!J1298:J1300))</f>
        <v/>
      </c>
      <c r="C18" s="4">
        <f>IF(OR($A18="",$A18="BYE",LEFT($A18,2)="A_",LEFT($A18,2)="B_"),-1000-ROW()*0.0000001,N(B18)-ROW()*0.0000001)</f>
        <v/>
      </c>
      <c r="E18" s="4">
        <f>ROW()-4</f>
        <v/>
      </c>
      <c r="F18" s="4">
        <f>IFERROR(INDEX($A$5:$A$36,MATCH(LARGE($C$5:$C$36,$E18),$C$5:$C$36,0)),"")</f>
        <v/>
      </c>
      <c r="G18" s="4">
        <f>IFERROR(INDEX($B$5:$B$36,MATCH(LARGE($C$5:$C$36,$E18),$C$5:$C$36,0)),"")</f>
        <v/>
      </c>
      <c r="H18" s="4">
        <f>IF(OR($F18="",$F18="BYE",LEFT($F18,2)="A_",LEFT($F18,2)="B_"),"",IF($E18&lt;=16,IF(AND($G18=INDEX($G$5:$G$36,17),$G18=INDEX($G$5:$G$36,16)),"Empate (mesa)","CLASIFICA"),IF($G18=INDEX($G$5:$G$36,16),"Empate (mesa)","—")))</f>
        <v/>
      </c>
      <c r="J18" s="4">
        <f>JUEZ_1!F1346</f>
        <v/>
      </c>
      <c r="K18" s="4">
        <f>(SUM(JUEZ_1!J1346:J1348)+SUM(JUEZ_2!J1346:J1348)+SUM(JUEZ_3!J1346:J1348))</f>
        <v/>
      </c>
      <c r="L18" s="4">
        <f>IF(OR($J18="",$J18="BYE",LEFT($J18,2)="A_",LEFT($J18,2)="B_"),-1000-ROW()*0.0000001,N(K18)-ROW()*0.0000001)</f>
        <v/>
      </c>
      <c r="N18" s="4">
        <f>ROW()-4</f>
        <v/>
      </c>
      <c r="O18" s="4">
        <f>IFERROR(INDEX($J$5:$J$20,MATCH(LARGE($L$5:$L$20,$N18),$L$5:$L$20,0)),"")</f>
        <v/>
      </c>
      <c r="P18" s="4">
        <f>IFERROR(INDEX($K$5:$K$20,MATCH(LARGE($L$5:$L$20,$N18),$L$5:$L$20,0)),"")</f>
        <v/>
      </c>
      <c r="Q18" s="4">
        <f>IF(OR($O18="",$O18="BYE",LEFT($O18,2)="A_",LEFT($O18,2)="B_"),"",IF($N18&lt;=8,IF(AND($P18=INDEX($P$5:$P$20,9),$P18=INDEX($P$5:$P$20,8)),"Empate (mesa)","CLASIFICA"),IF($P18=INDEX($P$5:$P$20,8),"Empate (mesa)","—")))</f>
        <v/>
      </c>
    </row>
    <row r="19" ht="14.25" customHeight="1" s="72">
      <c r="A19" s="4">
        <f>JUEZ_1!D1301</f>
        <v/>
      </c>
      <c r="B19" s="4">
        <f>(SUM(JUEZ_1!I1301:I1303)+SUM(JUEZ_2!I1301:I1303)+SUM(JUEZ_3!I1301:I1303))</f>
        <v/>
      </c>
      <c r="C19" s="4">
        <f>IF(OR($A19="",$A19="BYE",LEFT($A19,2)="A_",LEFT($A19,2)="B_"),-1000-ROW()*0.0000001,N(B19)-ROW()*0.0000001)</f>
        <v/>
      </c>
      <c r="E19" s="4">
        <f>ROW()-4</f>
        <v/>
      </c>
      <c r="F19" s="4">
        <f>IFERROR(INDEX($A$5:$A$36,MATCH(LARGE($C$5:$C$36,$E19),$C$5:$C$36,0)),"")</f>
        <v/>
      </c>
      <c r="G19" s="4">
        <f>IFERROR(INDEX($B$5:$B$36,MATCH(LARGE($C$5:$C$36,$E19),$C$5:$C$36,0)),"")</f>
        <v/>
      </c>
      <c r="H19" s="4">
        <f>IF(OR($F19="",$F19="BYE",LEFT($F19,2)="A_",LEFT($F19,2)="B_"),"",IF($E19&lt;=16,IF(AND($G19=INDEX($G$5:$G$36,17),$G19=INDEX($G$5:$G$36,16)),"Empate (mesa)","CLASIFICA"),IF($G19=INDEX($G$5:$G$36,16),"Empate (mesa)","—")))</f>
        <v/>
      </c>
      <c r="J19" s="4">
        <f>JUEZ_1!D1349</f>
        <v/>
      </c>
      <c r="K19" s="4">
        <f>(SUM(JUEZ_1!I1349:I1351)+SUM(JUEZ_2!I1349:I1351)+SUM(JUEZ_3!I1349:I1351))</f>
        <v/>
      </c>
      <c r="L19" s="4">
        <f>IF(OR($J19="",$J19="BYE",LEFT($J19,2)="A_",LEFT($J19,2)="B_"),-1000-ROW()*0.0000001,N(K19)-ROW()*0.0000001)</f>
        <v/>
      </c>
      <c r="N19" s="4">
        <f>ROW()-4</f>
        <v/>
      </c>
      <c r="O19" s="4">
        <f>IFERROR(INDEX($J$5:$J$20,MATCH(LARGE($L$5:$L$20,$N19),$L$5:$L$20,0)),"")</f>
        <v/>
      </c>
      <c r="P19" s="4">
        <f>IFERROR(INDEX($K$5:$K$20,MATCH(LARGE($L$5:$L$20,$N19),$L$5:$L$20,0)),"")</f>
        <v/>
      </c>
      <c r="Q19" s="4">
        <f>IF(OR($O19="",$O19="BYE",LEFT($O19,2)="A_",LEFT($O19,2)="B_"),"",IF($N19&lt;=8,IF(AND($P19=INDEX($P$5:$P$20,9),$P19=INDEX($P$5:$P$20,8)),"Empate (mesa)","CLASIFICA"),IF($P19=INDEX($P$5:$P$20,8),"Empate (mesa)","—")))</f>
        <v/>
      </c>
    </row>
    <row r="20" ht="14.25" customHeight="1" s="72">
      <c r="A20" s="4">
        <f>JUEZ_1!F1301</f>
        <v/>
      </c>
      <c r="B20" s="4">
        <f>(SUM(JUEZ_1!J1301:J1303)+SUM(JUEZ_2!J1301:J1303)+SUM(JUEZ_3!J1301:J1303))</f>
        <v/>
      </c>
      <c r="C20" s="4">
        <f>IF(OR($A20="",$A20="BYE",LEFT($A20,2)="A_",LEFT($A20,2)="B_"),-1000-ROW()*0.0000001,N(B20)-ROW()*0.0000001)</f>
        <v/>
      </c>
      <c r="E20" s="4">
        <f>ROW()-4</f>
        <v/>
      </c>
      <c r="F20" s="4">
        <f>IFERROR(INDEX($A$5:$A$36,MATCH(LARGE($C$5:$C$36,$E20),$C$5:$C$36,0)),"")</f>
        <v/>
      </c>
      <c r="G20" s="4">
        <f>IFERROR(INDEX($B$5:$B$36,MATCH(LARGE($C$5:$C$36,$E20),$C$5:$C$36,0)),"")</f>
        <v/>
      </c>
      <c r="H20" s="4">
        <f>IF(OR($F20="",$F20="BYE",LEFT($F20,2)="A_",LEFT($F20,2)="B_"),"",IF($E20&lt;=16,IF(AND($G20=INDEX($G$5:$G$36,17),$G20=INDEX($G$5:$G$36,16)),"Empate (mesa)","CLASIFICA"),IF($G20=INDEX($G$5:$G$36,16),"Empate (mesa)","—")))</f>
        <v/>
      </c>
      <c r="J20" s="4">
        <f>JUEZ_1!F1349</f>
        <v/>
      </c>
      <c r="K20" s="4">
        <f>(SUM(JUEZ_1!J1349:J1351)+SUM(JUEZ_2!J1349:J1351)+SUM(JUEZ_3!J1349:J1351))</f>
        <v/>
      </c>
      <c r="L20" s="4">
        <f>IF(OR($J20="",$J20="BYE",LEFT($J20,2)="A_",LEFT($J20,2)="B_"),-1000-ROW()*0.0000001,N(K20)-ROW()*0.0000001)</f>
        <v/>
      </c>
      <c r="N20" s="4">
        <f>ROW()-4</f>
        <v/>
      </c>
      <c r="O20" s="4">
        <f>IFERROR(INDEX($J$5:$J$20,MATCH(LARGE($L$5:$L$20,$N20),$L$5:$L$20,0)),"")</f>
        <v/>
      </c>
      <c r="P20" s="4">
        <f>IFERROR(INDEX($K$5:$K$20,MATCH(LARGE($L$5:$L$20,$N20),$L$5:$L$20,0)),"")</f>
        <v/>
      </c>
      <c r="Q20" s="4">
        <f>IF(OR($O20="",$O20="BYE",LEFT($O20,2)="A_",LEFT($O20,2)="B_"),"",IF($N20&lt;=8,IF(AND($P20=INDEX($P$5:$P$20,9),$P20=INDEX($P$5:$P$20,8)),"Empate (mesa)","CLASIFICA"),IF($P20=INDEX($P$5:$P$20,8),"Empate (mesa)","—")))</f>
        <v/>
      </c>
    </row>
    <row r="21" ht="14.25" customHeight="1" s="72">
      <c r="A21" s="4">
        <f>JUEZ_1!D1304</f>
        <v/>
      </c>
      <c r="B21" s="4">
        <f>(SUM(JUEZ_1!I1304:I1306)+SUM(JUEZ_2!I1304:I1306)+SUM(JUEZ_3!I1304:I1306))</f>
        <v/>
      </c>
      <c r="C21" s="4">
        <f>IF(OR($A21="",$A21="BYE",LEFT($A21,2)="A_",LEFT($A21,2)="B_"),-1000-ROW()*0.0000001,N(B21)-ROW()*0.0000001)</f>
        <v/>
      </c>
      <c r="E21" s="4">
        <f>ROW()-4</f>
        <v/>
      </c>
      <c r="F21" s="4">
        <f>IFERROR(INDEX($A$5:$A$36,MATCH(LARGE($C$5:$C$36,$E21),$C$5:$C$36,0)),"")</f>
        <v/>
      </c>
      <c r="G21" s="4">
        <f>IFERROR(INDEX($B$5:$B$36,MATCH(LARGE($C$5:$C$36,$E21),$C$5:$C$36,0)),"")</f>
        <v/>
      </c>
      <c r="H21" s="4">
        <f>IF(OR($F21="",$F21="BYE",LEFT($F21,2)="A_",LEFT($F21,2)="B_"),"",IF($E21&lt;=16,IF(AND($G21=INDEX($G$5:$G$36,17),$G21=INDEX($G$5:$G$36,16)),"Empate (mesa)","CLASIFICA"),IF($G21=INDEX($G$5:$G$36,16),"Empate (mesa)","—")))</f>
        <v/>
      </c>
    </row>
    <row r="22" ht="14.25" customHeight="1" s="72">
      <c r="A22" s="4">
        <f>JUEZ_1!F1304</f>
        <v/>
      </c>
      <c r="B22" s="4">
        <f>(SUM(JUEZ_1!J1304:J1306)+SUM(JUEZ_2!J1304:J1306)+SUM(JUEZ_3!J1304:J1306))</f>
        <v/>
      </c>
      <c r="C22" s="4">
        <f>IF(OR($A22="",$A22="BYE",LEFT($A22,2)="A_",LEFT($A22,2)="B_"),-1000-ROW()*0.0000001,N(B22)-ROW()*0.0000001)</f>
        <v/>
      </c>
      <c r="E22" s="4">
        <f>ROW()-4</f>
        <v/>
      </c>
      <c r="F22" s="4">
        <f>IFERROR(INDEX($A$5:$A$36,MATCH(LARGE($C$5:$C$36,$E22),$C$5:$C$36,0)),"")</f>
        <v/>
      </c>
      <c r="G22" s="4">
        <f>IFERROR(INDEX($B$5:$B$36,MATCH(LARGE($C$5:$C$36,$E22),$C$5:$C$36,0)),"")</f>
        <v/>
      </c>
      <c r="H22" s="4">
        <f>IF(OR($F22="",$F22="BYE",LEFT($F22,2)="A_",LEFT($F22,2)="B_"),"",IF($E22&lt;=16,IF(AND($G22=INDEX($G$5:$G$36,17),$G22=INDEX($G$5:$G$36,16)),"Empate (mesa)","CLASIFICA"),IF($G22=INDEX($G$5:$G$36,16),"Empate (mesa)","—")))</f>
        <v/>
      </c>
    </row>
    <row r="23" ht="14.25" customHeight="1" s="72">
      <c r="A23" s="4">
        <f>JUEZ_1!D1307</f>
        <v/>
      </c>
      <c r="B23" s="4">
        <f>(SUM(JUEZ_1!I1307:I1309)+SUM(JUEZ_2!I1307:I1309)+SUM(JUEZ_3!I1307:I1309))</f>
        <v/>
      </c>
      <c r="C23" s="4">
        <f>IF(OR($A23="",$A23="BYE",LEFT($A23,2)="A_",LEFT($A23,2)="B_"),-1000-ROW()*0.0000001,N(B23)-ROW()*0.0000001)</f>
        <v/>
      </c>
      <c r="E23" s="4">
        <f>ROW()-4</f>
        <v/>
      </c>
      <c r="F23" s="4">
        <f>IFERROR(INDEX($A$5:$A$36,MATCH(LARGE($C$5:$C$36,$E23),$C$5:$C$36,0)),"")</f>
        <v/>
      </c>
      <c r="G23" s="4">
        <f>IFERROR(INDEX($B$5:$B$36,MATCH(LARGE($C$5:$C$36,$E23),$C$5:$C$36,0)),"")</f>
        <v/>
      </c>
      <c r="H23" s="4">
        <f>IF(OR($F23="",$F23="BYE",LEFT($F23,2)="A_",LEFT($F23,2)="B_"),"",IF($E23&lt;=16,IF(AND($G23=INDEX($G$5:$G$36,17),$G23=INDEX($G$5:$G$36,16)),"Empate (mesa)","CLASIFICA"),IF($G23=INDEX($G$5:$G$36,16),"Empate (mesa)","—")))</f>
        <v/>
      </c>
    </row>
    <row r="24" ht="14.25" customHeight="1" s="72">
      <c r="A24" s="4">
        <f>JUEZ_1!F1307</f>
        <v/>
      </c>
      <c r="B24" s="4">
        <f>(SUM(JUEZ_1!J1307:J1309)+SUM(JUEZ_2!J1307:J1309)+SUM(JUEZ_3!J1307:J1309))</f>
        <v/>
      </c>
      <c r="C24" s="4">
        <f>IF(OR($A24="",$A24="BYE",LEFT($A24,2)="A_",LEFT($A24,2)="B_"),-1000-ROW()*0.0000001,N(B24)-ROW()*0.0000001)</f>
        <v/>
      </c>
      <c r="E24" s="4">
        <f>ROW()-4</f>
        <v/>
      </c>
      <c r="F24" s="4">
        <f>IFERROR(INDEX($A$5:$A$36,MATCH(LARGE($C$5:$C$36,$E24),$C$5:$C$36,0)),"")</f>
        <v/>
      </c>
      <c r="G24" s="4">
        <f>IFERROR(INDEX($B$5:$B$36,MATCH(LARGE($C$5:$C$36,$E24),$C$5:$C$36,0)),"")</f>
        <v/>
      </c>
      <c r="H24" s="4">
        <f>IF(OR($F24="",$F24="BYE",LEFT($F24,2)="A_",LEFT($F24,2)="B_"),"",IF($E24&lt;=16,IF(AND($G24=INDEX($G$5:$G$36,17),$G24=INDEX($G$5:$G$36,16)),"Empate (mesa)","CLASIFICA"),IF($G24=INDEX($G$5:$G$36,16),"Empate (mesa)","—")))</f>
        <v/>
      </c>
    </row>
    <row r="25" ht="14.25" customHeight="1" s="72">
      <c r="A25" s="4">
        <f>JUEZ_1!D1310</f>
        <v/>
      </c>
      <c r="B25" s="4">
        <f>(SUM(JUEZ_1!I1310:I1312)+SUM(JUEZ_2!I1310:I1312)+SUM(JUEZ_3!I1310:I1312))</f>
        <v/>
      </c>
      <c r="C25" s="4">
        <f>IF(OR($A25="",$A25="BYE",LEFT($A25,2)="A_",LEFT($A25,2)="B_"),-1000-ROW()*0.0000001,N(B25)-ROW()*0.0000001)</f>
        <v/>
      </c>
      <c r="E25" s="4">
        <f>ROW()-4</f>
        <v/>
      </c>
      <c r="F25" s="4">
        <f>IFERROR(INDEX($A$5:$A$36,MATCH(LARGE($C$5:$C$36,$E25),$C$5:$C$36,0)),"")</f>
        <v/>
      </c>
      <c r="G25" s="4">
        <f>IFERROR(INDEX($B$5:$B$36,MATCH(LARGE($C$5:$C$36,$E25),$C$5:$C$36,0)),"")</f>
        <v/>
      </c>
      <c r="H25" s="4">
        <f>IF(OR($F25="",$F25="BYE",LEFT($F25,2)="A_",LEFT($F25,2)="B_"),"",IF($E25&lt;=16,IF(AND($G25=INDEX($G$5:$G$36,17),$G25=INDEX($G$5:$G$36,16)),"Empate (mesa)","CLASIFICA"),IF($G25=INDEX($G$5:$G$36,16),"Empate (mesa)","—")))</f>
        <v/>
      </c>
    </row>
    <row r="26" ht="14.25" customHeight="1" s="72">
      <c r="A26" s="4">
        <f>JUEZ_1!F1310</f>
        <v/>
      </c>
      <c r="B26" s="4">
        <f>(SUM(JUEZ_1!J1310:J1312)+SUM(JUEZ_2!J1310:J1312)+SUM(JUEZ_3!J1310:J1312))</f>
        <v/>
      </c>
      <c r="C26" s="4">
        <f>IF(OR($A26="",$A26="BYE",LEFT($A26,2)="A_",LEFT($A26,2)="B_"),-1000-ROW()*0.0000001,N(B26)-ROW()*0.0000001)</f>
        <v/>
      </c>
      <c r="E26" s="4">
        <f>ROW()-4</f>
        <v/>
      </c>
      <c r="F26" s="4">
        <f>IFERROR(INDEX($A$5:$A$36,MATCH(LARGE($C$5:$C$36,$E26),$C$5:$C$36,0)),"")</f>
        <v/>
      </c>
      <c r="G26" s="4">
        <f>IFERROR(INDEX($B$5:$B$36,MATCH(LARGE($C$5:$C$36,$E26),$C$5:$C$36,0)),"")</f>
        <v/>
      </c>
      <c r="H26" s="4">
        <f>IF(OR($F26="",$F26="BYE",LEFT($F26,2)="A_",LEFT($F26,2)="B_"),"",IF($E26&lt;=16,IF(AND($G26=INDEX($G$5:$G$36,17),$G26=INDEX($G$5:$G$36,16)),"Empate (mesa)","CLASIFICA"),IF($G26=INDEX($G$5:$G$36,16),"Empate (mesa)","—")))</f>
        <v/>
      </c>
    </row>
    <row r="27" ht="14.25" customHeight="1" s="72">
      <c r="A27" s="4">
        <f>JUEZ_1!D1313</f>
        <v/>
      </c>
      <c r="B27" s="4">
        <f>(SUM(JUEZ_1!I1313:I1315)+SUM(JUEZ_2!I1313:I1315)+SUM(JUEZ_3!I1313:I1315))</f>
        <v/>
      </c>
      <c r="C27" s="4">
        <f>IF(OR($A27="",$A27="BYE",LEFT($A27,2)="A_",LEFT($A27,2)="B_"),-1000-ROW()*0.0000001,N(B27)-ROW()*0.0000001)</f>
        <v/>
      </c>
      <c r="E27" s="4">
        <f>ROW()-4</f>
        <v/>
      </c>
      <c r="F27" s="4">
        <f>IFERROR(INDEX($A$5:$A$36,MATCH(LARGE($C$5:$C$36,$E27),$C$5:$C$36,0)),"")</f>
        <v/>
      </c>
      <c r="G27" s="4">
        <f>IFERROR(INDEX($B$5:$B$36,MATCH(LARGE($C$5:$C$36,$E27),$C$5:$C$36,0)),"")</f>
        <v/>
      </c>
      <c r="H27" s="4">
        <f>IF(OR($F27="",$F27="BYE",LEFT($F27,2)="A_",LEFT($F27,2)="B_"),"",IF($E27&lt;=16,IF(AND($G27=INDEX($G$5:$G$36,17),$G27=INDEX($G$5:$G$36,16)),"Empate (mesa)","CLASIFICA"),IF($G27=INDEX($G$5:$G$36,16),"Empate (mesa)","—")))</f>
        <v/>
      </c>
    </row>
    <row r="28" ht="14.25" customHeight="1" s="72">
      <c r="A28" s="4">
        <f>JUEZ_1!F1313</f>
        <v/>
      </c>
      <c r="B28" s="4">
        <f>(SUM(JUEZ_1!J1313:J1315)+SUM(JUEZ_2!J1313:J1315)+SUM(JUEZ_3!J1313:J1315))</f>
        <v/>
      </c>
      <c r="C28" s="4">
        <f>IF(OR($A28="",$A28="BYE",LEFT($A28,2)="A_",LEFT($A28,2)="B_"),-1000-ROW()*0.0000001,N(B28)-ROW()*0.0000001)</f>
        <v/>
      </c>
      <c r="E28" s="4">
        <f>ROW()-4</f>
        <v/>
      </c>
      <c r="F28" s="4">
        <f>IFERROR(INDEX($A$5:$A$36,MATCH(LARGE($C$5:$C$36,$E28),$C$5:$C$36,0)),"")</f>
        <v/>
      </c>
      <c r="G28" s="4">
        <f>IFERROR(INDEX($B$5:$B$36,MATCH(LARGE($C$5:$C$36,$E28),$C$5:$C$36,0)),"")</f>
        <v/>
      </c>
      <c r="H28" s="4">
        <f>IF(OR($F28="",$F28="BYE",LEFT($F28,2)="A_",LEFT($F28,2)="B_"),"",IF($E28&lt;=16,IF(AND($G28=INDEX($G$5:$G$36,17),$G28=INDEX($G$5:$G$36,16)),"Empate (mesa)","CLASIFICA"),IF($G28=INDEX($G$5:$G$36,16),"Empate (mesa)","—")))</f>
        <v/>
      </c>
    </row>
    <row r="29" ht="14.25" customHeight="1" s="72">
      <c r="A29" s="4">
        <f>JUEZ_1!D1316</f>
        <v/>
      </c>
      <c r="B29" s="4">
        <f>(SUM(JUEZ_1!I1316:I1318)+SUM(JUEZ_2!I1316:I1318)+SUM(JUEZ_3!I1316:I1318))</f>
        <v/>
      </c>
      <c r="C29" s="4">
        <f>IF(OR($A29="",$A29="BYE",LEFT($A29,2)="A_",LEFT($A29,2)="B_"),-1000-ROW()*0.0000001,N(B29)-ROW()*0.0000001)</f>
        <v/>
      </c>
      <c r="E29" s="4">
        <f>ROW()-4</f>
        <v/>
      </c>
      <c r="F29" s="4">
        <f>IFERROR(INDEX($A$5:$A$36,MATCH(LARGE($C$5:$C$36,$E29),$C$5:$C$36,0)),"")</f>
        <v/>
      </c>
      <c r="G29" s="4">
        <f>IFERROR(INDEX($B$5:$B$36,MATCH(LARGE($C$5:$C$36,$E29),$C$5:$C$36,0)),"")</f>
        <v/>
      </c>
      <c r="H29" s="4">
        <f>IF(OR($F29="",$F29="BYE",LEFT($F29,2)="A_",LEFT($F29,2)="B_"),"",IF($E29&lt;=16,IF(AND($G29=INDEX($G$5:$G$36,17),$G29=INDEX($G$5:$G$36,16)),"Empate (mesa)","CLASIFICA"),IF($G29=INDEX($G$5:$G$36,16),"Empate (mesa)","—")))</f>
        <v/>
      </c>
    </row>
    <row r="30" ht="14.25" customHeight="1" s="72">
      <c r="A30" s="4">
        <f>JUEZ_1!F1316</f>
        <v/>
      </c>
      <c r="B30" s="4">
        <f>(SUM(JUEZ_1!J1316:J1318)+SUM(JUEZ_2!J1316:J1318)+SUM(JUEZ_3!J1316:J1318))</f>
        <v/>
      </c>
      <c r="C30" s="4">
        <f>IF(OR($A30="",$A30="BYE",LEFT($A30,2)="A_",LEFT($A30,2)="B_"),-1000-ROW()*0.0000001,N(B30)-ROW()*0.0000001)</f>
        <v/>
      </c>
      <c r="E30" s="4">
        <f>ROW()-4</f>
        <v/>
      </c>
      <c r="F30" s="4">
        <f>IFERROR(INDEX($A$5:$A$36,MATCH(LARGE($C$5:$C$36,$E30),$C$5:$C$36,0)),"")</f>
        <v/>
      </c>
      <c r="G30" s="4">
        <f>IFERROR(INDEX($B$5:$B$36,MATCH(LARGE($C$5:$C$36,$E30),$C$5:$C$36,0)),"")</f>
        <v/>
      </c>
      <c r="H30" s="4">
        <f>IF(OR($F30="",$F30="BYE",LEFT($F30,2)="A_",LEFT($F30,2)="B_"),"",IF($E30&lt;=16,IF(AND($G30=INDEX($G$5:$G$36,17),$G30=INDEX($G$5:$G$36,16)),"Empate (mesa)","CLASIFICA"),IF($G30=INDEX($G$5:$G$36,16),"Empate (mesa)","—")))</f>
        <v/>
      </c>
    </row>
    <row r="31" ht="14.25" customHeight="1" s="72">
      <c r="A31" s="4">
        <f>JUEZ_1!D1319</f>
        <v/>
      </c>
      <c r="B31" s="4">
        <f>(SUM(JUEZ_1!I1319:I1321)+SUM(JUEZ_2!I1319:I1321)+SUM(JUEZ_3!I1319:I1321))</f>
        <v/>
      </c>
      <c r="C31" s="4">
        <f>IF(OR($A31="",$A31="BYE",LEFT($A31,2)="A_",LEFT($A31,2)="B_"),-1000-ROW()*0.0000001,N(B31)-ROW()*0.0000001)</f>
        <v/>
      </c>
      <c r="E31" s="4">
        <f>ROW()-4</f>
        <v/>
      </c>
      <c r="F31" s="4">
        <f>IFERROR(INDEX($A$5:$A$36,MATCH(LARGE($C$5:$C$36,$E31),$C$5:$C$36,0)),"")</f>
        <v/>
      </c>
      <c r="G31" s="4">
        <f>IFERROR(INDEX($B$5:$B$36,MATCH(LARGE($C$5:$C$36,$E31),$C$5:$C$36,0)),"")</f>
        <v/>
      </c>
      <c r="H31" s="4">
        <f>IF(OR($F31="",$F31="BYE",LEFT($F31,2)="A_",LEFT($F31,2)="B_"),"",IF($E31&lt;=16,IF(AND($G31=INDEX($G$5:$G$36,17),$G31=INDEX($G$5:$G$36,16)),"Empate (mesa)","CLASIFICA"),IF($G31=INDEX($G$5:$G$36,16),"Empate (mesa)","—")))</f>
        <v/>
      </c>
    </row>
    <row r="32" ht="14.25" customHeight="1" s="72">
      <c r="A32" s="4">
        <f>JUEZ_1!F1319</f>
        <v/>
      </c>
      <c r="B32" s="4">
        <f>(SUM(JUEZ_1!J1319:J1321)+SUM(JUEZ_2!J1319:J1321)+SUM(JUEZ_3!J1319:J1321))</f>
        <v/>
      </c>
      <c r="C32" s="4">
        <f>IF(OR($A32="",$A32="BYE",LEFT($A32,2)="A_",LEFT($A32,2)="B_"),-1000-ROW()*0.0000001,N(B32)-ROW()*0.0000001)</f>
        <v/>
      </c>
      <c r="E32" s="4">
        <f>ROW()-4</f>
        <v/>
      </c>
      <c r="F32" s="4">
        <f>IFERROR(INDEX($A$5:$A$36,MATCH(LARGE($C$5:$C$36,$E32),$C$5:$C$36,0)),"")</f>
        <v/>
      </c>
      <c r="G32" s="4">
        <f>IFERROR(INDEX($B$5:$B$36,MATCH(LARGE($C$5:$C$36,$E32),$C$5:$C$36,0)),"")</f>
        <v/>
      </c>
      <c r="H32" s="4">
        <f>IF(OR($F32="",$F32="BYE",LEFT($F32,2)="A_",LEFT($F32,2)="B_"),"",IF($E32&lt;=16,IF(AND($G32=INDEX($G$5:$G$36,17),$G32=INDEX($G$5:$G$36,16)),"Empate (mesa)","CLASIFICA"),IF($G32=INDEX($G$5:$G$36,16),"Empate (mesa)","—")))</f>
        <v/>
      </c>
    </row>
    <row r="33" ht="14.25" customHeight="1" s="72">
      <c r="A33" s="4">
        <f>JUEZ_1!D1322</f>
        <v/>
      </c>
      <c r="B33" s="4">
        <f>(SUM(JUEZ_1!I1322:I1324)+SUM(JUEZ_2!I1322:I1324)+SUM(JUEZ_3!I1322:I1324))</f>
        <v/>
      </c>
      <c r="C33" s="4">
        <f>IF(OR($A33="",$A33="BYE",LEFT($A33,2)="A_",LEFT($A33,2)="B_"),-1000-ROW()*0.0000001,N(B33)-ROW()*0.0000001)</f>
        <v/>
      </c>
      <c r="E33" s="4">
        <f>ROW()-4</f>
        <v/>
      </c>
      <c r="F33" s="4">
        <f>IFERROR(INDEX($A$5:$A$36,MATCH(LARGE($C$5:$C$36,$E33),$C$5:$C$36,0)),"")</f>
        <v/>
      </c>
      <c r="G33" s="4">
        <f>IFERROR(INDEX($B$5:$B$36,MATCH(LARGE($C$5:$C$36,$E33),$C$5:$C$36,0)),"")</f>
        <v/>
      </c>
      <c r="H33" s="4">
        <f>IF(OR($F33="",$F33="BYE",LEFT($F33,2)="A_",LEFT($F33,2)="B_"),"",IF($E33&lt;=16,IF(AND($G33=INDEX($G$5:$G$36,17),$G33=INDEX($G$5:$G$36,16)),"Empate (mesa)","CLASIFICA"),IF($G33=INDEX($G$5:$G$36,16),"Empate (mesa)","—")))</f>
        <v/>
      </c>
    </row>
    <row r="34" ht="14.25" customHeight="1" s="72">
      <c r="A34" s="4">
        <f>JUEZ_1!F1322</f>
        <v/>
      </c>
      <c r="B34" s="4">
        <f>(SUM(JUEZ_1!J1322:J1324)+SUM(JUEZ_2!J1322:J1324)+SUM(JUEZ_3!J1322:J1324))</f>
        <v/>
      </c>
      <c r="C34" s="4">
        <f>IF(OR($A34="",$A34="BYE",LEFT($A34,2)="A_",LEFT($A34,2)="B_"),-1000-ROW()*0.0000001,N(B34)-ROW()*0.0000001)</f>
        <v/>
      </c>
      <c r="E34" s="4">
        <f>ROW()-4</f>
        <v/>
      </c>
      <c r="F34" s="4">
        <f>IFERROR(INDEX($A$5:$A$36,MATCH(LARGE($C$5:$C$36,$E34),$C$5:$C$36,0)),"")</f>
        <v/>
      </c>
      <c r="G34" s="4">
        <f>IFERROR(INDEX($B$5:$B$36,MATCH(LARGE($C$5:$C$36,$E34),$C$5:$C$36,0)),"")</f>
        <v/>
      </c>
      <c r="H34" s="4">
        <f>IF(OR($F34="",$F34="BYE",LEFT($F34,2)="A_",LEFT($F34,2)="B_"),"",IF($E34&lt;=16,IF(AND($G34=INDEX($G$5:$G$36,17),$G34=INDEX($G$5:$G$36,16)),"Empate (mesa)","CLASIFICA"),IF($G34=INDEX($G$5:$G$36,16),"Empate (mesa)","—")))</f>
        <v/>
      </c>
    </row>
    <row r="35" ht="14.25" customHeight="1" s="72">
      <c r="A35" s="4">
        <f>JUEZ_1!D1325</f>
        <v/>
      </c>
      <c r="B35" s="4">
        <f>(SUM(JUEZ_1!I1325:I1327)+SUM(JUEZ_2!I1325:I1327)+SUM(JUEZ_3!I1325:I1327))</f>
        <v/>
      </c>
      <c r="C35" s="4">
        <f>IF(OR($A35="",$A35="BYE",LEFT($A35,2)="A_",LEFT($A35,2)="B_"),-1000-ROW()*0.0000001,N(B35)-ROW()*0.0000001)</f>
        <v/>
      </c>
      <c r="E35" s="4">
        <f>ROW()-4</f>
        <v/>
      </c>
      <c r="F35" s="4">
        <f>IFERROR(INDEX($A$5:$A$36,MATCH(LARGE($C$5:$C$36,$E35),$C$5:$C$36,0)),"")</f>
        <v/>
      </c>
      <c r="G35" s="4">
        <f>IFERROR(INDEX($B$5:$B$36,MATCH(LARGE($C$5:$C$36,$E35),$C$5:$C$36,0)),"")</f>
        <v/>
      </c>
      <c r="H35" s="4">
        <f>IF(OR($F35="",$F35="BYE",LEFT($F35,2)="A_",LEFT($F35,2)="B_"),"",IF($E35&lt;=16,IF(AND($G35=INDEX($G$5:$G$36,17),$G35=INDEX($G$5:$G$36,16)),"Empate (mesa)","CLASIFICA"),IF($G35=INDEX($G$5:$G$36,16),"Empate (mesa)","—")))</f>
        <v/>
      </c>
    </row>
    <row r="36" ht="14.25" customHeight="1" s="72">
      <c r="A36" s="4">
        <f>JUEZ_1!F1325</f>
        <v/>
      </c>
      <c r="B36" s="4">
        <f>(SUM(JUEZ_1!J1325:J1327)+SUM(JUEZ_2!J1325:J1327)+SUM(JUEZ_3!J1325:J1327))</f>
        <v/>
      </c>
      <c r="C36" s="4">
        <f>IF(OR($A36="",$A36="BYE",LEFT($A36,2)="A_",LEFT($A36,2)="B_"),-1000-ROW()*0.0000001,N(B36)-ROW()*0.0000001)</f>
        <v/>
      </c>
      <c r="E36" s="4">
        <f>ROW()-4</f>
        <v/>
      </c>
      <c r="F36" s="4">
        <f>IFERROR(INDEX($A$5:$A$36,MATCH(LARGE($C$5:$C$36,$E36),$C$5:$C$36,0)),"")</f>
        <v/>
      </c>
      <c r="G36" s="4">
        <f>IFERROR(INDEX($B$5:$B$36,MATCH(LARGE($C$5:$C$36,$E36),$C$5:$C$36,0)),"")</f>
        <v/>
      </c>
      <c r="H36" s="4">
        <f>IF(OR($F36="",$F36="BYE",LEFT($F36,2)="A_",LEFT($F36,2)="B_"),"",IF($E36&lt;=16,IF(AND($G36=INDEX($G$5:$G$36,17),$G36=INDEX($G$5:$G$36,16)),"Empate (mesa)","CLASIFICA"),IF($G36=INDEX($G$5:$G$36,16),"Empate (mesa)","—")))</f>
        <v/>
      </c>
    </row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5">
    <mergeCell ref="S3:Z3"/>
    <mergeCell ref="AB10:AG10"/>
    <mergeCell ref="J3:Q3"/>
    <mergeCell ref="A1:H1"/>
    <mergeCell ref="AB3:AI3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72" min="1" max="1"/>
    <col width="13" customWidth="1" style="72" min="2" max="2"/>
    <col outlineLevel="1" width="10.29" customWidth="1" style="72" min="3" max="3"/>
    <col width="3.71" customWidth="1" style="72" min="4" max="4"/>
    <col width="11.14" customWidth="1" style="72" min="5" max="5"/>
    <col width="25.86" customWidth="1" style="72" min="6" max="6"/>
    <col width="13" customWidth="1" style="72" min="7" max="7"/>
    <col width="14.71" customWidth="1" style="72" min="8" max="8"/>
    <col width="10.71" customWidth="1" style="72" min="9" max="26"/>
  </cols>
  <sheetData>
    <row r="1" ht="14.25" customHeight="1" s="72">
      <c r="A1" s="99" t="inlineStr">
        <is>
          <t>CLASIFICACIÓN · INFANTIL · Rueda São Bento da Abadá · Mixto · ranking por nota (3 jueces)</t>
        </is>
      </c>
    </row>
    <row r="2" ht="14.25" customHeight="1" s="72"/>
    <row r="3" ht="14.25" customHeight="1" s="72"/>
    <row r="4" ht="14.25" customHeight="1" s="72">
      <c r="A4" s="66" t="inlineStr">
        <is>
          <t>Participante</t>
        </is>
      </c>
      <c r="B4" s="66" t="inlineStr">
        <is>
          <t>Puntos</t>
        </is>
      </c>
      <c r="C4" s="67" t="inlineStr">
        <is>
          <t>clave</t>
        </is>
      </c>
      <c r="E4" s="8" t="inlineStr">
        <is>
          <t>Puesto</t>
        </is>
      </c>
      <c r="F4" s="8" t="inlineStr">
        <is>
          <t>Participante</t>
        </is>
      </c>
      <c r="G4" s="8" t="inlineStr">
        <is>
          <t>Puntos</t>
        </is>
      </c>
      <c r="H4" s="8" t="inlineStr">
        <is>
          <t>Destacado</t>
        </is>
      </c>
    </row>
    <row r="5" ht="14.25" customHeight="1" s="72">
      <c r="A5" s="68">
        <f>JUEZ_1!D1373</f>
        <v/>
      </c>
      <c r="B5" s="68">
        <f>N(JUEZ_1!H1373)+N(JUEZ_2!H1373)+N(JUEZ_3!H1373)</f>
        <v/>
      </c>
      <c r="C5" s="69">
        <f>IF(OR($A5="",LEFT($A5,4)="INF_"),-1000-ROW()*0.0000001,N(B5)-ROW()*0.0000001)</f>
        <v/>
      </c>
      <c r="E5" s="9">
        <f>ROW()-4</f>
        <v/>
      </c>
      <c r="F5" s="70">
        <f>IFERROR(INDEX($A$5:$A$44,MATCH(LARGE($C$5:$C$44,$E5),$C$5:$C$44,0)),"")</f>
        <v/>
      </c>
      <c r="G5" s="71">
        <f>IFERROR(INDEX($B$5:$B$44,MATCH(LARGE($C$5:$C$44,$E5),$C$5:$C$44,0)),"")</f>
        <v/>
      </c>
      <c r="H5" s="9">
        <f>IF(OR($F5="",LEFT($F5,4)="INF_"),"",IF($E5=1,"🥇 1º",IF($E5=2,"🥈 2º",IF($E5=3,"🥉 3º",""))))</f>
        <v/>
      </c>
    </row>
    <row r="6" ht="14.25" customHeight="1" s="72">
      <c r="A6" s="68">
        <f>JUEZ_1!D1374</f>
        <v/>
      </c>
      <c r="B6" s="68">
        <f>N(JUEZ_1!H1374)+N(JUEZ_2!H1374)+N(JUEZ_3!H1374)</f>
        <v/>
      </c>
      <c r="C6" s="69">
        <f>IF(OR($A6="",LEFT($A6,4)="INF_"),-1000-ROW()*0.0000001,N(B6)-ROW()*0.0000001)</f>
        <v/>
      </c>
      <c r="E6" s="9">
        <f>ROW()-4</f>
        <v/>
      </c>
      <c r="F6" s="70">
        <f>IFERROR(INDEX($A$5:$A$44,MATCH(LARGE($C$5:$C$44,$E6),$C$5:$C$44,0)),"")</f>
        <v/>
      </c>
      <c r="G6" s="71">
        <f>IFERROR(INDEX($B$5:$B$44,MATCH(LARGE($C$5:$C$44,$E6),$C$5:$C$44,0)),"")</f>
        <v/>
      </c>
      <c r="H6" s="9">
        <f>IF(OR($F6="",LEFT($F6,4)="INF_"),"",IF($E6=1,"🥇 1º",IF($E6=2,"🥈 2º",IF($E6=3,"🥉 3º",""))))</f>
        <v/>
      </c>
    </row>
    <row r="7" ht="14.25" customHeight="1" s="72">
      <c r="A7" s="68">
        <f>JUEZ_1!D1375</f>
        <v/>
      </c>
      <c r="B7" s="68">
        <f>N(JUEZ_1!H1375)+N(JUEZ_2!H1375)+N(JUEZ_3!H1375)</f>
        <v/>
      </c>
      <c r="C7" s="69">
        <f>IF(OR($A7="",LEFT($A7,4)="INF_"),-1000-ROW()*0.0000001,N(B7)-ROW()*0.0000001)</f>
        <v/>
      </c>
      <c r="E7" s="9">
        <f>ROW()-4</f>
        <v/>
      </c>
      <c r="F7" s="70">
        <f>IFERROR(INDEX($A$5:$A$44,MATCH(LARGE($C$5:$C$44,$E7),$C$5:$C$44,0)),"")</f>
        <v/>
      </c>
      <c r="G7" s="71">
        <f>IFERROR(INDEX($B$5:$B$44,MATCH(LARGE($C$5:$C$44,$E7),$C$5:$C$44,0)),"")</f>
        <v/>
      </c>
      <c r="H7" s="9">
        <f>IF(OR($F7="",LEFT($F7,4)="INF_"),"",IF($E7=1,"🥇 1º",IF($E7=2,"🥈 2º",IF($E7=3,"🥉 3º",""))))</f>
        <v/>
      </c>
    </row>
    <row r="8" ht="14.25" customHeight="1" s="72">
      <c r="A8" s="68">
        <f>JUEZ_1!D1376</f>
        <v/>
      </c>
      <c r="B8" s="68">
        <f>N(JUEZ_1!H1376)+N(JUEZ_2!H1376)+N(JUEZ_3!H1376)</f>
        <v/>
      </c>
      <c r="C8" s="69">
        <f>IF(OR($A8="",LEFT($A8,4)="INF_"),-1000-ROW()*0.0000001,N(B8)-ROW()*0.0000001)</f>
        <v/>
      </c>
      <c r="E8" s="9">
        <f>ROW()-4</f>
        <v/>
      </c>
      <c r="F8" s="70">
        <f>IFERROR(INDEX($A$5:$A$44,MATCH(LARGE($C$5:$C$44,$E8),$C$5:$C$44,0)),"")</f>
        <v/>
      </c>
      <c r="G8" s="71">
        <f>IFERROR(INDEX($B$5:$B$44,MATCH(LARGE($C$5:$C$44,$E8),$C$5:$C$44,0)),"")</f>
        <v/>
      </c>
      <c r="H8" s="9">
        <f>IF(OR($F8="",LEFT($F8,4)="INF_"),"",IF($E8=1,"🥇 1º",IF($E8=2,"🥈 2º",IF($E8=3,"🥉 3º",""))))</f>
        <v/>
      </c>
    </row>
    <row r="9" ht="14.25" customHeight="1" s="72">
      <c r="A9" s="68">
        <f>JUEZ_1!D1377</f>
        <v/>
      </c>
      <c r="B9" s="68">
        <f>N(JUEZ_1!H1377)+N(JUEZ_2!H1377)+N(JUEZ_3!H1377)</f>
        <v/>
      </c>
      <c r="C9" s="69">
        <f>IF(OR($A9="",LEFT($A9,4)="INF_"),-1000-ROW()*0.0000001,N(B9)-ROW()*0.0000001)</f>
        <v/>
      </c>
      <c r="E9" s="9">
        <f>ROW()-4</f>
        <v/>
      </c>
      <c r="F9" s="70">
        <f>IFERROR(INDEX($A$5:$A$44,MATCH(LARGE($C$5:$C$44,$E9),$C$5:$C$44,0)),"")</f>
        <v/>
      </c>
      <c r="G9" s="71">
        <f>IFERROR(INDEX($B$5:$B$44,MATCH(LARGE($C$5:$C$44,$E9),$C$5:$C$44,0)),"")</f>
        <v/>
      </c>
      <c r="H9" s="9">
        <f>IF(OR($F9="",LEFT($F9,4)="INF_"),"",IF($E9=1,"🥇 1º",IF($E9=2,"🥈 2º",IF($E9=3,"🥉 3º",""))))</f>
        <v/>
      </c>
    </row>
    <row r="10" ht="14.25" customHeight="1" s="72">
      <c r="A10" s="68">
        <f>JUEZ_1!D1378</f>
        <v/>
      </c>
      <c r="B10" s="68">
        <f>N(JUEZ_1!H1378)+N(JUEZ_2!H1378)+N(JUEZ_3!H1378)</f>
        <v/>
      </c>
      <c r="C10" s="69">
        <f>IF(OR($A10="",LEFT($A10,4)="INF_"),-1000-ROW()*0.0000001,N(B10)-ROW()*0.0000001)</f>
        <v/>
      </c>
      <c r="E10" s="9">
        <f>ROW()-4</f>
        <v/>
      </c>
      <c r="F10" s="70">
        <f>IFERROR(INDEX($A$5:$A$44,MATCH(LARGE($C$5:$C$44,$E10),$C$5:$C$44,0)),"")</f>
        <v/>
      </c>
      <c r="G10" s="71">
        <f>IFERROR(INDEX($B$5:$B$44,MATCH(LARGE($C$5:$C$44,$E10),$C$5:$C$44,0)),"")</f>
        <v/>
      </c>
      <c r="H10" s="9">
        <f>IF(OR($F10="",LEFT($F10,4)="INF_"),"",IF($E10=1,"🥇 1º",IF($E10=2,"🥈 2º",IF($E10=3,"🥉 3º",""))))</f>
        <v/>
      </c>
    </row>
    <row r="11" ht="14.25" customHeight="1" s="72">
      <c r="A11" s="68">
        <f>JUEZ_1!D1379</f>
        <v/>
      </c>
      <c r="B11" s="68">
        <f>N(JUEZ_1!H1379)+N(JUEZ_2!H1379)+N(JUEZ_3!H1379)</f>
        <v/>
      </c>
      <c r="C11" s="69">
        <f>IF(OR($A11="",LEFT($A11,4)="INF_"),-1000-ROW()*0.0000001,N(B11)-ROW()*0.0000001)</f>
        <v/>
      </c>
      <c r="E11" s="9">
        <f>ROW()-4</f>
        <v/>
      </c>
      <c r="F11" s="70">
        <f>IFERROR(INDEX($A$5:$A$44,MATCH(LARGE($C$5:$C$44,$E11),$C$5:$C$44,0)),"")</f>
        <v/>
      </c>
      <c r="G11" s="71">
        <f>IFERROR(INDEX($B$5:$B$44,MATCH(LARGE($C$5:$C$44,$E11),$C$5:$C$44,0)),"")</f>
        <v/>
      </c>
      <c r="H11" s="9">
        <f>IF(OR($F11="",LEFT($F11,4)="INF_"),"",IF($E11=1,"🥇 1º",IF($E11=2,"🥈 2º",IF($E11=3,"🥉 3º",""))))</f>
        <v/>
      </c>
    </row>
    <row r="12" ht="14.25" customHeight="1" s="72">
      <c r="A12" s="68">
        <f>JUEZ_1!D1380</f>
        <v/>
      </c>
      <c r="B12" s="68">
        <f>N(JUEZ_1!H1380)+N(JUEZ_2!H1380)+N(JUEZ_3!H1380)</f>
        <v/>
      </c>
      <c r="C12" s="69">
        <f>IF(OR($A12="",LEFT($A12,4)="INF_"),-1000-ROW()*0.0000001,N(B12)-ROW()*0.0000001)</f>
        <v/>
      </c>
      <c r="E12" s="9">
        <f>ROW()-4</f>
        <v/>
      </c>
      <c r="F12" s="70">
        <f>IFERROR(INDEX($A$5:$A$44,MATCH(LARGE($C$5:$C$44,$E12),$C$5:$C$44,0)),"")</f>
        <v/>
      </c>
      <c r="G12" s="71">
        <f>IFERROR(INDEX($B$5:$B$44,MATCH(LARGE($C$5:$C$44,$E12),$C$5:$C$44,0)),"")</f>
        <v/>
      </c>
      <c r="H12" s="9">
        <f>IF(OR($F12="",LEFT($F12,4)="INF_"),"",IF($E12=1,"🥇 1º",IF($E12=2,"🥈 2º",IF($E12=3,"🥉 3º",""))))</f>
        <v/>
      </c>
    </row>
    <row r="13" ht="14.25" customHeight="1" s="72">
      <c r="A13" s="68">
        <f>JUEZ_1!D1381</f>
        <v/>
      </c>
      <c r="B13" s="68">
        <f>N(JUEZ_1!H1381)+N(JUEZ_2!H1381)+N(JUEZ_3!H1381)</f>
        <v/>
      </c>
      <c r="C13" s="69">
        <f>IF(OR($A13="",LEFT($A13,4)="INF_"),-1000-ROW()*0.0000001,N(B13)-ROW()*0.0000001)</f>
        <v/>
      </c>
      <c r="E13" s="9">
        <f>ROW()-4</f>
        <v/>
      </c>
      <c r="F13" s="70">
        <f>IFERROR(INDEX($A$5:$A$44,MATCH(LARGE($C$5:$C$44,$E13),$C$5:$C$44,0)),"")</f>
        <v/>
      </c>
      <c r="G13" s="71">
        <f>IFERROR(INDEX($B$5:$B$44,MATCH(LARGE($C$5:$C$44,$E13),$C$5:$C$44,0)),"")</f>
        <v/>
      </c>
      <c r="H13" s="9">
        <f>IF(OR($F13="",LEFT($F13,4)="INF_"),"",IF($E13=1,"🥇 1º",IF($E13=2,"🥈 2º",IF($E13=3,"🥉 3º",""))))</f>
        <v/>
      </c>
    </row>
    <row r="14" ht="14.25" customHeight="1" s="72">
      <c r="A14" s="68">
        <f>JUEZ_1!D1382</f>
        <v/>
      </c>
      <c r="B14" s="68">
        <f>N(JUEZ_1!H1382)+N(JUEZ_2!H1382)+N(JUEZ_3!H1382)</f>
        <v/>
      </c>
      <c r="C14" s="69">
        <f>IF(OR($A14="",LEFT($A14,4)="INF_"),-1000-ROW()*0.0000001,N(B14)-ROW()*0.0000001)</f>
        <v/>
      </c>
      <c r="E14" s="9">
        <f>ROW()-4</f>
        <v/>
      </c>
      <c r="F14" s="70">
        <f>IFERROR(INDEX($A$5:$A$44,MATCH(LARGE($C$5:$C$44,$E14),$C$5:$C$44,0)),"")</f>
        <v/>
      </c>
      <c r="G14" s="71">
        <f>IFERROR(INDEX($B$5:$B$44,MATCH(LARGE($C$5:$C$44,$E14),$C$5:$C$44,0)),"")</f>
        <v/>
      </c>
      <c r="H14" s="9">
        <f>IF(OR($F14="",LEFT($F14,4)="INF_"),"",IF($E14=1,"🥇 1º",IF($E14=2,"🥈 2º",IF($E14=3,"🥉 3º",""))))</f>
        <v/>
      </c>
    </row>
    <row r="15" ht="14.25" customHeight="1" s="72">
      <c r="A15" s="68">
        <f>JUEZ_1!D1383</f>
        <v/>
      </c>
      <c r="B15" s="68">
        <f>N(JUEZ_1!H1383)+N(JUEZ_2!H1383)+N(JUEZ_3!H1383)</f>
        <v/>
      </c>
      <c r="C15" s="69">
        <f>IF(OR($A15="",LEFT($A15,4)="INF_"),-1000-ROW()*0.0000001,N(B15)-ROW()*0.0000001)</f>
        <v/>
      </c>
      <c r="E15" s="9">
        <f>ROW()-4</f>
        <v/>
      </c>
      <c r="F15" s="70">
        <f>IFERROR(INDEX($A$5:$A$44,MATCH(LARGE($C$5:$C$44,$E15),$C$5:$C$44,0)),"")</f>
        <v/>
      </c>
      <c r="G15" s="71">
        <f>IFERROR(INDEX($B$5:$B$44,MATCH(LARGE($C$5:$C$44,$E15),$C$5:$C$44,0)),"")</f>
        <v/>
      </c>
      <c r="H15" s="9">
        <f>IF(OR($F15="",LEFT($F15,4)="INF_"),"",IF($E15=1,"🥇 1º",IF($E15=2,"🥈 2º",IF($E15=3,"🥉 3º",""))))</f>
        <v/>
      </c>
    </row>
    <row r="16" ht="14.25" customHeight="1" s="72">
      <c r="A16" s="68">
        <f>JUEZ_1!D1384</f>
        <v/>
      </c>
      <c r="B16" s="68">
        <f>N(JUEZ_1!H1384)+N(JUEZ_2!H1384)+N(JUEZ_3!H1384)</f>
        <v/>
      </c>
      <c r="C16" s="69">
        <f>IF(OR($A16="",LEFT($A16,4)="INF_"),-1000-ROW()*0.0000001,N(B16)-ROW()*0.0000001)</f>
        <v/>
      </c>
      <c r="E16" s="9">
        <f>ROW()-4</f>
        <v/>
      </c>
      <c r="F16" s="70">
        <f>IFERROR(INDEX($A$5:$A$44,MATCH(LARGE($C$5:$C$44,$E16),$C$5:$C$44,0)),"")</f>
        <v/>
      </c>
      <c r="G16" s="71">
        <f>IFERROR(INDEX($B$5:$B$44,MATCH(LARGE($C$5:$C$44,$E16),$C$5:$C$44,0)),"")</f>
        <v/>
      </c>
      <c r="H16" s="9">
        <f>IF(OR($F16="",LEFT($F16,4)="INF_"),"",IF($E16=1,"🥇 1º",IF($E16=2,"🥈 2º",IF($E16=3,"🥉 3º",""))))</f>
        <v/>
      </c>
    </row>
    <row r="17" ht="14.25" customHeight="1" s="72">
      <c r="A17" s="68">
        <f>JUEZ_1!D1385</f>
        <v/>
      </c>
      <c r="B17" s="68">
        <f>N(JUEZ_1!H1385)+N(JUEZ_2!H1385)+N(JUEZ_3!H1385)</f>
        <v/>
      </c>
      <c r="C17" s="69">
        <f>IF(OR($A17="",LEFT($A17,4)="INF_"),-1000-ROW()*0.0000001,N(B17)-ROW()*0.0000001)</f>
        <v/>
      </c>
      <c r="E17" s="9">
        <f>ROW()-4</f>
        <v/>
      </c>
      <c r="F17" s="70">
        <f>IFERROR(INDEX($A$5:$A$44,MATCH(LARGE($C$5:$C$44,$E17),$C$5:$C$44,0)),"")</f>
        <v/>
      </c>
      <c r="G17" s="71">
        <f>IFERROR(INDEX($B$5:$B$44,MATCH(LARGE($C$5:$C$44,$E17),$C$5:$C$44,0)),"")</f>
        <v/>
      </c>
      <c r="H17" s="9">
        <f>IF(OR($F17="",LEFT($F17,4)="INF_"),"",IF($E17=1,"🥇 1º",IF($E17=2,"🥈 2º",IF($E17=3,"🥉 3º",""))))</f>
        <v/>
      </c>
    </row>
    <row r="18" ht="14.25" customHeight="1" s="72">
      <c r="A18" s="68">
        <f>JUEZ_1!D1386</f>
        <v/>
      </c>
      <c r="B18" s="68">
        <f>N(JUEZ_1!H1386)+N(JUEZ_2!H1386)+N(JUEZ_3!H1386)</f>
        <v/>
      </c>
      <c r="C18" s="69">
        <f>IF(OR($A18="",LEFT($A18,4)="INF_"),-1000-ROW()*0.0000001,N(B18)-ROW()*0.0000001)</f>
        <v/>
      </c>
      <c r="E18" s="9">
        <f>ROW()-4</f>
        <v/>
      </c>
      <c r="F18" s="70">
        <f>IFERROR(INDEX($A$5:$A$44,MATCH(LARGE($C$5:$C$44,$E18),$C$5:$C$44,0)),"")</f>
        <v/>
      </c>
      <c r="G18" s="71">
        <f>IFERROR(INDEX($B$5:$B$44,MATCH(LARGE($C$5:$C$44,$E18),$C$5:$C$44,0)),"")</f>
        <v/>
      </c>
      <c r="H18" s="9">
        <f>IF(OR($F18="",LEFT($F18,4)="INF_"),"",IF($E18=1,"🥇 1º",IF($E18=2,"🥈 2º",IF($E18=3,"🥉 3º",""))))</f>
        <v/>
      </c>
    </row>
    <row r="19" ht="14.25" customHeight="1" s="72">
      <c r="A19" s="68">
        <f>JUEZ_1!D1387</f>
        <v/>
      </c>
      <c r="B19" s="68">
        <f>N(JUEZ_1!H1387)+N(JUEZ_2!H1387)+N(JUEZ_3!H1387)</f>
        <v/>
      </c>
      <c r="C19" s="69">
        <f>IF(OR($A19="",LEFT($A19,4)="INF_"),-1000-ROW()*0.0000001,N(B19)-ROW()*0.0000001)</f>
        <v/>
      </c>
      <c r="E19" s="9">
        <f>ROW()-4</f>
        <v/>
      </c>
      <c r="F19" s="70">
        <f>IFERROR(INDEX($A$5:$A$44,MATCH(LARGE($C$5:$C$44,$E19),$C$5:$C$44,0)),"")</f>
        <v/>
      </c>
      <c r="G19" s="71">
        <f>IFERROR(INDEX($B$5:$B$44,MATCH(LARGE($C$5:$C$44,$E19),$C$5:$C$44,0)),"")</f>
        <v/>
      </c>
      <c r="H19" s="9">
        <f>IF(OR($F19="",LEFT($F19,4)="INF_"),"",IF($E19=1,"🥇 1º",IF($E19=2,"🥈 2º",IF($E19=3,"🥉 3º",""))))</f>
        <v/>
      </c>
    </row>
    <row r="20" ht="14.25" customHeight="1" s="72">
      <c r="A20" s="68">
        <f>JUEZ_1!D1388</f>
        <v/>
      </c>
      <c r="B20" s="68">
        <f>N(JUEZ_1!H1388)+N(JUEZ_2!H1388)+N(JUEZ_3!H1388)</f>
        <v/>
      </c>
      <c r="C20" s="69">
        <f>IF(OR($A20="",LEFT($A20,4)="INF_"),-1000-ROW()*0.0000001,N(B20)-ROW()*0.0000001)</f>
        <v/>
      </c>
      <c r="E20" s="9">
        <f>ROW()-4</f>
        <v/>
      </c>
      <c r="F20" s="70">
        <f>IFERROR(INDEX($A$5:$A$44,MATCH(LARGE($C$5:$C$44,$E20),$C$5:$C$44,0)),"")</f>
        <v/>
      </c>
      <c r="G20" s="71">
        <f>IFERROR(INDEX($B$5:$B$44,MATCH(LARGE($C$5:$C$44,$E20),$C$5:$C$44,0)),"")</f>
        <v/>
      </c>
      <c r="H20" s="9">
        <f>IF(OR($F20="",LEFT($F20,4)="INF_"),"",IF($E20=1,"🥇 1º",IF($E20=2,"🥈 2º",IF($E20=3,"🥉 3º",""))))</f>
        <v/>
      </c>
    </row>
    <row r="21" ht="14.25" customHeight="1" s="72">
      <c r="A21" s="68">
        <f>JUEZ_1!D1389</f>
        <v/>
      </c>
      <c r="B21" s="68">
        <f>N(JUEZ_1!H1389)+N(JUEZ_2!H1389)+N(JUEZ_3!H1389)</f>
        <v/>
      </c>
      <c r="C21" s="69">
        <f>IF(OR($A21="",LEFT($A21,4)="INF_"),-1000-ROW()*0.0000001,N(B21)-ROW()*0.0000001)</f>
        <v/>
      </c>
      <c r="E21" s="9">
        <f>ROW()-4</f>
        <v/>
      </c>
      <c r="F21" s="70">
        <f>IFERROR(INDEX($A$5:$A$44,MATCH(LARGE($C$5:$C$44,$E21),$C$5:$C$44,0)),"")</f>
        <v/>
      </c>
      <c r="G21" s="71">
        <f>IFERROR(INDEX($B$5:$B$44,MATCH(LARGE($C$5:$C$44,$E21),$C$5:$C$44,0)),"")</f>
        <v/>
      </c>
      <c r="H21" s="9">
        <f>IF(OR($F21="",LEFT($F21,4)="INF_"),"",IF($E21=1,"🥇 1º",IF($E21=2,"🥈 2º",IF($E21=3,"🥉 3º",""))))</f>
        <v/>
      </c>
    </row>
    <row r="22" ht="14.25" customHeight="1" s="72">
      <c r="A22" s="68">
        <f>JUEZ_1!D1390</f>
        <v/>
      </c>
      <c r="B22" s="68">
        <f>N(JUEZ_1!H1390)+N(JUEZ_2!H1390)+N(JUEZ_3!H1390)</f>
        <v/>
      </c>
      <c r="C22" s="69">
        <f>IF(OR($A22="",LEFT($A22,4)="INF_"),-1000-ROW()*0.0000001,N(B22)-ROW()*0.0000001)</f>
        <v/>
      </c>
      <c r="E22" s="9">
        <f>ROW()-4</f>
        <v/>
      </c>
      <c r="F22" s="70">
        <f>IFERROR(INDEX($A$5:$A$44,MATCH(LARGE($C$5:$C$44,$E22),$C$5:$C$44,0)),"")</f>
        <v/>
      </c>
      <c r="G22" s="71">
        <f>IFERROR(INDEX($B$5:$B$44,MATCH(LARGE($C$5:$C$44,$E22),$C$5:$C$44,0)),"")</f>
        <v/>
      </c>
      <c r="H22" s="9">
        <f>IF(OR($F22="",LEFT($F22,4)="INF_"),"",IF($E22=1,"🥇 1º",IF($E22=2,"🥈 2º",IF($E22=3,"🥉 3º",""))))</f>
        <v/>
      </c>
    </row>
    <row r="23" ht="14.25" customHeight="1" s="72">
      <c r="A23" s="68">
        <f>JUEZ_1!D1391</f>
        <v/>
      </c>
      <c r="B23" s="68">
        <f>N(JUEZ_1!H1391)+N(JUEZ_2!H1391)+N(JUEZ_3!H1391)</f>
        <v/>
      </c>
      <c r="C23" s="69">
        <f>IF(OR($A23="",LEFT($A23,4)="INF_"),-1000-ROW()*0.0000001,N(B23)-ROW()*0.0000001)</f>
        <v/>
      </c>
      <c r="E23" s="9">
        <f>ROW()-4</f>
        <v/>
      </c>
      <c r="F23" s="70">
        <f>IFERROR(INDEX($A$5:$A$44,MATCH(LARGE($C$5:$C$44,$E23),$C$5:$C$44,0)),"")</f>
        <v/>
      </c>
      <c r="G23" s="71">
        <f>IFERROR(INDEX($B$5:$B$44,MATCH(LARGE($C$5:$C$44,$E23),$C$5:$C$44,0)),"")</f>
        <v/>
      </c>
      <c r="H23" s="9">
        <f>IF(OR($F23="",LEFT($F23,4)="INF_"),"",IF($E23=1,"🥇 1º",IF($E23=2,"🥈 2º",IF($E23=3,"🥉 3º",""))))</f>
        <v/>
      </c>
    </row>
    <row r="24" ht="14.25" customHeight="1" s="72">
      <c r="A24" s="68">
        <f>JUEZ_1!D1392</f>
        <v/>
      </c>
      <c r="B24" s="68">
        <f>N(JUEZ_1!H1392)+N(JUEZ_2!H1392)+N(JUEZ_3!H1392)</f>
        <v/>
      </c>
      <c r="C24" s="69">
        <f>IF(OR($A24="",LEFT($A24,4)="INF_"),-1000-ROW()*0.0000001,N(B24)-ROW()*0.0000001)</f>
        <v/>
      </c>
      <c r="E24" s="9">
        <f>ROW()-4</f>
        <v/>
      </c>
      <c r="F24" s="70">
        <f>IFERROR(INDEX($A$5:$A$44,MATCH(LARGE($C$5:$C$44,$E24),$C$5:$C$44,0)),"")</f>
        <v/>
      </c>
      <c r="G24" s="71">
        <f>IFERROR(INDEX($B$5:$B$44,MATCH(LARGE($C$5:$C$44,$E24),$C$5:$C$44,0)),"")</f>
        <v/>
      </c>
      <c r="H24" s="9">
        <f>IF(OR($F24="",LEFT($F24,4)="INF_"),"",IF($E24=1,"🥇 1º",IF($E24=2,"🥈 2º",IF($E24=3,"🥉 3º",""))))</f>
        <v/>
      </c>
    </row>
    <row r="25" ht="14.25" customHeight="1" s="72">
      <c r="A25" s="68">
        <f>JUEZ_1!D1393</f>
        <v/>
      </c>
      <c r="B25" s="68">
        <f>N(JUEZ_1!H1393)+N(JUEZ_2!H1393)+N(JUEZ_3!H1393)</f>
        <v/>
      </c>
      <c r="C25" s="69">
        <f>IF(OR($A25="",LEFT($A25,4)="INF_"),-1000-ROW()*0.0000001,N(B25)-ROW()*0.0000001)</f>
        <v/>
      </c>
      <c r="E25" s="9">
        <f>ROW()-4</f>
        <v/>
      </c>
      <c r="F25" s="70">
        <f>IFERROR(INDEX($A$5:$A$44,MATCH(LARGE($C$5:$C$44,$E25),$C$5:$C$44,0)),"")</f>
        <v/>
      </c>
      <c r="G25" s="71">
        <f>IFERROR(INDEX($B$5:$B$44,MATCH(LARGE($C$5:$C$44,$E25),$C$5:$C$44,0)),"")</f>
        <v/>
      </c>
      <c r="H25" s="9">
        <f>IF(OR($F25="",LEFT($F25,4)="INF_"),"",IF($E25=1,"🥇 1º",IF($E25=2,"🥈 2º",IF($E25=3,"🥉 3º",""))))</f>
        <v/>
      </c>
    </row>
    <row r="26" ht="14.25" customHeight="1" s="72">
      <c r="A26" s="68">
        <f>JUEZ_1!D1394</f>
        <v/>
      </c>
      <c r="B26" s="68">
        <f>N(JUEZ_1!H1394)+N(JUEZ_2!H1394)+N(JUEZ_3!H1394)</f>
        <v/>
      </c>
      <c r="C26" s="69">
        <f>IF(OR($A26="",LEFT($A26,4)="INF_"),-1000-ROW()*0.0000001,N(B26)-ROW()*0.0000001)</f>
        <v/>
      </c>
      <c r="E26" s="9">
        <f>ROW()-4</f>
        <v/>
      </c>
      <c r="F26" s="70">
        <f>IFERROR(INDEX($A$5:$A$44,MATCH(LARGE($C$5:$C$44,$E26),$C$5:$C$44,0)),"")</f>
        <v/>
      </c>
      <c r="G26" s="71">
        <f>IFERROR(INDEX($B$5:$B$44,MATCH(LARGE($C$5:$C$44,$E26),$C$5:$C$44,0)),"")</f>
        <v/>
      </c>
      <c r="H26" s="9">
        <f>IF(OR($F26="",LEFT($F26,4)="INF_"),"",IF($E26=1,"🥇 1º",IF($E26=2,"🥈 2º",IF($E26=3,"🥉 3º",""))))</f>
        <v/>
      </c>
    </row>
    <row r="27" ht="14.25" customHeight="1" s="72">
      <c r="A27" s="68">
        <f>JUEZ_1!D1395</f>
        <v/>
      </c>
      <c r="B27" s="68">
        <f>N(JUEZ_1!H1395)+N(JUEZ_2!H1395)+N(JUEZ_3!H1395)</f>
        <v/>
      </c>
      <c r="C27" s="69">
        <f>IF(OR($A27="",LEFT($A27,4)="INF_"),-1000-ROW()*0.0000001,N(B27)-ROW()*0.0000001)</f>
        <v/>
      </c>
      <c r="E27" s="9">
        <f>ROW()-4</f>
        <v/>
      </c>
      <c r="F27" s="70">
        <f>IFERROR(INDEX($A$5:$A$44,MATCH(LARGE($C$5:$C$44,$E27),$C$5:$C$44,0)),"")</f>
        <v/>
      </c>
      <c r="G27" s="71">
        <f>IFERROR(INDEX($B$5:$B$44,MATCH(LARGE($C$5:$C$44,$E27),$C$5:$C$44,0)),"")</f>
        <v/>
      </c>
      <c r="H27" s="9">
        <f>IF(OR($F27="",LEFT($F27,4)="INF_"),"",IF($E27=1,"🥇 1º",IF($E27=2,"🥈 2º",IF($E27=3,"🥉 3º",""))))</f>
        <v/>
      </c>
    </row>
    <row r="28" ht="14.25" customHeight="1" s="72">
      <c r="A28" s="68">
        <f>JUEZ_1!D1396</f>
        <v/>
      </c>
      <c r="B28" s="68">
        <f>N(JUEZ_1!H1396)+N(JUEZ_2!H1396)+N(JUEZ_3!H1396)</f>
        <v/>
      </c>
      <c r="C28" s="69">
        <f>IF(OR($A28="",LEFT($A28,4)="INF_"),-1000-ROW()*0.0000001,N(B28)-ROW()*0.0000001)</f>
        <v/>
      </c>
      <c r="E28" s="9">
        <f>ROW()-4</f>
        <v/>
      </c>
      <c r="F28" s="70">
        <f>IFERROR(INDEX($A$5:$A$44,MATCH(LARGE($C$5:$C$44,$E28),$C$5:$C$44,0)),"")</f>
        <v/>
      </c>
      <c r="G28" s="71">
        <f>IFERROR(INDEX($B$5:$B$44,MATCH(LARGE($C$5:$C$44,$E28),$C$5:$C$44,0)),"")</f>
        <v/>
      </c>
      <c r="H28" s="9">
        <f>IF(OR($F28="",LEFT($F28,4)="INF_"),"",IF($E28=1,"🥇 1º",IF($E28=2,"🥈 2º",IF($E28=3,"🥉 3º",""))))</f>
        <v/>
      </c>
    </row>
    <row r="29" ht="14.25" customHeight="1" s="72">
      <c r="A29" s="68">
        <f>JUEZ_1!D1397</f>
        <v/>
      </c>
      <c r="B29" s="68">
        <f>N(JUEZ_1!H1397)+N(JUEZ_2!H1397)+N(JUEZ_3!H1397)</f>
        <v/>
      </c>
      <c r="C29" s="69">
        <f>IF(OR($A29="",LEFT($A29,4)="INF_"),-1000-ROW()*0.0000001,N(B29)-ROW()*0.0000001)</f>
        <v/>
      </c>
      <c r="E29" s="9">
        <f>ROW()-4</f>
        <v/>
      </c>
      <c r="F29" s="70">
        <f>IFERROR(INDEX($A$5:$A$44,MATCH(LARGE($C$5:$C$44,$E29),$C$5:$C$44,0)),"")</f>
        <v/>
      </c>
      <c r="G29" s="71">
        <f>IFERROR(INDEX($B$5:$B$44,MATCH(LARGE($C$5:$C$44,$E29),$C$5:$C$44,0)),"")</f>
        <v/>
      </c>
      <c r="H29" s="9">
        <f>IF(OR($F29="",LEFT($F29,4)="INF_"),"",IF($E29=1,"🥇 1º",IF($E29=2,"🥈 2º",IF($E29=3,"🥉 3º",""))))</f>
        <v/>
      </c>
    </row>
    <row r="30" ht="14.25" customHeight="1" s="72">
      <c r="A30" s="68">
        <f>JUEZ_1!D1398</f>
        <v/>
      </c>
      <c r="B30" s="68">
        <f>N(JUEZ_1!H1398)+N(JUEZ_2!H1398)+N(JUEZ_3!H1398)</f>
        <v/>
      </c>
      <c r="C30" s="69">
        <f>IF(OR($A30="",LEFT($A30,4)="INF_"),-1000-ROW()*0.0000001,N(B30)-ROW()*0.0000001)</f>
        <v/>
      </c>
      <c r="E30" s="9">
        <f>ROW()-4</f>
        <v/>
      </c>
      <c r="F30" s="70">
        <f>IFERROR(INDEX($A$5:$A$44,MATCH(LARGE($C$5:$C$44,$E30),$C$5:$C$44,0)),"")</f>
        <v/>
      </c>
      <c r="G30" s="71">
        <f>IFERROR(INDEX($B$5:$B$44,MATCH(LARGE($C$5:$C$44,$E30),$C$5:$C$44,0)),"")</f>
        <v/>
      </c>
      <c r="H30" s="9">
        <f>IF(OR($F30="",LEFT($F30,4)="INF_"),"",IF($E30=1,"🥇 1º",IF($E30=2,"🥈 2º",IF($E30=3,"🥉 3º",""))))</f>
        <v/>
      </c>
    </row>
    <row r="31" ht="14.25" customHeight="1" s="72">
      <c r="A31" s="68">
        <f>JUEZ_1!D1399</f>
        <v/>
      </c>
      <c r="B31" s="68">
        <f>N(JUEZ_1!H1399)+N(JUEZ_2!H1399)+N(JUEZ_3!H1399)</f>
        <v/>
      </c>
      <c r="C31" s="69">
        <f>IF(OR($A31="",LEFT($A31,4)="INF_"),-1000-ROW()*0.0000001,N(B31)-ROW()*0.0000001)</f>
        <v/>
      </c>
      <c r="E31" s="9">
        <f>ROW()-4</f>
        <v/>
      </c>
      <c r="F31" s="70">
        <f>IFERROR(INDEX($A$5:$A$44,MATCH(LARGE($C$5:$C$44,$E31),$C$5:$C$44,0)),"")</f>
        <v/>
      </c>
      <c r="G31" s="71">
        <f>IFERROR(INDEX($B$5:$B$44,MATCH(LARGE($C$5:$C$44,$E31),$C$5:$C$44,0)),"")</f>
        <v/>
      </c>
      <c r="H31" s="9">
        <f>IF(OR($F31="",LEFT($F31,4)="INF_"),"",IF($E31=1,"🥇 1º",IF($E31=2,"🥈 2º",IF($E31=3,"🥉 3º",""))))</f>
        <v/>
      </c>
    </row>
    <row r="32" ht="14.25" customHeight="1" s="72">
      <c r="A32" s="68">
        <f>JUEZ_1!D1400</f>
        <v/>
      </c>
      <c r="B32" s="68">
        <f>N(JUEZ_1!H1400)+N(JUEZ_2!H1400)+N(JUEZ_3!H1400)</f>
        <v/>
      </c>
      <c r="C32" s="69">
        <f>IF(OR($A32="",LEFT($A32,4)="INF_"),-1000-ROW()*0.0000001,N(B32)-ROW()*0.0000001)</f>
        <v/>
      </c>
      <c r="E32" s="9">
        <f>ROW()-4</f>
        <v/>
      </c>
      <c r="F32" s="70">
        <f>IFERROR(INDEX($A$5:$A$44,MATCH(LARGE($C$5:$C$44,$E32),$C$5:$C$44,0)),"")</f>
        <v/>
      </c>
      <c r="G32" s="71">
        <f>IFERROR(INDEX($B$5:$B$44,MATCH(LARGE($C$5:$C$44,$E32),$C$5:$C$44,0)),"")</f>
        <v/>
      </c>
      <c r="H32" s="9">
        <f>IF(OR($F32="",LEFT($F32,4)="INF_"),"",IF($E32=1,"🥇 1º",IF($E32=2,"🥈 2º",IF($E32=3,"🥉 3º",""))))</f>
        <v/>
      </c>
    </row>
    <row r="33" ht="14.25" customHeight="1" s="72">
      <c r="A33" s="68">
        <f>JUEZ_1!D1401</f>
        <v/>
      </c>
      <c r="B33" s="68">
        <f>N(JUEZ_1!H1401)+N(JUEZ_2!H1401)+N(JUEZ_3!H1401)</f>
        <v/>
      </c>
      <c r="C33" s="69">
        <f>IF(OR($A33="",LEFT($A33,4)="INF_"),-1000-ROW()*0.0000001,N(B33)-ROW()*0.0000001)</f>
        <v/>
      </c>
      <c r="E33" s="9">
        <f>ROW()-4</f>
        <v/>
      </c>
      <c r="F33" s="70">
        <f>IFERROR(INDEX($A$5:$A$44,MATCH(LARGE($C$5:$C$44,$E33),$C$5:$C$44,0)),"")</f>
        <v/>
      </c>
      <c r="G33" s="71">
        <f>IFERROR(INDEX($B$5:$B$44,MATCH(LARGE($C$5:$C$44,$E33),$C$5:$C$44,0)),"")</f>
        <v/>
      </c>
      <c r="H33" s="9">
        <f>IF(OR($F33="",LEFT($F33,4)="INF_"),"",IF($E33=1,"🥇 1º",IF($E33=2,"🥈 2º",IF($E33=3,"🥉 3º",""))))</f>
        <v/>
      </c>
    </row>
    <row r="34" ht="14.25" customHeight="1" s="72">
      <c r="A34" s="68">
        <f>JUEZ_1!D1402</f>
        <v/>
      </c>
      <c r="B34" s="68">
        <f>N(JUEZ_1!H1402)+N(JUEZ_2!H1402)+N(JUEZ_3!H1402)</f>
        <v/>
      </c>
      <c r="C34" s="69">
        <f>IF(OR($A34="",LEFT($A34,4)="INF_"),-1000-ROW()*0.0000001,N(B34)-ROW()*0.0000001)</f>
        <v/>
      </c>
      <c r="E34" s="9">
        <f>ROW()-4</f>
        <v/>
      </c>
      <c r="F34" s="70">
        <f>IFERROR(INDEX($A$5:$A$44,MATCH(LARGE($C$5:$C$44,$E34),$C$5:$C$44,0)),"")</f>
        <v/>
      </c>
      <c r="G34" s="71">
        <f>IFERROR(INDEX($B$5:$B$44,MATCH(LARGE($C$5:$C$44,$E34),$C$5:$C$44,0)),"")</f>
        <v/>
      </c>
      <c r="H34" s="9">
        <f>IF(OR($F34="",LEFT($F34,4)="INF_"),"",IF($E34=1,"🥇 1º",IF($E34=2,"🥈 2º",IF($E34=3,"🥉 3º",""))))</f>
        <v/>
      </c>
    </row>
    <row r="35" ht="14.25" customHeight="1" s="72">
      <c r="A35" s="68">
        <f>JUEZ_1!D1403</f>
        <v/>
      </c>
      <c r="B35" s="68">
        <f>N(JUEZ_1!H1403)+N(JUEZ_2!H1403)+N(JUEZ_3!H1403)</f>
        <v/>
      </c>
      <c r="C35" s="69">
        <f>IF(OR($A35="",LEFT($A35,4)="INF_"),-1000-ROW()*0.0000001,N(B35)-ROW()*0.0000001)</f>
        <v/>
      </c>
      <c r="E35" s="9">
        <f>ROW()-4</f>
        <v/>
      </c>
      <c r="F35" s="70">
        <f>IFERROR(INDEX($A$5:$A$44,MATCH(LARGE($C$5:$C$44,$E35),$C$5:$C$44,0)),"")</f>
        <v/>
      </c>
      <c r="G35" s="71">
        <f>IFERROR(INDEX($B$5:$B$44,MATCH(LARGE($C$5:$C$44,$E35),$C$5:$C$44,0)),"")</f>
        <v/>
      </c>
      <c r="H35" s="9">
        <f>IF(OR($F35="",LEFT($F35,4)="INF_"),"",IF($E35=1,"🥇 1º",IF($E35=2,"🥈 2º",IF($E35=3,"🥉 3º",""))))</f>
        <v/>
      </c>
    </row>
    <row r="36" ht="14.25" customHeight="1" s="72">
      <c r="A36" s="68">
        <f>JUEZ_1!D1404</f>
        <v/>
      </c>
      <c r="B36" s="68">
        <f>N(JUEZ_1!H1404)+N(JUEZ_2!H1404)+N(JUEZ_3!H1404)</f>
        <v/>
      </c>
      <c r="C36" s="69">
        <f>IF(OR($A36="",LEFT($A36,4)="INF_"),-1000-ROW()*0.0000001,N(B36)-ROW()*0.0000001)</f>
        <v/>
      </c>
      <c r="E36" s="9">
        <f>ROW()-4</f>
        <v/>
      </c>
      <c r="F36" s="70">
        <f>IFERROR(INDEX($A$5:$A$44,MATCH(LARGE($C$5:$C$44,$E36),$C$5:$C$44,0)),"")</f>
        <v/>
      </c>
      <c r="G36" s="71">
        <f>IFERROR(INDEX($B$5:$B$44,MATCH(LARGE($C$5:$C$44,$E36),$C$5:$C$44,0)),"")</f>
        <v/>
      </c>
      <c r="H36" s="9">
        <f>IF(OR($F36="",LEFT($F36,4)="INF_"),"",IF($E36=1,"🥇 1º",IF($E36=2,"🥈 2º",IF($E36=3,"🥉 3º",""))))</f>
        <v/>
      </c>
    </row>
    <row r="37" ht="14.25" customHeight="1" s="72">
      <c r="A37" s="68">
        <f>JUEZ_1!D1405</f>
        <v/>
      </c>
      <c r="B37" s="68">
        <f>N(JUEZ_1!H1405)+N(JUEZ_2!H1405)+N(JUEZ_3!H1405)</f>
        <v/>
      </c>
      <c r="C37" s="69">
        <f>IF(OR($A37="",LEFT($A37,4)="INF_"),-1000-ROW()*0.0000001,N(B37)-ROW()*0.0000001)</f>
        <v/>
      </c>
      <c r="E37" s="9">
        <f>ROW()-4</f>
        <v/>
      </c>
      <c r="F37" s="70">
        <f>IFERROR(INDEX($A$5:$A$44,MATCH(LARGE($C$5:$C$44,$E37),$C$5:$C$44,0)),"")</f>
        <v/>
      </c>
      <c r="G37" s="71">
        <f>IFERROR(INDEX($B$5:$B$44,MATCH(LARGE($C$5:$C$44,$E37),$C$5:$C$44,0)),"")</f>
        <v/>
      </c>
      <c r="H37" s="9">
        <f>IF(OR($F37="",LEFT($F37,4)="INF_"),"",IF($E37=1,"🥇 1º",IF($E37=2,"🥈 2º",IF($E37=3,"🥉 3º",""))))</f>
        <v/>
      </c>
    </row>
    <row r="38" ht="14.25" customHeight="1" s="72">
      <c r="A38" s="68">
        <f>JUEZ_1!D1406</f>
        <v/>
      </c>
      <c r="B38" s="68">
        <f>N(JUEZ_1!H1406)+N(JUEZ_2!H1406)+N(JUEZ_3!H1406)</f>
        <v/>
      </c>
      <c r="C38" s="69">
        <f>IF(OR($A38="",LEFT($A38,4)="INF_"),-1000-ROW()*0.0000001,N(B38)-ROW()*0.0000001)</f>
        <v/>
      </c>
      <c r="E38" s="9">
        <f>ROW()-4</f>
        <v/>
      </c>
      <c r="F38" s="70">
        <f>IFERROR(INDEX($A$5:$A$44,MATCH(LARGE($C$5:$C$44,$E38),$C$5:$C$44,0)),"")</f>
        <v/>
      </c>
      <c r="G38" s="71">
        <f>IFERROR(INDEX($B$5:$B$44,MATCH(LARGE($C$5:$C$44,$E38),$C$5:$C$44,0)),"")</f>
        <v/>
      </c>
      <c r="H38" s="9">
        <f>IF(OR($F38="",LEFT($F38,4)="INF_"),"",IF($E38=1,"🥇 1º",IF($E38=2,"🥈 2º",IF($E38=3,"🥉 3º",""))))</f>
        <v/>
      </c>
    </row>
    <row r="39" ht="14.25" customHeight="1" s="72">
      <c r="A39" s="68">
        <f>JUEZ_1!D1407</f>
        <v/>
      </c>
      <c r="B39" s="68">
        <f>N(JUEZ_1!H1407)+N(JUEZ_2!H1407)+N(JUEZ_3!H1407)</f>
        <v/>
      </c>
      <c r="C39" s="69">
        <f>IF(OR($A39="",LEFT($A39,4)="INF_"),-1000-ROW()*0.0000001,N(B39)-ROW()*0.0000001)</f>
        <v/>
      </c>
      <c r="E39" s="9">
        <f>ROW()-4</f>
        <v/>
      </c>
      <c r="F39" s="70">
        <f>IFERROR(INDEX($A$5:$A$44,MATCH(LARGE($C$5:$C$44,$E39),$C$5:$C$44,0)),"")</f>
        <v/>
      </c>
      <c r="G39" s="71">
        <f>IFERROR(INDEX($B$5:$B$44,MATCH(LARGE($C$5:$C$44,$E39),$C$5:$C$44,0)),"")</f>
        <v/>
      </c>
      <c r="H39" s="9">
        <f>IF(OR($F39="",LEFT($F39,4)="INF_"),"",IF($E39=1,"🥇 1º",IF($E39=2,"🥈 2º",IF($E39=3,"🥉 3º",""))))</f>
        <v/>
      </c>
    </row>
    <row r="40" ht="14.25" customHeight="1" s="72">
      <c r="A40" s="68">
        <f>JUEZ_1!D1408</f>
        <v/>
      </c>
      <c r="B40" s="68">
        <f>N(JUEZ_1!H1408)+N(JUEZ_2!H1408)+N(JUEZ_3!H1408)</f>
        <v/>
      </c>
      <c r="C40" s="69">
        <f>IF(OR($A40="",LEFT($A40,4)="INF_"),-1000-ROW()*0.0000001,N(B40)-ROW()*0.0000001)</f>
        <v/>
      </c>
      <c r="E40" s="9">
        <f>ROW()-4</f>
        <v/>
      </c>
      <c r="F40" s="70">
        <f>IFERROR(INDEX($A$5:$A$44,MATCH(LARGE($C$5:$C$44,$E40),$C$5:$C$44,0)),"")</f>
        <v/>
      </c>
      <c r="G40" s="71">
        <f>IFERROR(INDEX($B$5:$B$44,MATCH(LARGE($C$5:$C$44,$E40),$C$5:$C$44,0)),"")</f>
        <v/>
      </c>
      <c r="H40" s="9">
        <f>IF(OR($F40="",LEFT($F40,4)="INF_"),"",IF($E40=1,"🥇 1º",IF($E40=2,"🥈 2º",IF($E40=3,"🥉 3º",""))))</f>
        <v/>
      </c>
    </row>
    <row r="41" ht="14.25" customHeight="1" s="72">
      <c r="A41" s="68">
        <f>JUEZ_1!D1409</f>
        <v/>
      </c>
      <c r="B41" s="68">
        <f>N(JUEZ_1!H1409)+N(JUEZ_2!H1409)+N(JUEZ_3!H1409)</f>
        <v/>
      </c>
      <c r="C41" s="69">
        <f>IF(OR($A41="",LEFT($A41,4)="INF_"),-1000-ROW()*0.0000001,N(B41)-ROW()*0.0000001)</f>
        <v/>
      </c>
      <c r="E41" s="9">
        <f>ROW()-4</f>
        <v/>
      </c>
      <c r="F41" s="70">
        <f>IFERROR(INDEX($A$5:$A$44,MATCH(LARGE($C$5:$C$44,$E41),$C$5:$C$44,0)),"")</f>
        <v/>
      </c>
      <c r="G41" s="71">
        <f>IFERROR(INDEX($B$5:$B$44,MATCH(LARGE($C$5:$C$44,$E41),$C$5:$C$44,0)),"")</f>
        <v/>
      </c>
      <c r="H41" s="9">
        <f>IF(OR($F41="",LEFT($F41,4)="INF_"),"",IF($E41=1,"🥇 1º",IF($E41=2,"🥈 2º",IF($E41=3,"🥉 3º",""))))</f>
        <v/>
      </c>
    </row>
    <row r="42" ht="14.25" customHeight="1" s="72">
      <c r="A42" s="68">
        <f>JUEZ_1!D1410</f>
        <v/>
      </c>
      <c r="B42" s="68">
        <f>N(JUEZ_1!H1410)+N(JUEZ_2!H1410)+N(JUEZ_3!H1410)</f>
        <v/>
      </c>
      <c r="C42" s="69">
        <f>IF(OR($A42="",LEFT($A42,4)="INF_"),-1000-ROW()*0.0000001,N(B42)-ROW()*0.0000001)</f>
        <v/>
      </c>
      <c r="E42" s="9">
        <f>ROW()-4</f>
        <v/>
      </c>
      <c r="F42" s="70">
        <f>IFERROR(INDEX($A$5:$A$44,MATCH(LARGE($C$5:$C$44,$E42),$C$5:$C$44,0)),"")</f>
        <v/>
      </c>
      <c r="G42" s="71">
        <f>IFERROR(INDEX($B$5:$B$44,MATCH(LARGE($C$5:$C$44,$E42),$C$5:$C$44,0)),"")</f>
        <v/>
      </c>
      <c r="H42" s="9">
        <f>IF(OR($F42="",LEFT($F42,4)="INF_"),"",IF($E42=1,"🥇 1º",IF($E42=2,"🥈 2º",IF($E42=3,"🥉 3º",""))))</f>
        <v/>
      </c>
    </row>
    <row r="43" ht="14.25" customHeight="1" s="72">
      <c r="A43" s="68">
        <f>JUEZ_1!D1411</f>
        <v/>
      </c>
      <c r="B43" s="68">
        <f>N(JUEZ_1!H1411)+N(JUEZ_2!H1411)+N(JUEZ_3!H1411)</f>
        <v/>
      </c>
      <c r="C43" s="69">
        <f>IF(OR($A43="",LEFT($A43,4)="INF_"),-1000-ROW()*0.0000001,N(B43)-ROW()*0.0000001)</f>
        <v/>
      </c>
      <c r="E43" s="9">
        <f>ROW()-4</f>
        <v/>
      </c>
      <c r="F43" s="70">
        <f>IFERROR(INDEX($A$5:$A$44,MATCH(LARGE($C$5:$C$44,$E43),$C$5:$C$44,0)),"")</f>
        <v/>
      </c>
      <c r="G43" s="71">
        <f>IFERROR(INDEX($B$5:$B$44,MATCH(LARGE($C$5:$C$44,$E43),$C$5:$C$44,0)),"")</f>
        <v/>
      </c>
      <c r="H43" s="9">
        <f>IF(OR($F43="",LEFT($F43,4)="INF_"),"",IF($E43=1,"🥇 1º",IF($E43=2,"🥈 2º",IF($E43=3,"🥉 3º",""))))</f>
        <v/>
      </c>
    </row>
    <row r="44" ht="14.25" customHeight="1" s="72">
      <c r="A44" s="68">
        <f>JUEZ_1!D1412</f>
        <v/>
      </c>
      <c r="B44" s="68">
        <f>N(JUEZ_1!H1412)+N(JUEZ_2!H1412)+N(JUEZ_3!H1412)</f>
        <v/>
      </c>
      <c r="C44" s="69">
        <f>IF(OR($A44="",LEFT($A44,4)="INF_"),-1000-ROW()*0.0000001,N(B44)-ROW()*0.0000001)</f>
        <v/>
      </c>
      <c r="E44" s="9">
        <f>ROW()-4</f>
        <v/>
      </c>
      <c r="F44" s="70">
        <f>IFERROR(INDEX($A$5:$A$44,MATCH(LARGE($C$5:$C$44,$E44),$C$5:$C$44,0)),"")</f>
        <v/>
      </c>
      <c r="G44" s="71">
        <f>IFERROR(INDEX($B$5:$B$44,MATCH(LARGE($C$5:$C$44,$E44),$C$5:$C$44,0)),"")</f>
        <v/>
      </c>
      <c r="H44" s="9">
        <f>IF(OR($F44="",LEFT($F44,4)="INF_"),"",IF($E44=1,"🥇 1º",IF($E44=2,"🥈 2º",IF($E44=3,"🥉 3º",""))))</f>
        <v/>
      </c>
    </row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mergeCells count="1"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2026-06-12T18:40:18Z</dcterms:created>
  <dcterms:modified xsi:type="dcterms:W3CDTF">2026-06-12T18:40:20Z</dcterms:modified>
</cp:coreProperties>
</file>